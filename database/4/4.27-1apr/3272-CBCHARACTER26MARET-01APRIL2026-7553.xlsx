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8_{C8A7FF76-DA5F-4584-9B49-3DE119C19077}" xr6:coauthVersionLast="47" xr6:coauthVersionMax="47" xr10:uidLastSave="{00000000-0000-0000-0000-000000000000}"/>
  <bookViews>
    <workbookView xWindow="-120" yWindow="-120" windowWidth="20730" windowHeight="11160" activeTab="4" xr2:uid="{955B7DF1-DE33-43B6-A0D7-88E68E556145}"/>
  </bookViews>
  <sheets>
    <sheet name="2024 ALL D75" sheetId="1" r:id="rId1"/>
    <sheet name="2025 JAN-JUN D70" sheetId="4" r:id="rId2"/>
    <sheet name="2025 SEPT B1G1" sheetId="8" r:id="rId3"/>
    <sheet name="2025 OCT D30" sheetId="7" r:id="rId4"/>
    <sheet name="2025 NOV D30" sheetId="10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0" l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3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P4" i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P431" i="1" s="1"/>
  <c r="P432" i="1" s="1"/>
  <c r="P433" i="1" s="1"/>
  <c r="P434" i="1" s="1"/>
  <c r="P435" i="1" s="1"/>
  <c r="P436" i="1" s="1"/>
  <c r="P437" i="1" s="1"/>
  <c r="P438" i="1" s="1"/>
  <c r="P439" i="1" s="1"/>
  <c r="P440" i="1" s="1"/>
  <c r="P441" i="1" s="1"/>
  <c r="P442" i="1" s="1"/>
  <c r="P443" i="1" s="1"/>
  <c r="P444" i="1" s="1"/>
  <c r="P445" i="1" s="1"/>
  <c r="P446" i="1" s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P465" i="1" s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P503" i="1" s="1"/>
  <c r="P504" i="1" s="1"/>
  <c r="P505" i="1" s="1"/>
  <c r="P506" i="1" s="1"/>
  <c r="P507" i="1" s="1"/>
  <c r="P508" i="1" s="1"/>
  <c r="P509" i="1" s="1"/>
  <c r="P510" i="1" s="1"/>
  <c r="P511" i="1" s="1"/>
  <c r="P512" i="1" s="1"/>
  <c r="P513" i="1" s="1"/>
  <c r="P514" i="1" s="1"/>
  <c r="P515" i="1" s="1"/>
  <c r="P516" i="1" s="1"/>
  <c r="P517" i="1" s="1"/>
  <c r="P518" i="1" s="1"/>
  <c r="P519" i="1" s="1"/>
  <c r="P520" i="1" s="1"/>
  <c r="P521" i="1" s="1"/>
  <c r="P522" i="1" s="1"/>
  <c r="P523" i="1" s="1"/>
  <c r="P524" i="1" s="1"/>
  <c r="P525" i="1" s="1"/>
  <c r="P526" i="1" s="1"/>
  <c r="P527" i="1" s="1"/>
  <c r="P528" i="1" s="1"/>
  <c r="P529" i="1" s="1"/>
  <c r="P530" i="1" s="1"/>
  <c r="P531" i="1" s="1"/>
  <c r="P532" i="1" s="1"/>
  <c r="P533" i="1" s="1"/>
  <c r="P534" i="1" s="1"/>
  <c r="P535" i="1" s="1"/>
  <c r="P536" i="1" s="1"/>
  <c r="P537" i="1" s="1"/>
  <c r="P538" i="1" s="1"/>
  <c r="P539" i="1" s="1"/>
  <c r="P540" i="1" s="1"/>
  <c r="P541" i="1" s="1"/>
  <c r="P542" i="1" s="1"/>
  <c r="P543" i="1" s="1"/>
  <c r="P544" i="1" s="1"/>
  <c r="P545" i="1" s="1"/>
  <c r="P546" i="1" s="1"/>
  <c r="P547" i="1" s="1"/>
  <c r="P548" i="1" s="1"/>
  <c r="P549" i="1" s="1"/>
  <c r="P550" i="1" s="1"/>
  <c r="P551" i="1" s="1"/>
  <c r="P552" i="1" s="1"/>
  <c r="P553" i="1" s="1"/>
  <c r="P554" i="1" s="1"/>
  <c r="P555" i="1" s="1"/>
  <c r="P556" i="1" s="1"/>
  <c r="P557" i="1" s="1"/>
  <c r="P558" i="1" s="1"/>
  <c r="P559" i="1" s="1"/>
  <c r="P560" i="1" s="1"/>
  <c r="P561" i="1" s="1"/>
  <c r="P562" i="1" s="1"/>
  <c r="P563" i="1" s="1"/>
  <c r="P564" i="1" s="1"/>
  <c r="P565" i="1" s="1"/>
  <c r="P566" i="1" s="1"/>
  <c r="P567" i="1" s="1"/>
  <c r="P568" i="1" s="1"/>
  <c r="P569" i="1" s="1"/>
  <c r="P570" i="1" s="1"/>
  <c r="P571" i="1" s="1"/>
  <c r="P572" i="1" s="1"/>
  <c r="P573" i="1" s="1"/>
  <c r="P574" i="1" s="1"/>
  <c r="P575" i="1" s="1"/>
  <c r="P576" i="1" s="1"/>
  <c r="P577" i="1" s="1"/>
  <c r="P578" i="1" s="1"/>
  <c r="P579" i="1" s="1"/>
  <c r="P580" i="1" s="1"/>
  <c r="P581" i="1" s="1"/>
  <c r="P582" i="1" s="1"/>
  <c r="P583" i="1" s="1"/>
  <c r="P584" i="1" s="1"/>
  <c r="P585" i="1" s="1"/>
  <c r="P586" i="1" s="1"/>
  <c r="P587" i="1" s="1"/>
  <c r="P588" i="1" s="1"/>
  <c r="P589" i="1" s="1"/>
  <c r="P590" i="1" s="1"/>
  <c r="P591" i="1" s="1"/>
  <c r="P592" i="1" s="1"/>
  <c r="P593" i="1" s="1"/>
  <c r="P594" i="1" s="1"/>
  <c r="P595" i="1" s="1"/>
  <c r="P596" i="1" s="1"/>
  <c r="P597" i="1" s="1"/>
  <c r="P598" i="1" s="1"/>
  <c r="P599" i="1" s="1"/>
  <c r="P600" i="1" s="1"/>
  <c r="P601" i="1" s="1"/>
  <c r="P602" i="1" s="1"/>
  <c r="P603" i="1" s="1"/>
  <c r="P604" i="1" s="1"/>
  <c r="P605" i="1" s="1"/>
  <c r="P606" i="1" s="1"/>
  <c r="P607" i="1" s="1"/>
  <c r="P608" i="1" s="1"/>
  <c r="P609" i="1" s="1"/>
  <c r="P610" i="1" s="1"/>
  <c r="P611" i="1" s="1"/>
  <c r="P612" i="1" s="1"/>
  <c r="P613" i="1" s="1"/>
  <c r="P614" i="1" s="1"/>
  <c r="P615" i="1" s="1"/>
  <c r="P616" i="1" s="1"/>
  <c r="P617" i="1" s="1"/>
  <c r="P618" i="1" s="1"/>
  <c r="P619" i="1" s="1"/>
  <c r="P620" i="1" s="1"/>
  <c r="P621" i="1" s="1"/>
  <c r="P622" i="1" s="1"/>
  <c r="P623" i="1" s="1"/>
  <c r="P624" i="1" s="1"/>
  <c r="P625" i="1" s="1"/>
  <c r="P626" i="1" s="1"/>
  <c r="P627" i="1" s="1"/>
  <c r="P628" i="1" s="1"/>
  <c r="P629" i="1" s="1"/>
  <c r="P630" i="1" s="1"/>
  <c r="P631" i="1" s="1"/>
  <c r="P632" i="1" s="1"/>
  <c r="P633" i="1" s="1"/>
  <c r="P634" i="1" s="1"/>
  <c r="P635" i="1" s="1"/>
  <c r="P636" i="1" s="1"/>
  <c r="P637" i="1" s="1"/>
  <c r="P638" i="1" s="1"/>
  <c r="P639" i="1" s="1"/>
  <c r="P640" i="1" s="1"/>
  <c r="P641" i="1" s="1"/>
  <c r="P642" i="1" s="1"/>
  <c r="P643" i="1" s="1"/>
  <c r="P644" i="1" s="1"/>
  <c r="P645" i="1" s="1"/>
  <c r="P646" i="1" s="1"/>
  <c r="P647" i="1" s="1"/>
  <c r="P648" i="1" s="1"/>
  <c r="P649" i="1" s="1"/>
  <c r="P650" i="1" s="1"/>
  <c r="P651" i="1" s="1"/>
  <c r="P652" i="1" s="1"/>
  <c r="P653" i="1" s="1"/>
  <c r="P654" i="1" s="1"/>
  <c r="P655" i="1" s="1"/>
  <c r="P656" i="1" s="1"/>
  <c r="P657" i="1" s="1"/>
  <c r="P658" i="1" s="1"/>
  <c r="P659" i="1" s="1"/>
  <c r="P660" i="1" s="1"/>
  <c r="P661" i="1" s="1"/>
  <c r="P662" i="1" s="1"/>
  <c r="P663" i="1" s="1"/>
  <c r="P664" i="1" s="1"/>
  <c r="P665" i="1" s="1"/>
  <c r="P666" i="1" s="1"/>
  <c r="P667" i="1" s="1"/>
  <c r="P668" i="1" s="1"/>
  <c r="P669" i="1" s="1"/>
  <c r="P670" i="1" s="1"/>
  <c r="P671" i="1" s="1"/>
  <c r="P672" i="1" s="1"/>
  <c r="P673" i="1" s="1"/>
  <c r="P674" i="1" s="1"/>
  <c r="P675" i="1" s="1"/>
  <c r="P676" i="1" s="1"/>
  <c r="P677" i="1" s="1"/>
  <c r="P678" i="1" s="1"/>
  <c r="P679" i="1" s="1"/>
  <c r="P680" i="1" s="1"/>
  <c r="P681" i="1" s="1"/>
  <c r="P682" i="1" s="1"/>
  <c r="P683" i="1" s="1"/>
  <c r="P684" i="1" s="1"/>
  <c r="P685" i="1" s="1"/>
  <c r="P686" i="1" s="1"/>
  <c r="P687" i="1" s="1"/>
  <c r="P688" i="1" s="1"/>
  <c r="P689" i="1" s="1"/>
  <c r="P690" i="1" s="1"/>
  <c r="P691" i="1" s="1"/>
  <c r="P692" i="1" s="1"/>
  <c r="P693" i="1" s="1"/>
  <c r="P694" i="1" s="1"/>
  <c r="P695" i="1" s="1"/>
  <c r="P696" i="1" s="1"/>
  <c r="P697" i="1" s="1"/>
  <c r="P698" i="1" s="1"/>
  <c r="P699" i="1" s="1"/>
  <c r="P700" i="1" s="1"/>
  <c r="P701" i="1" s="1"/>
  <c r="P702" i="1" s="1"/>
  <c r="P703" i="1" s="1"/>
  <c r="P704" i="1" s="1"/>
  <c r="P705" i="1" s="1"/>
  <c r="P706" i="1" s="1"/>
  <c r="P707" i="1" s="1"/>
  <c r="P708" i="1" s="1"/>
  <c r="P709" i="1" s="1"/>
  <c r="P710" i="1" s="1"/>
  <c r="P711" i="1" s="1"/>
  <c r="P712" i="1" s="1"/>
  <c r="P713" i="1" s="1"/>
  <c r="P714" i="1" s="1"/>
  <c r="P715" i="1" s="1"/>
  <c r="P716" i="1" s="1"/>
  <c r="P717" i="1" s="1"/>
  <c r="P718" i="1" s="1"/>
  <c r="P719" i="1" s="1"/>
  <c r="P720" i="1" s="1"/>
  <c r="P721" i="1" s="1"/>
  <c r="P722" i="1" s="1"/>
  <c r="P723" i="1" s="1"/>
  <c r="P724" i="1" s="1"/>
  <c r="P725" i="1" s="1"/>
  <c r="P726" i="1" s="1"/>
  <c r="P727" i="1" s="1"/>
  <c r="P728" i="1" s="1"/>
  <c r="P729" i="1" s="1"/>
  <c r="P730" i="1" s="1"/>
  <c r="P731" i="1" s="1"/>
  <c r="P732" i="1" s="1"/>
  <c r="P733" i="1" s="1"/>
  <c r="P734" i="1" s="1"/>
  <c r="P735" i="1" s="1"/>
  <c r="P736" i="1" s="1"/>
  <c r="P737" i="1" s="1"/>
  <c r="P738" i="1" s="1"/>
  <c r="P739" i="1" s="1"/>
  <c r="P740" i="1" s="1"/>
  <c r="P741" i="1" s="1"/>
  <c r="P742" i="1" s="1"/>
  <c r="P743" i="1" s="1"/>
  <c r="P744" i="1" s="1"/>
  <c r="P745" i="1" s="1"/>
  <c r="P746" i="1" s="1"/>
  <c r="P747" i="1" s="1"/>
  <c r="P748" i="1" s="1"/>
  <c r="P749" i="1" s="1"/>
  <c r="P750" i="1" s="1"/>
  <c r="P751" i="1" s="1"/>
  <c r="P752" i="1" s="1"/>
  <c r="P753" i="1" s="1"/>
  <c r="P754" i="1" s="1"/>
  <c r="P755" i="1" s="1"/>
  <c r="P756" i="1" s="1"/>
  <c r="P757" i="1" s="1"/>
  <c r="P758" i="1" s="1"/>
  <c r="P759" i="1" s="1"/>
  <c r="P760" i="1" s="1"/>
  <c r="P761" i="1" s="1"/>
  <c r="P762" i="1" s="1"/>
  <c r="P763" i="1" s="1"/>
  <c r="P764" i="1" s="1"/>
  <c r="P765" i="1" s="1"/>
  <c r="P766" i="1" s="1"/>
  <c r="P767" i="1" s="1"/>
  <c r="P768" i="1" s="1"/>
  <c r="P769" i="1" s="1"/>
  <c r="P770" i="1" s="1"/>
  <c r="P771" i="1" s="1"/>
  <c r="P772" i="1" s="1"/>
  <c r="P773" i="1" s="1"/>
  <c r="P774" i="1" s="1"/>
  <c r="P775" i="1" s="1"/>
  <c r="P776" i="1" s="1"/>
  <c r="P777" i="1" s="1"/>
  <c r="P778" i="1" s="1"/>
  <c r="P779" i="1" s="1"/>
  <c r="P780" i="1" s="1"/>
  <c r="P781" i="1" s="1"/>
  <c r="P782" i="1" s="1"/>
  <c r="P783" i="1" s="1"/>
  <c r="P784" i="1" s="1"/>
  <c r="P785" i="1" s="1"/>
  <c r="P786" i="1" s="1"/>
  <c r="P787" i="1" s="1"/>
  <c r="P788" i="1" s="1"/>
  <c r="P789" i="1" s="1"/>
  <c r="P790" i="1" s="1"/>
  <c r="P791" i="1" s="1"/>
  <c r="P792" i="1" s="1"/>
  <c r="P793" i="1" s="1"/>
  <c r="P794" i="1" s="1"/>
  <c r="P795" i="1" s="1"/>
  <c r="P796" i="1" s="1"/>
  <c r="P797" i="1" s="1"/>
  <c r="P798" i="1" s="1"/>
  <c r="P799" i="1" s="1"/>
  <c r="P800" i="1" s="1"/>
  <c r="P801" i="1" s="1"/>
  <c r="P802" i="1" s="1"/>
  <c r="P803" i="1" s="1"/>
  <c r="P804" i="1" s="1"/>
  <c r="P805" i="1" s="1"/>
  <c r="P806" i="1" s="1"/>
  <c r="P807" i="1" s="1"/>
  <c r="P808" i="1" s="1"/>
  <c r="P809" i="1" s="1"/>
  <c r="P810" i="1" s="1"/>
  <c r="P811" i="1" s="1"/>
  <c r="P812" i="1" s="1"/>
  <c r="P813" i="1" s="1"/>
  <c r="P814" i="1" s="1"/>
  <c r="P815" i="1" s="1"/>
  <c r="P816" i="1" s="1"/>
  <c r="P817" i="1" s="1"/>
  <c r="P818" i="1" s="1"/>
  <c r="P819" i="1" s="1"/>
  <c r="P820" i="1" s="1"/>
  <c r="P821" i="1" s="1"/>
  <c r="P822" i="1" s="1"/>
  <c r="P823" i="1" s="1"/>
  <c r="P824" i="1" s="1"/>
  <c r="P825" i="1" s="1"/>
  <c r="P826" i="1" s="1"/>
  <c r="P827" i="1" s="1"/>
  <c r="P828" i="1" s="1"/>
  <c r="P829" i="1" s="1"/>
  <c r="P830" i="1" s="1"/>
  <c r="P831" i="1" s="1"/>
  <c r="P832" i="1" s="1"/>
  <c r="P833" i="1" s="1"/>
  <c r="P834" i="1" s="1"/>
  <c r="P835" i="1" s="1"/>
  <c r="P836" i="1" s="1"/>
  <c r="P837" i="1" s="1"/>
  <c r="P838" i="1" s="1"/>
  <c r="P839" i="1" s="1"/>
  <c r="P840" i="1" s="1"/>
  <c r="P841" i="1" s="1"/>
  <c r="P842" i="1" s="1"/>
  <c r="P843" i="1" s="1"/>
  <c r="P844" i="1" s="1"/>
  <c r="P845" i="1" s="1"/>
  <c r="P846" i="1" s="1"/>
  <c r="P847" i="1" s="1"/>
  <c r="P848" i="1" s="1"/>
  <c r="P849" i="1" s="1"/>
  <c r="P850" i="1" s="1"/>
  <c r="P851" i="1" s="1"/>
  <c r="P852" i="1" s="1"/>
  <c r="P853" i="1" s="1"/>
  <c r="P854" i="1" s="1"/>
  <c r="P855" i="1" s="1"/>
  <c r="P856" i="1" s="1"/>
  <c r="P857" i="1" s="1"/>
  <c r="P858" i="1" s="1"/>
  <c r="P859" i="1" s="1"/>
  <c r="P860" i="1" s="1"/>
  <c r="P861" i="1" s="1"/>
  <c r="P862" i="1" s="1"/>
  <c r="P863" i="1" s="1"/>
  <c r="P864" i="1" s="1"/>
  <c r="P865" i="1" s="1"/>
  <c r="P866" i="1" s="1"/>
  <c r="P867" i="1" s="1"/>
  <c r="P868" i="1" s="1"/>
  <c r="P869" i="1" s="1"/>
  <c r="P870" i="1" s="1"/>
  <c r="P871" i="1" s="1"/>
  <c r="P872" i="1" s="1"/>
  <c r="P873" i="1" s="1"/>
  <c r="P874" i="1" s="1"/>
  <c r="P3" i="1"/>
  <c r="B3" i="1"/>
  <c r="B4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" i="8"/>
  <c r="I35" i="8"/>
  <c r="I34" i="8"/>
  <c r="I33" i="8"/>
  <c r="A33" i="8"/>
  <c r="A34" i="8" s="1"/>
  <c r="A35" i="8" s="1"/>
  <c r="C27" i="8"/>
  <c r="C26" i="8"/>
  <c r="C24" i="8"/>
  <c r="I22" i="8"/>
  <c r="I23" i="8" s="1"/>
  <c r="I24" i="8" s="1"/>
  <c r="I25" i="8" s="1"/>
  <c r="I26" i="8" s="1"/>
  <c r="I27" i="8" s="1"/>
  <c r="I28" i="8" s="1"/>
  <c r="I29" i="8" s="1"/>
  <c r="I30" i="8" s="1"/>
  <c r="I31" i="8" s="1"/>
  <c r="A22" i="8"/>
  <c r="A23" i="8" s="1"/>
  <c r="A24" i="8" s="1"/>
  <c r="A25" i="8" s="1"/>
  <c r="A26" i="8" s="1"/>
  <c r="A27" i="8" s="1"/>
  <c r="A28" i="8" s="1"/>
  <c r="A29" i="8" s="1"/>
  <c r="A30" i="8" s="1"/>
  <c r="A31" i="8" s="1"/>
  <c r="G21" i="8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C19" i="8"/>
  <c r="C18" i="8"/>
  <c r="C14" i="8"/>
  <c r="C32" i="8" s="1"/>
  <c r="C13" i="8"/>
  <c r="C31" i="8" s="1"/>
  <c r="C12" i="8"/>
  <c r="C30" i="8" s="1"/>
  <c r="C11" i="8"/>
  <c r="C29" i="8" s="1"/>
  <c r="C10" i="8"/>
  <c r="C28" i="8" s="1"/>
  <c r="C9" i="8"/>
  <c r="C8" i="8"/>
  <c r="C7" i="8"/>
  <c r="C25" i="8" s="1"/>
  <c r="C6" i="8"/>
  <c r="C5" i="8"/>
  <c r="C23" i="8" s="1"/>
  <c r="I4" i="8"/>
  <c r="I5" i="8" s="1"/>
  <c r="I6" i="8" s="1"/>
  <c r="I7" i="8" s="1"/>
  <c r="I8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D4" i="8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C4" i="8"/>
  <c r="C22" i="8" s="1"/>
  <c r="P3" i="8"/>
  <c r="P4" i="8" s="1"/>
  <c r="P5" i="8" s="1"/>
  <c r="P6" i="8" s="1"/>
  <c r="P7" i="8" s="1"/>
  <c r="P8" i="8" s="1"/>
  <c r="P9" i="8" s="1"/>
  <c r="P10" i="8" s="1"/>
  <c r="P11" i="8" s="1"/>
  <c r="P12" i="8" s="1"/>
  <c r="P13" i="8" s="1"/>
  <c r="P14" i="8" s="1"/>
  <c r="P15" i="8" s="1"/>
  <c r="P16" i="8" s="1"/>
  <c r="P17" i="8" s="1"/>
  <c r="P18" i="8" s="1"/>
  <c r="P19" i="8" s="1"/>
  <c r="P20" i="8" s="1"/>
  <c r="P21" i="8" s="1"/>
  <c r="P22" i="8" s="1"/>
  <c r="P23" i="8" s="1"/>
  <c r="P24" i="8" s="1"/>
  <c r="P25" i="8" s="1"/>
  <c r="P26" i="8" s="1"/>
  <c r="P27" i="8" s="1"/>
  <c r="P28" i="8" s="1"/>
  <c r="P29" i="8" s="1"/>
  <c r="P30" i="8" s="1"/>
  <c r="P31" i="8" s="1"/>
  <c r="P32" i="8" s="1"/>
  <c r="P33" i="8" s="1"/>
  <c r="P34" i="8" s="1"/>
  <c r="P35" i="8" s="1"/>
  <c r="N3" i="8"/>
  <c r="N4" i="8" s="1"/>
  <c r="N5" i="8" s="1"/>
  <c r="N6" i="8" s="1"/>
  <c r="N7" i="8" s="1"/>
  <c r="N8" i="8" s="1"/>
  <c r="N9" i="8" s="1"/>
  <c r="N10" i="8" s="1"/>
  <c r="N11" i="8" s="1"/>
  <c r="N12" i="8" s="1"/>
  <c r="N13" i="8" s="1"/>
  <c r="N14" i="8" s="1"/>
  <c r="N15" i="8" s="1"/>
  <c r="N16" i="8" s="1"/>
  <c r="N17" i="8" s="1"/>
  <c r="N18" i="8" s="1"/>
  <c r="N19" i="8" s="1"/>
  <c r="N20" i="8" s="1"/>
  <c r="N21" i="8" s="1"/>
  <c r="N22" i="8" s="1"/>
  <c r="N23" i="8" s="1"/>
  <c r="N24" i="8" s="1"/>
  <c r="N25" i="8" s="1"/>
  <c r="N26" i="8" s="1"/>
  <c r="N27" i="8" s="1"/>
  <c r="N28" i="8" s="1"/>
  <c r="N29" i="8" s="1"/>
  <c r="N30" i="8" s="1"/>
  <c r="N31" i="8" s="1"/>
  <c r="N32" i="8" s="1"/>
  <c r="N33" i="8" s="1"/>
  <c r="N34" i="8" s="1"/>
  <c r="N35" i="8" s="1"/>
  <c r="I3" i="8"/>
  <c r="E3" i="8"/>
  <c r="E4" i="8" s="1"/>
  <c r="E5" i="8" s="1"/>
  <c r="E6" i="8" s="1"/>
  <c r="E7" i="8" s="1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D3" i="8"/>
  <c r="C3" i="8"/>
  <c r="C21" i="8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O3" i="8"/>
  <c r="O4" i="8" s="1"/>
  <c r="O5" i="8" s="1"/>
  <c r="O6" i="8" s="1"/>
  <c r="O7" i="8" s="1"/>
  <c r="O8" i="8" s="1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C16" i="8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4" i="4"/>
  <c r="B5" i="4" s="1"/>
  <c r="B6" i="4" s="1"/>
  <c r="B7" i="4" s="1"/>
  <c r="B8" i="4" s="1"/>
  <c r="B9" i="4" s="1"/>
  <c r="B10" i="4" s="1"/>
  <c r="B11" i="4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3" i="4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2" i="7"/>
  <c r="C17" i="8" l="1"/>
  <c r="C35" i="8" s="1"/>
  <c r="C34" i="8"/>
  <c r="C20" i="8"/>
  <c r="C15" i="8"/>
  <c r="C33" i="8" s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3" i="4"/>
  <c r="O2" i="4"/>
  <c r="N4" i="4"/>
  <c r="N5" i="4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N34" i="4" s="1"/>
  <c r="N35" i="4" s="1"/>
  <c r="N36" i="4" s="1"/>
  <c r="N37" i="4" s="1"/>
  <c r="N38" i="4" s="1"/>
  <c r="N39" i="4" s="1"/>
  <c r="N40" i="4" s="1"/>
  <c r="N41" i="4" s="1"/>
  <c r="N42" i="4" s="1"/>
  <c r="N43" i="4" s="1"/>
  <c r="N44" i="4" s="1"/>
  <c r="N45" i="4" s="1"/>
  <c r="N46" i="4" s="1"/>
  <c r="N47" i="4" s="1"/>
  <c r="N48" i="4" s="1"/>
  <c r="N49" i="4" s="1"/>
  <c r="N50" i="4" s="1"/>
  <c r="N51" i="4" s="1"/>
  <c r="N52" i="4" s="1"/>
  <c r="N53" i="4" s="1"/>
  <c r="N54" i="4" s="1"/>
  <c r="N55" i="4" s="1"/>
  <c r="N56" i="4" s="1"/>
  <c r="N57" i="4" s="1"/>
  <c r="N58" i="4" s="1"/>
  <c r="N59" i="4" s="1"/>
  <c r="N60" i="4" s="1"/>
  <c r="N61" i="4" s="1"/>
  <c r="N62" i="4" s="1"/>
  <c r="N63" i="4" s="1"/>
  <c r="N64" i="4" s="1"/>
  <c r="N65" i="4" s="1"/>
  <c r="N66" i="4" s="1"/>
  <c r="N67" i="4" s="1"/>
  <c r="N68" i="4" s="1"/>
  <c r="N69" i="4" s="1"/>
  <c r="N70" i="4" s="1"/>
  <c r="N71" i="4" s="1"/>
  <c r="N72" i="4" s="1"/>
  <c r="N73" i="4" s="1"/>
  <c r="N74" i="4" s="1"/>
  <c r="N75" i="4" s="1"/>
  <c r="N76" i="4" s="1"/>
  <c r="N77" i="4" s="1"/>
  <c r="N78" i="4" s="1"/>
  <c r="N79" i="4" s="1"/>
  <c r="N80" i="4" s="1"/>
  <c r="N81" i="4" s="1"/>
  <c r="N82" i="4" s="1"/>
  <c r="N83" i="4" s="1"/>
  <c r="N84" i="4" s="1"/>
  <c r="N85" i="4" s="1"/>
  <c r="N86" i="4" s="1"/>
  <c r="N87" i="4" s="1"/>
  <c r="N88" i="4" s="1"/>
  <c r="N89" i="4" s="1"/>
  <c r="N90" i="4" s="1"/>
  <c r="N91" i="4" s="1"/>
  <c r="N92" i="4" s="1"/>
  <c r="N93" i="4" s="1"/>
  <c r="N94" i="4" s="1"/>
  <c r="N95" i="4" s="1"/>
  <c r="N96" i="4" s="1"/>
  <c r="N97" i="4" s="1"/>
  <c r="N98" i="4" s="1"/>
  <c r="N99" i="4" s="1"/>
  <c r="N100" i="4" s="1"/>
  <c r="N101" i="4" s="1"/>
  <c r="N102" i="4" s="1"/>
  <c r="N103" i="4" s="1"/>
  <c r="N104" i="4" s="1"/>
  <c r="N105" i="4" s="1"/>
  <c r="N106" i="4" s="1"/>
  <c r="N107" i="4" s="1"/>
  <c r="N108" i="4" s="1"/>
  <c r="N109" i="4" s="1"/>
  <c r="N110" i="4" s="1"/>
  <c r="N111" i="4" s="1"/>
  <c r="N112" i="4" s="1"/>
  <c r="N113" i="4" s="1"/>
  <c r="N114" i="4" s="1"/>
  <c r="N115" i="4" s="1"/>
  <c r="N116" i="4" s="1"/>
  <c r="N117" i="4" s="1"/>
  <c r="N118" i="4" s="1"/>
  <c r="N119" i="4" s="1"/>
  <c r="N120" i="4" s="1"/>
  <c r="N121" i="4" s="1"/>
  <c r="N122" i="4" s="1"/>
  <c r="N123" i="4" s="1"/>
  <c r="N124" i="4" s="1"/>
  <c r="N125" i="4" s="1"/>
  <c r="N126" i="4" s="1"/>
  <c r="N127" i="4" s="1"/>
  <c r="N128" i="4" s="1"/>
  <c r="N129" i="4" s="1"/>
  <c r="N130" i="4" s="1"/>
  <c r="N131" i="4" s="1"/>
  <c r="N132" i="4" s="1"/>
  <c r="N133" i="4" s="1"/>
  <c r="N134" i="4" s="1"/>
  <c r="N135" i="4" s="1"/>
  <c r="N136" i="4" s="1"/>
  <c r="N137" i="4" s="1"/>
  <c r="N138" i="4" s="1"/>
  <c r="N139" i="4" s="1"/>
  <c r="N140" i="4" s="1"/>
  <c r="N141" i="4" s="1"/>
  <c r="N142" i="4" s="1"/>
  <c r="N143" i="4" s="1"/>
  <c r="N144" i="4" s="1"/>
  <c r="N145" i="4" s="1"/>
  <c r="N146" i="4" s="1"/>
  <c r="N147" i="4" s="1"/>
  <c r="N148" i="4" s="1"/>
  <c r="N149" i="4" s="1"/>
  <c r="N150" i="4" s="1"/>
  <c r="N151" i="4" s="1"/>
  <c r="N152" i="4" s="1"/>
  <c r="N153" i="4" s="1"/>
  <c r="N154" i="4" s="1"/>
  <c r="N155" i="4" s="1"/>
  <c r="N156" i="4" s="1"/>
  <c r="N157" i="4" s="1"/>
  <c r="N158" i="4" s="1"/>
  <c r="N159" i="4" s="1"/>
  <c r="N160" i="4" s="1"/>
  <c r="N161" i="4" s="1"/>
  <c r="N162" i="4" s="1"/>
  <c r="N163" i="4" s="1"/>
  <c r="N164" i="4" s="1"/>
  <c r="N165" i="4" s="1"/>
  <c r="N166" i="4" s="1"/>
  <c r="N167" i="4" s="1"/>
  <c r="N168" i="4" s="1"/>
  <c r="N169" i="4" s="1"/>
  <c r="N170" i="4" s="1"/>
  <c r="N171" i="4" s="1"/>
  <c r="N172" i="4" s="1"/>
  <c r="N173" i="4" s="1"/>
  <c r="N174" i="4" s="1"/>
  <c r="N175" i="4" s="1"/>
  <c r="N176" i="4" s="1"/>
  <c r="N177" i="4" s="1"/>
  <c r="N178" i="4" s="1"/>
  <c r="N179" i="4" s="1"/>
  <c r="N180" i="4" s="1"/>
  <c r="N181" i="4" s="1"/>
  <c r="N182" i="4" s="1"/>
  <c r="N183" i="4" s="1"/>
  <c r="N184" i="4" s="1"/>
  <c r="N185" i="4" s="1"/>
  <c r="N186" i="4" s="1"/>
  <c r="N187" i="4" s="1"/>
  <c r="N188" i="4" s="1"/>
  <c r="N189" i="4" s="1"/>
  <c r="N190" i="4" s="1"/>
  <c r="N191" i="4" s="1"/>
  <c r="N192" i="4" s="1"/>
  <c r="N193" i="4" s="1"/>
  <c r="N194" i="4" s="1"/>
  <c r="N195" i="4" s="1"/>
  <c r="N196" i="4" s="1"/>
  <c r="N197" i="4" s="1"/>
  <c r="N198" i="4" s="1"/>
  <c r="N199" i="4" s="1"/>
  <c r="N200" i="4" s="1"/>
  <c r="N201" i="4" s="1"/>
  <c r="N202" i="4" s="1"/>
  <c r="N203" i="4" s="1"/>
  <c r="N204" i="4" s="1"/>
  <c r="N205" i="4" s="1"/>
  <c r="N206" i="4" s="1"/>
  <c r="N207" i="4" s="1"/>
  <c r="N208" i="4" s="1"/>
  <c r="N209" i="4" s="1"/>
  <c r="N210" i="4" s="1"/>
  <c r="N211" i="4" s="1"/>
  <c r="N212" i="4" s="1"/>
  <c r="N213" i="4" s="1"/>
  <c r="N214" i="4" s="1"/>
  <c r="N215" i="4" s="1"/>
  <c r="N216" i="4" s="1"/>
  <c r="N217" i="4" s="1"/>
  <c r="N218" i="4" s="1"/>
  <c r="N219" i="4" s="1"/>
  <c r="N220" i="4" s="1"/>
  <c r="N221" i="4" s="1"/>
  <c r="N222" i="4" s="1"/>
  <c r="N223" i="4" s="1"/>
  <c r="N224" i="4" s="1"/>
  <c r="N225" i="4" s="1"/>
  <c r="N226" i="4" s="1"/>
  <c r="N227" i="4" s="1"/>
  <c r="N228" i="4" s="1"/>
  <c r="N229" i="4" s="1"/>
  <c r="N230" i="4" s="1"/>
  <c r="N231" i="4" s="1"/>
  <c r="N232" i="4" s="1"/>
  <c r="N233" i="4" s="1"/>
  <c r="N234" i="4" s="1"/>
  <c r="N235" i="4" s="1"/>
  <c r="N236" i="4" s="1"/>
  <c r="N237" i="4" s="1"/>
  <c r="N238" i="4" s="1"/>
  <c r="N239" i="4" s="1"/>
  <c r="N240" i="4" s="1"/>
  <c r="N241" i="4" s="1"/>
  <c r="N242" i="4" s="1"/>
  <c r="N243" i="4" s="1"/>
  <c r="N244" i="4" s="1"/>
  <c r="N245" i="4" s="1"/>
  <c r="N246" i="4" s="1"/>
  <c r="N247" i="4" s="1"/>
  <c r="N248" i="4" s="1"/>
  <c r="N249" i="4" s="1"/>
  <c r="N250" i="4" s="1"/>
  <c r="N251" i="4" s="1"/>
  <c r="N252" i="4" s="1"/>
  <c r="N253" i="4" s="1"/>
  <c r="N254" i="4" s="1"/>
  <c r="N255" i="4" s="1"/>
  <c r="N256" i="4" s="1"/>
  <c r="N257" i="4" s="1"/>
  <c r="N258" i="4" s="1"/>
  <c r="N259" i="4" s="1"/>
  <c r="N260" i="4" s="1"/>
  <c r="N261" i="4" s="1"/>
  <c r="N262" i="4" s="1"/>
  <c r="N263" i="4" s="1"/>
  <c r="N264" i="4" s="1"/>
  <c r="N265" i="4" s="1"/>
  <c r="N266" i="4" s="1"/>
  <c r="N267" i="4" s="1"/>
  <c r="N268" i="4" s="1"/>
  <c r="N269" i="4" s="1"/>
  <c r="N270" i="4" s="1"/>
  <c r="N271" i="4" s="1"/>
  <c r="N272" i="4" s="1"/>
  <c r="N273" i="4" s="1"/>
  <c r="N274" i="4" s="1"/>
  <c r="N275" i="4" s="1"/>
  <c r="N276" i="4" s="1"/>
  <c r="N277" i="4" s="1"/>
  <c r="N278" i="4" s="1"/>
  <c r="N279" i="4" s="1"/>
  <c r="N280" i="4" s="1"/>
  <c r="N281" i="4" s="1"/>
  <c r="N282" i="4" s="1"/>
  <c r="N283" i="4" s="1"/>
  <c r="N284" i="4" s="1"/>
  <c r="N285" i="4" s="1"/>
  <c r="N286" i="4" s="1"/>
  <c r="N287" i="4" s="1"/>
  <c r="N288" i="4" s="1"/>
  <c r="N289" i="4" s="1"/>
  <c r="N290" i="4" s="1"/>
  <c r="N291" i="4" s="1"/>
  <c r="N292" i="4" s="1"/>
  <c r="N293" i="4" s="1"/>
  <c r="N294" i="4" s="1"/>
  <c r="N295" i="4" s="1"/>
  <c r="N296" i="4" s="1"/>
  <c r="N297" i="4" s="1"/>
  <c r="N298" i="4" s="1"/>
  <c r="N299" i="4" s="1"/>
  <c r="N300" i="4" s="1"/>
  <c r="N301" i="4" s="1"/>
  <c r="N302" i="4" s="1"/>
  <c r="N303" i="4" s="1"/>
  <c r="N304" i="4" s="1"/>
  <c r="N305" i="4" s="1"/>
  <c r="N306" i="4" s="1"/>
  <c r="N307" i="4" s="1"/>
  <c r="N308" i="4" s="1"/>
  <c r="N309" i="4" s="1"/>
  <c r="N310" i="4" s="1"/>
  <c r="N311" i="4" s="1"/>
  <c r="N312" i="4" s="1"/>
  <c r="N313" i="4" s="1"/>
  <c r="N314" i="4" s="1"/>
  <c r="N315" i="4" s="1"/>
  <c r="N316" i="4" s="1"/>
  <c r="N317" i="4" s="1"/>
  <c r="N318" i="4" s="1"/>
  <c r="N319" i="4" s="1"/>
  <c r="N320" i="4" s="1"/>
  <c r="N321" i="4" s="1"/>
  <c r="N322" i="4" s="1"/>
  <c r="N323" i="4" s="1"/>
  <c r="N324" i="4" s="1"/>
  <c r="N325" i="4" s="1"/>
  <c r="N326" i="4" s="1"/>
  <c r="N327" i="4" s="1"/>
  <c r="N328" i="4" s="1"/>
  <c r="N329" i="4" s="1"/>
  <c r="N330" i="4" s="1"/>
  <c r="N331" i="4" s="1"/>
  <c r="N332" i="4" s="1"/>
  <c r="N333" i="4" s="1"/>
  <c r="N334" i="4" s="1"/>
  <c r="N335" i="4" s="1"/>
  <c r="N336" i="4" s="1"/>
  <c r="N337" i="4" s="1"/>
  <c r="N338" i="4" s="1"/>
  <c r="N339" i="4" s="1"/>
  <c r="N340" i="4" s="1"/>
  <c r="N341" i="4" s="1"/>
  <c r="N342" i="4" s="1"/>
  <c r="N343" i="4" s="1"/>
  <c r="N344" i="4" s="1"/>
  <c r="N345" i="4" s="1"/>
  <c r="N346" i="4" s="1"/>
  <c r="N347" i="4" s="1"/>
  <c r="N348" i="4" s="1"/>
  <c r="N349" i="4" s="1"/>
  <c r="N350" i="4" s="1"/>
  <c r="N351" i="4" s="1"/>
  <c r="N352" i="4" s="1"/>
  <c r="N353" i="4" s="1"/>
  <c r="N354" i="4" s="1"/>
  <c r="N355" i="4" s="1"/>
  <c r="N356" i="4" s="1"/>
  <c r="N357" i="4" s="1"/>
  <c r="N358" i="4" s="1"/>
  <c r="N359" i="4" s="1"/>
  <c r="N360" i="4" s="1"/>
  <c r="N361" i="4" s="1"/>
  <c r="N362" i="4" s="1"/>
  <c r="N363" i="4" s="1"/>
  <c r="N364" i="4" s="1"/>
  <c r="N365" i="4" s="1"/>
  <c r="N366" i="4" s="1"/>
  <c r="N367" i="4" s="1"/>
  <c r="N368" i="4" s="1"/>
  <c r="N369" i="4" s="1"/>
  <c r="N370" i="4" s="1"/>
  <c r="N371" i="4" s="1"/>
  <c r="N372" i="4" s="1"/>
  <c r="N373" i="4" s="1"/>
  <c r="N374" i="4" s="1"/>
  <c r="N375" i="4" s="1"/>
  <c r="N376" i="4" s="1"/>
  <c r="N377" i="4" s="1"/>
  <c r="N378" i="4" s="1"/>
  <c r="N379" i="4" s="1"/>
  <c r="N380" i="4" s="1"/>
  <c r="N381" i="4" s="1"/>
  <c r="N382" i="4" s="1"/>
  <c r="N383" i="4" s="1"/>
  <c r="N384" i="4" s="1"/>
  <c r="N385" i="4" s="1"/>
  <c r="N386" i="4" s="1"/>
  <c r="N387" i="4" s="1"/>
  <c r="N388" i="4" s="1"/>
  <c r="N389" i="4" s="1"/>
  <c r="N390" i="4" s="1"/>
  <c r="N391" i="4" s="1"/>
  <c r="N392" i="4" s="1"/>
  <c r="N393" i="4" s="1"/>
  <c r="N394" i="4" s="1"/>
  <c r="N395" i="4" s="1"/>
  <c r="N396" i="4" s="1"/>
  <c r="N397" i="4" s="1"/>
  <c r="N398" i="4" s="1"/>
  <c r="N399" i="4" s="1"/>
  <c r="N400" i="4" s="1"/>
  <c r="N401" i="4" s="1"/>
  <c r="N402" i="4" s="1"/>
  <c r="N403" i="4" s="1"/>
  <c r="N404" i="4" s="1"/>
  <c r="N405" i="4" s="1"/>
  <c r="N406" i="4" s="1"/>
  <c r="N407" i="4" s="1"/>
  <c r="N408" i="4" s="1"/>
  <c r="N409" i="4" s="1"/>
  <c r="N410" i="4" s="1"/>
  <c r="N411" i="4" s="1"/>
  <c r="N412" i="4" s="1"/>
  <c r="N413" i="4" s="1"/>
  <c r="N414" i="4" s="1"/>
  <c r="N415" i="4" s="1"/>
  <c r="N416" i="4" s="1"/>
  <c r="N417" i="4" s="1"/>
  <c r="N418" i="4" s="1"/>
  <c r="N419" i="4" s="1"/>
  <c r="N420" i="4" s="1"/>
  <c r="N421" i="4" s="1"/>
  <c r="N422" i="4" s="1"/>
  <c r="N423" i="4" s="1"/>
  <c r="N424" i="4" s="1"/>
  <c r="N425" i="4" s="1"/>
  <c r="N426" i="4" s="1"/>
  <c r="N427" i="4" s="1"/>
  <c r="N428" i="4" s="1"/>
  <c r="N429" i="4" s="1"/>
  <c r="N430" i="4" s="1"/>
  <c r="N431" i="4" s="1"/>
  <c r="N432" i="4" s="1"/>
  <c r="N433" i="4" s="1"/>
  <c r="N434" i="4" s="1"/>
  <c r="N435" i="4" s="1"/>
  <c r="N436" i="4" s="1"/>
  <c r="N437" i="4" s="1"/>
  <c r="N438" i="4" s="1"/>
  <c r="N439" i="4" s="1"/>
  <c r="N440" i="4" s="1"/>
  <c r="N441" i="4" s="1"/>
  <c r="N442" i="4" s="1"/>
  <c r="N443" i="4" s="1"/>
  <c r="N444" i="4" s="1"/>
  <c r="N445" i="4" s="1"/>
  <c r="N446" i="4" s="1"/>
  <c r="N447" i="4" s="1"/>
  <c r="N448" i="4" s="1"/>
  <c r="N449" i="4" s="1"/>
  <c r="N450" i="4" s="1"/>
  <c r="N451" i="4" s="1"/>
  <c r="N452" i="4" s="1"/>
  <c r="N453" i="4" s="1"/>
  <c r="N454" i="4" s="1"/>
  <c r="N455" i="4" s="1"/>
  <c r="N456" i="4" s="1"/>
  <c r="N457" i="4" s="1"/>
  <c r="N458" i="4" s="1"/>
  <c r="N459" i="4" s="1"/>
  <c r="N460" i="4" s="1"/>
  <c r="N461" i="4" s="1"/>
  <c r="N462" i="4" s="1"/>
  <c r="N463" i="4" s="1"/>
  <c r="N464" i="4" s="1"/>
  <c r="N465" i="4" s="1"/>
  <c r="N466" i="4" s="1"/>
  <c r="N467" i="4" s="1"/>
  <c r="N468" i="4" s="1"/>
  <c r="N469" i="4" s="1"/>
  <c r="N470" i="4" s="1"/>
  <c r="N471" i="4" s="1"/>
  <c r="N472" i="4" s="1"/>
  <c r="N473" i="4" s="1"/>
  <c r="N474" i="4" s="1"/>
  <c r="N475" i="4" s="1"/>
  <c r="N476" i="4" s="1"/>
  <c r="N477" i="4" s="1"/>
  <c r="N478" i="4" s="1"/>
  <c r="N479" i="4" s="1"/>
  <c r="N480" i="4" s="1"/>
  <c r="N481" i="4" s="1"/>
  <c r="N482" i="4" s="1"/>
  <c r="N483" i="4" s="1"/>
  <c r="N484" i="4" s="1"/>
  <c r="N485" i="4" s="1"/>
  <c r="N486" i="4" s="1"/>
  <c r="N487" i="4" s="1"/>
  <c r="N488" i="4" s="1"/>
  <c r="N489" i="4" s="1"/>
  <c r="N490" i="4" s="1"/>
  <c r="N491" i="4" s="1"/>
  <c r="N492" i="4" s="1"/>
  <c r="N493" i="4" s="1"/>
  <c r="N494" i="4" s="1"/>
  <c r="N495" i="4" s="1"/>
  <c r="N496" i="4" s="1"/>
  <c r="N497" i="4" s="1"/>
  <c r="N498" i="4" s="1"/>
  <c r="N499" i="4" s="1"/>
  <c r="N500" i="4" s="1"/>
  <c r="N501" i="4" s="1"/>
  <c r="N502" i="4" s="1"/>
  <c r="N503" i="4" s="1"/>
  <c r="N504" i="4" s="1"/>
  <c r="N505" i="4" s="1"/>
  <c r="N506" i="4" s="1"/>
  <c r="N507" i="4" s="1"/>
  <c r="N508" i="4" s="1"/>
  <c r="N509" i="4" s="1"/>
  <c r="N510" i="4" s="1"/>
  <c r="N511" i="4" s="1"/>
  <c r="N512" i="4" s="1"/>
  <c r="N513" i="4" s="1"/>
  <c r="N514" i="4" s="1"/>
  <c r="N515" i="4" s="1"/>
  <c r="N516" i="4" s="1"/>
  <c r="N517" i="4" s="1"/>
  <c r="N518" i="4" s="1"/>
  <c r="N519" i="4" s="1"/>
  <c r="N520" i="4" s="1"/>
  <c r="N521" i="4" s="1"/>
  <c r="N522" i="4" s="1"/>
  <c r="N523" i="4" s="1"/>
  <c r="N524" i="4" s="1"/>
  <c r="N525" i="4" s="1"/>
  <c r="N526" i="4" s="1"/>
  <c r="N527" i="4" s="1"/>
  <c r="N528" i="4" s="1"/>
  <c r="N529" i="4" s="1"/>
  <c r="N530" i="4" s="1"/>
  <c r="N531" i="4" s="1"/>
  <c r="N532" i="4" s="1"/>
  <c r="N533" i="4" s="1"/>
  <c r="N534" i="4" s="1"/>
  <c r="N535" i="4" s="1"/>
  <c r="N536" i="4" s="1"/>
  <c r="N537" i="4" s="1"/>
  <c r="N538" i="4" s="1"/>
  <c r="N539" i="4" s="1"/>
  <c r="N540" i="4" s="1"/>
  <c r="N541" i="4" s="1"/>
  <c r="N542" i="4" s="1"/>
  <c r="N543" i="4" s="1"/>
  <c r="N544" i="4" s="1"/>
  <c r="N545" i="4" s="1"/>
  <c r="N546" i="4" s="1"/>
  <c r="N547" i="4" s="1"/>
  <c r="N548" i="4" s="1"/>
  <c r="N549" i="4" s="1"/>
  <c r="N550" i="4" s="1"/>
  <c r="N551" i="4" s="1"/>
  <c r="N552" i="4" s="1"/>
  <c r="N553" i="4" s="1"/>
  <c r="N554" i="4" s="1"/>
  <c r="N555" i="4" s="1"/>
  <c r="N556" i="4" s="1"/>
  <c r="N557" i="4" s="1"/>
  <c r="N558" i="4" s="1"/>
  <c r="N559" i="4" s="1"/>
  <c r="N560" i="4" s="1"/>
  <c r="N561" i="4" s="1"/>
  <c r="N562" i="4" s="1"/>
  <c r="N563" i="4" s="1"/>
  <c r="N564" i="4" s="1"/>
  <c r="N565" i="4" s="1"/>
  <c r="N566" i="4" s="1"/>
  <c r="N567" i="4" s="1"/>
  <c r="N568" i="4" s="1"/>
  <c r="N569" i="4" s="1"/>
  <c r="N570" i="4" s="1"/>
  <c r="N571" i="4" s="1"/>
  <c r="N572" i="4" s="1"/>
  <c r="N573" i="4" s="1"/>
  <c r="N574" i="4" s="1"/>
  <c r="N575" i="4" s="1"/>
  <c r="N576" i="4" s="1"/>
  <c r="N577" i="4" s="1"/>
  <c r="N578" i="4" s="1"/>
  <c r="N579" i="4" s="1"/>
  <c r="N580" i="4" s="1"/>
  <c r="N581" i="4" s="1"/>
  <c r="N582" i="4" s="1"/>
  <c r="N583" i="4" s="1"/>
  <c r="N584" i="4" s="1"/>
  <c r="N585" i="4" s="1"/>
  <c r="N586" i="4" s="1"/>
  <c r="N587" i="4" s="1"/>
  <c r="N588" i="4" s="1"/>
  <c r="N589" i="4" s="1"/>
  <c r="N590" i="4" s="1"/>
  <c r="N591" i="4" s="1"/>
  <c r="N592" i="4" s="1"/>
  <c r="N593" i="4" s="1"/>
  <c r="N594" i="4" s="1"/>
  <c r="N595" i="4" s="1"/>
  <c r="N596" i="4" s="1"/>
  <c r="N597" i="4" s="1"/>
  <c r="N598" i="4" s="1"/>
  <c r="N599" i="4" s="1"/>
  <c r="N600" i="4" s="1"/>
  <c r="N601" i="4" s="1"/>
  <c r="N602" i="4" s="1"/>
  <c r="N603" i="4" s="1"/>
  <c r="N604" i="4" s="1"/>
  <c r="N605" i="4" s="1"/>
  <c r="N606" i="4" s="1"/>
  <c r="N607" i="4" s="1"/>
  <c r="N608" i="4" s="1"/>
  <c r="N609" i="4" s="1"/>
  <c r="N610" i="4" s="1"/>
  <c r="N611" i="4" s="1"/>
  <c r="N612" i="4" s="1"/>
  <c r="N613" i="4" s="1"/>
  <c r="N614" i="4" s="1"/>
  <c r="N615" i="4" s="1"/>
  <c r="N616" i="4" s="1"/>
  <c r="N617" i="4" s="1"/>
  <c r="N618" i="4" s="1"/>
  <c r="N619" i="4" s="1"/>
  <c r="N620" i="4" s="1"/>
  <c r="N621" i="4" s="1"/>
  <c r="N622" i="4" s="1"/>
  <c r="N623" i="4" s="1"/>
  <c r="N624" i="4" s="1"/>
  <c r="N625" i="4" s="1"/>
  <c r="N626" i="4" s="1"/>
  <c r="N627" i="4" s="1"/>
  <c r="N628" i="4" s="1"/>
  <c r="N629" i="4" s="1"/>
  <c r="N630" i="4" s="1"/>
  <c r="N631" i="4" s="1"/>
  <c r="N632" i="4" s="1"/>
  <c r="N633" i="4" s="1"/>
  <c r="N634" i="4" s="1"/>
  <c r="N635" i="4" s="1"/>
  <c r="N636" i="4" s="1"/>
  <c r="N637" i="4" s="1"/>
  <c r="N638" i="4" s="1"/>
  <c r="N639" i="4" s="1"/>
  <c r="N640" i="4" s="1"/>
  <c r="N641" i="4" s="1"/>
  <c r="N642" i="4" s="1"/>
  <c r="N643" i="4" s="1"/>
  <c r="N644" i="4" s="1"/>
  <c r="N645" i="4" s="1"/>
  <c r="N646" i="4" s="1"/>
  <c r="N647" i="4" s="1"/>
  <c r="N648" i="4" s="1"/>
  <c r="N649" i="4" s="1"/>
  <c r="N650" i="4" s="1"/>
  <c r="N651" i="4" s="1"/>
  <c r="N652" i="4" s="1"/>
  <c r="N653" i="4" s="1"/>
  <c r="N654" i="4" s="1"/>
  <c r="N655" i="4" s="1"/>
  <c r="N656" i="4" s="1"/>
  <c r="N657" i="4" s="1"/>
  <c r="N658" i="4" s="1"/>
  <c r="N659" i="4" s="1"/>
  <c r="N660" i="4" s="1"/>
  <c r="N661" i="4" s="1"/>
  <c r="N662" i="4" s="1"/>
  <c r="N663" i="4" s="1"/>
  <c r="N664" i="4" s="1"/>
  <c r="N665" i="4" s="1"/>
  <c r="N666" i="4" s="1"/>
  <c r="N667" i="4" s="1"/>
  <c r="N668" i="4" s="1"/>
  <c r="N669" i="4" s="1"/>
  <c r="N670" i="4" s="1"/>
  <c r="N671" i="4" s="1"/>
  <c r="N672" i="4" s="1"/>
  <c r="N673" i="4" s="1"/>
  <c r="N674" i="4" s="1"/>
  <c r="N675" i="4" s="1"/>
  <c r="N676" i="4" s="1"/>
  <c r="N677" i="4" s="1"/>
  <c r="N678" i="4" s="1"/>
  <c r="N679" i="4" s="1"/>
  <c r="N680" i="4" s="1"/>
  <c r="N681" i="4" s="1"/>
  <c r="N682" i="4" s="1"/>
  <c r="N683" i="4" s="1"/>
  <c r="N684" i="4" s="1"/>
  <c r="N685" i="4" s="1"/>
  <c r="N686" i="4" s="1"/>
  <c r="N687" i="4" s="1"/>
  <c r="N688" i="4" s="1"/>
  <c r="N689" i="4" s="1"/>
  <c r="N690" i="4" s="1"/>
  <c r="N691" i="4" s="1"/>
  <c r="N692" i="4" s="1"/>
  <c r="N693" i="4" s="1"/>
  <c r="N694" i="4" s="1"/>
  <c r="N695" i="4" s="1"/>
  <c r="N696" i="4" s="1"/>
  <c r="N697" i="4" s="1"/>
  <c r="N698" i="4" s="1"/>
  <c r="N699" i="4" s="1"/>
  <c r="N700" i="4" s="1"/>
  <c r="N701" i="4" s="1"/>
  <c r="N702" i="4" s="1"/>
  <c r="N703" i="4" s="1"/>
  <c r="N704" i="4" s="1"/>
  <c r="N705" i="4" s="1"/>
  <c r="N706" i="4" s="1"/>
  <c r="N707" i="4" s="1"/>
  <c r="N708" i="4" s="1"/>
  <c r="N709" i="4" s="1"/>
  <c r="N710" i="4" s="1"/>
  <c r="N711" i="4" s="1"/>
  <c r="N712" i="4" s="1"/>
  <c r="N713" i="4" s="1"/>
  <c r="N714" i="4" s="1"/>
  <c r="N715" i="4" s="1"/>
  <c r="N716" i="4" s="1"/>
  <c r="N717" i="4" s="1"/>
  <c r="N718" i="4" s="1"/>
  <c r="N719" i="4" s="1"/>
  <c r="N720" i="4" s="1"/>
  <c r="N721" i="4" s="1"/>
  <c r="N722" i="4" s="1"/>
  <c r="N723" i="4" s="1"/>
  <c r="N724" i="4" s="1"/>
  <c r="N725" i="4" s="1"/>
  <c r="N726" i="4" s="1"/>
  <c r="N727" i="4" s="1"/>
  <c r="N728" i="4" s="1"/>
  <c r="N729" i="4" s="1"/>
  <c r="N730" i="4" s="1"/>
  <c r="N731" i="4" s="1"/>
  <c r="N732" i="4" s="1"/>
  <c r="N733" i="4" s="1"/>
  <c r="N734" i="4" s="1"/>
  <c r="N735" i="4" s="1"/>
  <c r="N736" i="4" s="1"/>
  <c r="N737" i="4" s="1"/>
  <c r="N738" i="4" s="1"/>
  <c r="N739" i="4" s="1"/>
  <c r="N740" i="4" s="1"/>
  <c r="N741" i="4" s="1"/>
  <c r="N742" i="4" s="1"/>
  <c r="N743" i="4" s="1"/>
  <c r="N744" i="4" s="1"/>
  <c r="N745" i="4" s="1"/>
  <c r="N746" i="4" s="1"/>
  <c r="N747" i="4" s="1"/>
  <c r="N748" i="4" s="1"/>
  <c r="N749" i="4" s="1"/>
  <c r="N750" i="4" s="1"/>
  <c r="N751" i="4" s="1"/>
  <c r="N752" i="4" s="1"/>
  <c r="N753" i="4" s="1"/>
  <c r="N754" i="4" s="1"/>
  <c r="N755" i="4" s="1"/>
  <c r="N756" i="4" s="1"/>
  <c r="N757" i="4" s="1"/>
  <c r="N758" i="4" s="1"/>
  <c r="N759" i="4" s="1"/>
  <c r="N760" i="4" s="1"/>
  <c r="N761" i="4" s="1"/>
  <c r="N762" i="4" s="1"/>
  <c r="N763" i="4" s="1"/>
  <c r="N764" i="4" s="1"/>
  <c r="N765" i="4" s="1"/>
  <c r="N766" i="4" s="1"/>
  <c r="N767" i="4" s="1"/>
  <c r="N768" i="4" s="1"/>
  <c r="N769" i="4" s="1"/>
  <c r="N770" i="4" s="1"/>
  <c r="N771" i="4" s="1"/>
  <c r="N772" i="4" s="1"/>
  <c r="N773" i="4" s="1"/>
  <c r="N774" i="4" s="1"/>
  <c r="N775" i="4" s="1"/>
  <c r="N776" i="4" s="1"/>
  <c r="N777" i="4" s="1"/>
  <c r="N778" i="4" s="1"/>
  <c r="N779" i="4" s="1"/>
  <c r="N780" i="4" s="1"/>
  <c r="N781" i="4" s="1"/>
  <c r="N782" i="4" s="1"/>
  <c r="N783" i="4" s="1"/>
  <c r="N784" i="4" s="1"/>
  <c r="N785" i="4" s="1"/>
  <c r="N786" i="4" s="1"/>
  <c r="N787" i="4" s="1"/>
  <c r="N788" i="4" s="1"/>
  <c r="N789" i="4" s="1"/>
  <c r="N790" i="4" s="1"/>
  <c r="N791" i="4" s="1"/>
  <c r="N792" i="4" s="1"/>
  <c r="N793" i="4" s="1"/>
  <c r="N794" i="4" s="1"/>
  <c r="N795" i="4" s="1"/>
  <c r="N796" i="4" s="1"/>
  <c r="N797" i="4" s="1"/>
  <c r="N798" i="4" s="1"/>
  <c r="N799" i="4" s="1"/>
  <c r="N800" i="4" s="1"/>
  <c r="N801" i="4" s="1"/>
  <c r="N802" i="4" s="1"/>
  <c r="N803" i="4" s="1"/>
  <c r="N804" i="4" s="1"/>
  <c r="N805" i="4" s="1"/>
  <c r="N806" i="4" s="1"/>
  <c r="N3" i="4"/>
  <c r="A4" i="1"/>
  <c r="A5" i="1" s="1"/>
  <c r="A6" i="1" s="1"/>
  <c r="A7" i="1" s="1"/>
  <c r="A8" i="1" s="1"/>
  <c r="A9" i="1" s="1"/>
  <c r="A10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3" i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3" i="4"/>
  <c r="C685" i="4"/>
  <c r="C686" i="4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569" i="4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I570" i="4"/>
  <c r="I571" i="4" s="1"/>
  <c r="I572" i="4" s="1"/>
  <c r="I573" i="4" s="1"/>
  <c r="I574" i="4" s="1"/>
  <c r="I575" i="4" s="1"/>
  <c r="I576" i="4" s="1"/>
  <c r="I577" i="4" s="1"/>
  <c r="I578" i="4" s="1"/>
  <c r="I579" i="4" s="1"/>
  <c r="I580" i="4" s="1"/>
  <c r="I581" i="4" s="1"/>
  <c r="I582" i="4" s="1"/>
  <c r="I583" i="4" s="1"/>
  <c r="I584" i="4" s="1"/>
  <c r="I585" i="4" s="1"/>
  <c r="I586" i="4" s="1"/>
  <c r="I587" i="4" s="1"/>
  <c r="I588" i="4" s="1"/>
  <c r="I589" i="4" s="1"/>
  <c r="I590" i="4" s="1"/>
  <c r="I591" i="4" s="1"/>
  <c r="I592" i="4" s="1"/>
  <c r="I593" i="4" s="1"/>
  <c r="I594" i="4" s="1"/>
  <c r="I595" i="4" s="1"/>
  <c r="I596" i="4" s="1"/>
  <c r="I597" i="4" s="1"/>
  <c r="I598" i="4" s="1"/>
  <c r="I599" i="4" s="1"/>
  <c r="I600" i="4" s="1"/>
  <c r="I601" i="4" s="1"/>
  <c r="I602" i="4" s="1"/>
  <c r="I603" i="4" s="1"/>
  <c r="I604" i="4" s="1"/>
  <c r="I605" i="4" s="1"/>
  <c r="I606" i="4" s="1"/>
  <c r="I607" i="4" s="1"/>
  <c r="I608" i="4" s="1"/>
  <c r="I609" i="4" s="1"/>
  <c r="I610" i="4" s="1"/>
  <c r="I611" i="4" s="1"/>
  <c r="I612" i="4" s="1"/>
  <c r="I613" i="4" s="1"/>
  <c r="I614" i="4" s="1"/>
  <c r="I615" i="4" s="1"/>
  <c r="I616" i="4" s="1"/>
  <c r="I617" i="4" s="1"/>
  <c r="I618" i="4" s="1"/>
  <c r="I619" i="4" s="1"/>
  <c r="I620" i="4" s="1"/>
  <c r="I621" i="4" s="1"/>
  <c r="I622" i="4" s="1"/>
  <c r="I623" i="4" s="1"/>
  <c r="I624" i="4" s="1"/>
  <c r="I625" i="4" s="1"/>
  <c r="I626" i="4" s="1"/>
  <c r="I627" i="4" s="1"/>
  <c r="I628" i="4" s="1"/>
  <c r="I629" i="4" s="1"/>
  <c r="I630" i="4" s="1"/>
  <c r="I631" i="4" s="1"/>
  <c r="I632" i="4" s="1"/>
  <c r="I633" i="4" s="1"/>
  <c r="I634" i="4" s="1"/>
  <c r="I635" i="4" s="1"/>
  <c r="I636" i="4" s="1"/>
  <c r="I637" i="4" s="1"/>
  <c r="I638" i="4" s="1"/>
  <c r="I639" i="4" s="1"/>
  <c r="I640" i="4" s="1"/>
  <c r="I641" i="4" s="1"/>
  <c r="I642" i="4" s="1"/>
  <c r="I643" i="4" s="1"/>
  <c r="I644" i="4" s="1"/>
  <c r="I645" i="4" s="1"/>
  <c r="I646" i="4" s="1"/>
  <c r="I647" i="4" s="1"/>
  <c r="I648" i="4" s="1"/>
  <c r="I649" i="4" s="1"/>
  <c r="I650" i="4" s="1"/>
  <c r="I651" i="4" s="1"/>
  <c r="I652" i="4" s="1"/>
  <c r="I654" i="4"/>
  <c r="I655" i="4" s="1"/>
  <c r="I656" i="4" s="1"/>
  <c r="I657" i="4" s="1"/>
  <c r="I658" i="4" s="1"/>
  <c r="I659" i="4" s="1"/>
  <c r="I660" i="4" s="1"/>
  <c r="I661" i="4" s="1"/>
  <c r="I662" i="4" s="1"/>
  <c r="I663" i="4" s="1"/>
  <c r="I664" i="4" s="1"/>
  <c r="I665" i="4" s="1"/>
  <c r="I666" i="4" s="1"/>
  <c r="I667" i="4" s="1"/>
  <c r="I668" i="4" s="1"/>
  <c r="I669" i="4" s="1"/>
  <c r="I670" i="4" s="1"/>
  <c r="I671" i="4" s="1"/>
  <c r="I672" i="4" s="1"/>
  <c r="I673" i="4" s="1"/>
  <c r="I674" i="4" s="1"/>
  <c r="I675" i="4" s="1"/>
  <c r="I676" i="4" s="1"/>
  <c r="I677" i="4" s="1"/>
  <c r="I678" i="4" s="1"/>
  <c r="I679" i="4" s="1"/>
  <c r="I680" i="4" s="1"/>
  <c r="I681" i="4" s="1"/>
  <c r="I682" i="4" s="1"/>
  <c r="I683" i="4" s="1"/>
  <c r="I684" i="4" s="1"/>
  <c r="F434" i="4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E434" i="4"/>
  <c r="E435" i="4" s="1"/>
  <c r="E436" i="4" s="1"/>
  <c r="E437" i="4" s="1"/>
  <c r="E438" i="4" s="1"/>
  <c r="E439" i="4" s="1"/>
  <c r="E440" i="4" s="1"/>
  <c r="E441" i="4" s="1"/>
  <c r="E442" i="4" s="1"/>
  <c r="E443" i="4" s="1"/>
  <c r="E444" i="4" s="1"/>
  <c r="E445" i="4" s="1"/>
  <c r="E446" i="4" s="1"/>
  <c r="E447" i="4" s="1"/>
  <c r="E448" i="4" s="1"/>
  <c r="E449" i="4" s="1"/>
  <c r="E450" i="4" s="1"/>
  <c r="E451" i="4" s="1"/>
  <c r="E452" i="4" s="1"/>
  <c r="E453" i="4" s="1"/>
  <c r="D434" i="4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F227" i="4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E227" i="4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0" i="4" s="1"/>
  <c r="E261" i="4" s="1"/>
  <c r="E262" i="4" s="1"/>
  <c r="E263" i="4" s="1"/>
  <c r="E264" i="4" s="1"/>
  <c r="E265" i="4" s="1"/>
  <c r="E266" i="4" s="1"/>
  <c r="E267" i="4" s="1"/>
  <c r="E268" i="4" s="1"/>
  <c r="E269" i="4" s="1"/>
  <c r="E270" i="4" s="1"/>
  <c r="E271" i="4" s="1"/>
  <c r="E272" i="4" s="1"/>
  <c r="E273" i="4" s="1"/>
  <c r="E274" i="4" s="1"/>
  <c r="E275" i="4" s="1"/>
  <c r="E276" i="4" s="1"/>
  <c r="E277" i="4" s="1"/>
  <c r="E278" i="4" s="1"/>
  <c r="E279" i="4" s="1"/>
  <c r="E280" i="4" s="1"/>
  <c r="E281" i="4" s="1"/>
  <c r="E282" i="4" s="1"/>
  <c r="E283" i="4" s="1"/>
  <c r="E284" i="4" s="1"/>
  <c r="E285" i="4" s="1"/>
  <c r="E286" i="4" s="1"/>
  <c r="E287" i="4" s="1"/>
  <c r="E288" i="4" s="1"/>
  <c r="E289" i="4" s="1"/>
  <c r="E290" i="4" s="1"/>
  <c r="E291" i="4" s="1"/>
  <c r="E292" i="4" s="1"/>
  <c r="E293" i="4" s="1"/>
  <c r="E294" i="4" s="1"/>
  <c r="E295" i="4" s="1"/>
  <c r="E296" i="4" s="1"/>
  <c r="E297" i="4" s="1"/>
  <c r="E298" i="4" s="1"/>
  <c r="E299" i="4" s="1"/>
  <c r="E300" i="4" s="1"/>
  <c r="E301" i="4" s="1"/>
  <c r="E302" i="4" s="1"/>
  <c r="E303" i="4" s="1"/>
  <c r="E304" i="4" s="1"/>
  <c r="E305" i="4" s="1"/>
  <c r="E306" i="4" s="1"/>
  <c r="E307" i="4" s="1"/>
  <c r="E308" i="4" s="1"/>
  <c r="E309" i="4" s="1"/>
  <c r="D227" i="4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C403" i="4" s="1"/>
  <c r="C404" i="4" s="1"/>
  <c r="C405" i="4" s="1"/>
  <c r="C406" i="4" s="1"/>
  <c r="C407" i="4" s="1"/>
  <c r="C408" i="4" s="1"/>
  <c r="C409" i="4" s="1"/>
  <c r="C410" i="4" s="1"/>
  <c r="C411" i="4" s="1"/>
  <c r="C412" i="4" s="1"/>
  <c r="C413" i="4" s="1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2" i="1"/>
  <c r="C660" i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N661" i="1"/>
  <c r="N662" i="1"/>
  <c r="N663" i="1" s="1"/>
  <c r="N664" i="1"/>
  <c r="N665" i="1" s="1"/>
  <c r="N666" i="1" s="1"/>
  <c r="N667" i="1" s="1"/>
  <c r="N668" i="1" s="1"/>
  <c r="N669" i="1" s="1"/>
  <c r="N670" i="1" s="1"/>
  <c r="N671" i="1" s="1"/>
  <c r="N672" i="1" s="1"/>
  <c r="N673" i="1" s="1"/>
  <c r="N674" i="1" s="1"/>
  <c r="N675" i="1" s="1"/>
  <c r="N676" i="1" s="1"/>
  <c r="N677" i="1" s="1"/>
  <c r="N678" i="1" s="1"/>
  <c r="N679" i="1" s="1"/>
  <c r="N680" i="1" s="1"/>
  <c r="N681" i="1" s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N692" i="1" s="1"/>
  <c r="N693" i="1" s="1"/>
  <c r="N694" i="1" s="1"/>
  <c r="N695" i="1" s="1"/>
  <c r="N696" i="1" s="1"/>
  <c r="N697" i="1" s="1"/>
  <c r="N698" i="1" s="1"/>
  <c r="N699" i="1" s="1"/>
  <c r="N700" i="1" s="1"/>
  <c r="N701" i="1" s="1"/>
  <c r="N702" i="1" s="1"/>
  <c r="N703" i="1" s="1"/>
  <c r="N704" i="1" s="1"/>
  <c r="N705" i="1" s="1"/>
  <c r="N706" i="1" s="1"/>
  <c r="N707" i="1" s="1"/>
  <c r="N708" i="1" s="1"/>
  <c r="N709" i="1" s="1"/>
  <c r="N710" i="1" s="1"/>
  <c r="N711" i="1" s="1"/>
  <c r="N712" i="1" s="1"/>
  <c r="N713" i="1" s="1"/>
  <c r="N714" i="1" s="1"/>
  <c r="N715" i="1" s="1"/>
  <c r="N716" i="1" s="1"/>
  <c r="N717" i="1" s="1"/>
  <c r="N718" i="1" s="1"/>
  <c r="N719" i="1" s="1"/>
  <c r="N720" i="1" s="1"/>
  <c r="N721" i="1" s="1"/>
  <c r="N722" i="1" s="1"/>
  <c r="N723" i="1" s="1"/>
  <c r="N724" i="1" s="1"/>
  <c r="N725" i="1" s="1"/>
  <c r="N726" i="1" s="1"/>
  <c r="N727" i="1" s="1"/>
  <c r="N728" i="1" s="1"/>
  <c r="N729" i="1" s="1"/>
  <c r="N730" i="1" s="1"/>
  <c r="N731" i="1" s="1"/>
  <c r="N732" i="1" s="1"/>
  <c r="N733" i="1" s="1"/>
  <c r="N734" i="1" s="1"/>
  <c r="N735" i="1" s="1"/>
  <c r="N736" i="1" s="1"/>
  <c r="N737" i="1" s="1"/>
  <c r="N738" i="1" s="1"/>
  <c r="N739" i="1" s="1"/>
  <c r="N740" i="1" s="1"/>
  <c r="N741" i="1" s="1"/>
  <c r="N742" i="1" s="1"/>
  <c r="N743" i="1" s="1"/>
  <c r="N744" i="1" s="1"/>
  <c r="N745" i="1" s="1"/>
  <c r="N746" i="1" s="1"/>
  <c r="N747" i="1" s="1"/>
  <c r="N748" i="1" s="1"/>
  <c r="N749" i="1" s="1"/>
  <c r="N750" i="1" s="1"/>
  <c r="N751" i="1" s="1"/>
  <c r="N752" i="1" s="1"/>
  <c r="N753" i="1" s="1"/>
  <c r="N754" i="1" s="1"/>
  <c r="N755" i="1" s="1"/>
  <c r="N756" i="1" s="1"/>
  <c r="N757" i="1" s="1"/>
  <c r="N758" i="1" s="1"/>
  <c r="N759" i="1" s="1"/>
  <c r="N760" i="1" s="1"/>
  <c r="N761" i="1" s="1"/>
  <c r="N762" i="1" s="1"/>
  <c r="N763" i="1" s="1"/>
  <c r="N764" i="1" s="1"/>
  <c r="N765" i="1" s="1"/>
  <c r="N766" i="1" s="1"/>
  <c r="N767" i="1" s="1"/>
  <c r="N768" i="1" s="1"/>
  <c r="N769" i="1" s="1"/>
  <c r="N770" i="1" s="1"/>
  <c r="N771" i="1" s="1"/>
  <c r="N772" i="1" s="1"/>
  <c r="N773" i="1" s="1"/>
  <c r="N774" i="1" s="1"/>
  <c r="N775" i="1" s="1"/>
  <c r="N776" i="1" s="1"/>
  <c r="N777" i="1" s="1"/>
  <c r="N778" i="1" s="1"/>
  <c r="N779" i="1" s="1"/>
  <c r="N780" i="1" s="1"/>
  <c r="N781" i="1" s="1"/>
  <c r="N782" i="1" s="1"/>
  <c r="N783" i="1" s="1"/>
  <c r="N784" i="1" s="1"/>
  <c r="N785" i="1" s="1"/>
  <c r="N786" i="1" s="1"/>
  <c r="N787" i="1" s="1"/>
  <c r="N788" i="1" s="1"/>
  <c r="N789" i="1" s="1"/>
  <c r="N790" i="1" s="1"/>
  <c r="N791" i="1" s="1"/>
  <c r="N792" i="1" s="1"/>
  <c r="N793" i="1" s="1"/>
  <c r="N794" i="1" s="1"/>
  <c r="N795" i="1" s="1"/>
  <c r="N796" i="1" s="1"/>
  <c r="N797" i="1" s="1"/>
  <c r="N798" i="1" s="1"/>
  <c r="N799" i="1" s="1"/>
  <c r="N800" i="1" s="1"/>
  <c r="N801" i="1" s="1"/>
  <c r="N802" i="1" s="1"/>
  <c r="N803" i="1" s="1"/>
  <c r="N804" i="1" s="1"/>
  <c r="N805" i="1" s="1"/>
  <c r="N806" i="1" s="1"/>
  <c r="N807" i="1" s="1"/>
  <c r="N808" i="1" s="1"/>
  <c r="N809" i="1" s="1"/>
  <c r="N810" i="1" s="1"/>
  <c r="N811" i="1" s="1"/>
  <c r="N812" i="1" s="1"/>
  <c r="N813" i="1" s="1"/>
  <c r="N814" i="1" s="1"/>
  <c r="N815" i="1" s="1"/>
  <c r="N816" i="1" s="1"/>
  <c r="N817" i="1" s="1"/>
  <c r="N818" i="1" s="1"/>
  <c r="N819" i="1" s="1"/>
  <c r="N820" i="1" s="1"/>
  <c r="N821" i="1" s="1"/>
  <c r="N822" i="1" s="1"/>
  <c r="N823" i="1" s="1"/>
  <c r="N824" i="1" s="1"/>
  <c r="N825" i="1" s="1"/>
  <c r="N826" i="1" s="1"/>
  <c r="N827" i="1" s="1"/>
  <c r="N828" i="1" s="1"/>
  <c r="N829" i="1" s="1"/>
  <c r="N830" i="1" s="1"/>
  <c r="N831" i="1" s="1"/>
  <c r="N832" i="1" s="1"/>
  <c r="N833" i="1" s="1"/>
  <c r="N834" i="1" s="1"/>
  <c r="N835" i="1" s="1"/>
  <c r="N836" i="1" s="1"/>
  <c r="N837" i="1" s="1"/>
  <c r="N838" i="1" s="1"/>
  <c r="N839" i="1" s="1"/>
  <c r="N840" i="1" s="1"/>
  <c r="N841" i="1" s="1"/>
  <c r="N842" i="1" s="1"/>
  <c r="N843" i="1" s="1"/>
  <c r="N844" i="1" s="1"/>
  <c r="N845" i="1" s="1"/>
  <c r="N846" i="1" s="1"/>
  <c r="N847" i="1" s="1"/>
  <c r="N848" i="1" s="1"/>
  <c r="N849" i="1" s="1"/>
  <c r="N850" i="1" s="1"/>
  <c r="N851" i="1" s="1"/>
  <c r="N852" i="1" s="1"/>
  <c r="N853" i="1" s="1"/>
  <c r="N854" i="1" s="1"/>
  <c r="N855" i="1" s="1"/>
  <c r="N856" i="1" s="1"/>
  <c r="N857" i="1" s="1"/>
  <c r="N858" i="1" s="1"/>
  <c r="N859" i="1" s="1"/>
  <c r="N860" i="1" s="1"/>
  <c r="N861" i="1" s="1"/>
  <c r="N862" i="1" s="1"/>
  <c r="N863" i="1" s="1"/>
  <c r="N864" i="1" s="1"/>
  <c r="N865" i="1" s="1"/>
  <c r="N866" i="1" s="1"/>
  <c r="N867" i="1" s="1"/>
  <c r="N868" i="1" s="1"/>
  <c r="N869" i="1" s="1"/>
  <c r="N870" i="1" s="1"/>
  <c r="N871" i="1" s="1"/>
  <c r="N872" i="1" s="1"/>
  <c r="N873" i="1" s="1"/>
  <c r="N874" i="1" s="1"/>
  <c r="C467" i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N468" i="1"/>
  <c r="N469" i="1" s="1"/>
  <c r="N470" i="1" s="1"/>
  <c r="N471" i="1" s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N486" i="1" s="1"/>
  <c r="N487" i="1" s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N573" i="1" s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N593" i="1" s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  <c r="N605" i="1" s="1"/>
  <c r="N606" i="1" s="1"/>
  <c r="N607" i="1" s="1"/>
  <c r="N608" i="1" s="1"/>
  <c r="N609" i="1" s="1"/>
  <c r="N610" i="1" s="1"/>
  <c r="N611" i="1" s="1"/>
  <c r="N612" i="1" s="1"/>
  <c r="N613" i="1" s="1"/>
  <c r="N614" i="1" s="1"/>
  <c r="N615" i="1" s="1"/>
  <c r="N616" i="1" s="1"/>
  <c r="N617" i="1" s="1"/>
  <c r="N618" i="1" s="1"/>
  <c r="N619" i="1" s="1"/>
  <c r="N620" i="1" s="1"/>
  <c r="N621" i="1" s="1"/>
  <c r="N622" i="1" s="1"/>
  <c r="N623" i="1" s="1"/>
  <c r="N624" i="1" s="1"/>
  <c r="N625" i="1" s="1"/>
  <c r="N626" i="1" s="1"/>
  <c r="N627" i="1" s="1"/>
  <c r="N628" i="1" s="1"/>
  <c r="N629" i="1" s="1"/>
  <c r="N630" i="1" s="1"/>
  <c r="N631" i="1" s="1"/>
  <c r="N632" i="1" s="1"/>
  <c r="N633" i="1" s="1"/>
  <c r="N634" i="1" s="1"/>
  <c r="N635" i="1" s="1"/>
  <c r="N636" i="1" s="1"/>
  <c r="N637" i="1" s="1"/>
  <c r="N638" i="1" s="1"/>
  <c r="N639" i="1" s="1"/>
  <c r="N640" i="1" s="1"/>
  <c r="N641" i="1" s="1"/>
  <c r="N642" i="1" s="1"/>
  <c r="N643" i="1" s="1"/>
  <c r="N644" i="1" s="1"/>
  <c r="N645" i="1" s="1"/>
  <c r="N646" i="1" s="1"/>
  <c r="N647" i="1" s="1"/>
  <c r="N648" i="1" s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384" i="1" s="1"/>
  <c r="N385" i="1" s="1"/>
  <c r="N386" i="1" s="1"/>
  <c r="N387" i="1" s="1"/>
  <c r="N388" i="1" s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N431" i="1" s="1"/>
  <c r="N432" i="1" s="1"/>
  <c r="N433" i="1" s="1"/>
  <c r="N434" i="1" s="1"/>
  <c r="N435" i="1" s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456" i="1" s="1"/>
  <c r="N457" i="1" s="1"/>
  <c r="N458" i="1" s="1"/>
  <c r="N459" i="1" s="1"/>
  <c r="N460" i="1" s="1"/>
  <c r="N461" i="1" s="1"/>
  <c r="N462" i="1" s="1"/>
  <c r="N463" i="1" s="1"/>
  <c r="N464" i="1" s="1"/>
  <c r="N465" i="1" s="1"/>
  <c r="N466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4" i="1" l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2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0861948-6416-462B-893C-6B4F06A91C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6348454-1A03-44A5-A58E-093393879D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78617F5-C592-4326-97A4-A8344A76E6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B59765E-5C44-4713-B268-0B1FCCF6A6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8D4FEDC-AEFE-48B5-B2EC-A26B7AB167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0DB5F5C-7A33-40E4-8EBE-6EB7F82ED2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9E461D5-08CD-4167-B3A9-269C20664D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3146398-4BC5-4D8B-90AD-981137CD1A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E9A1EED-EB49-403B-B14B-18C9A61C13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936D61E-EA5C-4634-9765-BE27D11A1B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8A43F77-0D93-4952-9CE9-8C6CB2A75A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1A109DD-97D6-47D0-9C5A-32AE890289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B57ACFF-7C82-40A9-8868-C3F66D6B14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B6C83C6-01E2-4E16-8A35-750134A9FC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794C4AB-917F-4226-B8D6-1ECD4074FE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7AC127A-8DB1-44D9-8D44-1FFF94F7C2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9C63092-76B9-42E8-ACC7-5AB3033C38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97FDE0D-B6EE-45FE-8C6F-ED11067E83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64D677F-F5AE-4DA9-9FFE-D6BFC66EA7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0AB32E3-D9F1-49FF-9615-278E16A9EC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4D2D4C6-3FEE-4296-B666-4CA9EC7D59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EEE86D8-A95C-4FB5-A25C-0BFF8003CC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8786A07-1D32-4875-A141-C9C48BBF2D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FFCBC4A-68DC-4CE8-BFF6-FA99ED32B0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FE88B34-0660-4B0A-84BD-9E5868B2B3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CFEEEFB-EB73-435B-89A3-DCCBD7579F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18A2677-10D8-4D05-9E73-2AD0350412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94AD0DF-F990-425C-B962-A92D8EE91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ECD2B57-1F2D-4E94-AE7C-EBFEFB38F2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9E9E533-1960-4C88-A148-F4FFBC8FF5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2BDD6CF-D18D-4A86-9A2C-65AA07542A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76502D4-A263-4303-AC73-966A74C77A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724F1FA-46B4-40D7-999D-7473C560C3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3F75A49-E4AF-41B2-98DA-25D34455D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A2BA064-1D41-4C44-A2AF-A152757927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76BA744-6F93-4F96-8951-84A7E9A9A1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AE8BC4D-C54B-4198-A8D0-95541A6498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66CD917-D7C0-4102-AA9D-567FE7AE1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1ED0738-03D3-4A4C-98CE-B18F31387C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341D62C-8920-48E3-AEA8-AA3797603F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0CF634A-92E4-48B9-BEBE-88DFF7B50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318D868-79F4-4D40-B431-9DB8443FDA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7C79757-1A53-45BC-AA53-09E997CCE4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F196EA9-4256-4F8D-BED3-16AD2195A3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6BC9D80-15FB-466B-B631-6AD2B46113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861E8B0-77C1-4CB7-A0EB-CF02783C36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FAB4C44-E806-46F6-99F4-0422D663A9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0ACC944-A2FB-443B-BC43-225FFD3EAC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0BB4EE9-0A75-4887-B64A-56E9B3FE18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D795F0C-0905-4AD2-AA5E-E52CA69746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12615C0-ECCE-492E-9B55-82FDFD3CB7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674FF50-B538-4D3B-BD9D-21C6FAC2CB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E65FBCC-BFD2-47FF-8238-CF3DDB5869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D50C5D0-847B-427A-8821-CE428DCC28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CF6C36A-7EE4-41E2-86A1-754144CCB6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3ED2136-75E4-427C-89C1-A7945B7060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427F5BF-52BA-45FE-A035-E7C9B3462B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4AB2D9D-3821-4DF9-B1E0-640F0AE3CD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3954F82-BF76-4181-8059-FF69C0ED97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4896E2D-734E-448E-BE92-14089099B2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85EEE62-D702-4857-82A5-F8DF390BE4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ED3C304-6613-46A0-B2F7-B7ACAF884E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12981E4-5999-496F-8B00-88907484D7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9775911-F3A5-45FC-803C-1B3977BB18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EA63FBB-7FAE-4DFF-B18B-6DD29B452B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3EB416-D48C-41D6-9BF6-DFE1E397D6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37C0D4A-51CF-45E7-B76E-5FE619C9DF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17F6801-A516-4FF6-8F1C-4E30068579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37052CD-D165-4E6D-B934-BE4977E25C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63D67FD-5DBF-4906-B309-8980AAFEDA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<sst xmlns="http://schemas.openxmlformats.org/spreadsheetml/2006/main" count="6826" uniqueCount="2281">
  <si>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</si>
  <si>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</si>
  <si>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</si>
  <si>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</si>
  <si>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</si>
  <si>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</si>
  <si>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</si>
  <si>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</si>
  <si>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</si>
  <si>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</si>
  <si>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</si>
  <si>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</si>
  <si>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</si>
  <si>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</si>
  <si>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</si>
  <si>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</si>
  <si>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CHARACTER</t>
  </si>
  <si>
    <t>KT-HN11A</t>
  </si>
  <si>
    <t>T-SHIRT BATMAN FP LOGO DARK KNIGHT A KT-HN11A:CLASSIC YELLOW:3-4:GRAPHIC:SS T-SHIRT</t>
  </si>
  <si>
    <t>PERCENTAGE</t>
  </si>
  <si>
    <t>T-SHIRT BATMAN FP LOGO DARK KNIGHT A KT-HN11A:CLASSIC YELLOW:4-5:GRAPHIC:SS T-SHIRT</t>
  </si>
  <si>
    <t>T-SHIRT BATMAN FP LOGO DARK KNIGHT A KT-HN11A:CLASSIC YELLOW:5-6:GRAPHIC:SS T-SHIRT</t>
  </si>
  <si>
    <t>T-SHIRT BATMAN FP LOGO DARK KNIGHT A KT-HN11A:CLASSIC YELLOW:7-8:GRAPHIC:SS T-SHIRT</t>
  </si>
  <si>
    <t>T-SHIRT BATMAN FP LOGO DARK KNIGHT A KT-HN11A:CLASSIC YELLOW:9-10:GRAPHIC:SS T-SHIRT</t>
  </si>
  <si>
    <t>BT-HN314A</t>
  </si>
  <si>
    <t>T-SHIRT BATMAN LIS LENGAN CITY A BT-HN314A:BLACK:3-4:GRAPHIC:SS T-SHIRT</t>
  </si>
  <si>
    <t>T-SHIRT BATMAN LIS LENGAN CITY A BT-HN314A:BLACK:4-5:GRAPHIC:SS T-SHIRT</t>
  </si>
  <si>
    <t>T-SHIRT BATMAN LIS LENGAN CITY A BT-HN314A:BLACK:5-6:GRAPHIC:SS T-SHIRT</t>
  </si>
  <si>
    <t>T-SHIRT BATMAN LIS LENGAN CITY A BT-HN314A:BLACK:7-8:GRAPHIC:SS T-SHIRT</t>
  </si>
  <si>
    <t>T-SHIRT BATMAN LIS LENGAN CITY A BT-HN314A:BLACK:9-10:GRAPHIC:SS T-SHIRT</t>
  </si>
  <si>
    <t>KT-HN19A</t>
  </si>
  <si>
    <t>T-SHIRT BATMAN JUMP CUT SEW A KT-HN19A:BLACK:3-4:GRAPHIC:SS T-SHIRT</t>
  </si>
  <si>
    <t>T-SHIRT BATMAN JUMP CUT SEW A KT-HN19A:BLACK:4-5:GRAPHIC:SS T-SHIRT</t>
  </si>
  <si>
    <t>T-SHIRT BATMAN JUMP CUT SEW A KT-HN19A:BLACK:5-6:GRAPHIC:SS T-SHIRT</t>
  </si>
  <si>
    <t>T-SHIRT BATMAN JUMP CUT SEW A KT-HN19A:BLACK:7-8:GRAPHIC:SS T-SHIRT</t>
  </si>
  <si>
    <t>T-SHIRT BATMAN JUMP CUT SEW A KT-HN19A:BLACK:9-10:GRAPHIC:SS T-SHIRT</t>
  </si>
  <si>
    <t>BT-HN10C</t>
  </si>
  <si>
    <t>T-SHIRT BATMAN DARK KNIGHT RED C BT-HN10C:BLACK:7-8:GRAPHIC:SS T-SHIRT</t>
  </si>
  <si>
    <t>T-SHIRT BATMAN DARK KNIGHT RED C BT-HN10C:BLACK:9-10:GRAPHIC:SS T-SHIRT</t>
  </si>
  <si>
    <t>T-SHIRT BATMAN DARK KNIGHT RED C BT-HN10C:BLACK:11-12:GRAPHIC:SS T-SHIRT</t>
  </si>
  <si>
    <t>T-SHIRT BATMAN DARK KNIGHT RED C BT-HN10C:BLACK:13-14:GRAPHIC:SS T-SHIRT</t>
  </si>
  <si>
    <t>T-SHIRT BATMAN DARK KNIGHT RED C BT-HN10C:BLACK:15-16:GRAPHIC:SS T-SHIRT</t>
  </si>
  <si>
    <t>KT-HN368C</t>
  </si>
  <si>
    <t>T-SHIRT BATMAN FP TD  LOGO TENGAH C KT-HN368C:BLACK:7-8:GRAPHIC:SS T-SHIRT</t>
  </si>
  <si>
    <t>T-SHIRT BATMAN FP TD  LOGO TENGAH C KT-HN368C:BLACK:9-10:GRAPHIC:SS T-SHIRT</t>
  </si>
  <si>
    <t>T-SHIRT BATMAN FP TD  LOGO TENGAH C KT-HN368C:BLACK:11-12:GRAPHIC:SS T-SHIRT</t>
  </si>
  <si>
    <t>T-SHIRT BATMAN FP TD  LOGO TENGAH C KT-HN368C:BLACK:13-14:GRAPHIC:SS T-SHIRT</t>
  </si>
  <si>
    <t>T-SHIRT BATMAN FP TD  LOGO TENGAH C KT-HN368C:BLACK:15-16:GRAPHIC:SS T-SHIRT</t>
  </si>
  <si>
    <t>BT-HN360C</t>
  </si>
  <si>
    <t>T-SHIRT BATMAN MOBILE LOGO LGN C BT-HN360C:MISTY DARK BLUE:7-8:GRAPHIC:SS T-SHIRT</t>
  </si>
  <si>
    <t>T-SHIRT BATMAN MOBILE LOGO LGN C BT-HN360C:MISTY DARK BLUE:9-10:GRAPHIC:SS T-SHIRT</t>
  </si>
  <si>
    <t>T-SHIRT BATMAN MOBILE LOGO LGN C BT-HN360C:MISTY DARK BLUE:11-12:GRAPHIC:SS T-SHIRT</t>
  </si>
  <si>
    <t>T-SHIRT BATMAN MOBILE LOGO LGN C BT-HN360C:MISTY DARK BLUE:13-14:GRAPHIC:SS T-SHIRT</t>
  </si>
  <si>
    <t>T-SHIRT BATMAN MOBILE LOGO LGN C BT-HN360C:MISTY DARK BLUE:15-16:GRAPHIC:SS T-SHIRT</t>
  </si>
  <si>
    <t>KT-HN3C</t>
  </si>
  <si>
    <t>T-SHIRT BATMAN CUT SEW YELLOW C KT-HN3C:BLACK:7-8:GRAPHIC:SS T-SHIRT</t>
  </si>
  <si>
    <t>T-SHIRT BATMAN CUT SEW YELLOW C KT-HN3C:BLACK:9-10:GRAPHIC:SS T-SHIRT</t>
  </si>
  <si>
    <t>T-SHIRT BATMAN CUT SEW YELLOW C KT-HN3C:BLACK:11-12:GRAPHIC:SS T-SHIRT</t>
  </si>
  <si>
    <t>T-SHIRT BATMAN CUT SEW YELLOW C KT-HN3C:BLACK:13-14:GRAPHIC:SS T-SHIRT</t>
  </si>
  <si>
    <t>T-SHIRT BATMAN CUT SEW YELLOW C KT-HN3C:BLACK:15-16:GRAPHIC:SS T-SHIRT</t>
  </si>
  <si>
    <t>A151A</t>
  </si>
  <si>
    <t>T-SHIRT SUPERMAN TULISAN BAWAH A A151A:NAVY BLUE:3-4:GRAPHIC:SS T-SHIRT</t>
  </si>
  <si>
    <t>T-SHIRT SUPERMAN TULISAN BAWAH A A151A:NAVY BLUE:4-5:GRAPHIC:SS T-SHIRT</t>
  </si>
  <si>
    <t>T-SHIRT SUPERMAN TULISAN BAWAH A A151A:NAVY BLUE:5-6:GRAPHIC:SS T-SHIRT</t>
  </si>
  <si>
    <t>T-SHIRT SUPERMAN TULISAN BAWAH A A151A:NAVY BLUE:7-8:GRAPHIC:SS T-SHIRT</t>
  </si>
  <si>
    <t>T-SHIRT SUPERMAN TULISAN BAWAH A A151A:NAVY BLUE:9-10:GRAPHIC:SS T-SHIRT</t>
  </si>
  <si>
    <t>A122A</t>
  </si>
  <si>
    <t>T-SHIRT SUPERMAN FLY CITY A A122A:WHITE:3-4:GRAPHIC:SS T-SHIRT</t>
  </si>
  <si>
    <t>T-SHIRT SUPERMAN FLY CITY A A122A:WHITE:4-5:GRAPHIC:SS T-SHIRT</t>
  </si>
  <si>
    <t>T-SHIRT SUPERMAN FLY CITY A A122A:WHITE:5-6:GRAPHIC:SS T-SHIRT</t>
  </si>
  <si>
    <t>T-SHIRT SUPERMAN FLY CITY A A122A:WHITE:7-8:GRAPHIC:SS T-SHIRT</t>
  </si>
  <si>
    <t>T-SHIRT SUPERMAN FLY CITY A A122A:WHITE:9-10:GRAPHIC:SS T-SHIRT</t>
  </si>
  <si>
    <t>A136A</t>
  </si>
  <si>
    <t>T-SHIRT SUPERMAN LOGO LIS TENGAH A A136A:NAVY BLUE:3-4:GRAPHIC:SS T-SHIRT</t>
  </si>
  <si>
    <t>T-SHIRT SUPERMAN LOGO LIS TENGAH A A136A:NAVY BLUE:4-5:GRAPHIC:SS T-SHIRT</t>
  </si>
  <si>
    <t>T-SHIRT SUPERMAN LOGO LIS TENGAH A A136A:NAVY BLUE:5-6:GRAPHIC:SS T-SHIRT</t>
  </si>
  <si>
    <t>T-SHIRT SUPERMAN LOGO LIS TENGAH A A136A:NAVY BLUE:7-8:GRAPHIC:SS T-SHIRT</t>
  </si>
  <si>
    <t>T-SHIRT SUPERMAN LOGO LIS TENGAH A A136A:NAVY BLUE:9-10:GRAPHIC:SS T-SHIRT</t>
  </si>
  <si>
    <t>A119C</t>
  </si>
  <si>
    <t>T-SHIRT SUPERMAN CUT SEW KTG LGN C A119C:NAVY BLUE:7-8:GRAPHIC:SS T-SHIRT</t>
  </si>
  <si>
    <t>T-SHIRT SUPERMAN CUT SEW KTG LGN C A119C:NAVY BLUE:9-10:GRAPHIC:SS T-SHIRT</t>
  </si>
  <si>
    <t>T-SHIRT SUPERMAN CUT SEW KTG LGN C A119C:NAVY BLUE:11-12:GRAPHIC:SS T-SHIRT</t>
  </si>
  <si>
    <t>T-SHIRT SUPERMAN CUT SEW KTG LGN C A119C:NAVY BLUE:13-14:GRAPHIC:SS T-SHIRT</t>
  </si>
  <si>
    <t>T-SHIRT SUPERMAN CUT SEW KTG LGN C A119C:NAVY BLUE:15-16:GRAPHIC:SS T-SHIRT</t>
  </si>
  <si>
    <t>A165C</t>
  </si>
  <si>
    <t>T-SHIRT SUPERMAN FLY ACTION C A165C:BLACK:7-8:GRAPHIC:SS T-SHIRT</t>
  </si>
  <si>
    <t>T-SHIRT SUPERMAN FLY ACTION C A165C:BLACK:9-10:GRAPHIC:SS T-SHIRT</t>
  </si>
  <si>
    <t>T-SHIRT SUPERMAN FLY ACTION C A165C:BLACK:11-12:GRAPHIC:SS T-SHIRT</t>
  </si>
  <si>
    <t>T-SHIRT SUPERMAN FLY ACTION C A165C:BLACK:13-14:GRAPHIC:SS T-SHIRT</t>
  </si>
  <si>
    <t>T-SHIRT SUPERMAN FLY ACTION C A165C:BLACK:15-16:GRAPHIC:SS T-SHIRT</t>
  </si>
  <si>
    <t>KP-A11A</t>
  </si>
  <si>
    <t>T-SHIRT  KUNGFU PANDA MIGHTY A KP-A11A:CLASSIC RED:3-4:PRINT:SS T-SHIRT</t>
  </si>
  <si>
    <t>T-SHIRT  KUNGFU PANDA MIGHTY A KP-A11A:CLASSIC RED:4-5:PRINT:SS T-SHIRT</t>
  </si>
  <si>
    <t>T-SHIRT  KUNGFU PANDA MIGHTY A KP-A11A:CLASSIC RED:5-6:PRINT:SS T-SHIRT</t>
  </si>
  <si>
    <t>T-SHIRT  KUNGFU PANDA MIGHTY A KP-A11A:CLASSIC RED:7-8:PRINT:SS T-SHIRT</t>
  </si>
  <si>
    <t>T-SHIRT  KUNGFU PANDA MIGHTY A KP-A11A:CLASSIC RED:9-10:PRINT:SS T-SHIRT</t>
  </si>
  <si>
    <t>KP-A02A</t>
  </si>
  <si>
    <t>T-SHIRT  KUNGFU PANDA WARRIOR A KP-A02A:MISTY MEDIUM BLUE:3-4:PRINT:SS T-SHIRT</t>
  </si>
  <si>
    <t>T-SHIRT  KUNGFU PANDA WARRIOR A KP-A02A:MISTY MEDIUM BLUE:4-5:PRINT:SS T-SHIRT</t>
  </si>
  <si>
    <t>T-SHIRT  KUNGFU PANDA WARRIOR A KP-A02A:MISTY MEDIUM BLUE:5-6:PRINT:SS T-SHIRT</t>
  </si>
  <si>
    <t>T-SHIRT  KUNGFU PANDA WARRIOR A KP-A02A:MISTY MEDIUM BLUE:7-8:PRINT:SS T-SHIRT</t>
  </si>
  <si>
    <t>T-SHIRT  KUNGFU PANDA WARRIOR A KP-A02A:MISTY MEDIUM BLUE:9-10:PRINT:SS T-SHIRT</t>
  </si>
  <si>
    <t>KP-HR01C</t>
  </si>
  <si>
    <t>T-SHIRT  KUNGFU PANDA FP C KP-HR01C:WHITE:5-6:PRINT:SS T-SHIRT</t>
  </si>
  <si>
    <t>T-SHIRT  KUNGFU PANDA FP C KP-HR01C:WHITE:7-8:PRINT:SS T-SHIRT</t>
  </si>
  <si>
    <t>T-SHIRT  KUNGFU PANDA FP C KP-HR01C:WHITE:9-10:PRINT:SS T-SHIRT</t>
  </si>
  <si>
    <t>T-SHIRT  KUNGFU PANDA FP C KP-HR01C:WHITE:11-12:PRINT:SS T-SHIRT</t>
  </si>
  <si>
    <t>T-SHIRT  KUNGFU PANDA FP C KP-HR01C:WHITE:13-14:PRINT:SS T-SHIRT</t>
  </si>
  <si>
    <t>KP-A12A</t>
  </si>
  <si>
    <t>T-SHIRT  KUNGFU PANDA KICK A KP-A12A:CLASSIC YELLOW:3-4:PRINT:SS T-SHIRT</t>
  </si>
  <si>
    <t>T-SHIRT  KUNGFU PANDA KICK A KP-A12A:CLASSIC YELLOW:4-5:PRINT:SS T-SHIRT</t>
  </si>
  <si>
    <t>T-SHIRT  KUNGFU PANDA KICK A KP-A12A:CLASSIC YELLOW:5-6:PRINT:SS T-SHIRT</t>
  </si>
  <si>
    <t>T-SHIRT  KUNGFU PANDA KICK A KP-A12A:CLASSIC YELLOW:7-8:PRINT:SS T-SHIRT</t>
  </si>
  <si>
    <t>T-SHIRT  KUNGFU PANDA KICK A KP-A12A:CLASSIC YELLOW:9-10:PRINT:SS T-SHIRT</t>
  </si>
  <si>
    <t>KP-HR02A</t>
  </si>
  <si>
    <t>T-SHIRT  KUNGFU PANDA LIS LGN A KP-HR02A:MISTY LIGHT GREY:3-4:PRINT:SS T-SHIRT</t>
  </si>
  <si>
    <t>T-SHIRT  KUNGFU PANDA LIS LGN A KP-HR02A:MISTY LIGHT GREY:4-5:PRINT:SS T-SHIRT</t>
  </si>
  <si>
    <t>T-SHIRT  KUNGFU PANDA LIS LGN A KP-HR02A:MISTY LIGHT GREY:5-6:PRINT:SS T-SHIRT</t>
  </si>
  <si>
    <t>T-SHIRT  KUNGFU PANDA LIS LGN A KP-HR02A:MISTY LIGHT GREY:7-8:PRINT:SS T-SHIRT</t>
  </si>
  <si>
    <t>T-SHIRT  KUNGFU PANDA LIS LGN A KP-HR02A:MISTY LIGHT GREY:9-10:PRINT:SS T-SHIRT</t>
  </si>
  <si>
    <t>KP-A03C</t>
  </si>
  <si>
    <t>T-SHIRT  KUNGFU PANDA ACTION C KP-A03C:NAVY BLUE:7-8:PRINT:SS T-SHIRT</t>
  </si>
  <si>
    <t>T-SHIRT  KUNGFU PANDA ACTION C KP-A03C:NAVY BLUE:9-10:PRINT:SS T-SHIRT</t>
  </si>
  <si>
    <t>T-SHIRT  KUNGFU PANDA ACTION C KP-A03C:NAVY BLUE:11-12:PRINT:SS T-SHIRT</t>
  </si>
  <si>
    <t>T-SHIRT  KUNGFU PANDA ACTION C KP-A03C:NAVY BLUE:13-14:PRINT:SS T-SHIRT</t>
  </si>
  <si>
    <t>T-SHIRT  KUNGFU PANDA ACTION C KP-A03C:NAVY BLUE:15-16:PRINT:SS T-SHIRT</t>
  </si>
  <si>
    <t>KP-HR06C</t>
  </si>
  <si>
    <t>SWEATER KUNGFU PANDA HOODY LIS C KP-HR06C:BLACK:5-6:PRINT:JACKET</t>
  </si>
  <si>
    <t>SWEATER KUNGFU PANDA HOODY LIS C KP-HR06C:BLACK:7-8:PRINT:JACKET</t>
  </si>
  <si>
    <t>SWEATER KUNGFU PANDA HOODY LIS C KP-HR06C:BLACK:9-10:PRINT:JACKET</t>
  </si>
  <si>
    <t>SWEATER KUNGFU PANDA HOODY LIS C KP-HR06C:BLACK:11-12:PRINT:JACKET</t>
  </si>
  <si>
    <t>SWEATER KUNGFU PANDA HOODY LIS C KP-HR06C:BLACK:13-14:PRINT:JACKET</t>
  </si>
  <si>
    <t>KP-HR04C</t>
  </si>
  <si>
    <t>SHORT KUNGFU PANDA LIS C KP-HR04C:MISTY LIGHT GREY:5-6:PRINT:SHORT PANTS</t>
  </si>
  <si>
    <t>SHORT KUNGFU PANDA LIS C KP-HR04C:MISTY LIGHT GREY:7-8:PRINT:SHORT PANTS</t>
  </si>
  <si>
    <t>SHORT KUNGFU PANDA LIS C KP-HR04C:MISTY LIGHT GREY:9-10:PRINT:SHORT PANTS</t>
  </si>
  <si>
    <t>SHORT KUNGFU PANDA LIS C KP-HR04C:MISTY LIGHT GREY:11-12:PRINT:SHORT PANTS</t>
  </si>
  <si>
    <t>SHORT KUNGFU PANDA LIS C KP-HR04C:MISTY LIGHT GREY:13-14:PRINT:SHORT PANTS</t>
  </si>
  <si>
    <t>KP-HR060C</t>
  </si>
  <si>
    <t>JOGGER KUNGFU PANDA C KP-HR060C:BLACK:5-6:PRINT:JOGGER</t>
  </si>
  <si>
    <t>JOGGER KUNGFU PANDA C KP-HR060C:BLACK:7-8:PRINT:JOGGER</t>
  </si>
  <si>
    <t>JOGGER KUNGFU PANDA C KP-HR060C:BLACK:9-10:PRINT:JOGGER</t>
  </si>
  <si>
    <t>JOGGER KUNGFU PANDA C KP-HR060C:BLACK:11-12:PRINT:JOGGER</t>
  </si>
  <si>
    <t>JOGGER KUNGFU PANDA C KP-HR060C:BLACK:13-14:PRINT:JOGGER</t>
  </si>
  <si>
    <t>BG-097A</t>
  </si>
  <si>
    <t>T-SHIRT BATMAN POSE PRINT BLKG A BG-097A:CLASSIC YELLOW:3-4:PRINT:SS T-SHIRT</t>
  </si>
  <si>
    <t>T-SHIRT BATMAN POSE PRINT BLKG A BG-097A:CLASSIC YELLOW:4-5:PRINT:SS T-SHIRT</t>
  </si>
  <si>
    <t>T-SHIRT BATMAN POSE PRINT BLKG A BG-097A:CLASSIC YELLOW:5-6:PRINT:SS T-SHIRT</t>
  </si>
  <si>
    <t>T-SHIRT BATMAN POSE PRINT BLKG A BG-097A:CLASSIC YELLOW:7-8:PRINT:SS T-SHIRT</t>
  </si>
  <si>
    <t>T-SHIRT BATMAN POSE PRINT BLKG A BG-097A:CLASSIC YELLOW:9-10:PRINT:SS T-SHIRT</t>
  </si>
  <si>
    <t>BT-HN13A</t>
  </si>
  <si>
    <t>T-SHIRT BATMAN LOGO LOGO LAYERING A BT-HN13A:BLACK:3-4:PRINT:SS T-SHIRT</t>
  </si>
  <si>
    <t>T-SHIRT BATMAN LOGO LOGO LAYERING A BT-HN13A:BLACK:4-5:PRINT:SS T-SHIRT</t>
  </si>
  <si>
    <t>T-SHIRT BATMAN LOGO LOGO LAYERING A BT-HN13A:BLACK:5-6:PRINT:SS T-SHIRT</t>
  </si>
  <si>
    <t>T-SHIRT BATMAN LOGO LOGO LAYERING A BT-HN13A:BLACK:7-8:PRINT:SS T-SHIRT</t>
  </si>
  <si>
    <t>T-SHIRT BATMAN LOGO LOGO LAYERING A BT-HN13A:BLACK:9-10:PRINT:SS T-SHIRT</t>
  </si>
  <si>
    <t>BT-HN15C</t>
  </si>
  <si>
    <t>T-SHIRT BATMAN GOTHAM CITY LIGHT-SHIRT C BT-HN15C:MISTY MEDIUM GREY:7-8:PRINT:SS T-SHIRT</t>
  </si>
  <si>
    <t>T-SHIRT BATMAN GOTHAM CITY LIGHT-SHIRT C BT-HN15C:MISTY MEDIUM GREY:9-10:PRINT:SS T-SHIRT</t>
  </si>
  <si>
    <t>T-SHIRT BATMAN GOTHAM CITY LIGHT-SHIRT C BT-HN15C:MISTY MEDIUM GREY:11-12:PRINT:SS T-SHIRT</t>
  </si>
  <si>
    <t>T-SHIRT BATMAN GOTHAM CITY LIGHT-SHIRT C BT-HN15C:MISTY MEDIUM GREY:13-14:PRINT:SS T-SHIRT</t>
  </si>
  <si>
    <t>T-SHIRT BATMAN GOTHAM CITY LIGHT-SHIRT C BT-HN15C:MISTY MEDIUM GREY:15-16:PRINT:SS T-SHIRT</t>
  </si>
  <si>
    <t>BT-HR315C</t>
  </si>
  <si>
    <t>T-SHIRT BATMAN DARK KNIGHT BODY C BT-HR315C:BLACK:7-8:PRINT:SS T-SHIRT</t>
  </si>
  <si>
    <t>T-SHIRT BATMAN DARK KNIGHT BODY C BT-HR315C:BLACK:9-10:PRINT:SS T-SHIRT</t>
  </si>
  <si>
    <t>T-SHIRT BATMAN DARK KNIGHT BODY C BT-HR315C:BLACK:11-12:PRINT:SS T-SHIRT</t>
  </si>
  <si>
    <t>T-SHIRT BATMAN DARK KNIGHT BODY C BT-HR315C:BLACK:13-14:PRINT:SS T-SHIRT</t>
  </si>
  <si>
    <t>T-SHIRT BATMAN DARK KNIGHT BODY C BT-HR315C:BLACK:15-16:PRINT:SS T-SHIRT</t>
  </si>
  <si>
    <t>BT-HN32C</t>
  </si>
  <si>
    <t>T-SHIRT BATMAN LOGO FOIL TENGAH C BT-HN32C:CLASSIC YELLOW:7-8:PRINT:SS T-SHIRT</t>
  </si>
  <si>
    <t>T-SHIRT BATMAN LOGO FOIL TENGAH C BT-HN32C:CLASSIC YELLOW:9-10:PRINT:SS T-SHIRT</t>
  </si>
  <si>
    <t>T-SHIRT BATMAN LOGO FOIL TENGAH C BT-HN32C:CLASSIC YELLOW:11-12:PRINT:SS T-SHIRT</t>
  </si>
  <si>
    <t>T-SHIRT BATMAN LOGO FOIL TENGAH C BT-HN32C:CLASSIC YELLOW:13-14:PRINT:SS T-SHIRT</t>
  </si>
  <si>
    <t>T-SHIRT BATMAN LOGO FOIL TENGAH C BT-HN32C:CLASSIC YELLOW:15-16:PRINT:SS T-SHIRT</t>
  </si>
  <si>
    <t>BT-HT330C</t>
  </si>
  <si>
    <t>T-SHIRT BATMAN TULISAN TENGAH LGN C BT-HT330C:CLASSIC YELLOW:5-6:PRINT:SS T-SHIRT</t>
  </si>
  <si>
    <t>T-SHIRT BATMAN TULISAN TENGAH LGN C BT-HT330C:CLASSIC YELLOW:7-8:PRINT:SS T-SHIRT</t>
  </si>
  <si>
    <t>T-SHIRT BATMAN TULISAN TENGAH LGN C BT-HT330C:CLASSIC YELLOW:9-10:PRINT:SS T-SHIRT</t>
  </si>
  <si>
    <t>T-SHIRT BATMAN TULISAN TENGAH LGN C BT-HT330C:CLASSIC YELLOW:11-12:PRINT:SS T-SHIRT</t>
  </si>
  <si>
    <t>T-SHIRT BATMAN TULISAN TENGAH LGN C BT-HT330C:CLASSIC YELLOW:13-14:PRINT:SS T-SHIRT</t>
  </si>
  <si>
    <t>BT-HR331C</t>
  </si>
  <si>
    <t>T-SHIRT BATMAN DARK KNIGHT BWH C BT-HR331C:BLACK:5-6:PRINT:SS T-SHIRT</t>
  </si>
  <si>
    <t>T-SHIRT BATMAN DARK KNIGHT BWH C BT-HR331C:BLACK:7-8:PRINT:SS T-SHIRT</t>
  </si>
  <si>
    <t>T-SHIRT BATMAN DARK KNIGHT BWH C BT-HR331C:BLACK:9-10:PRINT:SS T-SHIRT</t>
  </si>
  <si>
    <t>T-SHIRT BATMAN DARK KNIGHT BWH C BT-HR331C:BLACK:11-12:PRINT:SS T-SHIRT</t>
  </si>
  <si>
    <t>T-SHIRT BATMAN DARK KNIGHT BWH C BT-HR331C:BLACK:13-14:PRINT:SS T-SHIRT</t>
  </si>
  <si>
    <t>BG-067A</t>
  </si>
  <si>
    <t>T-SHIRT BATMAN STANDING A BG-067A:MISTY LIGHT BLUE:3-4:PRINT:SS T-SHIRT</t>
  </si>
  <si>
    <t>T-SHIRT BATMAN STANDING A BG-067A:MISTY LIGHT BLUE:4-5:PRINT:SS T-SHIRT</t>
  </si>
  <si>
    <t>T-SHIRT BATMAN STANDING A BG-067A:MISTY LIGHT BLUE:5-6:PRINT:SS T-SHIRT</t>
  </si>
  <si>
    <t>T-SHIRT BATMAN STANDING A BG-067A:MISTY LIGHT BLUE:7-8:PRINT:SS T-SHIRT</t>
  </si>
  <si>
    <t>T-SHIRT BATMAN STANDING A BG-067A:MISTY LIGHT BLUE:9-10:PRINT:SS T-SHIRT</t>
  </si>
  <si>
    <t>BG-070C</t>
  </si>
  <si>
    <t>T-SHIRT BATMAN THE JOKER FP C BG-070C:NAVY BLUE:7-8:PRINT:SS T-SHIRT</t>
  </si>
  <si>
    <t>T-SHIRT BATMAN THE JOKER FP C BG-070C:NAVY BLUE:9-10:PRINT:SS T-SHIRT</t>
  </si>
  <si>
    <t>T-SHIRT BATMAN THE JOKER FP C BG-070C:NAVY BLUE:11-12:PRINT:SS T-SHIRT</t>
  </si>
  <si>
    <t>T-SHIRT BATMAN THE JOKER FP C BG-070C:NAVY BLUE:13-14:PRINT:SS T-SHIRT</t>
  </si>
  <si>
    <t>T-SHIRT BATMAN THE JOKER FP C BG-070C:NAVY BLUE:15-16:PRINT:SS T-SHIRT</t>
  </si>
  <si>
    <t>BG-068A</t>
  </si>
  <si>
    <t>T-SHIRT BATMAN JOKER A BG-068A:BLACK:3-4:PRINT:SS T-SHIRT</t>
  </si>
  <si>
    <t>T-SHIRT BATMAN JOKER A BG-068A:BLACK:4-5:PRINT:SS T-SHIRT</t>
  </si>
  <si>
    <t>T-SHIRT BATMAN JOKER A BG-068A:BLACK:5-6:PRINT:SS T-SHIRT</t>
  </si>
  <si>
    <t>T-SHIRT BATMAN JOKER A BG-068A:BLACK:7-8:PRINT:SS T-SHIRT</t>
  </si>
  <si>
    <t>T-SHIRT BATMAN JOKER A BG-068A:BLACK:9-10:PRINT:SS T-SHIRT</t>
  </si>
  <si>
    <t>HR372C</t>
  </si>
  <si>
    <t>T-SHIRT SUPERMAN LOGO FP C HR372C:NAVY BLUE:5-6:PRINT:SS T-SHIRT</t>
  </si>
  <si>
    <t>T-SHIRT SUPERMAN LOGO FP C HR372C:NAVY BLUE:7-8:PRINT:SS T-SHIRT</t>
  </si>
  <si>
    <t>T-SHIRT SUPERMAN LOGO FP C HR372C:NAVY BLUE:9-10:PRINT:SS T-SHIRT</t>
  </si>
  <si>
    <t>T-SHIRT SUPERMAN LOGO FP C HR372C:NAVY BLUE:11-12:PRINT:SS T-SHIRT</t>
  </si>
  <si>
    <t>T-SHIRT SUPERMAN LOGO FP C HR372C:NAVY BLUE:13-14:PRINT:SS T-SHIRT</t>
  </si>
  <si>
    <t>HN10C</t>
  </si>
  <si>
    <t>T-SHIRT SUPERMAN TULISAN OMBRE LGN C HN10C:WHITE:5-6:PRINT:SS T-SHIRT</t>
  </si>
  <si>
    <t>T-SHIRT SUPERMAN TULISAN OMBRE LGN C HN10C:WHITE:7-8:PRINT:SS T-SHIRT</t>
  </si>
  <si>
    <t>T-SHIRT SUPERMAN TULISAN OMBRE LGN C HN10C:WHITE:9-10:PRINT:SS T-SHIRT</t>
  </si>
  <si>
    <t>T-SHIRT SUPERMAN TULISAN OMBRE LGN C HN10C:WHITE:11-12:PRINT:SS T-SHIRT</t>
  </si>
  <si>
    <t>T-SHIRT SUPERMAN TULISAN OMBRE LGN C HN10C:WHITE:13-14:PRINT:SS T-SHIRT</t>
  </si>
  <si>
    <t>HR327C</t>
  </si>
  <si>
    <t>SWEATER BATMAN GOTHAM LIS C HR327C:BLACK:5-6:PRINT:JACKET</t>
  </si>
  <si>
    <t>SWEATER BATMAN GOTHAM LIS C HR327C:BLACK:7-8:PRINT:JACKET</t>
  </si>
  <si>
    <t>SWEATER BATMAN GOTHAM LIS C HR327C:BLACK:9-10:PRINT:JACKET</t>
  </si>
  <si>
    <t>SWEATER BATMAN GOTHAM LIS C HR327C:BLACK:11-12:PRINT:JACKET</t>
  </si>
  <si>
    <t>SWEATER BATMAN GOTHAM LIS C HR327C:BLACK:13-14:PRINT:JACKET</t>
  </si>
  <si>
    <t>HR375C</t>
  </si>
  <si>
    <t>SWEATER SUPERMAN LOGO LIS C HR375C:NAVY BLUE:5-6:PRINT:JACKET</t>
  </si>
  <si>
    <t>SWEATER SUPERMAN LOGO LIS C HR375C:NAVY BLUE:7-8:PRINT:JACKET</t>
  </si>
  <si>
    <t>SWEATER SUPERMAN LOGO LIS C HR375C:NAVY BLUE:11-12:PRINT:JACKET</t>
  </si>
  <si>
    <t>SWEATER SUPERMAN LOGO LIS C HR375C:NAVY BLUE:13-14:PRINT:JACKET</t>
  </si>
  <si>
    <t>HR328C</t>
  </si>
  <si>
    <t>SHORT PANTS KNIT BATMAN LOGO C HR328C:MISTY LIGHT GREY:5-6:PRINT:SHORT PANTS</t>
  </si>
  <si>
    <t>SHORT PANTS KNIT BATMAN LOGO C HR328C:MISTY LIGHT GREY:7-8:PRINT:SHORT PANTS</t>
  </si>
  <si>
    <t>SHORT PANTS KNIT BATMAN LOGO C HR328C:MISTY LIGHT GREY:9-10:PRINT:SHORT PANTS</t>
  </si>
  <si>
    <t>SHORT PANTS KNIT BATMAN LOGO C HR328C:MISTY LIGHT GREY:11-12:PRINT:SHORT PANTS</t>
  </si>
  <si>
    <t>SHORT PANTS KNIT BATMAN LOGO C HR328C:MISTY LIGHT GREY:13-14:PRINT:SHORT PANTS</t>
  </si>
  <si>
    <t>HR373C</t>
  </si>
  <si>
    <t>SHORT SUPERMAN LOGO LIS C HR373C:NAVY BLUE:5-6:PRINT:SHORT PANTS</t>
  </si>
  <si>
    <t>SHORT SUPERMAN LOGO LIS C HR373C:NAVY BLUE:7-8:PRINT:SHORT PANTS</t>
  </si>
  <si>
    <t>SHORT SUPERMAN LOGO LIS C HR373C:NAVY BLUE:9-10:PRINT:SHORT PANTS</t>
  </si>
  <si>
    <t>SHORT SUPERMAN LOGO LIS C HR373C:NAVY BLUE:11-12:PRINT:SHORT PANTS</t>
  </si>
  <si>
    <t>SHORT SUPERMAN LOGO LIS C HR373C:NAVY BLUE:13-14:PRINT:SHORT PANTS</t>
  </si>
  <si>
    <t>HR329C</t>
  </si>
  <si>
    <t>JOGGER BATMAN DARK KNIGHT LIS C HR329C:BLACK:5-6:PRINT:JOGGER</t>
  </si>
  <si>
    <t>JOGGER BATMAN DARK KNIGHT LIS C HR329C:BLACK:7-8:PRINT:JOGGER</t>
  </si>
  <si>
    <t>JOGGER BATMAN DARK KNIGHT LIS C HR329C:BLACK:9-10:PRINT:JOGGER</t>
  </si>
  <si>
    <t>JOGGER BATMAN DARK KNIGHT LIS C HR329C:BLACK:11-12:PRINT:JOGGER</t>
  </si>
  <si>
    <t>JOGGER BATMAN DARK KNIGHT LIS C HR329C:BLACK:13-14:PRINT:JOGGER</t>
  </si>
  <si>
    <t>HR374C</t>
  </si>
  <si>
    <t>JOGGER SUPERMAN LOGO LIS C HR374C:NAVY BLUE:5-6:PRINT:JOGGER</t>
  </si>
  <si>
    <t>JOGGER SUPERMAN LOGO LIS C HR374C:NAVY BLUE:7-8:PRINT:JOGGER</t>
  </si>
  <si>
    <t>JOGGER SUPERMAN LOGO LIS C HR374C:NAVY BLUE:9-10:PRINT:JOGGER</t>
  </si>
  <si>
    <t>JOGGER SUPERMAN LOGO LIS C HR374C:NAVY BLUE:11-12:PRINT:JOGGER</t>
  </si>
  <si>
    <t>JOGGER SUPERMAN LOGO LIS C HR374C:NAVY BLUE:13-14:PRINT:JOGGER</t>
  </si>
  <si>
    <t>BM-HN54A</t>
  </si>
  <si>
    <t>T-SHIRT BATMAN 85 BATMOBILE LIS LENGAN A BM-HN54A:CLASSIC YELLOW:3-4:PRINT:SS T-SHIRT</t>
  </si>
  <si>
    <t>T-SHIRT BATMAN 85 BATMOBILE LIS LENGAN A BM-HN54A:CLASSIC YELLOW:4-5:PRINT:SS T-SHIRT</t>
  </si>
  <si>
    <t>T-SHIRT BATMAN 85 BATMOBILE LIS LENGAN A BM-HN54A:CLASSIC YELLOW:5-6:PRINT:SS T-SHIRT</t>
  </si>
  <si>
    <t>T-SHIRT BATMAN 85 BATMOBILE LIS LENGAN A BM-HN54A:CLASSIC YELLOW:7-8:PRINT:SS T-SHIRT</t>
  </si>
  <si>
    <t>T-SHIRT BATMAN 85 BATMOBILE LIS LENGAN A BM-HN54A:CLASSIC YELLOW:9-10:PRINT:SS T-SHIRT</t>
  </si>
  <si>
    <t>BT-HN50A</t>
  </si>
  <si>
    <t>T-SHIRT BATMAN 85 LEGEND A BT-HN50A:MISTY LIGHT BLUE:3-4:PRINT:SS T-SHIRT</t>
  </si>
  <si>
    <t>T-SHIRT BATMAN 85 LEGEND A BT-HN50A:MISTY LIGHT BLUE:4-5:PRINT:SS T-SHIRT</t>
  </si>
  <si>
    <t>T-SHIRT BATMAN 85 LEGEND A BT-HN50A:MISTY LIGHT BLUE:5-6:PRINT:SS T-SHIRT</t>
  </si>
  <si>
    <t>T-SHIRT BATMAN 85 LEGEND A BT-HN50A:MISTY LIGHT BLUE:7-8:PRINT:SS T-SHIRT</t>
  </si>
  <si>
    <t>T-SHIRT BATMAN 85 LEGEND A BT-HN50A:MISTY LIGHT BLUE:9-10:PRINT:SS T-SHIRT</t>
  </si>
  <si>
    <t>BG-091C</t>
  </si>
  <si>
    <t>T-SHIRT SUPERMAN FLY FP MARBLE C BG-091C:BLACK:7-8:PRINT:SS T-SHIRT</t>
  </si>
  <si>
    <t>T-SHIRT SUPERMAN FLY FP MARBLE C BG-091C:BLACK:9-10:PRINT:SS T-SHIRT</t>
  </si>
  <si>
    <t>T-SHIRT SUPERMAN FLY FP MARBLE C BG-091C:BLACK:11-12:PRINT:SS T-SHIRT</t>
  </si>
  <si>
    <t>T-SHIRT SUPERMAN FLY FP MARBLE C BG-091C:BLACK:13-14:PRINT:SS T-SHIRT</t>
  </si>
  <si>
    <t>T-SHIRT SUPERMAN FLY FP MARBLE C BG-091C:BLACK:15-16:PRINT:SS T-SHIRT</t>
  </si>
  <si>
    <t>BG-071C</t>
  </si>
  <si>
    <t>T-SHIRT BATMAN TULISAN FP MARBLE C BG-071C:WHITE:7-8:PRINT:SS T-SHIRT</t>
  </si>
  <si>
    <t>T-SHIRT BATMAN TULISAN FP MARBLE C BG-071C:WHITE:9-10:PRINT:SS T-SHIRT</t>
  </si>
  <si>
    <t>T-SHIRT BATMAN TULISAN FP MARBLE C BG-071C:WHITE:11-12:PRINT:SS T-SHIRT</t>
  </si>
  <si>
    <t>T-SHIRT BATMAN TULISAN FP MARBLE C BG-071C:WHITE:13-14:PRINT:SS T-SHIRT</t>
  </si>
  <si>
    <t>T-SHIRT BATMAN TULISAN FP MARBLE C BG-071C:WHITE:15-16:PRINT:SS T-SHIRT</t>
  </si>
  <si>
    <t>BG-072C</t>
  </si>
  <si>
    <t>T-SHIRT BATMAN FLY FP MARBLE C BG-072C:BLACK:7-8:PRINT:SS T-SHIRT</t>
  </si>
  <si>
    <t>T-SHIRT BATMAN FLY FP MARBLE C BG-072C:BLACK:9-10:PRINT:SS T-SHIRT</t>
  </si>
  <si>
    <t>T-SHIRT BATMAN FLY FP MARBLE C BG-072C:BLACK:11-12:PRINT:SS T-SHIRT</t>
  </si>
  <si>
    <t>T-SHIRT BATMAN FLY FP MARBLE C BG-072C:BLACK:13-14:PRINT:SS T-SHIRT</t>
  </si>
  <si>
    <t>T-SHIRT BATMAN FLY FP MARBLE C BG-072C:BLACK:15-16:PRINT:SS T-SHIRT</t>
  </si>
  <si>
    <t>BT-HT325A</t>
  </si>
  <si>
    <t>T-SHIRT BATMAN DARK KNIGHT KANTONG A BT-HT325A:CLASSIC YELLOW:3-4:PRINT:SS T-SHIRT</t>
  </si>
  <si>
    <t>T-SHIRT BATMAN DARK KNIGHT KANTONG A BT-HT325A:CLASSIC YELLOW:4-5:PRINT:SS T-SHIRT</t>
  </si>
  <si>
    <t>T-SHIRT BATMAN DARK KNIGHT KANTONG A BT-HT325A:CLASSIC YELLOW:5-6:PRINT:SS T-SHIRT</t>
  </si>
  <si>
    <t>T-SHIRT BATMAN DARK KNIGHT KANTONG A BT-HT325A:CLASSIC YELLOW:7-8:PRINT:SS T-SHIRT</t>
  </si>
  <si>
    <t>T-SHIRT BATMAN DARK KNIGHT KANTONG A BT-HT325A:CLASSIC YELLOW:9-10:PRINT:SS T-SHIRT</t>
  </si>
  <si>
    <t>TF-A78</t>
  </si>
  <si>
    <t>SS T-SHIRT TF FP DEPAN LOGO LIS TF-A78:MISTY LIGHT GREY:3-4:PRINT:SS T-SHIRT</t>
  </si>
  <si>
    <t>SS T-SHIRT TF FP DEPAN LOGO LIS TF-A78:MISTY LIGHT GREY:4-5:PRINT:SS T-SHIRT</t>
  </si>
  <si>
    <t>SS T-SHIRT TF FP DEPAN LOGO LIS TF-A78:MISTY LIGHT GREY:5-6:PRINT:SS T-SHIRT</t>
  </si>
  <si>
    <t>SS T-SHIRT TF FP DEPAN LOGO LIS TF-A78:MISTY LIGHT GREY:7-8:PRINT:SS T-SHIRT</t>
  </si>
  <si>
    <t>SS T-SHIRT TF FP DEPAN LOGO LIS TF-A78:MISTY LIGHT GREY:9-10:PRINT:SS T-SHIRT</t>
  </si>
  <si>
    <t>SS T-SHIRT TF FP DEPAN LOGO LIS TF-A78:MISTY LIGHT GREY:11-12:PRINT:SS T-SHIRT</t>
  </si>
  <si>
    <t>SS T-SHIRT TF FP DEPAN LOGO LIS TF-A78:MISTY LIGHT GREY:13-14:PRINT:SS T-SHIRT</t>
  </si>
  <si>
    <t>SS T-SHIRT TF FP DEPAN LOGO LIS TF-A78:MISTY LIGHT GREY:15-16:PRINT:SS T-SHIRT</t>
  </si>
  <si>
    <t>TF-HN22</t>
  </si>
  <si>
    <t>SS T-SHIRT TF7 BUMBLEBEE LIS LGN TF-HN22:BLACK:3-4:PRINT:SS T-SHIRT</t>
  </si>
  <si>
    <t>SS T-SHIRT TF7 BUMBLEBEE LIS LGN TF-HN22:BLACK:4-5:PRINT:SS T-SHIRT</t>
  </si>
  <si>
    <t>SS T-SHIRT TF7 BUMBLEBEE LIS LGN TF-HN22:BLACK:5-6:PRINT:SS T-SHIRT</t>
  </si>
  <si>
    <t>SS T-SHIRT TF7 BUMBLEBEE LIS LGN TF-HN22:BLACK:7-8:PRINT:SS T-SHIRT</t>
  </si>
  <si>
    <t>SS T-SHIRT TF7 BUMBLEBEE LIS LGN TF-HN22:BLACK:9-10:PRINT:SS T-SHIRT</t>
  </si>
  <si>
    <t>SS T-SHIRT TF7 BUMBLEBEE LIS LGN TF-HN22:BLACK:11-12:PRINT:SS T-SHIRT</t>
  </si>
  <si>
    <t>TF-HN16</t>
  </si>
  <si>
    <t>SS T-SHIRT TF TEAM STAND TF-HN16:BLACK:3-4:PRINT:SS T-SHIRT</t>
  </si>
  <si>
    <t>SS T-SHIRT TF TEAM STAND TF-HN16:BLACK:4-5:PRINT:SS T-SHIRT</t>
  </si>
  <si>
    <t>SS T-SHIRT TF TEAM STAND TF-HN16:BLACK:5-6:PRINT:SS T-SHIRT</t>
  </si>
  <si>
    <t>SS T-SHIRT TF TEAM STAND TF-HN16:BLACK:7-8:PRINT:SS T-SHIRT</t>
  </si>
  <si>
    <t>SS T-SHIRT TF TEAM STAND TF-HN16:BLACK:9-10:PRINT:SS T-SHIRT</t>
  </si>
  <si>
    <t>SS T-SHIRT TF TEAM STAND TF-HN16:BLACK:11-12:PRINT:SS T-SHIRT</t>
  </si>
  <si>
    <t>SS T-SHIRT TF TEAM STAND TF-HN16:BLACK:13-14:PRINT:SS T-SHIRT</t>
  </si>
  <si>
    <t>SS T-SHIRT TF TEAM STAND TF-HN16:BLACK:15-16:PRINT:SS T-SHIRT</t>
  </si>
  <si>
    <t>TF-HN21</t>
  </si>
  <si>
    <t>SS T-SHIRT TF LOGO TEAMS A TF-HN21:CLASSIC YELLOW:3-4:PRINT:SS T-SHIRT</t>
  </si>
  <si>
    <t>SS T-SHIRT TF LOGO TEAMS A TF-HN21:CLASSIC YELLOW:4-5:PRINT:SS T-SHIRT</t>
  </si>
  <si>
    <t>SS T-SHIRT TF LOGO TEAMS A TF-HN21:CLASSIC YELLOW:5-6:PRINT:SS T-SHIRT</t>
  </si>
  <si>
    <t>SS T-SHIRT TF LOGO TEAMS A TF-HN21:CLASSIC YELLOW:7-8:PRINT:SS T-SHIRT</t>
  </si>
  <si>
    <t>SS T-SHIRT TF LOGO TEAMS A TF-HN21:CLASSIC YELLOW:9-10:PRINT:SS T-SHIRT</t>
  </si>
  <si>
    <t>SS T-SHIRT TF LOGO TEAMS A TF-HN21:CLASSIC YELLOW:11-12:PRINT:SS T-SHIRT</t>
  </si>
  <si>
    <t>SS T-SHIRT TF LOGO TEAMS A TF-HN21:CLASSIC YELLOW:13-14:PRINT:SS T-SHIRT</t>
  </si>
  <si>
    <t>SS T-SHIRT TF LOGO TEAMS A TF-HN21:CLASSIC YELLOW:15-16:PRINT:SS T-SHIRT</t>
  </si>
  <si>
    <t>TF-A62</t>
  </si>
  <si>
    <t>SS T-SHIRT TF AUTOBOT FP MARBLE TF-A62:MISTY MEDIUM BLUE:3-4:TEXTURE:SS T-SHIRT</t>
  </si>
  <si>
    <t>SS T-SHIRT TF AUTOBOT FP MARBLE TF-A62:MISTY MEDIUM BLUE:4-5:TEXTURE:SS T-SHIRT</t>
  </si>
  <si>
    <t>SS T-SHIRT TF AUTOBOT FP MARBLE TF-A62:MISTY MEDIUM BLUE:5-6:TEXTURE:SS T-SHIRT</t>
  </si>
  <si>
    <t>SS T-SHIRT TF AUTOBOT FP MARBLE TF-A62:MISTY MEDIUM BLUE:7-8:TEXTURE:SS T-SHIRT</t>
  </si>
  <si>
    <t>SS T-SHIRT TF AUTOBOT FP MARBLE TF-A62:MISTY MEDIUM BLUE:9-10:TEXTURE:SS T-SHIRT</t>
  </si>
  <si>
    <t>SS T-SHIRT TF AUTOBOT FP MARBLE TF-A62:MISTY MEDIUM BLUE:11-12:TEXTURE:SS T-SHIRT</t>
  </si>
  <si>
    <t>SS T-SHIRT TF AUTOBOT FP MARBLE TF-A62:MISTY MEDIUM BLUE:13-14:TEXTURE:SS T-SHIRT</t>
  </si>
  <si>
    <t>SS T-SHIRT TF AUTOBOT FP MARBLE TF-A62:MISTY MEDIUM BLUE:15-16:TEXTURE:SS T-SHIRT</t>
  </si>
  <si>
    <t>TF-HN24</t>
  </si>
  <si>
    <t>SS T-SHIRT TF BUMBLEBEE BATTLE TF-HN24:CLASSIC YELLOW:3-4:PRINT:SS T-SHIRT</t>
  </si>
  <si>
    <t>SS T-SHIRT TF BUMBLEBEE BATTLE TF-HN24:CLASSIC YELLOW:4-5:PRINT:SS T-SHIRT</t>
  </si>
  <si>
    <t>SS T-SHIRT TF BUMBLEBEE BATTLE TF-HN24:CLASSIC YELLOW:5-6:PRINT:SS T-SHIRT</t>
  </si>
  <si>
    <t>SS T-SHIRT TF BUMBLEBEE BATTLE TF-HN24:CLASSIC YELLOW:7-8:PRINT:SS T-SHIRT</t>
  </si>
  <si>
    <t>SS T-SHIRT TF BUMBLEBEE BATTLE TF-HN24:CLASSIC YELLOW:9-10:PRINT:SS T-SHIRT</t>
  </si>
  <si>
    <t>SS T-SHIRT TF BUMBLEBEE BATTLE TF-HN24:CLASSIC YELLOW:11-12:PRINT:SS T-SHIRT</t>
  </si>
  <si>
    <t>SS T-SHIRT TF BUMBLEBEE BATTLE TF-HN24:CLASSIC YELLOW:13-14:PRINT:SS T-SHIRT</t>
  </si>
  <si>
    <t>SS T-SHIRT TF BUMBLEBEE BATTLE TF-HN24:CLASSIC YELLOW:15-16:PRINT:SS T-SHIRT</t>
  </si>
  <si>
    <t>TF7-HN18</t>
  </si>
  <si>
    <t>SS T-SHIRT TF7 BUMBLEBEE ACTION A TF7-HN18:CLASSIC YELLOW:3-4:PRINT:SS T-SHIRT</t>
  </si>
  <si>
    <t>SS T-SHIRT TF7 BUMBLEBEE ACTION A TF7-HN18:CLASSIC YELLOW:4-5:PRINT:SS T-SHIRT</t>
  </si>
  <si>
    <t>SS T-SHIRT TF7 BUMBLEBEE ACTION A TF7-HN18:CLASSIC YELLOW:5-6:PRINT:SS T-SHIRT</t>
  </si>
  <si>
    <t>SS T-SHIRT TF7 BUMBLEBEE ACTION A TF7-HN18:CLASSIC YELLOW:7-8:PRINT:SS T-SHIRT</t>
  </si>
  <si>
    <t>SS T-SHIRT TF7 BUMBLEBEE ACTION A TF7-HN18:CLASSIC YELLOW:9-10:PRINT:SS T-SHIRT</t>
  </si>
  <si>
    <t>SS T-SHIRT TF7 BUMBLEBEE ACTION A TF7-HN18:CLASSIC YELLOW:11-12:PRINT:SS T-SHIRT</t>
  </si>
  <si>
    <t>SS T-SHIRT TF7 BUMBLEBEE ACTION A TF7-HN18:CLASSIC YELLOW:13-14:PRINT:SS T-SHIRT</t>
  </si>
  <si>
    <t>SS T-SHIRT TF7 BUMBLEBEE ACTION A TF7-HN18:CLASSIC YELLOW:15-16:PRINT:SS T-SHIRT</t>
  </si>
  <si>
    <t>A193C</t>
  </si>
  <si>
    <t>T-SHIRT SUPERMAN LOGO GRADASI C A193C:NAVY BLUE:7-8:GRAPHIC:SS T-SHIRT</t>
  </si>
  <si>
    <t>T-SHIRT SUPERMAN LOGO GRADASI C A193C:NAVY BLUE:9-10:GRAPHIC:SS T-SHIRT</t>
  </si>
  <si>
    <t>T-SHIRT SUPERMAN LOGO GRADASI C A193C:NAVY BLUE:11-12:GRAPHIC:SS T-SHIRT</t>
  </si>
  <si>
    <t>T-SHIRT SUPERMAN LOGO GRADASI C A193C:NAVY BLUE:13-14:GRAPHIC:SS T-SHIRT</t>
  </si>
  <si>
    <t>T-SHIRT SUPERMAN LOGO GRADASI C A193C:NAVY BLUE:15-16:GRAPHIC:SS T-SHIRT</t>
  </si>
  <si>
    <t>HR338C</t>
  </si>
  <si>
    <t>T-SHIRT SUPERMAN MAN OF STEEL C HR338C:NAVY BLUE:5-6:PRINT:SS T-SHIRT</t>
  </si>
  <si>
    <t>T-SHIRT SUPERMAN MAN OF STEEL C HR338C:NAVY BLUE:7-8:PRINT:SS T-SHIRT</t>
  </si>
  <si>
    <t>T-SHIRT SUPERMAN MAN OF STEEL C HR338C:NAVY BLUE:9-10:PRINT:SS T-SHIRT</t>
  </si>
  <si>
    <t>T-SHIRT SUPERMAN MAN OF STEEL C HR338C:NAVY BLUE:11-12:PRINT:SS T-SHIRT</t>
  </si>
  <si>
    <t>T-SHIRT SUPERMAN MAN OF STEEL C HR338C:NAVY BLUE:13-14:PRINT:SS T-SHIRT</t>
  </si>
  <si>
    <t>BT-HN6A</t>
  </si>
  <si>
    <t>T-SHIRT BATMAN ACTION DARK KNIGHT A BT-HN6A:MISTY MEDIUM BLUE:3-4:GRAPHIC:SS T-SHIRT</t>
  </si>
  <si>
    <t>T-SHIRT BATMAN ACTION DARK KNIGHT A BT-HN6A:MISTY MEDIUM BLUE:4-5:GRAPHIC:SS T-SHIRT</t>
  </si>
  <si>
    <t>T-SHIRT BATMAN ACTION DARK KNIGHT A BT-HN6A:MISTY MEDIUM BLUE:5-6:GRAPHIC:SS T-SHIRT</t>
  </si>
  <si>
    <t>T-SHIRT BATMAN ACTION DARK KNIGHT A BT-HN6A:MISTY MEDIUM BLUE:7-8:GRAPHIC:SS T-SHIRT</t>
  </si>
  <si>
    <t>T-SHIRT BATMAN ACTION DARK KNIGHT A BT-HN6A:MISTY MEDIUM BLUE:9-10:GRAPHIC:SS T-SHIRT</t>
  </si>
  <si>
    <t>TF-A77</t>
  </si>
  <si>
    <t>SS T-SHIRT TF LOGO HOLOGRAM FP TF-A77:CLASSIC RED:3-4:TEXTURE:SS T-SHIRT</t>
  </si>
  <si>
    <t>SS T-SHIRT TF LOGO HOLOGRAM FP TF-A77:CLASSIC RED:4-5:TEXTURE:SS T-SHIRT</t>
  </si>
  <si>
    <t>SS T-SHIRT TF LOGO HOLOGRAM FP TF-A77:CLASSIC RED:5-6:TEXTURE:SS T-SHIRT</t>
  </si>
  <si>
    <t>SS T-SHIRT TF LOGO HOLOGRAM FP TF-A77:CLASSIC RED:7-8:TEXTURE:SS T-SHIRT</t>
  </si>
  <si>
    <t>SS T-SHIRT TF LOGO HOLOGRAM FP TF-A77:CLASSIC RED:9-10:TEXTURE:SS T-SHIRT</t>
  </si>
  <si>
    <t>SS T-SHIRT TF LOGO HOLOGRAM FP TF-A77:CLASSIC RED:11-12:TEXTURE:SS T-SHIRT</t>
  </si>
  <si>
    <t>SS T-SHIRT TF LOGO HOLOGRAM FP TF-A77:CLASSIC RED:13-14:TEXTURE:SS T-SHIRT</t>
  </si>
  <si>
    <t>SS T-SHIRT TF LOGO HOLOGRAM FP TF-A77:CLASSIC RED:15-16:TEXTURE:SS T-SHIRT</t>
  </si>
  <si>
    <t>TF-A09</t>
  </si>
  <si>
    <t>SS T-SHIRT TF FP CAMO TF-A09:NAVY BLUE:3-4:PRINT:SS T-SHIRT</t>
  </si>
  <si>
    <t>SS T-SHIRT TF FP CAMO TF-A09:NAVY BLUE:4-5:PRINT:SS T-SHIRT</t>
  </si>
  <si>
    <t>SS T-SHIRT TF FP CAMO TF-A09:NAVY BLUE:5-6:PRINT:SS T-SHIRT</t>
  </si>
  <si>
    <t>SS T-SHIRT TF FP CAMO TF-A09:NAVY BLUE:7-8:PRINT:SS T-SHIRT</t>
  </si>
  <si>
    <t>SS T-SHIRT TF FP CAMO TF-A09:NAVY BLUE:9-10:PRINT:SS T-SHIRT</t>
  </si>
  <si>
    <t>SS T-SHIRT TF FP CAMO TF-A09:NAVY BLUE:11-12:PRINT:SS T-SHIRT</t>
  </si>
  <si>
    <t>SS T-SHIRT TF FP CAMO TF-A09:NAVY BLUE:13-14:PRINT:SS T-SHIRT</t>
  </si>
  <si>
    <t>SS T-SHIRT TF FP CAMO TF-A09:NAVY BLUE:15-16:PRINT:SS T-SHIRT</t>
  </si>
  <si>
    <t>TF-HN23</t>
  </si>
  <si>
    <t>SS T-SHIRT TF OPTIMUS PRIME TF-HN23:NAVY BLUE:3-4:PRINT:SS T-SHIRT</t>
  </si>
  <si>
    <t>SS T-SHIRT TF OPTIMUS PRIME TF-HN23:NAVY BLUE:4-5:PRINT:SS T-SHIRT</t>
  </si>
  <si>
    <t>SS T-SHIRT TF OPTIMUS PRIME TF-HN23:NAVY BLUE:5-6:PRINT:SS T-SHIRT</t>
  </si>
  <si>
    <t>SS T-SHIRT TF OPTIMUS PRIME TF-HN23:NAVY BLUE:7-8:PRINT:SS T-SHIRT</t>
  </si>
  <si>
    <t>SS T-SHIRT TF OPTIMUS PRIME TF-HN23:NAVY BLUE:9-10:PRINT:SS T-SHIRT</t>
  </si>
  <si>
    <t>SS T-SHIRT TF OPTIMUS PRIME TF-HN23:NAVY BLUE:11-12:PRINT:SS T-SHIRT</t>
  </si>
  <si>
    <t>SS T-SHIRT TF OPTIMUS PRIME TF-HN23:NAVY BLUE:13-14:PRINT:SS T-SHIRT</t>
  </si>
  <si>
    <t>SS T-SHIRT TF OPTIMUS PRIME TF-HN23:NAVY BLUE:15-16:PRINT:SS T-SHIRT</t>
  </si>
  <si>
    <t>N219C</t>
  </si>
  <si>
    <t>SHORT PANTS KNIT BATMAN DARK KNIGHT LIS C N219C:BLACK:7-8:PRINT:SHORT PANTS</t>
  </si>
  <si>
    <t>SHORT PANTS KNIT BATMAN DARK KNIGHT LIS C N219C:BLACK:9-10:PRINT:SHORT PANTS</t>
  </si>
  <si>
    <t>SHORT PANTS KNIT BATMAN DARK KNIGHT LIS C N219C:BLACK:11-12:PRINT:SHORT PANTS</t>
  </si>
  <si>
    <t>SHORT PANTS KNIT BATMAN DARK KNIGHT LIS C N219C:BLACK:13-14:PRINT:SHORT PANTS</t>
  </si>
  <si>
    <t>SHORT PANTS KNIT BATMAN DARK KNIGHT LIS C N219C:BLACK:15-16:PRINT:SHORT PANTS</t>
  </si>
  <si>
    <t>KP-HR03C</t>
  </si>
  <si>
    <t>T-SHIRT  KUNGFU PANDA OMBRE C KP-HR03C:CLASSIC RED:5-6:PRINT:SS T-SHIRT</t>
  </si>
  <si>
    <t>T-SHIRT  KUNGFU PANDA OMBRE C KP-HR03C:CLASSIC RED:7-8:PRINT:SS T-SHIRT</t>
  </si>
  <si>
    <t>T-SHIRT  KUNGFU PANDA OMBRE C KP-HR03C:CLASSIC RED:9-10:PRINT:SS T-SHIRT</t>
  </si>
  <si>
    <t>T-SHIRT  KUNGFU PANDA OMBRE C KP-HR03C:CLASSIC RED:11-12:PRINT:SS T-SHIRT</t>
  </si>
  <si>
    <t>T-SHIRT  KUNGFU PANDA OMBRE C KP-HR03C:CLASSIC RED:13-14:PRINT:SS T-SHIRT</t>
  </si>
  <si>
    <t>KP-A13A</t>
  </si>
  <si>
    <t>T-SHIRT  KUNGFU PANDA FP STICK A KP-A13A:CLASSIC RED:3-4:PRINT:SS T-SHIRT</t>
  </si>
  <si>
    <t>T-SHIRT  KUNGFU PANDA FP STICK A KP-A13A:CLASSIC RED:4-5:PRINT:SS T-SHIRT</t>
  </si>
  <si>
    <t>T-SHIRT  KUNGFU PANDA FP STICK A KP-A13A:CLASSIC RED:5-6:PRINT:SS T-SHIRT</t>
  </si>
  <si>
    <t>T-SHIRT  KUNGFU PANDA FP STICK A KP-A13A:CLASSIC RED:7-8:PRINT:SS T-SHIRT</t>
  </si>
  <si>
    <t>T-SHIRT  KUNGFU PANDA FP STICK A KP-A13A:CLASSIC RED:9-10:PRINT:SS T-SHIRT</t>
  </si>
  <si>
    <t>KP-A07C</t>
  </si>
  <si>
    <t>T-SHIRT  KUNGFU PANDA STRIKES C KP-A07C:CLASSIC RED:7-8:PRINT:SS T-SHIRT</t>
  </si>
  <si>
    <t>T-SHIRT  KUNGFU PANDA STRIKES C KP-A07C:CLASSIC RED:9-10:PRINT:SS T-SHIRT</t>
  </si>
  <si>
    <t>T-SHIRT  KUNGFU PANDA STRIKES C KP-A07C:CLASSIC RED:11-12:PRINT:SS T-SHIRT</t>
  </si>
  <si>
    <t>T-SHIRT  KUNGFU PANDA STRIKES C KP-A07C:CLASSIC RED:13-14:PRINT:SS T-SHIRT</t>
  </si>
  <si>
    <t>T-SHIRT  KUNGFU PANDA STRIKES C KP-A07C:CLASSIC RED:15-16:PRINT:SS T-SHIRT</t>
  </si>
  <si>
    <t>KP-A14C</t>
  </si>
  <si>
    <t>T-SHIRT  KUNGFU PANDA FP FIGHT C KP-A14C:WHITE:7-8:PRINT:SS T-SHIRT</t>
  </si>
  <si>
    <t>T-SHIRT  KUNGFU PANDA FP FIGHT C KP-A14C:WHITE:9-10:PRINT:SS T-SHIRT</t>
  </si>
  <si>
    <t>T-SHIRT  KUNGFU PANDA FP FIGHT C KP-A14C:WHITE:11-12:PRINT:SS T-SHIRT</t>
  </si>
  <si>
    <t>T-SHIRT  KUNGFU PANDA FP FIGHT C KP-A14C:WHITE:13-14:PRINT:SS T-SHIRT</t>
  </si>
  <si>
    <t>T-SHIRT  KUNGFU PANDA FP FIGHT C KP-A14C:WHITE:15-16:PRINT:SS T-SHIRT</t>
  </si>
  <si>
    <t>KP-A070C</t>
  </si>
  <si>
    <t>SS T-SHIRT KUNGFU PANDA FLY KICK C KP-A070C:CLASSIC YELLOW:7-8:PRINT:SS T-SHIRT</t>
  </si>
  <si>
    <t>SS T-SHIRT KUNGFU PANDA FLY KICK C KP-A070C:CLASSIC YELLOW:9-10:PRINT:SS T-SHIRT</t>
  </si>
  <si>
    <t>SS T-SHIRT KUNGFU PANDA FLY KICK C KP-A070C:CLASSIC YELLOW:11-12:PRINT:SS T-SHIRT</t>
  </si>
  <si>
    <t>SS T-SHIRT KUNGFU PANDA FLY KICK C KP-A070C:CLASSIC YELLOW:13-14:PRINT:SS T-SHIRT</t>
  </si>
  <si>
    <t>SS T-SHIRT KUNGFU PANDA FLY KICK C KP-A070C:CLASSIC YELLOW:15-16:PRINT:SS T-SHIRT</t>
  </si>
  <si>
    <t>MN-N064</t>
  </si>
  <si>
    <t>SS T-SHIRT MINIONS CLASSIC KTG JARING MN-N064:CLASSIC YELLOW:3-4:PRINT:SS T-SHIRT</t>
  </si>
  <si>
    <t>MN-N067</t>
  </si>
  <si>
    <t>JOGGER MINIONS CLASSIC MN-N067:BLACK:11-12:PRINT:LONG PANTS</t>
  </si>
  <si>
    <t>MN-HN02</t>
  </si>
  <si>
    <t>SS T-SHIRT MINIONS MOVIE POSTER MN-HN02:WHITE:7-8:GRAPHIC:SS T-SHIRT</t>
  </si>
  <si>
    <t>SS T-SHIRT MINIONS MOVIE POSTER MN-HN02:WHITE:11-12:GRAPHIC:SS T-SHIRT</t>
  </si>
  <si>
    <t>SS T-SHIRT MINIONS MOVIE POSTER MN-HN02:WHITE:15-16:GRAPHIC:SS T-SHIRT</t>
  </si>
  <si>
    <t>MN-HN04</t>
  </si>
  <si>
    <t>SS T-SHIRT MINIONS MOVIE MAKE MN-HN04:BLACK:7-8:GRAPHIC:SS T-SHIRT</t>
  </si>
  <si>
    <t>SS T-SHIRT MINIONS MOVIE MAKE MN-HN04:BLACK:9-10:GRAPHIC:SS T-SHIRT</t>
  </si>
  <si>
    <t>MN-N006</t>
  </si>
  <si>
    <t>SS T-SHIRT MINIONS MOVIE SALUR KTG MN-N006:NAVY BLUE:4-5:STRIPES:SS T-SHIRT</t>
  </si>
  <si>
    <t>SS T-SHIRT MINIONS MOVIE SALUR KTG MN-N006:NAVY BLUE:11-12:STRIPES:SS T-SHIRT</t>
  </si>
  <si>
    <t>SWEATER SUPERMAN LOGO LIS C HR375C:NAVY BLUE:9-10:PRINT:JACKET</t>
  </si>
  <si>
    <t>MN-HN03</t>
  </si>
  <si>
    <t>SS T-SHIRT MINIONS MOVIE SMALL MN-HN03:NAVY BLUE:11-12:GRAPHIC:SS T-SHIRT</t>
  </si>
  <si>
    <t>MN-N010</t>
  </si>
  <si>
    <t>SWEATER MINIONS MOVIE HOOD MN-N010:CLASSIC YELLOW:15-16:GRAPHIC:JACKET</t>
  </si>
  <si>
    <t>BT-HN53C</t>
  </si>
  <si>
    <t>T-SHIRT BATMAN 85 ROBIN C BT-HN53C:MISTY DARK BLUE:7-8:PRINT:SS T-SHIRT</t>
  </si>
  <si>
    <t>T-SHIRT BATMAN 85 ROBIN C BT-HN53C:MISTY DARK BLUE:9-10:PRINT:SS T-SHIRT</t>
  </si>
  <si>
    <t>T-SHIRT BATMAN 85 ROBIN C BT-HN53C:MISTY DARK BLUE:11-12:PRINT:SS T-SHIRT</t>
  </si>
  <si>
    <t>T-SHIRT BATMAN 85 ROBIN C BT-HN53C:MISTY DARK BLUE:13-14:PRINT:SS T-SHIRT</t>
  </si>
  <si>
    <t>T-SHIRT BATMAN 85 ROBIN C BT-HN53C:MISTY DARK BLUE:15-16:PRINT:SS T-SHIRT</t>
  </si>
  <si>
    <t>BT-HN52C</t>
  </si>
  <si>
    <t>T-SHIRT BATMAN 85 LONG LIVE C BT-HN52C:BLACK:7-8:PRINT:SS T-SHIRT</t>
  </si>
  <si>
    <t>T-SHIRT BATMAN 85 LONG LIVE C BT-HN52C:BLACK:9-10:PRINT:SS T-SHIRT</t>
  </si>
  <si>
    <t>T-SHIRT BATMAN 85 LONG LIVE C BT-HN52C:BLACK:11-12:PRINT:SS T-SHIRT</t>
  </si>
  <si>
    <t>T-SHIRT BATMAN 85 LONG LIVE C BT-HN52C:BLACK:13-14:PRINT:SS T-SHIRT</t>
  </si>
  <si>
    <t>T-SHIRT BATMAN 85 LONG LIVE C BT-HN52C:BLACK:15-16:PRINT:SS T-SHIRT</t>
  </si>
  <si>
    <t>N024Y</t>
  </si>
  <si>
    <t>SS T-SHIRT BATMAN CLASSIC WING A:CLASSIC YELLOW:3-4:GRAPHIC:SS T-SHIRT</t>
  </si>
  <si>
    <t>SS T-SHIRT BATMAN CLASSIC WING A:CLASSIC YELLOW:4-5:GRAPHIC:SS T-SHIRT</t>
  </si>
  <si>
    <t>SS T-SHIRT BATMAN CLASSIC WING A:CLASSIC YELLOW:5-6:GRAPHIC:SS T-SHIRT</t>
  </si>
  <si>
    <t>SS T-SHIRT BATMAN CLASSIC WING A:CLASSIC YELLOW:7-8:GRAPHIC:SS T-SHIRT</t>
  </si>
  <si>
    <t>SS T-SHIRT BATMAN CLASSIC WING A:CLASSIC YELLOW:9-10:GRAPHIC:SS T-SHIRT</t>
  </si>
  <si>
    <t>BT-HN53A</t>
  </si>
  <si>
    <t>SS T-SHIRT BATMAN 85 ROBIN A BT-HN53A:MISTY LIGHT BLUE:3-4:PRINT:SS T-SHIRT</t>
  </si>
  <si>
    <t>SS T-SHIRT BATMAN 85 ROBIN A BT-HN53A:MISTY LIGHT BLUE:4-5:PRINT:SS T-SHIRT</t>
  </si>
  <si>
    <t>SS T-SHIRT BATMAN 85 ROBIN A BT-HN53A:MISTY LIGHT BLUE:5-6:PRINT:SS T-SHIRT</t>
  </si>
  <si>
    <t>SS T-SHIRT BATMAN 85 ROBIN A BT-HN53A:MISTY LIGHT BLUE:7-8:PRINT:SS T-SHIRT</t>
  </si>
  <si>
    <t>BT-HN52A</t>
  </si>
  <si>
    <t>SS T-SHIRT BATMAN 85 LONG LIVE A BT-HN52A:BLACK:3-4:PRINT:SS T-SHIRT</t>
  </si>
  <si>
    <t>SS T-SHIRT BATMAN 85 LONG LIVE A BT-HN52A:BLACK:4-5:PRINT:SS T-SHIRT</t>
  </si>
  <si>
    <t>SS T-SHIRT BATMAN 85 LONG LIVE A BT-HN52A:BLACK:5-6:PRINT:SS T-SHIRT</t>
  </si>
  <si>
    <t>SS T-SHIRT BATMAN 85 LONG LIVE A BT-HN52A:BLACK:7-8:PRINT:SS T-SHIRT</t>
  </si>
  <si>
    <t>SS T-SHIRT MINIONS CLASSIC KTG JARING MN-N064:CLASSIC YELLOW:4-5:PRINT:SS T-SHIRT</t>
  </si>
  <si>
    <t>SS T-SHIRT MINIONS CLASSIC KTG JARING MN-N064:CLASSIC YELLOW:5-6:PRINT:SS T-SHIRT</t>
  </si>
  <si>
    <t>SS T-SHIRT MINIONS CLASSIC KTG JARING MN-N064:CLASSIC YELLOW:7-8:PRINT:SS T-SHIRT</t>
  </si>
  <si>
    <t>SS T-SHIRT MINIONS CLASSIC KTG JARING MN-N064:CLASSIC YELLOW:9-10:PRINT:SS T-SHIRT</t>
  </si>
  <si>
    <t>SS T-SHIRT MINIONS CLASSIC KTG JARING MN-N064:CLASSIC YELLOW:11-12:PRINT:SS T-SHIRT</t>
  </si>
  <si>
    <t>SS T-SHIRT MINIONS MOVIE POSTER MN-HN02:WHITE:3-4:GRAPHIC:SS T-SHIRT</t>
  </si>
  <si>
    <t>SS T-SHIRT MINIONS MOVIE POSTER MN-HN02:WHITE:4-5:GRAPHIC:SS T-SHIRT</t>
  </si>
  <si>
    <t>SS T-SHIRT MINIONS MOVIE POSTER MN-HN02:WHITE:5-6:GRAPHIC:SS T-SHIRT</t>
  </si>
  <si>
    <t>SS T-SHIRT MINIONS MOVIE POSTER MN-HN02:WHITE:9-10:GRAPHIC:SS T-SHIRT</t>
  </si>
  <si>
    <t>SS T-SHIRT MINIONS MOVIE POSTER MN-HN02:WHITE:13-14:GRAPHIC:SS T-SHIRT</t>
  </si>
  <si>
    <t>SS T-SHIRT MINIONS MOVIE MAKE MN-HN04:BLACK:3-4:GRAPHIC:SS T-SHIRT</t>
  </si>
  <si>
    <t>SS T-SHIRT MINIONS MOVIE MAKE MN-HN04:BLACK:4-5:GRAPHIC:SS T-SHIRT</t>
  </si>
  <si>
    <t>SS T-SHIRT MINIONS MOVIE MAKE MN-HN04:BLACK:5-6:GRAPHIC:SS T-SHIRT</t>
  </si>
  <si>
    <t>SS T-SHIRT MINIONS MOVIE MAKE MN-HN04:BLACK:11-12:GRAPHIC:SS T-SHIRT</t>
  </si>
  <si>
    <t>SS T-SHIRT MINIONS MOVIE SALUR KTG MN-N006:NAVY BLUE:3-4:STRIPES:SS T-SHIRT</t>
  </si>
  <si>
    <t>SS T-SHIRT MINIONS MOVIE SALUR KTG MN-N006:NAVY BLUE:5-6:STRIPES:SS T-SHIRT</t>
  </si>
  <si>
    <t>SS T-SHIRT MINIONS MOVIE SALUR KTG MN-N006:NAVY BLUE:7-8:STRIPES:SS T-SHIRT</t>
  </si>
  <si>
    <t>SS T-SHIRT MINIONS MOVIE SALUR KTG MN-N006:NAVY BLUE:9-10:STRIPES:SS T-SHIRT</t>
  </si>
  <si>
    <t>SS T-SHIRT MINIONS MOVIE SALUR KTG MN-N006:NAVY BLUE:13-14:STRIPES:SS T-SHIRT</t>
  </si>
  <si>
    <t>SS T-SHIRT MINIONS MOVIE SALUR KTG MN-N006:NAVY BLUE:15-16:STRIPES:SS T-SHIRT</t>
  </si>
  <si>
    <t>SS T-SHIRT MINIONS MOVIE SMALL MN-HN03:NAVY BLUE:3-4:GRAPHIC:SS T-SHIRT</t>
  </si>
  <si>
    <t>SS T-SHIRT MINIONS MOVIE SMALL MN-HN03:NAVY BLUE:4-5:GRAPHIC:SS T-SHIRT</t>
  </si>
  <si>
    <t>SS T-SHIRT MINIONS MOVIE SMALL MN-HN03:NAVY BLUE:5-6:GRAPHIC:SS T-SHIRT</t>
  </si>
  <si>
    <t>SS T-SHIRT MINIONS MOVIE SMALL MN-HN03:NAVY BLUE:7-8:GRAPHIC:SS T-SHIRT</t>
  </si>
  <si>
    <t>SS T-SHIRT MINIONS MOVIE SMALL MN-HN03:NAVY BLUE:9-10:GRAPHIC:SS T-SHIRT</t>
  </si>
  <si>
    <t>MN-HR02</t>
  </si>
  <si>
    <t>SS T-SHIRT MINIONS MOVIE CUT SEW MN-HR02:CLASSIC YELLOW:3-4:GRAPHIC:SS T-SHIRT</t>
  </si>
  <si>
    <t>SS T-SHIRT MINIONS MOVIE CUT SEW MN-HR02:CLASSIC YELLOW:4-5:GRAPHIC:SS T-SHIRT</t>
  </si>
  <si>
    <t>SS T-SHIRT MINIONS MOVIE CUT SEW MN-HR02:CLASSIC YELLOW:5-6:GRAPHIC:SS T-SHIRT</t>
  </si>
  <si>
    <t>SS T-SHIRT MINIONS MOVIE CUT SEW MN-HR02:CLASSIC YELLOW:7-8:GRAPHIC:SS T-SHIRT</t>
  </si>
  <si>
    <t>SS T-SHIRT MINIONS MOVIE CUT SEW MN-HR02:CLASSIC YELLOW:9-10:GRAPHIC:SS T-SHIRT</t>
  </si>
  <si>
    <t>SS T-SHIRT MINIONS MOVIE CUT SEW MN-HR02:CLASSIC YELLOW:11-12:GRAPHIC:SS T-SHIRT</t>
  </si>
  <si>
    <t>SS T-SHIRT MINIONS MOVIE CUT SEW MN-HR02:CLASSIC YELLOW:13-14:GRAPHIC:SS T-SHIRT</t>
  </si>
  <si>
    <t>SS T-SHIRT MINIONS MOVIE CUT SEW MN-HR02:CLASSIC YELLOW:15-16:GRAPHIC:SS T-SHIRT</t>
  </si>
  <si>
    <t>JOGGER MINIONS CLASSIC MN-N067:BLACK:3-4:PRINT:LONG PANTS</t>
  </si>
  <si>
    <t>JOGGER MINIONS CLASSIC MN-N067:BLACK:4-5:PRINT:LONG PANTS</t>
  </si>
  <si>
    <t>JOGGER MINIONS CLASSIC MN-N067:BLACK:5-6:PRINT:LONG PANTS</t>
  </si>
  <si>
    <t>JOGGER MINIONS CLASSIC MN-N067:BLACK:7-8:PRINT:LONG PANTS</t>
  </si>
  <si>
    <t>JOGGER MINIONS CLASSIC MN-N067:BLACK:9-10:PRINT:LONG PANTS</t>
  </si>
  <si>
    <t>JOGGER MINIONS CLASSIC MN-N067:BLACK:13-14:PRINT:LONG PANTS</t>
  </si>
  <si>
    <t>JOGGER MINIONS CLASSIC MN-N067:BLACK:15-16:PRINT:LONG PANTS</t>
  </si>
  <si>
    <t>MN-N008</t>
  </si>
  <si>
    <t>JOGGER MINIONS MOVIE LIS MN-N008:NAVY BLUE:3-4:GRAPHIC:LONG PANTS</t>
  </si>
  <si>
    <t>JOGGER MINIONS MOVIE LIS MN-N008:NAVY BLUE:4-5:GRAPHIC:LONG PANTS</t>
  </si>
  <si>
    <t>JOGGER MINIONS MOVIE LIS MN-N008:NAVY BLUE:5-6:GRAPHIC:LONG PANTS</t>
  </si>
  <si>
    <t>JOGGER MINIONS MOVIE LIS MN-N008:NAVY BLUE:7-8:GRAPHIC:LONG PANTS</t>
  </si>
  <si>
    <t>JOGGER MINIONS MOVIE LIS MN-N008:NAVY BLUE:9-10:GRAPHIC:LONG PANTS</t>
  </si>
  <si>
    <t>JOGGER MINIONS MOVIE LIS MN-N008:NAVY BLUE:11-12:GRAPHIC:LONG PANTS</t>
  </si>
  <si>
    <t>JOGGER MINIONS MOVIE LIS MN-N008:NAVY BLUE:13-14:GRAPHIC:LONG PANTS</t>
  </si>
  <si>
    <t>JOGGER MINIONS MOVIE LIS MN-N008:NAVY BLUE:15-16:GRAPHIC:LONG PANTS</t>
  </si>
  <si>
    <t>MB-HR427A</t>
  </si>
  <si>
    <t>T-SHIRT  MARIO KTG LOGO A MB-HR427A:CLASSIC RED:3-4:PRINT:SS T-SHIRT</t>
  </si>
  <si>
    <t>T-SHIRT  MARIO KTG LOGO A MB-HR427A:CLASSIC RED:4-5:PRINT:SS T-SHIRT</t>
  </si>
  <si>
    <t>T-SHIRT  MARIO KTG LOGO A MB-HR427A:CLASSIC RED:5-6:PRINT:SS T-SHIRT</t>
  </si>
  <si>
    <t>T-SHIRT  MARIO KTG LOGO A MB-HR427A:CLASSIC RED:7-8:PRINT:SS T-SHIRT</t>
  </si>
  <si>
    <t>T-SHIRT  MARIO KTG LOGO A MB-HR427A:CLASSIC RED:9-10:PRINT:SS T-SHIRT</t>
  </si>
  <si>
    <t>MB-A03A</t>
  </si>
  <si>
    <t>T-SHIRT  MARIO LUIGI POSTER LIS A MB-A03A:CLASSIC RED:3-4:PRINT:SS T-SHIRT</t>
  </si>
  <si>
    <t>T-SHIRT  MARIO LUIGI POSTER LIS A MB-A03A:CLASSIC RED:4-5:PRINT:SS T-SHIRT</t>
  </si>
  <si>
    <t>T-SHIRT  MARIO LUIGI POSTER LIS A MB-A03A:CLASSIC RED:5-6:PRINT:SS T-SHIRT</t>
  </si>
  <si>
    <t>T-SHIRT  MARIO LUIGI POSTER LIS A MB-A03A:CLASSIC RED:7-8:PRINT:SS T-SHIRT</t>
  </si>
  <si>
    <t>T-SHIRT  MARIO LUIGI POSTER LIS A MB-A03A:CLASSIC RED:9-10:PRINT:SS T-SHIRT</t>
  </si>
  <si>
    <t>MB-HR426A</t>
  </si>
  <si>
    <t>T-SHIRT  MARIO IT-SHIRT  ME FP A MB-HR426A:NAVY BLUE:3-4:PRINT:SS T-SHIRT</t>
  </si>
  <si>
    <t>T-SHIRT  MARIO IT-SHIRT  ME FP A MB-HR426A:NAVY BLUE:4-5:PRINT:SS T-SHIRT</t>
  </si>
  <si>
    <t>T-SHIRT  MARIO IT-SHIRT  ME FP A MB-HR426A:NAVY BLUE:5-6:PRINT:SS T-SHIRT</t>
  </si>
  <si>
    <t>T-SHIRT  MARIO IT-SHIRT  ME FP A MB-HR426A:NAVY BLUE:7-8:PRINT:SS T-SHIRT</t>
  </si>
  <si>
    <t>T-SHIRT  MARIO IT-SHIRT  ME FP A MB-HR426A:NAVY BLUE:9-10:PRINT:SS T-SHIRT</t>
  </si>
  <si>
    <t>MB-HR428A</t>
  </si>
  <si>
    <t>T-SHIRT  MARIO TULISAN TENGAH A MB-HR428A:CLASSIC RED:3-4:PRINT:SS T-SHIRT</t>
  </si>
  <si>
    <t>T-SHIRT  MARIO TULISAN TENGAH A MB-HR428A:CLASSIC RED:4-5:PRINT:SS T-SHIRT</t>
  </si>
  <si>
    <t>T-SHIRT  MARIO TULISAN TENGAH A MB-HR428A:CLASSIC RED:5-6:PRINT:SS T-SHIRT</t>
  </si>
  <si>
    <t>T-SHIRT  MARIO TULISAN TENGAH A MB-HR428A:CLASSIC RED:7-8:PRINT:SS T-SHIRT</t>
  </si>
  <si>
    <t>T-SHIRT  MARIO TULISAN TENGAH A MB-HR428A:CLASSIC RED:9-10:PRINT:SS T-SHIRT</t>
  </si>
  <si>
    <t>MB-HR429A</t>
  </si>
  <si>
    <t>T-SHIRT  MARIO &amp; LUIGI BROTHERS A MB-HR429A:WHITE:7-8:PRINT:SS T-SHIRT</t>
  </si>
  <si>
    <t>T-SHIRT  MARIO &amp; LUIGI BROTHERS A MB-HR429A:WHITE:9-10:PRINT:SS T-SHIRT</t>
  </si>
  <si>
    <t>T-SHIRT  MARIO &amp; LUIGI BROTHERS A MB-HR429A:WHITE:11-12:PRINT:SS T-SHIRT</t>
  </si>
  <si>
    <t>T-SHIRT  MARIO &amp; LUIGI BROTHERS A MB-HR429A:WHITE:13-14:PRINT:SS T-SHIRT</t>
  </si>
  <si>
    <t>T-SHIRT  MARIO &amp; LUIGI BROTHERS A MB-HR429A:WHITE:15-16:PRINT:SS T-SHIRT</t>
  </si>
  <si>
    <t>MB-N010C</t>
  </si>
  <si>
    <t>T-SHIRT  MARIO FP JUMP C MB-N010C:NAVY BLUE:7-8:PRINT:SS T-SHIRT</t>
  </si>
  <si>
    <t>T-SHIRT  MARIO FP JUMP C MB-N010C:NAVY BLUE:9-10:PRINT:SS T-SHIRT</t>
  </si>
  <si>
    <t>T-SHIRT  MARIO FP JUMP C MB-N010C:NAVY BLUE:11-12:PRINT:SS T-SHIRT</t>
  </si>
  <si>
    <t>T-SHIRT  MARIO FP JUMP C MB-N010C:NAVY BLUE:13-14:PRINT:SS T-SHIRT</t>
  </si>
  <si>
    <t>T-SHIRT  MARIO FP JUMP C MB-N010C:NAVY BLUE:15-16:PRINT:SS T-SHIRT</t>
  </si>
  <si>
    <t>MB-N037C</t>
  </si>
  <si>
    <t>T-SHIRT  MARIO FP LUIGI BOWSER C MB-N037C:WHITE:7-8:PRINT:SS T-SHIRT</t>
  </si>
  <si>
    <t>T-SHIRT  MARIO FP LUIGI BOWSER C MB-N037C:WHITE:9-10:PRINT:SS T-SHIRT</t>
  </si>
  <si>
    <t>T-SHIRT  MARIO FP LUIGI BOWSER C MB-N037C:WHITE:11-12:PRINT:SS T-SHIRT</t>
  </si>
  <si>
    <t>T-SHIRT  MARIO FP LUIGI BOWSER C MB-N037C:WHITE:13-14:PRINT:SS T-SHIRT</t>
  </si>
  <si>
    <t>T-SHIRT  MARIO FP LUIGI BOWSER C MB-N037C:WHITE:15-16:PRINT:SS T-SHIRT</t>
  </si>
  <si>
    <t>MN-N068</t>
  </si>
  <si>
    <t>SWEATER MINIONS CLASSIC HOOD MN-N068:BLACK:3-4:PRINT:JACKET</t>
  </si>
  <si>
    <t>BXGY</t>
  </si>
  <si>
    <t>SWEATER MINIONS CLASSIC HOOD MN-N068:BLACK:4-5:PRINT:JACKET</t>
  </si>
  <si>
    <t>SWEATER MINIONS CLASSIC HOOD MN-N068:BLACK:5-6:PRINT:JACKET</t>
  </si>
  <si>
    <t>SWEATER MINIONS CLASSIC HOOD MN-N068:BLACK:7-8:PRINT:JACKET</t>
  </si>
  <si>
    <t>SWEATER MINIONS CLASSIC HOOD MN-N068:BLACK:9-10:PRINT:JACKET</t>
  </si>
  <si>
    <t>SWEATER MINIONS CLASSIC HOOD MN-N068:BLACK:11-12:PRINT:JACKET</t>
  </si>
  <si>
    <t>SWEATER MINIONS CLASSIC HOOD MN-N068:BLACK:13-14:PRINT:JACKET</t>
  </si>
  <si>
    <t>SWEATER MINIONS CLASSIC HOOD MN-N068:BLACK:15-16:PRINT:JACKET</t>
  </si>
  <si>
    <t>SWEATER MINIONS MOVIE HOOD MN-N010:CLASSIC YELLOW:3-4:GRAPHIC:JACKET</t>
  </si>
  <si>
    <t>SWEATER MINIONS MOVIE HOOD MN-N010:CLASSIC YELLOW:4-5:GRAPHIC:JACKET</t>
  </si>
  <si>
    <t>SWEATER MINIONS MOVIE HOOD MN-N010:CLASSIC YELLOW:5-6:GRAPHIC:JACKET</t>
  </si>
  <si>
    <t>SWEATER MINIONS MOVIE HOOD MN-N010:CLASSIC YELLOW:7-8:GRAPHIC:JACKET</t>
  </si>
  <si>
    <t>SWEATER MINIONS MOVIE HOOD MN-N010:CLASSIC YELLOW:9-10:GRAPHIC:JACKET</t>
  </si>
  <si>
    <t>SWEATER MINIONS MOVIE HOOD MN-N010:CLASSIC YELLOW:11-12:GRAPHIC:JACKET</t>
  </si>
  <si>
    <t>SWEATER MINIONS MOVIE HOOD MN-N010:CLASSIC YELLOW:13-14:GRAPHIC:JACKET</t>
  </si>
  <si>
    <t>MN-N030</t>
  </si>
  <si>
    <t>SHORT PANTS MINIONS MOVIE MN-N030:NAVY BLUE:3-4:GRAPHIC:SHORT PANTS</t>
  </si>
  <si>
    <t>SHORT PANTS MINIONS MOVIE MN-N030:NAVY BLUE:4-5:GRAPHIC:SHORT PANTS</t>
  </si>
  <si>
    <t>SHORT PANTS MINIONS MOVIE MN-N030:NAVY BLUE:5-6:GRAPHIC:SHORT PANTS</t>
  </si>
  <si>
    <t>SHORT PANTS MINIONS MOVIE MN-N030:NAVY BLUE:7-8:GRAPHIC:SHORT PANTS</t>
  </si>
  <si>
    <t>SHORT PANTS MINIONS MOVIE MN-N030:NAVY BLUE:9-10:GRAPHIC:SHORT PANTS</t>
  </si>
  <si>
    <t>SHORT PANTS MINIONS MOVIE MN-N030:NAVY BLUE:11-12:GRAPHIC:SHORT PANTS</t>
  </si>
  <si>
    <t>SHORT PANTS MINIONS MOVIE MN-N030:NAVY BLUE:13-14:GRAPHIC:SHORT PANTS</t>
  </si>
  <si>
    <t>SHORT PANTS MINIONS MOVIE MN-N030:NAVY BLUE:15-16:GRAPHIC:SHORT PANTS</t>
  </si>
  <si>
    <t>MN-N033</t>
  </si>
  <si>
    <t>SS T-SHIRT MINIONS CLASSIC FP MN-N033:WHITE:3-4:PRINT:SS T-SHIRT</t>
  </si>
  <si>
    <t>SS T-SHIRT MINIONS CLASSIC FP MN-N033:WHITE:4-5:PRINT:SS T-SHIRT</t>
  </si>
  <si>
    <t>SS T-SHIRT MINIONS CLASSIC FP MN-N033:WHITE:5-6:PRINT:SS T-SHIRT</t>
  </si>
  <si>
    <t>SS T-SHIRT MINIONS CLASSIC FP MN-N033:WHITE:7-8:PRINT:SS T-SHIRT</t>
  </si>
  <si>
    <t>SS T-SHIRT MINIONS CLASSIC FP MN-N033:WHITE:9-10:PRINT:SS T-SHIRT</t>
  </si>
  <si>
    <t>SS T-SHIRT MINIONS CLASSIC FP MN-N033:WHITE:11-12:PRINT:SS T-SHIRT</t>
  </si>
  <si>
    <t>SS T-SHIRT MINIONS CLASSIC FP MN-N033:WHITE:13-14:PRINT:SS T-SHIRT</t>
  </si>
  <si>
    <t>SS T-SHIRT MINIONS CLASSIC FP MN-N033:WHITE:15-16:PRINT:SS T-SHIRT</t>
  </si>
  <si>
    <t>MN-N004</t>
  </si>
  <si>
    <t>SS T-SHIRT MINIONS MOVIE FP STUART MN-N004:CLASSIC YELLOW:3-4:GRAPHIC:SS T-SHIRT</t>
  </si>
  <si>
    <t>SS T-SHIRT MINIONS MOVIE FP STUART MN-N004:CLASSIC YELLOW:4-5:GRAPHIC:SS T-SHIRT</t>
  </si>
  <si>
    <t>SS T-SHIRT MINIONS MOVIE FP STUART MN-N004:CLASSIC YELLOW:5-6:GRAPHIC:SS T-SHIRT</t>
  </si>
  <si>
    <t>SS T-SHIRT MINIONS MOVIE FP STUART MN-N004:CLASSIC YELLOW:7-8:GRAPHIC:SS T-SHIRT</t>
  </si>
  <si>
    <t>SS T-SHIRT MINIONS MOVIE FP STUART MN-N004:CLASSIC YELLOW:9-10:GRAPHIC:SS T-SHIRT</t>
  </si>
  <si>
    <t>SS T-SHIRT MINIONS MOVIE FP STUART MN-N004:CLASSIC YELLOW:11-12:GRAPHIC:SS T-SHIRT</t>
  </si>
  <si>
    <t>SS T-SHIRT MINIONS MOVIE FP STUART MN-N004:CLASSIC YELLOW:13-14:GRAPHIC:SS T-SHIRT</t>
  </si>
  <si>
    <t>SS T-SHIRT MINIONS MOVIE FP STUART MN-N004:CLASSIC YELLOW:15-16:GRAPHIC:SS T-SHIRT</t>
  </si>
  <si>
    <t>SS T-SHIRT MINIONS MOVIE TEAMS MN-N010:WHITE:3-4:GRAPHIC:SS T-SHIRT</t>
  </si>
  <si>
    <t>SS T-SHIRT MINIONS MOVIE TEAMS MN-N010:WHITE:4-5:GRAPHIC:SS T-SHIRT</t>
  </si>
  <si>
    <t>SS T-SHIRT MINIONS MOVIE TEAMS MN-N010:WHITE:5-6:GRAPHIC:SS T-SHIRT</t>
  </si>
  <si>
    <t>SS T-SHIRT MINIONS MOVIE TEAMS MN-N010:WHITE:7-8:GRAPHIC:SS T-SHIRT</t>
  </si>
  <si>
    <t>SS T-SHIRT MINIONS MOVIE TEAMS MN-N010:WHITE:9-10:GRAPHIC:SS T-SHIRT</t>
  </si>
  <si>
    <t>SS T-SHIRT MINIONS MOVIE TEAMS MN-N010:WHITE:11-12:GRAPHIC:SS T-SHIRT</t>
  </si>
  <si>
    <t>SS T-SHIRT MINIONS MOVIE TEAMS MN-N010:WHITE:13-14:GRAPHIC:SS T-SHIRT</t>
  </si>
  <si>
    <t>SS T-SHIRT MINIONS MOVIE TEAMS MN-N010:WHITE:15-16:GRAPHIC:SS T-SHIRT</t>
  </si>
  <si>
    <t>MN-N031</t>
  </si>
  <si>
    <t>SS T-SHIRT MINIONS MOVIE FP RGLN MN-N031:WHITE:3-4:GRAPHIC:SS T-SHIRT</t>
  </si>
  <si>
    <t>SS T-SHIRT MINIONS MOVIE FP RGLN MN-N031:WHITE:4-5:GRAPHIC:SS T-SHIRT</t>
  </si>
  <si>
    <t>SS T-SHIRT MINIONS MOVIE FP RGLN MN-N031:WHITE:5-6:GRAPHIC:SS T-SHIRT</t>
  </si>
  <si>
    <t>SS T-SHIRT MINIONS MOVIE FP RGLN MN-N031:WHITE:7-8:GRAPHIC:SS T-SHIRT</t>
  </si>
  <si>
    <t>SS T-SHIRT MINIONS MOVIE FP RGLN MN-N031:WHITE:9-10:GRAPHIC:SS T-SHIRT</t>
  </si>
  <si>
    <t>SS T-SHIRT MINIONS MOVIE FP RGLN MN-N031:WHITE:11-12:GRAPHIC:SS T-SHIRT</t>
  </si>
  <si>
    <t>SS T-SHIRT MINIONS MOVIE FP RGLN MN-N031:WHITE:13-14:GRAPHIC:SS T-SHIRT</t>
  </si>
  <si>
    <t>SS T-SHIRT MINIONS MOVIE FP RGLN MN-N031:WHITE:15-16:GRAPHIC:SS T-SHIRT</t>
  </si>
  <si>
    <t>TF-N074</t>
  </si>
  <si>
    <t>SS T-SHIRT TF ONE KTG PRINT OPTIMUS TF-N074:CLASSIC RED:3-4:GRAPHIC:SS T-SHIRT</t>
  </si>
  <si>
    <t>SS T-SHIRT TF ONE KTG PRINT OPTIMUS TF-N074:CLASSIC RED:4-5:GRAPHIC:SS T-SHIRT</t>
  </si>
  <si>
    <t>SS T-SHIRT TF ONE KTG PRINT OPTIMUS TF-N074:CLASSIC RED:5-6:GRAPHIC:SS T-SHIRT</t>
  </si>
  <si>
    <t>SS T-SHIRT TF ONE KTG PRINT OPTIMUS TF-N074:CLASSIC RED:7-8:GRAPHIC:SS T-SHIRT</t>
  </si>
  <si>
    <t>SS T-SHIRT TF ONE KTG PRINT OPTIMUS TF-N074:CLASSIC RED:9-10:GRAPHIC:SS T-SHIRT</t>
  </si>
  <si>
    <t>SS T-SHIRT TF ONE KTG PRINT OPTIMUS TF-N074:CLASSIC RED:11-12:GRAPHIC:SS T-SHIRT</t>
  </si>
  <si>
    <t>SS T-SHIRT TF ONE KTG PRINT OPTIMUS TF-N074:CLASSIC RED:13-14:GRAPHIC:SS T-SHIRT</t>
  </si>
  <si>
    <t>SS T-SHIRT TF ONE KTG PRINT OPTIMUS TF-N074:CLASSIC RED:15-16:GRAPHIC:SS T-SHIRT</t>
  </si>
  <si>
    <t>TF-N073</t>
  </si>
  <si>
    <t>SS T-SHIRT TF ONE OPTIMUS GREAT TF-N073:MISTY LIGHT BLUE:3-4:GRAPHIC:SS T-SHIRT</t>
  </si>
  <si>
    <t>SS T-SHIRT TF ONE OPTIMUS GREAT TF-N073:MISTY LIGHT BLUE:4-5:GRAPHIC:SS T-SHIRT</t>
  </si>
  <si>
    <t>SS T-SHIRT TF ONE OPTIMUS GREAT TF-N073:MISTY LIGHT BLUE:5-6:GRAPHIC:SS T-SHIRT</t>
  </si>
  <si>
    <t>SS T-SHIRT TF ONE OPTIMUS GREAT TF-N073:MISTY LIGHT BLUE:7-8:GRAPHIC:SS T-SHIRT</t>
  </si>
  <si>
    <t>SS T-SHIRT TF ONE OPTIMUS GREAT TF-N073:MISTY LIGHT BLUE:9-10:GRAPHIC:SS T-SHIRT</t>
  </si>
  <si>
    <t>SS T-SHIRT TF ONE OPTIMUS GREAT TF-N073:MISTY LIGHT BLUE:11-12:GRAPHIC:SS T-SHIRT</t>
  </si>
  <si>
    <t>SS T-SHIRT TF ONE OPTIMUS GREAT TF-N073:MISTY LIGHT BLUE:13-14:GRAPHIC:SS T-SHIRT</t>
  </si>
  <si>
    <t>SS T-SHIRT TF ONE OPTIMUS GREAT TF-N073:MISTY LIGHT BLUE:15-16:GRAPHIC:SS T-SHIRT</t>
  </si>
  <si>
    <t>TF-N085</t>
  </si>
  <si>
    <t>SS T-SHIRT TF ONE BUMBLEBEE POSE TF-N085:BLACK:3-4:GRAPHIC:SS T-SHIRT</t>
  </si>
  <si>
    <t>SS T-SHIRT TF ONE BUMBLEBEE POSE TF-N085:BLACK:4-5:GRAPHIC:SS T-SHIRT</t>
  </si>
  <si>
    <t>SS T-SHIRT TF ONE BUMBLEBEE POSE TF-N085:BLACK:5-6:GRAPHIC:SS T-SHIRT</t>
  </si>
  <si>
    <t>SS T-SHIRT TF ONE BUMBLEBEE POSE TF-N085:BLACK:7-8:GRAPHIC:SS T-SHIRT</t>
  </si>
  <si>
    <t>SS T-SHIRT TF ONE BUMBLEBEE POSE TF-N085:BLACK:9-10:GRAPHIC:SS T-SHIRT</t>
  </si>
  <si>
    <t>SS T-SHIRT TF ONE BUMBLEBEE POSE TF-N085:BLACK:11-12:GRAPHIC:SS T-SHIRT</t>
  </si>
  <si>
    <t>SS T-SHIRT TF ONE BUMBLEBEE POSE TF-N085:BLACK:13-14:GRAPHIC:SS T-SHIRT</t>
  </si>
  <si>
    <t>SS T-SHIRT TF ONE BUMBLEBEE POSE TF-N085:BLACK:15-16:GRAPHIC:SS T-SHIRT</t>
  </si>
  <si>
    <t>MN-N062</t>
  </si>
  <si>
    <t>SS T-SHIRT MINIONS CLASSIC FP ZIP MN-N062:MISTY LIGHT GREY:3-4:PRINT:SS T-SHIRT</t>
  </si>
  <si>
    <t>SS T-SHIRT MINIONS CLASSIC FP ZIP MN-N062:MISTY LIGHT GREY:4-5:PRINT:SS T-SHIRT</t>
  </si>
  <si>
    <t>SS T-SHIRT MINIONS CLASSIC FP ZIP MN-N062:MISTY LIGHT GREY:5-6:PRINT:SS T-SHIRT</t>
  </si>
  <si>
    <t>SS T-SHIRT MINIONS CLASSIC FP ZIP MN-N062:MISTY LIGHT GREY:7-8:PRINT:SS T-SHIRT</t>
  </si>
  <si>
    <t>SS T-SHIRT MINIONS CLASSIC FP ZIP MN-N062:MISTY LIGHT GREY:9-10:PRINT:SS T-SHIRT</t>
  </si>
  <si>
    <t>SS T-SHIRT MINIONS CLASSIC FP ZIP MN-N062:MISTY LIGHT GREY:11-12:PRINT:SS T-SHIRT</t>
  </si>
  <si>
    <t>SS T-SHIRT MINIONS CLASSIC FP ZIP MN-N062:MISTY LIGHT GREY:13-14:PRINT:SS T-SHIRT</t>
  </si>
  <si>
    <t>SS T-SHIRT MINIONS CLASSIC FP ZIP MN-N062:MISTY LIGHT GREY:15-16:PRINT:SS T-SHIRT</t>
  </si>
  <si>
    <t>MN-N066</t>
  </si>
  <si>
    <t>SS T-SHIRT MINIONS CLASSIC HOOD MN-N066:NAVY BLUE:3-4:PRINT:SS T-SHIRT</t>
  </si>
  <si>
    <t>SS T-SHIRT MINIONS CLASSIC HOOD MN-N066:NAVY BLUE:4-5:PRINT:SS T-SHIRT</t>
  </si>
  <si>
    <t>SS T-SHIRT MINIONS CLASSIC HOOD MN-N066:NAVY BLUE:5-6:PRINT:SS T-SHIRT</t>
  </si>
  <si>
    <t>SS T-SHIRT MINIONS CLASSIC HOOD MN-N066:NAVY BLUE:7-8:PRINT:SS T-SHIRT</t>
  </si>
  <si>
    <t>SS T-SHIRT MINIONS CLASSIC HOOD MN-N066:NAVY BLUE:9-10:PRINT:SS T-SHIRT</t>
  </si>
  <si>
    <t>SS T-SHIRT MINIONS CLASSIC HOOD MN-N066:NAVY BLUE:11-12:PRINT:SS T-SHIRT</t>
  </si>
  <si>
    <t>MN-N063</t>
  </si>
  <si>
    <t>SS T-SHIRT MINIONS CLASSIC KTG ZIP MN-N063:CLASSIC YELLOW:3-4:PRINT:SS T-SHIRT</t>
  </si>
  <si>
    <t>SS T-SHIRT MINIONS CLASSIC KTG ZIP MN-N063:CLASSIC YELLOW:4-5:PRINT:SS T-SHIRT</t>
  </si>
  <si>
    <t>SS T-SHIRT MINIONS CLASSIC KTG ZIP MN-N063:CLASSIC YELLOW:5-6:PRINT:SS T-SHIRT</t>
  </si>
  <si>
    <t>SS T-SHIRT MINIONS CLASSIC KTG ZIP MN-N063:CLASSIC YELLOW:7-8:PRINT:SS T-SHIRT</t>
  </si>
  <si>
    <t>SS T-SHIRT MINIONS CLASSIC KTG ZIP MN-N063:CLASSIC YELLOW:9-10:PRINT:SS T-SHIRT</t>
  </si>
  <si>
    <t>SS T-SHIRT MINIONS CLASSIC KTG ZIP MN-N063:CLASSIC YELLOW:11-12:PRINT:SS T-SHIRT</t>
  </si>
  <si>
    <t>SS T-SHIRT MINIONS CLASSIC KTG ZIP MN-N063:CLASSIC YELLOW:13-14:PRINT:SS T-SHIRT</t>
  </si>
  <si>
    <t>SS T-SHIRT MINIONS CLASSIC KTG ZIP MN-N063:CLASSIC YELLOW:15-16:PRINT:SS T-SHIRT</t>
  </si>
  <si>
    <t>MN-HN05</t>
  </si>
  <si>
    <t>SS T-SHIRT MINIONS MOVIE US LIS LGN MN-HN05:CLASSIC YELLOW:3-4:GRAPHIC:SS T-SHIRT</t>
  </si>
  <si>
    <t>SS T-SHIRT MINIONS MOVIE US LIS LGN MN-HN05:CLASSIC YELLOW:4-5:GRAPHIC:SS T-SHIRT</t>
  </si>
  <si>
    <t>SS T-SHIRT MINIONS MOVIE US LIS LGN MN-HN05:CLASSIC YELLOW:5-6:GRAPHIC:SS T-SHIRT</t>
  </si>
  <si>
    <t>SS T-SHIRT MINIONS MOVIE US LIS LGN MN-HN05:CLASSIC YELLOW:7-8:GRAPHIC:SS T-SHIRT</t>
  </si>
  <si>
    <t>SS T-SHIRT MINIONS MOVIE US LIS LGN MN-HN05:CLASSIC YELLOW:9-10:GRAPHIC:SS T-SHIRT</t>
  </si>
  <si>
    <t>SS T-SHIRT MINIONS MOVIE US LIS LGN MN-HN05:CLASSIC YELLOW:11-12:GRAPHIC:SS T-SHIRT</t>
  </si>
  <si>
    <t>SS T-SHIRT MINIONS MOVIE US LIS LGN MN-HN05:CLASSIC YELLOW:13-14:GRAPHIC:SS T-SHIRT</t>
  </si>
  <si>
    <t>SS T-SHIRT MINIONS MOVIE US LIS LGN MN-HN05:CLASSIC YELLOW:15-16:GRAPHIC:SS T-SHIRT</t>
  </si>
  <si>
    <t>MN-N065</t>
  </si>
  <si>
    <t>SHORT MINIONS CLASSIC MN-N065:NAVY BLUE:3-4:PRINT:SHORT PANTS</t>
  </si>
  <si>
    <t>SHORT MINIONS CLASSIC MN-N065:NAVY BLUE:4-5:PRINT:SHORT PANTS</t>
  </si>
  <si>
    <t>SHORT MINIONS CLASSIC MN-N065:NAVY BLUE:5-6:PRINT:SHORT PANTS</t>
  </si>
  <si>
    <t>SHORT MINIONS CLASSIC MN-N065:NAVY BLUE:7-8:PRINT:SHORT PANTS</t>
  </si>
  <si>
    <t>SHORT MINIONS CLASSIC MN-N065:NAVY BLUE:9-10:PRINT:SHORT PANTS</t>
  </si>
  <si>
    <t>SHORT MINIONS CLASSIC MN-N065:NAVY BLUE:11-12:PRINT:SHORT PANTS</t>
  </si>
  <si>
    <t>BG-069A</t>
  </si>
  <si>
    <t>T-SHIRT BATMAN GOTHAM A BG-069A:WHITE:3-4:PRINT:SS T-SHIRT</t>
  </si>
  <si>
    <t>T-SHIRT BATMAN GOTHAM A BG-069A:WHITE:4-5:PRINT:SS T-SHIRT</t>
  </si>
  <si>
    <t>T-SHIRT BATMAN GOTHAM A BG-069A:WHITE:5-6:PRINT:SS T-SHIRT</t>
  </si>
  <si>
    <t>T-SHIRT BATMAN GOTHAM A BG-069A:WHITE:7-8:PRINT:SS T-SHIRT</t>
  </si>
  <si>
    <t>T-SHIRT BATMAN GOTHAM A BG-069A:WHITE:9-10:PRINT:SS T-SHIRT</t>
  </si>
  <si>
    <t>TF-N071</t>
  </si>
  <si>
    <t>SS T-SHIRT TF ONE LOGO KTG ZIPPER TF-N071:MISTY DARK GREY:5-6:GRAPHIC:SS T-SHIRT</t>
  </si>
  <si>
    <t>SS T-SHIRT TF ONE LOGO KTG ZIPPER TF-N071:MISTY DARK GREY:7-8:GRAPHIC:SS T-SHIRT</t>
  </si>
  <si>
    <t>SS T-SHIRT TF ONE LOGO KTG ZIPPER TF-N071:MISTY DARK GREY:9-10:GRAPHIC:SS T-SHIRT</t>
  </si>
  <si>
    <t>SS T-SHIRT TF ONE LOGO KTG ZIPPER TF-N071:MISTY DARK GREY:11-12:GRAPHIC:SS T-SHIRT</t>
  </si>
  <si>
    <t>SS T-SHIRT TF ONE LOGO KTG ZIPPER TF-N071:MISTY DARK GREY:13-14:GRAPHIC:SS T-SHIRT</t>
  </si>
  <si>
    <t>SS T-SHIRT TF ONE LOGO KTG ZIPPER TF-N071:MISTY DARK GREY:15-16:GRAPHIC:SS T-SHIRT</t>
  </si>
  <si>
    <t>TF-N072</t>
  </si>
  <si>
    <t>SS T-SHIRT TF ONE KTG ZIPPER LOGO TF-N072:MISTY MEDIUM BLUE:5-6:GRAPHIC:SS T-SHIRT</t>
  </si>
  <si>
    <t>SS T-SHIRT TF ONE KTG ZIPPER LOGO TF-N072:MISTY MEDIUM BLUE:7-8:GRAPHIC:SS T-SHIRT</t>
  </si>
  <si>
    <t>SS T-SHIRT TF ONE KTG ZIPPER LOGO TF-N072:MISTY MEDIUM BLUE:9-10:GRAPHIC:SS T-SHIRT</t>
  </si>
  <si>
    <t>SS T-SHIRT TF ONE KTG ZIPPER LOGO TF-N072:MISTY MEDIUM BLUE:11-12:GRAPHIC:SS T-SHIRT</t>
  </si>
  <si>
    <t>SS T-SHIRT TF ONE KTG ZIPPER LOGO TF-N072:MISTY MEDIUM BLUE:13-14:GRAPHIC:SS T-SHIRT</t>
  </si>
  <si>
    <t>SS T-SHIRT TF ONE KTG ZIPPER LOGO TF-N072:MISTY MEDIUM BLUE:15-16:GRAPHIC:SS T-SHIRT</t>
  </si>
  <si>
    <t>TF-N082</t>
  </si>
  <si>
    <t>SS T-SHIRT TF ONE TEAMS TF-N082:MISTY MEDIUM GREY:3-4:GRAPHIC:SS T-SHIRT</t>
  </si>
  <si>
    <t>SS T-SHIRT TF ONE TEAMS TF-N082:MISTY MEDIUM GREY:4-5:GRAPHIC:SS T-SHIRT</t>
  </si>
  <si>
    <t>SS T-SHIRT TF ONE TEAMS TF-N082:MISTY MEDIUM GREY:5-6:GRAPHIC:SS T-SHIRT</t>
  </si>
  <si>
    <t>SS T-SHIRT TF ONE TEAMS TF-N082:MISTY MEDIUM GREY:7-8:GRAPHIC:SS T-SHIRT</t>
  </si>
  <si>
    <t>SS T-SHIRT TF ONE TEAMS TF-N082:MISTY MEDIUM GREY:9-10:GRAPHIC:SS T-SHIRT</t>
  </si>
  <si>
    <t>SS T-SHIRT TF ONE TEAMS TF-N082:MISTY MEDIUM GREY:11-12:GRAPHIC:SS T-SHIRT</t>
  </si>
  <si>
    <t>SS T-SHIRT TF ONE TEAMS TF-N082:MISTY MEDIUM GREY:13-14:GRAPHIC:SS T-SHIRT</t>
  </si>
  <si>
    <t>SS T-SHIRT TF ONE TEAMS TF-N082:MISTY MEDIUM GREY:15-16:GRAPHIC:SS T-SHIRT</t>
  </si>
  <si>
    <t>TF-N087</t>
  </si>
  <si>
    <t>SS T-SHIRT TF ONE BUMBLEBEE CAR TF-N087:WHITE:3-4:GRAPHIC:SS T-SHIRT</t>
  </si>
  <si>
    <t>SS T-SHIRT TF ONE BUMBLEBEE CAR TF-N087:WHITE:4-5:GRAPHIC:SS T-SHIRT</t>
  </si>
  <si>
    <t>SS T-SHIRT TF ONE BUMBLEBEE CAR TF-N087:WHITE:5-6:GRAPHIC:SS T-SHIRT</t>
  </si>
  <si>
    <t>SS T-SHIRT TF ONE BUMBLEBEE CAR TF-N087:WHITE:7-8:GRAPHIC:SS T-SHIRT</t>
  </si>
  <si>
    <t>SS T-SHIRT TF ONE BUMBLEBEE CAR TF-N087:WHITE:9-10:GRAPHIC:SS T-SHIRT</t>
  </si>
  <si>
    <t>SS T-SHIRT TF ONE BUMBLEBEE CAR TF-N087:WHITE:11-12:GRAPHIC:SS T-SHIRT</t>
  </si>
  <si>
    <t>SS T-SHIRT TF ONE BUMBLEBEE CAR TF-N087:WHITE:13-14:GRAPHIC:SS T-SHIRT</t>
  </si>
  <si>
    <t>SS T-SHIRT TF ONE BUMBLEBEE CAR TF-N087:WHITE:15-16:GRAPHIC:SS T-SHIRT</t>
  </si>
  <si>
    <t>TF-N069</t>
  </si>
  <si>
    <t>SS T-SHIRT TF ONE B-127 SLUB TF-N069:NAVY BLUE:3-4:GRAPHIC:SS T-SHIRT</t>
  </si>
  <si>
    <t>SS T-SHIRT TF ONE B-127 SLUB TF-N069:NAVY BLUE:4-5:GRAPHIC:SS T-SHIRT</t>
  </si>
  <si>
    <t>SS T-SHIRT TF ONE B-127 SLUB TF-N069:NAVY BLUE:5-6:GRAPHIC:SS T-SHIRT</t>
  </si>
  <si>
    <t>SS T-SHIRT TF ONE B-127 SLUB TF-N069:NAVY BLUE:7-8:GRAPHIC:SS T-SHIRT</t>
  </si>
  <si>
    <t>SS T-SHIRT TF ONE B-127 SLUB TF-N069:NAVY BLUE:9-10:GRAPHIC:SS T-SHIRT</t>
  </si>
  <si>
    <t>SS T-SHIRT TF ONE B-127 SLUB TF-N069:NAVY BLUE:11-12:GRAPHIC:SS T-SHIRT</t>
  </si>
  <si>
    <t>SS T-SHIRT TF ONE B-127 SLUB TF-N069:NAVY BLUE:13-14:GRAPHIC:SS T-SHIRT</t>
  </si>
  <si>
    <t>SS T-SHIRT TF ONE B-127 SLUB TF-N069:NAVY BLUE:15-16:GRAPHIC:SS T-SHIRT</t>
  </si>
  <si>
    <t>TF-HR02</t>
  </si>
  <si>
    <t>SS T-SHIRT TF ONE LOGO FP FLOCKING TF-HR02:WHITE:3-4:GRAPHIC:SS T-SHIRT</t>
  </si>
  <si>
    <t>SS T-SHIRT TF ONE LOGO FP FLOCKING TF-HR02:WHITE:4-5:GRAPHIC:SS T-SHIRT</t>
  </si>
  <si>
    <t>SS T-SHIRT TF ONE LOGO FP FLOCKING TF-HR02:WHITE:5-6:GRAPHIC:SS T-SHIRT</t>
  </si>
  <si>
    <t>SS T-SHIRT TF ONE LOGO FP FLOCKING TF-HR02:WHITE:7-8:GRAPHIC:SS T-SHIRT</t>
  </si>
  <si>
    <t>SS T-SHIRT TF ONE LOGO FP FLOCKING TF-HR02:WHITE:9-10:GRAPHIC:SS T-SHIRT</t>
  </si>
  <si>
    <t>SS T-SHIRT TF ONE LOGO FP FLOCKING TF-HR02:WHITE:11-12:GRAPHIC:SS T-SHIRT</t>
  </si>
  <si>
    <t>SS T-SHIRT TF ONE LOGO FP FLOCKING TF-HR02:WHITE:13-14:GRAPHIC:SS T-SHIRT</t>
  </si>
  <si>
    <t>SS T-SHIRT TF ONE LOGO FP FLOCKING TF-HR02:WHITE:15-16:GRAPHIC:SS T-SHIRT</t>
  </si>
  <si>
    <t>TF-N065</t>
  </si>
  <si>
    <t>SHORT TF ONE KTG SAMPING PRINT TF-N065:MISTY DARK BLUE:3-4:GRAPHIC:SHORT PANTS</t>
  </si>
  <si>
    <t>SHORT TF ONE KTG SAMPING PRINT TF-N065:MISTY DARK BLUE:4-5:GRAPHIC:SHORT PANTS</t>
  </si>
  <si>
    <t>SHORT TF ONE KTG SAMPING PRINT TF-N065:MISTY DARK BLUE:5-6:GRAPHIC:SHORT PANTS</t>
  </si>
  <si>
    <t>SHORT TF ONE KTG SAMPING PRINT TF-N065:MISTY DARK BLUE:7-8:GRAPHIC:SHORT PANTS</t>
  </si>
  <si>
    <t>SHORT TF ONE KTG SAMPING PRINT TF-N065:MISTY DARK BLUE:9-10:GRAPHIC:SHORT PANTS</t>
  </si>
  <si>
    <t>SHORT TF ONE KTG SAMPING PRINT TF-N065:MISTY DARK BLUE:11-12:GRAPHIC:SHORT PANTS</t>
  </si>
  <si>
    <t>SHORT TF ONE KTG SAMPING PRINT TF-N065:MISTY DARK BLUE:13-14:GRAPHIC:SHORT PANTS</t>
  </si>
  <si>
    <t>SHORT TF ONE KTG SAMPING PRINT TF-N065:MISTY DARK BLUE:15-16:GRAPHIC:SHORT PANTS</t>
  </si>
  <si>
    <t>TF-N075</t>
  </si>
  <si>
    <t>JOGGER TF ONE KTG SAMPING PRINT TF-N075:NAVY BLUE:3-4:GRAPHIC:JOGGER</t>
  </si>
  <si>
    <t>JOGGER TF ONE KTG SAMPING PRINT TF-N075:NAVY BLUE:4-5:GRAPHIC:JOGGER</t>
  </si>
  <si>
    <t>JOGGER TF ONE KTG SAMPING PRINT TF-N075:NAVY BLUE:5-6:GRAPHIC:JOGGER</t>
  </si>
  <si>
    <t>JOGGER TF ONE KTG SAMPING PRINT TF-N075:NAVY BLUE:7-8:GRAPHIC:JOGGER</t>
  </si>
  <si>
    <t>JOGGER TF ONE KTG SAMPING PRINT TF-N075:NAVY BLUE:9-10:GRAPHIC:JOGGER</t>
  </si>
  <si>
    <t>JOGGER TF ONE KTG SAMPING PRINT TF-N075:NAVY BLUE:11-12:GRAPHIC:JOGGER</t>
  </si>
  <si>
    <t>JOGGER TF ONE KTG SAMPING PRINT TF-N075:NAVY BLUE:13-14:GRAPHIC:JOGGER</t>
  </si>
  <si>
    <t>JOGGER TF ONE KTG SAMPING PRINT TF-N075:NAVY BLUE:15-16:GRAPHIC:JOGGER</t>
  </si>
  <si>
    <t>BG-090C</t>
  </si>
  <si>
    <t>T-SHIRT BATMAN DARK PRINT BLKG C BG-090C:BLACK:7-8:PRINT:SS T-SHIRT</t>
  </si>
  <si>
    <t>T-SHIRT BATMAN DARK PRINT BLKG C BG-090C:BLACK:9-10:PRINT:SS T-SHIRT</t>
  </si>
  <si>
    <t>T-SHIRT BATMAN DARK PRINT BLKG C BG-090C:BLACK:11-12:PRINT:SS T-SHIRT</t>
  </si>
  <si>
    <t>T-SHIRT BATMAN DARK PRINT BLKG C BG-090C:BLACK:13-14:PRINT:SS T-SHIRT</t>
  </si>
  <si>
    <t>T-SHIRT BATMAN DARK PRINT BLKG C BG-090C:BLACK:15-16:PRINT:SS T-SHIRT</t>
  </si>
  <si>
    <t>TF-N068</t>
  </si>
  <si>
    <t>JAKET TF ONE KTG HOOD TF-N068:NAVY BLUE:3-4:GRAPHIC:JACKET</t>
  </si>
  <si>
    <t>JAKET TF ONE KTG HOOD TF-N068:NAVY BLUE:4-5:GRAPHIC:JACKET</t>
  </si>
  <si>
    <t>JAKET TF ONE KTG HOOD TF-N068:NAVY BLUE:5-6:GRAPHIC:JACKET</t>
  </si>
  <si>
    <t>JAKET TF ONE KTG HOOD TF-N068:NAVY BLUE:7-8:GRAPHIC:JACKET</t>
  </si>
  <si>
    <t>JAKET TF ONE KTG HOOD TF-N068:NAVY BLUE:9-10:GRAPHIC:JACKET</t>
  </si>
  <si>
    <t>JAKET TF ONE KTG HOOD TF-N068:NAVY BLUE:11-12:GRAPHIC:JACKET</t>
  </si>
  <si>
    <t>JAKET TF ONE KTG HOOD TF-N068:NAVY BLUE:13-14:GRAPHIC:JACKET</t>
  </si>
  <si>
    <t>JAKET TF ONE KTG HOOD TF-N068:NAVY BLUE:15-16:GRAPHIC:JACKET</t>
  </si>
  <si>
    <t>BM-A95C</t>
  </si>
  <si>
    <t>SHORT PANTS CP KNIT BATMAN SPLASH BM-A95C:MISTY MEDIUM GREY:5-6:GRAPHIC:SHORT PANTS</t>
  </si>
  <si>
    <t>SHORT PANTS CP KNIT BATMAN SPLASH BM-A95C:MISTY MEDIUM GREY:7-8:GRAPHIC:SHORT PANTS</t>
  </si>
  <si>
    <t>SHORT PANTS CP KNIT BATMAN SPLASH BM-A95C:MISTY MEDIUM GREY:9-10:GRAPHIC:SHORT PANTS</t>
  </si>
  <si>
    <t>SHORT PANTS CP KNIT BATMAN SPLASH BM-A95C:MISTY MEDIUM GREY:11-12:GRAPHIC:SHORT PANTS</t>
  </si>
  <si>
    <t>SHORT PANTS CP KNIT BATMAN SPLASH BM-A95C:MISTY MEDIUM GREY:13-14:GRAPHIC:SHORT PANTS</t>
  </si>
  <si>
    <t>BG-106C</t>
  </si>
  <si>
    <t>SS T-SHIRT BATMAN LOGO PRINT BLKG C BG-106C:MISTY LIGHT YELLOW:7-8:GRAPHIC:SS T-SHIRT</t>
  </si>
  <si>
    <t>SS T-SHIRT BATMAN LOGO PRINT BLKG C BG-106C:MISTY LIGHT YELLOW:9-10:GRAPHIC:SS T-SHIRT</t>
  </si>
  <si>
    <t>SS T-SHIRT BATMAN LOGO PRINT BLKG C BG-106C:MISTY LIGHT YELLOW:11-12:GRAPHIC:SS T-SHIRT</t>
  </si>
  <si>
    <t>SS T-SHIRT BATMAN LOGO PRINT BLKG C BG-106C:MISTY LIGHT YELLOW:13-14:GRAPHIC:SS T-SHIRT</t>
  </si>
  <si>
    <t>SS T-SHIRT BATMAN LOGO PRINT BLKG C BG-106C:MISTY LIGHT YELLOW:15-16:GRAPHIC:SS T-SHIRT</t>
  </si>
  <si>
    <t>BG-109A</t>
  </si>
  <si>
    <t>SS T-SHIRT SUPERMAN FP FLY A BG-109A:WHITE:3-4:PRINT:SS T-SHIRT</t>
  </si>
  <si>
    <t>SS T-SHIRT SUPERMAN FP FLY A BG-109A:WHITE:4-5:PRINT:SS T-SHIRT</t>
  </si>
  <si>
    <t>SS T-SHIRT SUPERMAN FP FLY A BG-109A:WHITE:5-6:PRINT:SS T-SHIRT</t>
  </si>
  <si>
    <t>SS T-SHIRT SUPERMAN FP FLY A BG-109A:WHITE:7-8:PRINT:SS T-SHIRT</t>
  </si>
  <si>
    <t>SS T-SHIRT SUPERMAN FP FLY A BG-109A:WHITE:9-10:PRINT:SS T-SHIRT</t>
  </si>
  <si>
    <t>MN-N013</t>
  </si>
  <si>
    <t>SS T-SHIRT MINIONS KEVIN MN-N013:MISTY LIGHT YELLOW:3-4:PRINT:SS T-SHIRT</t>
  </si>
  <si>
    <t>SS T-SHIRT MINIONS KEVIN MN-N013:MISTY LIGHT YELLOW:4-5:PRINT:SS T-SHIRT</t>
  </si>
  <si>
    <t>SS T-SHIRT MINIONS KEVIN MN-N013:MISTY LIGHT YELLOW:5-6:PRINT:SS T-SHIRT</t>
  </si>
  <si>
    <t>SS T-SHIRT MINIONS KEVIN MN-N013:MISTY LIGHT YELLOW:7-8:PRINT:SS T-SHIRT</t>
  </si>
  <si>
    <t>SS T-SHIRT MINIONS KEVIN MN-N013:MISTY LIGHT YELLOW:9-10:PRINT:SS T-SHIRT</t>
  </si>
  <si>
    <t>SS T-SHIRT MINIONS KEVIN MN-N013:MISTY LIGHT YELLOW:11-12:PRINT:SS T-SHIRT</t>
  </si>
  <si>
    <t>SS T-SHIRT MINIONS KEVIN MN-N013:MISTY LIGHT YELLOW:13-14:PRINT:SS T-SHIRT</t>
  </si>
  <si>
    <t>SS T-SHIRT MINIONS KEVIN MN-N013:MISTY LIGHT YELLOW:15-16:PRINT:SS T-SHIRT</t>
  </si>
  <si>
    <t>MN-N051</t>
  </si>
  <si>
    <t>SS T-SHIRT MINIONS TOGETHER MN-N051:MISTY MEDIUM BLUE:3-4:GRAPHIC:SS T-SHIRT</t>
  </si>
  <si>
    <t>SS T-SHIRT MINIONS TOGETHER MN-N051:MISTY MEDIUM BLUE:4-5:GRAPHIC:SS T-SHIRT</t>
  </si>
  <si>
    <t>SS T-SHIRT MINIONS TOGETHER MN-N051:MISTY MEDIUM BLUE:5-6:GRAPHIC:SS T-SHIRT</t>
  </si>
  <si>
    <t>SS T-SHIRT MINIONS TOGETHER MN-N051:MISTY MEDIUM BLUE:7-8:GRAPHIC:SS T-SHIRT</t>
  </si>
  <si>
    <t>SS T-SHIRT MINIONS TOGETHER MN-N051:MISTY MEDIUM BLUE:9-10:GRAPHIC:SS T-SHIRT</t>
  </si>
  <si>
    <t>SS T-SHIRT MINIONS TOGETHER MN-N051:MISTY MEDIUM BLUE:11-12:GRAPHIC:SS T-SHIRT</t>
  </si>
  <si>
    <t>SS T-SHIRT MINIONS TOGETHER MN-N051:MISTY MEDIUM BLUE:13-14:GRAPHIC:SS T-SHIRT</t>
  </si>
  <si>
    <t>SS T-SHIRT MINIONS TOGETHER MN-N051:MISTY MEDIUM BLUE:15-16:GRAPHIC:SS T-SHIRT</t>
  </si>
  <si>
    <t>MN-N079</t>
  </si>
  <si>
    <t>SS T-SHIRT MINIONS GAME OVER GLOW ID MN-N079:BLACK:3-4:GRAPHIC:SS T-SHIRT</t>
  </si>
  <si>
    <t>SS T-SHIRT MINIONS GAME OVER GLOW ID MN-N079:BLACK:4-5:GRAPHIC:SS T-SHIRT</t>
  </si>
  <si>
    <t>SS T-SHIRT MINIONS GAME OVER GLOW ID MN-N079:BLACK:5-6:GRAPHIC:SS T-SHIRT</t>
  </si>
  <si>
    <t>SS T-SHIRT MINIONS GAME OVER GLOW ID MN-N079:BLACK:7-8:GRAPHIC:SS T-SHIRT</t>
  </si>
  <si>
    <t>SS T-SHIRT MINIONS GAME OVER GLOW ID MN-N079:BLACK:9-10:GRAPHIC:SS T-SHIRT</t>
  </si>
  <si>
    <t>SS T-SHIRT MINIONS GAME OVER GLOW ID MN-N079:BLACK:11-12:GRAPHIC:SS T-SHIRT</t>
  </si>
  <si>
    <t>SS T-SHIRT MINIONS GAME OVER GLOW ID MN-N079:BLACK:13-14:GRAPHIC:SS T-SHIRT</t>
  </si>
  <si>
    <t>SS T-SHIRT MINIONS GAME OVER GLOW ID MN-N079:BLACK:15-16:GRAPHIC:SS T-SHIRT</t>
  </si>
  <si>
    <t>MN-N097</t>
  </si>
  <si>
    <t>SS T-SHIRT MINIONS VIRTUAL MN-N097:MISTY LIGHT YELLOW:3-4:GRAPHIC:SS T-SHIRT</t>
  </si>
  <si>
    <t>SS T-SHIRT MINIONS VIRTUAL MN-N097:MISTY LIGHT YELLOW:4-5:GRAPHIC:SS T-SHIRT</t>
  </si>
  <si>
    <t>SS T-SHIRT MINIONS VIRTUAL MN-N097:MISTY LIGHT YELLOW:5-6:GRAPHIC:SS T-SHIRT</t>
  </si>
  <si>
    <t>SS T-SHIRT MINIONS VIRTUAL MN-N097:MISTY LIGHT YELLOW:7-8:GRAPHIC:SS T-SHIRT</t>
  </si>
  <si>
    <t>SS T-SHIRT MINIONS VIRTUAL MN-N097:MISTY LIGHT YELLOW:9-10:GRAPHIC:SS T-SHIRT</t>
  </si>
  <si>
    <t>SS T-SHIRT MINIONS VIRTUAL MN-N097:MISTY LIGHT YELLOW:11-12:GRAPHIC:SS T-SHIRT</t>
  </si>
  <si>
    <t>SS T-SHIRT MINIONS VIRTUAL MN-N097:MISTY LIGHT YELLOW:13-14:GRAPHIC:SS T-SHIRT</t>
  </si>
  <si>
    <t>SS T-SHIRT MINIONS VIRTUAL MN-N097:MISTY LIGHT YELLOW:15-16:GRAPHIC:SS T-SHIRT</t>
  </si>
  <si>
    <t>HN39A</t>
  </si>
  <si>
    <t>T-SHIRT BATMAN GOTHAM HERO LENGAN A HN39A:CLASSIC YELLOW:3-4:PRINT:SS T-SHIRT</t>
  </si>
  <si>
    <t>T-SHIRT BATMAN GOTHAM HERO LENGAN A HN39A:CLASSIC YELLOW:4-5:PRINT:SS T-SHIRT</t>
  </si>
  <si>
    <t>T-SHIRT BATMAN GOTHAM HERO LENGAN A HN39A:CLASSIC YELLOW:5-6:PRINT:SS T-SHIRT</t>
  </si>
  <si>
    <t>T-SHIRT BATMAN GOTHAM HERO LENGAN A HN39A:CLASSIC YELLOW:7-8:PRINT:SS T-SHIRT</t>
  </si>
  <si>
    <t>T-SHIRT BATMAN GOTHAM HERO LENGAN A HN39A:CLASSIC YELLOW:9-10:PRINT:SS T-SHIRT</t>
  </si>
  <si>
    <t>BG-108C</t>
  </si>
  <si>
    <t>SS T-SHIRT SUPERMAN CITY C BG-108C:BLACK:7-8:PRINT:SS T-SHIRT</t>
  </si>
  <si>
    <t>SS T-SHIRT SUPERMAN CITY C BG-108C:BLACK:9-10:PRINT:SS T-SHIRT</t>
  </si>
  <si>
    <t>SS T-SHIRT SUPERMAN CITY C BG-108C:BLACK:11-12:PRINT:SS T-SHIRT</t>
  </si>
  <si>
    <t>SS T-SHIRT SUPERMAN CITY C BG-108C:BLACK:13-14:PRINT:SS T-SHIRT</t>
  </si>
  <si>
    <t>SS T-SHIRT SUPERMAN CITY C BG-108C:BLACK:15-16:PRINT:SS T-SHIRT</t>
  </si>
  <si>
    <t>TF-A106</t>
  </si>
  <si>
    <t>SS T-SHIRT TF FP BUMBLEBEE CAR TF-A 106:CLASSIC YELLOW:3-4:GRAPHIC:SS T-SHIRT</t>
  </si>
  <si>
    <t>SS T-SHIRT TF FP BUMBLEBEE CAR TF-A 106:CLASSIC YELLOW:4-5:GRAPHIC:SS T-SHIRT</t>
  </si>
  <si>
    <t>SS T-SHIRT TF FP BUMBLEBEE CAR TF-A 106:CLASSIC YELLOW:5-6:GRAPHIC:SS T-SHIRT</t>
  </si>
  <si>
    <t>SS T-SHIRT TF FP BUMBLEBEE CAR TF-A 106:CLASSIC YELLOW:7-8:GRAPHIC:SS T-SHIRT</t>
  </si>
  <si>
    <t>SS T-SHIRT TF FP BUMBLEBEE CAR TF-A 106:CLASSIC YELLOW:9-10:GRAPHIC:SS T-SHIRT</t>
  </si>
  <si>
    <t>SS T-SHIRT TF FP BUMBLEBEE CAR TF-A 106:CLASSIC YELLOW:11-12:GRAPHIC:SS T-SHIRT</t>
  </si>
  <si>
    <t>SS T-SHIRT TF FP BUMBLEBEE CAR TF-A 106:CLASSIC YELLOW:13-14:GRAPHIC:SS T-SHIRT</t>
  </si>
  <si>
    <t>SS T-SHIRT TF FP BUMBLEBEE CAR TF-A 106:CLASSIC YELLOW:15-16:GRAPHIC:SS T-SHIRT</t>
  </si>
  <si>
    <t>TF-A105</t>
  </si>
  <si>
    <t>SS T-SHIRT TF OPTIMUS LOGO TF-A 105:CLASSIC RED:3-4:GRAPHIC:SS T-SHIRT</t>
  </si>
  <si>
    <t>SS T-SHIRT TF OPTIMUS LOGO TF-A 105:CLASSIC RED:4-5:GRAPHIC:SS T-SHIRT</t>
  </si>
  <si>
    <t>SS T-SHIRT TF OPTIMUS LOGO TF-A 105:CLASSIC RED:5-6:GRAPHIC:SS T-SHIRT</t>
  </si>
  <si>
    <t>SS T-SHIRT TF OPTIMUS LOGO TF-A 105:CLASSIC RED:7-8:GRAPHIC:SS T-SHIRT</t>
  </si>
  <si>
    <t>SS T-SHIRT TF OPTIMUS LOGO TF-A 105:CLASSIC RED:9-10:GRAPHIC:SS T-SHIRT</t>
  </si>
  <si>
    <t>SS T-SHIRT TF OPTIMUS LOGO TF-A 105:CLASSIC RED:11-12:GRAPHIC:SS T-SHIRT</t>
  </si>
  <si>
    <t>SS T-SHIRT TF OPTIMUS LOGO TF-A 105:CLASSIC RED:13-14:GRAPHIC:SS T-SHIRT</t>
  </si>
  <si>
    <t>SS T-SHIRT TF OPTIMUS LOGO TF-A 105:CLASSIC RED:15-16:GRAPHIC:SS T-SHIRT</t>
  </si>
  <si>
    <t>TF-A107</t>
  </si>
  <si>
    <t>SS T-SHIRT TF FP OPTIMUS BEE TF-A 107:WHITE:3-4:PRINT:SS T-SHIRT</t>
  </si>
  <si>
    <t>SS T-SHIRT TF FP OPTIMUS BEE TF-A 107:WHITE:4-5:PRINT:SS T-SHIRT</t>
  </si>
  <si>
    <t>SS T-SHIRT TF FP OPTIMUS BEE TF-A 107:WHITE:5-6:PRINT:SS T-SHIRT</t>
  </si>
  <si>
    <t>SS T-SHIRT TF FP OPTIMUS BEE TF-A 107:WHITE:7-8:PRINT:SS T-SHIRT</t>
  </si>
  <si>
    <t>SS T-SHIRT TF FP OPTIMUS BEE TF-A 107:WHITE:9-10:PRINT:SS T-SHIRT</t>
  </si>
  <si>
    <t>SS T-SHIRT TF FP OPTIMUS BEE TF-A 107:WHITE:11-12:PRINT:SS T-SHIRT</t>
  </si>
  <si>
    <t>SS T-SHIRT TF FP OPTIMUS BEE TF-A 107:WHITE:13-14:PRINT:SS T-SHIRT</t>
  </si>
  <si>
    <t>SS T-SHIRT TF FP OPTIMUS BEE TF-A 107:WHITE:15-16:PRINT:SS T-SHIRT</t>
  </si>
  <si>
    <t>JP-N024</t>
  </si>
  <si>
    <t>SS T-SHIRT JURASSIC STORY A JP-N024:MISTY LIGHT GREY:3-4:GRAPHIC:SS T-SHIRT</t>
  </si>
  <si>
    <t>SS T-SHIRT JURASSIC STORY A JP-N024:MISTY LIGHT GREY:4-5:GRAPHIC:SS T-SHIRT</t>
  </si>
  <si>
    <t>SS T-SHIRT JURASSIC STORY A JP-N024:MISTY LIGHT GREY:5-6:GRAPHIC:SS T-SHIRT</t>
  </si>
  <si>
    <t>SS T-SHIRT JURASSIC STORY A JP-N024:MISTY LIGHT GREY:7-8:GRAPHIC:SS T-SHIRT</t>
  </si>
  <si>
    <t>SS T-SHIRT JURASSIC STORY A JP-N024:MISTY LIGHT GREY:9-10:GRAPHIC:SS T-SHIRT</t>
  </si>
  <si>
    <t>JP-N025</t>
  </si>
  <si>
    <t>SS T-SHIRT JURASSIC DINOS A JP-N025:OLIVE:3-4:PRINT:SS T-SHIRT</t>
  </si>
  <si>
    <t>SS T-SHIRT JURASSIC DINOS A JP-N025:OLIVE:4-5:PRINT:SS T-SHIRT</t>
  </si>
  <si>
    <t>SS T-SHIRT JURASSIC DINOS A JP-N025:OLIVE:5-6:PRINT:SS T-SHIRT</t>
  </si>
  <si>
    <t>SS T-SHIRT JURASSIC DINOS A JP-N025:OLIVE:7-8:PRINT:SS T-SHIRT</t>
  </si>
  <si>
    <t>SS T-SHIRT JURASSIC DINOS A JP-N025:OLIVE:9-10:PRINT:SS T-SHIRT</t>
  </si>
  <si>
    <t>JP-HN016</t>
  </si>
  <si>
    <t>SS T-SHIRT JURASSIC FP LOGO A JP-HN016:MISTY MEDIUM YELLOW:3-4:PRINT:SS T-SHIRT</t>
  </si>
  <si>
    <t>SS T-SHIRT JURASSIC FP LOGO A JP-HN016:MISTY MEDIUM YELLOW:4-5:PRINT:SS T-SHIRT</t>
  </si>
  <si>
    <t>SS T-SHIRT JURASSIC FP LOGO A JP-HN016:MISTY MEDIUM YELLOW:5-6:PRINT:SS T-SHIRT</t>
  </si>
  <si>
    <t>SS T-SHIRT JURASSIC FP LOGO A JP-HN016:MISTY MEDIUM YELLOW:7-8:PRINT:SS T-SHIRT</t>
  </si>
  <si>
    <t>SS T-SHIRT JURASSIC FP LOGO A JP-HN016:MISTY MEDIUM YELLOW:9-10:PRINT:SS T-SHIRT</t>
  </si>
  <si>
    <t>JP-N039</t>
  </si>
  <si>
    <t>SHORT PANTS JURASSIC A JP-N039:GRASS GREEN:3-4:GRAPHIC:SHORT PANTS</t>
  </si>
  <si>
    <t>SHORT PANTS JURASSIC A JP-N039:GRASS GREEN:4-5:GRAPHIC:SHORT PANTS</t>
  </si>
  <si>
    <t>SHORT PANTS JURASSIC A JP-N039:GRASS GREEN:5-6:GRAPHIC:SHORT PANTS</t>
  </si>
  <si>
    <t>SHORT PANTS JURASSIC A JP-N039:GRASS GREEN:7-8:GRAPHIC:SHORT PANTS</t>
  </si>
  <si>
    <t>SHORT PANTS JURASSIC A JP-N039:GRASS GREEN:9-10:GRAPHIC:SHORT PANTS</t>
  </si>
  <si>
    <t>JP-N034</t>
  </si>
  <si>
    <t>JOGGER JURASSIC A JP-N034:GRASS GREEN:3-4:GRAPHIC:JOGGER</t>
  </si>
  <si>
    <t>JOGGER JURASSIC A JP-N034:GRASS GREEN:4-5:GRAPHIC:JOGGER</t>
  </si>
  <si>
    <t>JOGGER JURASSIC A JP-N034:GRASS GREEN:5-6:GRAPHIC:JOGGER</t>
  </si>
  <si>
    <t>JOGGER JURASSIC A JP-N034:GRASS GREEN:7-8:GRAPHIC:JOGGER</t>
  </si>
  <si>
    <t>JOGGER JURASSIC A JP-N034:GRASS GREEN:9-10:GRAPHIC:JOGGER</t>
  </si>
  <si>
    <t>JP-N017</t>
  </si>
  <si>
    <t>SS T-SHIRT JURASSIC MAIN GATE JP-N017:NAVY BLUE:3-4:GRAPHIC:SS T-SHIRT</t>
  </si>
  <si>
    <t>SS T-SHIRT JURASSIC MAIN GATE JP-N017:NAVY BLUE:4-5:GRAPHIC:SS T-SHIRT</t>
  </si>
  <si>
    <t>SS T-SHIRT JURASSIC MAIN GATE JP-N017:NAVY BLUE:5-6:GRAPHIC:SS T-SHIRT</t>
  </si>
  <si>
    <t>SS T-SHIRT JURASSIC MAIN GATE JP-N017:NAVY BLUE:7-8:GRAPHIC:SS T-SHIRT</t>
  </si>
  <si>
    <t>SS T-SHIRT JURASSIC MAIN GATE JP-N017:NAVY BLUE:9-10:GRAPHIC:SS T-SHIRT</t>
  </si>
  <si>
    <t>SS T-SHIRT JURASSIC MAIN GATE JP-N017:NAVY BLUE:11-12:GRAPHIC:SS T-SHIRT</t>
  </si>
  <si>
    <t>SS T-SHIRT JURASSIC MAIN GATE JP-N017:NAVY BLUE:13-14:GRAPHIC:SS T-SHIRT</t>
  </si>
  <si>
    <t>SS T-SHIRT JURASSIC MAIN GATE JP-N017:NAVY BLUE:15-16:GRAPHIC:SS T-SHIRT</t>
  </si>
  <si>
    <t>JP-N020</t>
  </si>
  <si>
    <t>SS T-SHIRT JURASSIC FP LOGO JP-N020:BLACK:3-4:PRINT:SS T-SHIRT</t>
  </si>
  <si>
    <t>SS T-SHIRT JURASSIC FP LOGO JP-N020:BLACK:4-5:PRINT:SS T-SHIRT</t>
  </si>
  <si>
    <t>SS T-SHIRT JURASSIC FP LOGO JP-N020:BLACK:5-6:PRINT:SS T-SHIRT</t>
  </si>
  <si>
    <t>SS T-SHIRT JURASSIC FP LOGO JP-N020:BLACK:7-8:PRINT:SS T-SHIRT</t>
  </si>
  <si>
    <t>SS T-SHIRT JURASSIC FP LOGO JP-N020:BLACK:9-10:PRINT:SS T-SHIRT</t>
  </si>
  <si>
    <t>SS T-SHIRT JURASSIC FP LOGO JP-N020:BLACK:11-12:PRINT:SS T-SHIRT</t>
  </si>
  <si>
    <t>SS T-SHIRT JURASSIC FP LOGO JP-N020:BLACK:13-14:PRINT:SS T-SHIRT</t>
  </si>
  <si>
    <t>SS T-SHIRT JURASSIC FP LOGO JP-N020:BLACK:15-16:PRINT:SS T-SHIRT</t>
  </si>
  <si>
    <t>SUP-A156C</t>
  </si>
  <si>
    <t>SS T-SHIRT SUPERMAN FP LOGO LIS C SUP-A156C:WHITE:7-8:PRINT:SS T-SHIRT</t>
  </si>
  <si>
    <t>SS T-SHIRT SUPERMAN FP LOGO LIS C SUP-A156C:WHITE:9-10:PRINT:SS T-SHIRT</t>
  </si>
  <si>
    <t>SS T-SHIRT SUPERMAN FP LOGO LIS C SUP-A156C:WHITE:11-12:PRINT:SS T-SHIRT</t>
  </si>
  <si>
    <t>SS T-SHIRT SUPERMAN FP LOGO LIS C SUP-A156C:WHITE:13-14:PRINT:SS T-SHIRT</t>
  </si>
  <si>
    <t>SS T-SHIRT SUPERMAN FP LOGO LIS C SUP-A156C:WHITE:15-16:PRINT:SS T-SHIRT</t>
  </si>
  <si>
    <t>HN-37</t>
  </si>
  <si>
    <t>SS T-SHIRT BATMAN LOGO CUT SEW A HN-37:CLASSIC YELLOW:3-4:GRAPHIC:SS T-SHIRT</t>
  </si>
  <si>
    <t>SS T-SHIRT BATMAN LOGO CUT SEW A HN-37:CLASSIC YELLOW:4-5:GRAPHIC:SS T-SHIRT</t>
  </si>
  <si>
    <t>SS T-SHIRT BATMAN LOGO CUT SEW A HN-37:CLASSIC YELLOW:5-6:GRAPHIC:SS T-SHIRT</t>
  </si>
  <si>
    <t>SS T-SHIRT BATMAN LOGO CUT SEW A HN-37:CLASSIC YELLOW:7-8:GRAPHIC:SS T-SHIRT</t>
  </si>
  <si>
    <t>SS T-SHIRT BATMAN LOGO CUT SEW A HN-37:CLASSIC YELLOW:9-10:GRAPHIC:SS T-SHIRT</t>
  </si>
  <si>
    <t>HR-307</t>
  </si>
  <si>
    <t>SWEATER BATMAN FP LOGO TENGAH C HR-307:BLACK:7-8:PRINT:SWEATER</t>
  </si>
  <si>
    <t>SWEATER BATMAN FP LOGO TENGAH C HR-307:BLACK:9-10:PRINT:SWEATER</t>
  </si>
  <si>
    <t>SWEATER BATMAN FP LOGO TENGAH C HR-307:BLACK:11-12:PRINT:SWEATER</t>
  </si>
  <si>
    <t>SWEATER BATMAN FP LOGO TENGAH C HR-307:BLACK:13-14:PRINT:SWEATER</t>
  </si>
  <si>
    <t>SWEATER BATMAN FP LOGO TENGAH C HR-307:BLACK:15-16:PRINT:SWEATER</t>
  </si>
  <si>
    <t>HN-09</t>
  </si>
  <si>
    <t>SS T-SHIRT SUPERMAN LIST CUT SEW A HN-09:NAVY BLUE:3-4:GRAPHIC:SS T-SHIRT</t>
  </si>
  <si>
    <t>SS T-SHIRT SUPERMAN LIST CUT SEW A HN-09:NAVY BLUE:4-5:GRAPHIC:SS T-SHIRT</t>
  </si>
  <si>
    <t>SS T-SHIRT SUPERMAN LIST CUT SEW A HN-09:NAVY BLUE:5-6:GRAPHIC:SS T-SHIRT</t>
  </si>
  <si>
    <t>SS T-SHIRT SUPERMAN LIST CUT SEW A HN-09:NAVY BLUE:7-8:GRAPHIC:SS T-SHIRT</t>
  </si>
  <si>
    <t>SS T-SHIRT SUPERMAN LIST CUT SEW A HN-09:NAVY BLUE:9-10:GRAPHIC:SS T-SHIRT</t>
  </si>
  <si>
    <t>ML-HN01</t>
  </si>
  <si>
    <t>SS T-SHIRT MLBB HAYABUSA FIGHT MARBLE BAWAH ML-HN01:CLASSIC YELLOW:7-8:PRINT:SS T-SHIRT</t>
  </si>
  <si>
    <t>SS T-SHIRT MLBB HAYABUSA FIGHT MARBLE BAWAH ML-HN01:CLASSIC YELLOW:9-10:PRINT:SS T-SHIRT</t>
  </si>
  <si>
    <t>SS T-SHIRT MLBB HAYABUSA FIGHT MARBLE BAWAH ML-HN01:CLASSIC YELLOW:11-12:PRINT:SS T-SHIRT</t>
  </si>
  <si>
    <t>SS T-SHIRT MLBB HAYABUSA FIGHT MARBLE BAWAH ML-HN01:CLASSIC YELLOW:13-14:PRINT:SS T-SHIRT</t>
  </si>
  <si>
    <t>SS T-SHIRT MLBB HAYABUSA FIGHT MARBLE BAWAH ML-HN01:CLASSIC YELLOW:15-16:PRINT:SS T-SHIRT</t>
  </si>
  <si>
    <t>ML-HN03</t>
  </si>
  <si>
    <t>SS T-SHIRT MLBB NANA FLY ML-HN03:MISTY LIGHT YELLOW:7-8:GRAPHIC:SS T-SHIRT</t>
  </si>
  <si>
    <t>SS T-SHIRT MLBB NANA FLY ML-HN03:MISTY LIGHT YELLOW:9-10:GRAPHIC:SS T-SHIRT</t>
  </si>
  <si>
    <t>SS T-SHIRT MLBB NANA FLY ML-HN03:MISTY LIGHT YELLOW:11-12:GRAPHIC:SS T-SHIRT</t>
  </si>
  <si>
    <t>SS T-SHIRT MLBB NANA FLY ML-HN03:MISTY LIGHT YELLOW:13-14:GRAPHIC:SS T-SHIRT</t>
  </si>
  <si>
    <t>SS T-SHIRT MLBB NANA FLY ML-HN03:MISTY LIGHT YELLOW:15-16:GRAPHIC:SS T-SHIRT</t>
  </si>
  <si>
    <t>ML-HN02</t>
  </si>
  <si>
    <t>SS T-SHIRT MLBB MIYA ML-HN02:NAVY BLUE:7-8:GRAPHIC:SS T-SHIRT</t>
  </si>
  <si>
    <t>SS T-SHIRT MLBB MIYA ML-HN02:NAVY BLUE:9-10:GRAPHIC:SS T-SHIRT</t>
  </si>
  <si>
    <t>SS T-SHIRT MLBB MIYA ML-HN02:NAVY BLUE:11-12:GRAPHIC:SS T-SHIRT</t>
  </si>
  <si>
    <t>SS T-SHIRT MLBB MIYA ML-HN02:NAVY BLUE:13-14:GRAPHIC:SS T-SHIRT</t>
  </si>
  <si>
    <t>SS T-SHIRT MLBB MIYA ML-HN02:NAVY BLUE:15-16:GRAPHIC:SS T-SHIRT</t>
  </si>
  <si>
    <t>ML-A15</t>
  </si>
  <si>
    <t>SS T-SHIRT MLBB NANA ATTACK ML-A15:BLACK:7-8:GRAPHIC:SS T-SHIRT</t>
  </si>
  <si>
    <t>SS T-SHIRT MLBB NANA ATTACK ML-A15:BLACK:9-10:GRAPHIC:SS T-SHIRT</t>
  </si>
  <si>
    <t>SS T-SHIRT MLBB NANA ATTACK ML-A15:BLACK:11-12:GRAPHIC:SS T-SHIRT</t>
  </si>
  <si>
    <t>SS T-SHIRT MLBB NANA ATTACK ML-A15:BLACK:13-14:GRAPHIC:SS T-SHIRT</t>
  </si>
  <si>
    <t>SS T-SHIRT MLBB NANA ATTACK ML-A15:BLACK:15-16:GRAPHIC:SS T-SHIRT</t>
  </si>
  <si>
    <t>MLBH-1</t>
  </si>
  <si>
    <t>SS T-SHIRT MLBB ALDOUS FIRE RING MLBH-1:BLACK:7-8:GRAPHIC:SS T-SHIRT</t>
  </si>
  <si>
    <t>SS T-SHIRT MLBB ALDOUS FIRE RING MLBH-1:BLACK:9-10:GRAPHIC:SS T-SHIRT</t>
  </si>
  <si>
    <t>SS T-SHIRT MLBB ALDOUS FIRE RING MLBH-1:BLACK:11-12:GRAPHIC:SS T-SHIRT</t>
  </si>
  <si>
    <t>SS T-SHIRT MLBB ALDOUS FIRE RING MLBH-1:BLACK:13-14:GRAPHIC:SS T-SHIRT</t>
  </si>
  <si>
    <t>SS T-SHIRT MLBB ALDOUS FIRE RING MLBH-1:BLACK:15-16:GRAPHIC:SS T-SHIRT</t>
  </si>
  <si>
    <t>SS T-SHIRT TF FP LOGO TULISAN HD TF-HR 02:CLASSIC YELLOW:4-5:PRINT:SS T-SHIRT</t>
  </si>
  <si>
    <t>SS T-SHIRT TF FP LOGO TULISAN HD TF-HR 02:CLASSIC YELLOW:5-6:PRINT:SS T-SHIRT</t>
  </si>
  <si>
    <t>SS T-SHIRT TF FP LOGO TULISAN HD TF-HR 02:CLASSIC YELLOW:7-8:PRINT:SS T-SHIRT</t>
  </si>
  <si>
    <t>SS T-SHIRT TF FP LOGO TULISAN HD TF-HR 02:CLASSIC YELLOW:9-10:PRINT:SS T-SHIRT</t>
  </si>
  <si>
    <t>SS T-SHIRT TF FP LOGO TULISAN HD TF-HR 02:CLASSIC YELLOW:11-12:PRINT:SS T-SHIRT</t>
  </si>
  <si>
    <t>SS T-SHIRT TF FP LOGO TULISAN HD TF-HR 02:CLASSIC YELLOW:13-14:PRINT:SS T-SHIRT</t>
  </si>
  <si>
    <t>SS T-SHIRT TF FP LOGO TULISAN HD TF-HR 02:CLASSIC YELLOW:15-16:PRINT:SS T-SHIRT</t>
  </si>
  <si>
    <t>TF-HR01</t>
  </si>
  <si>
    <t>SS T-SHIRT TF LOGO LIS GLOW ID TF-HR01:CLASSIC RED:3-4:GRAPHIC:SS T-SHIRT</t>
  </si>
  <si>
    <t>SS T-SHIRT TF LOGO LIS GLOW ID TF-HR01:CLASSIC RED:4-5:GRAPHIC:SS T-SHIRT</t>
  </si>
  <si>
    <t>SS T-SHIRT TF LOGO LIS GLOW ID TF-HR01:CLASSIC RED:5-6:GRAPHIC:SS T-SHIRT</t>
  </si>
  <si>
    <t>SS T-SHIRT TF LOGO LIS GLOW ID TF-HR01:CLASSIC RED:7-8:GRAPHIC:SS T-SHIRT</t>
  </si>
  <si>
    <t>SS T-SHIRT TF LOGO LIS GLOW ID TF-HR01:CLASSIC RED:9-10:GRAPHIC:SS T-SHIRT</t>
  </si>
  <si>
    <t>SS T-SHIRT TF LOGO LIS GLOW ID TF-HR01:CLASSIC RED:11-12:GRAPHIC:SS T-SHIRT</t>
  </si>
  <si>
    <t>SS T-SHIRT TF LOGO LIS GLOW ID TF-HR01:CLASSIC RED:13-14:GRAPHIC:SS T-SHIRT</t>
  </si>
  <si>
    <t>SS T-SHIRT TF LOGO LIS GLOW ID TF-HR01:CLASSIC RED:15-16:GRAPHIC:SS T-SHIRT</t>
  </si>
  <si>
    <t>TF-HN20</t>
  </si>
  <si>
    <t>SS T-SHIRT TF CUT SEW LOGO2 TF-HN20:BLACK:3-4:PRINT:SS T-SHIRT</t>
  </si>
  <si>
    <t>SS T-SHIRT TF CUT SEW LOGO2 TF-HN20:BLACK:4-5:PRINT:SS T-SHIRT</t>
  </si>
  <si>
    <t>SS T-SHIRT TF CUT SEW LOGO2 TF-HN20:BLACK:5-6:PRINT:SS T-SHIRT</t>
  </si>
  <si>
    <t>SS T-SHIRT TF CUT SEW LOGO2 TF-HN20:BLACK:7-8:PRINT:SS T-SHIRT</t>
  </si>
  <si>
    <t>SS T-SHIRT TF CUT SEW LOGO2 TF-HN20:BLACK:9-10:PRINT:SS T-SHIRT</t>
  </si>
  <si>
    <t>SS T-SHIRT TF CUT SEW LOGO2 TF-HN20:BLACK:11-12:PRINT:SS T-SHIRT</t>
  </si>
  <si>
    <t>SS T-SHIRT TF CUT SEW LOGO2 TF-HN20:BLACK:13-14:PRINT:SS T-SHIRT</t>
  </si>
  <si>
    <t>SS T-SHIRT TF CUT SEW LOGO2 TF-HN20:BLACK:15-16:PRINT:SS T-SHIRT</t>
  </si>
  <si>
    <t>JP-102C</t>
  </si>
  <si>
    <t>SS T-SHIRT JURASSIC T-REX TEAM C JP-102C:PASTEL BLUE:7-8:PRINT:SS T-SHIRT</t>
  </si>
  <si>
    <t>SS T-SHIRT JURASSIC T-REX TEAM C JP-102C:PASTEL BLUE:9-10:PRINT:SS T-SHIRT</t>
  </si>
  <si>
    <t>SS T-SHIRT JURASSIC T-REX TEAM C JP-102C:PASTEL BLUE:11-12:PRINT:SS T-SHIRT</t>
  </si>
  <si>
    <t>SS T-SHIRT JURASSIC T-REX TEAM C JP-102C:PASTEL BLUE:13-14:PRINT:SS T-SHIRT</t>
  </si>
  <si>
    <t>SS T-SHIRT JURASSIC T-REX TEAM C JP-102C:PASTEL BLUE:15-16:PRINT:SS T-SHIRT</t>
  </si>
  <si>
    <t>A-153</t>
  </si>
  <si>
    <t>SS T-SHIRT SUPERMAN RAGLAN LOGO FP C A-153:CLASSIC BLUE:7-8:PRINT:SS T-SHIRT</t>
  </si>
  <si>
    <t>SS T-SHIRT SUPERMAN RAGLAN LOGO FP C A-153:CLASSIC BLUE:9-10:PRINT:SS T-SHIRT</t>
  </si>
  <si>
    <t>SS T-SHIRT SUPERMAN RAGLAN LOGO FP C A-153:CLASSIC BLUE:11-12:PRINT:SS T-SHIRT</t>
  </si>
  <si>
    <t>SS T-SHIRT SUPERMAN RAGLAN LOGO FP C A-153:CLASSIC BLUE:13-14:PRINT:SS T-SHIRT</t>
  </si>
  <si>
    <t>SS T-SHIRT SUPERMAN RAGLAN LOGO FP C A-153:CLASSIC BLUE:15-16:PRINT:SS T-SHIRT</t>
  </si>
  <si>
    <t>BT-HR359C</t>
  </si>
  <si>
    <t>SS T-SHIRT BATMAN DARK LOGO C BT-HR359C:BLACK:7-8:GRAPHIC:SS T-SHIRT</t>
  </si>
  <si>
    <t>SS T-SHIRT BATMAN DARK LOGO C BT-HR359C:BLACK:9-10:GRAPHIC:SS T-SHIRT</t>
  </si>
  <si>
    <t>SS T-SHIRT BATMAN DARK LOGO C BT-HR359C:BLACK:11-12:GRAPHIC:SS T-SHIRT</t>
  </si>
  <si>
    <t>SS T-SHIRT BATMAN DARK LOGO C BT-HR359C:BLACK:13-14:GRAPHIC:SS T-SHIRT</t>
  </si>
  <si>
    <t>SS T-SHIRT BATMAN DARK LOGO C BT-HR359C:BLACK:15-16:GRAPHIC:SS T-SHIRT</t>
  </si>
  <si>
    <t>HR-236</t>
  </si>
  <si>
    <t>SS T-SHIRT BATMAN DARK LOGO C HR-236:BLACK:7-8:GRAPHIC:SS T-SHIRT</t>
  </si>
  <si>
    <t>SS T-SHIRT BATMAN DARK LOGO C HR-236:BLACK:9-10:GRAPHIC:SS T-SHIRT</t>
  </si>
  <si>
    <t>SS T-SHIRT BATMAN DARK LOGO C HR-236:BLACK:11-12:GRAPHIC:SS T-SHIRT</t>
  </si>
  <si>
    <t>SS T-SHIRT BATMAN DARK LOGO C HR-236:BLACK:13-14:GRAPHIC:SS T-SHIRT</t>
  </si>
  <si>
    <t>SS T-SHIRT BATMAN DARK LOGO C HR-236:BLACK:15-16:GRAPHIC:SS T-SHIRT</t>
  </si>
  <si>
    <t>JP-N033</t>
  </si>
  <si>
    <t>JACKET HOOD JURASSIC A JP-N033:GRASS GREEN:3-4:GRAPHIC:JACKET</t>
  </si>
  <si>
    <t>JACKET HOOD JURASSIC A JP-N033:GRASS GREEN:4-5:GRAPHIC:JACKET</t>
  </si>
  <si>
    <t>JACKET HOOD JURASSIC A JP-N033:GRASS GREEN:5-6:GRAPHIC:JACKET</t>
  </si>
  <si>
    <t>JACKET HOOD JURASSIC A JP-N033:GRASS GREEN:7-8:GRAPHIC:JACKET</t>
  </si>
  <si>
    <t>JACKET HOOD JURASSIC A JP-N033:GRASS GREEN:9-10:GRAPHIC:JACKET</t>
  </si>
  <si>
    <t>NC244A</t>
  </si>
  <si>
    <t>T-SHIRT BATMAN CLASSIC WING A NC244A:MISTY MEDIUM GREY:3-4:PRINT:COSTUME</t>
  </si>
  <si>
    <t>T-SHIRT BATMAN CLASSIC WING A NC244A:MISTY MEDIUM GREY:4-5:PRINT:COSTUME</t>
  </si>
  <si>
    <t>T-SHIRT BATMAN CLASSIC WING A NC244A:MISTY MEDIUM GREY:5-6:PRINT:COSTUME</t>
  </si>
  <si>
    <t>T-SHIRT BATMAN CLASSIC WING A NC244A:MISTY MEDIUM GREY:7-8:PRINT:COSTUME</t>
  </si>
  <si>
    <t>T-SHIRT BATMAN CLASSIC WING A NC244A:MISTY MEDIUM GREY:9-10:PRINT:COSTUME</t>
  </si>
  <si>
    <t>MLBH-2</t>
  </si>
  <si>
    <t>SS T-SHIRT MLBB ALDOUS ACTION MLBH-2:NAVY BLUE:7-8:GRAPHIC:SS T-SHIRT</t>
  </si>
  <si>
    <t>SS T-SHIRT MLBB ALDOUS ACTION MLBH-2:NAVY BLUE:9-10:GRAPHIC:SS T-SHIRT</t>
  </si>
  <si>
    <t>SS T-SHIRT MLBB ALDOUS ACTION MLBH-2:NAVY BLUE:11-12:GRAPHIC:SS T-SHIRT</t>
  </si>
  <si>
    <t>SS T-SHIRT MLBB ALDOUS ACTION MLBH-2:NAVY BLUE:13-14:GRAPHIC:SS T-SHIRT</t>
  </si>
  <si>
    <t>SS T-SHIRT MLBB ALDOUS ACTION MLBH-2:NAVY BLUE:15-16:GRAPHIC:SS T-SHIRT</t>
  </si>
  <si>
    <t>TF-HN15</t>
  </si>
  <si>
    <t>SS T-SHIRT TF AUTOBOTS TEAM TF-HN15:MISTY LIGHT BLUE:3-4:GRAPHIC:SS T-SHIRT</t>
  </si>
  <si>
    <t>SS T-SHIRT TF AUTOBOTS TEAM TF-HN15:MISTY LIGHT BLUE:4-5:GRAPHIC:SS T-SHIRT</t>
  </si>
  <si>
    <t>SS T-SHIRT TF AUTOBOTS TEAM TF-HN15:MISTY LIGHT BLUE:5-6:GRAPHIC:SS T-SHIRT</t>
  </si>
  <si>
    <t>SS T-SHIRT TF AUTOBOTS TEAM TF-HN15:MISTY LIGHT BLUE:7-8:GRAPHIC:SS T-SHIRT</t>
  </si>
  <si>
    <t>SS T-SHIRT TF AUTOBOTS TEAM TF-HN15:MISTY LIGHT BLUE:9-10:GRAPHIC:SS T-SHIRT</t>
  </si>
  <si>
    <t>SS T-SHIRT TF AUTOBOTS TEAM TF-HN15:MISTY LIGHT BLUE:11-12:GRAPHIC:SS T-SHIRT</t>
  </si>
  <si>
    <t>SS T-SHIRT TF AUTOBOTS TEAM TF-HN15:MISTY LIGHT BLUE:13-14:GRAPHIC:SS T-SHIRT</t>
  </si>
  <si>
    <t>SS T-SHIRT TF AUTOBOTS TEAM TF-HN15:MISTY LIGHT BLUE:15-16:GRAPHIC:SS T-SHIRT</t>
  </si>
  <si>
    <t>MN-N093</t>
  </si>
  <si>
    <t>SS T-SHIRT MINIONS WFH ZIP JARING MN-N093:NAVY BLUE:3-4:PRINT:SS T-SHIRT</t>
  </si>
  <si>
    <t>SS T-SHIRT MINIONS WFH ZIP JARING MN-N093:NAVY BLUE:4-5:PRINT:SS T-SHIRT</t>
  </si>
  <si>
    <t>SS T-SHIRT MINIONS WFH ZIP JARING MN-N093:NAVY BLUE:5-6:PRINT:SS T-SHIRT</t>
  </si>
  <si>
    <t>SS T-SHIRT MINIONS WFH ZIP JARING MN-N093:NAVY BLUE:7-8:PRINT:SS T-SHIRT</t>
  </si>
  <si>
    <t>SS T-SHIRT MINIONS WFH ZIP JARING MN-N093:NAVY BLUE:9-10:PRINT:SS T-SHIRT</t>
  </si>
  <si>
    <t>SS T-SHIRT MINIONS WFH ZIP JARING MN-N093:NAVY BLUE:11-12:PRINT:SS T-SHIRT</t>
  </si>
  <si>
    <t>SS T-SHIRT MINIONS WFH ZIP JARING MN-N093:NAVY BLUE:13-14:PRINT:SS T-SHIRT</t>
  </si>
  <si>
    <t>SS T-SHIRT MINIONS WFH ZIP JARING MN-N093:NAVY BLUE:15-16:PRINT:SS T-SHIRT</t>
  </si>
  <si>
    <t>MN-N095</t>
  </si>
  <si>
    <t>SS T-SHIRT MINIONS WFH KTG ZIP MN-N095:CLASSIC YELLOW:3-4:PRINT:SS T-SHIRT</t>
  </si>
  <si>
    <t>SS T-SHIRT MINIONS WFH KTG ZIP MN-N095:CLASSIC YELLOW:4-5:PRINT:SS T-SHIRT</t>
  </si>
  <si>
    <t>SS T-SHIRT MINIONS WFH KTG ZIP MN-N095:CLASSIC YELLOW:5-6:PRINT:SS T-SHIRT</t>
  </si>
  <si>
    <t>SS T-SHIRT MINIONS WFH KTG ZIP MN-N095:CLASSIC YELLOW:7-8:PRINT:SS T-SHIRT</t>
  </si>
  <si>
    <t>SS T-SHIRT MINIONS WFH KTG ZIP MN-N095:CLASSIC YELLOW:9-10:PRINT:SS T-SHIRT</t>
  </si>
  <si>
    <t>SS T-SHIRT MINIONS WFH KTG ZIP MN-N095:CLASSIC YELLOW:11-12:PRINT:SS T-SHIRT</t>
  </si>
  <si>
    <t>SS T-SHIRT MINIONS WFH KTG ZIP MN-N095:CLASSIC YELLOW:13-14:PRINT:SS T-SHIRT</t>
  </si>
  <si>
    <t>SS T-SHIRT MINIONS WFH KTG ZIP MN-N095:CLASSIC YELLOW:15-16:PRINT:SS T-SHIRT</t>
  </si>
  <si>
    <t>MN-N704</t>
  </si>
  <si>
    <t>SS T-SHIRT MINIONS FP KTG MN-N704:CLASSIC YELLOW:3-4:PRINT:SS T-SHIRT</t>
  </si>
  <si>
    <t>SS T-SHIRT MINIONS FP KTG MN-N704:CLASSIC YELLOW:4-5:PRINT:SS T-SHIRT</t>
  </si>
  <si>
    <t>SS T-SHIRT MINIONS FP KTG MN-N704:CLASSIC YELLOW:5-6:PRINT:SS T-SHIRT</t>
  </si>
  <si>
    <t>SS T-SHIRT MINIONS FP KTG MN-N704:CLASSIC YELLOW:7-8:PRINT:SS T-SHIRT</t>
  </si>
  <si>
    <t>SS T-SHIRT MINIONS FP KTG MN-N704:CLASSIC YELLOW:9-10:PRINT:SS T-SHIRT</t>
  </si>
  <si>
    <t>SS T-SHIRT MINIONS FP KTG MN-N704:CLASSIC YELLOW:11-12:PRINT:SS T-SHIRT</t>
  </si>
  <si>
    <t>SS T-SHIRT MINIONS FP KTG MN-N704:CLASSIC YELLOW:13-14:PRINT:SS T-SHIRT</t>
  </si>
  <si>
    <t>SS T-SHIRT MINIONS FP KTG MN-N704:CLASSIC YELLOW:15-16:PRINT:SS T-SHIRT</t>
  </si>
  <si>
    <t>MN-N092</t>
  </si>
  <si>
    <t>SS T-SHIRT MINIONS KTG JARING MN-N092:WHITE:3-4:GRAPHIC:SS T-SHIRT</t>
  </si>
  <si>
    <t>SS T-SHIRT MINIONS KTG JARING MN-N092:WHITE:4-5:GRAPHIC:SS T-SHIRT</t>
  </si>
  <si>
    <t>SS T-SHIRT MINIONS KTG JARING MN-N092:WHITE:5-6:GRAPHIC:SS T-SHIRT</t>
  </si>
  <si>
    <t>SS T-SHIRT MINIONS KTG JARING MN-N092:WHITE:7-8:GRAPHIC:SS T-SHIRT</t>
  </si>
  <si>
    <t>SS T-SHIRT MINIONS KTG JARING MN-N092:WHITE:9-10:GRAPHIC:SS T-SHIRT</t>
  </si>
  <si>
    <t>SS T-SHIRT MINIONS KTG JARING MN-N092:WHITE:11-12:GRAPHIC:SS T-SHIRT</t>
  </si>
  <si>
    <t>SS T-SHIRT MINIONS KTG JARING MN-N092:WHITE:13-14:GRAPHIC:SS T-SHIRT</t>
  </si>
  <si>
    <t>SS T-SHIRT MINIONS KTG JARING MN-N092:WHITE:15-16:GRAPHIC:SS T-SHIRT</t>
  </si>
  <si>
    <t>MN-N070</t>
  </si>
  <si>
    <t>JACKET MINIONS MOVIE HOOD MN-N070:NAVY BLUE:3-4:GRAPHIC:JACKET</t>
  </si>
  <si>
    <t>JACKET MINIONS MOVIE HOOD MN-N070:NAVY BLUE:4-5:GRAPHIC:JACKET</t>
  </si>
  <si>
    <t>JACKET MINIONS MOVIE HOOD MN-N070:NAVY BLUE:5-6:GRAPHIC:JACKET</t>
  </si>
  <si>
    <t>JACKET MINIONS MOVIE HOOD MN-N070:NAVY BLUE:7-8:GRAPHIC:JACKET</t>
  </si>
  <si>
    <t>JACKET MINIONS MOVIE HOOD MN-N070:NAVY BLUE:9-10:GRAPHIC:JACKET</t>
  </si>
  <si>
    <t>JACKET MINIONS MOVIE HOOD MN-N070:NAVY BLUE:11-12:GRAPHIC:JACKET</t>
  </si>
  <si>
    <t>JACKET MINIONS MOVIE HOOD MN-N070:NAVY BLUE:13-14:GRAPHIC:JACKET</t>
  </si>
  <si>
    <t>JACKET MINIONS MOVIE HOOD MN-N070:NAVY BLUE:15-16:GRAPHIC:JACKET</t>
  </si>
  <si>
    <t>MN-N101</t>
  </si>
  <si>
    <t>JOGGER MINIONS CARGO MN-N101:NAVY BLUE:3-4:GRAPHIC:JOGGER</t>
  </si>
  <si>
    <t>JOGGER MINIONS CARGO MN-N101:NAVY BLUE:4-5:GRAPHIC:JOGGER</t>
  </si>
  <si>
    <t>JOGGER MINIONS CARGO MN-N101:NAVY BLUE:5-6:GRAPHIC:JOGGER</t>
  </si>
  <si>
    <t>JOGGER MINIONS CARGO MN-N101:NAVY BLUE:7-8:GRAPHIC:JOGGER</t>
  </si>
  <si>
    <t>JOGGER MINIONS CARGO MN-N101:NAVY BLUE:9-10:GRAPHIC:JOGGER</t>
  </si>
  <si>
    <t>JOGGER MINIONS CARGO MN-N101:NAVY BLUE:11-12:GRAPHIC:JOGGER</t>
  </si>
  <si>
    <t>JOGGER MINIONS CARGO MN-N101:NAVY BLUE:13-14:GRAPHIC:JOGGER</t>
  </si>
  <si>
    <t>JOGGER MINIONS CARGO MN-N101:NAVY BLUE:15-16:GRAPHIC:JOGGER</t>
  </si>
  <si>
    <t>JP-N036</t>
  </si>
  <si>
    <t>SS T-SHIRT JURASSIC WILD A JP-N036:MISTY LIGHT GREY:3-4:PRINT:SS T-SHIRT</t>
  </si>
  <si>
    <t>SS T-SHIRT JURASSIC WILD A JP-N036:MISTY LIGHT GREY:4-5:PRINT:SS T-SHIRT</t>
  </si>
  <si>
    <t>SS T-SHIRT JURASSIC WILD A JP-N036:MISTY LIGHT GREY:5-6:PRINT:SS T-SHIRT</t>
  </si>
  <si>
    <t>SS T-SHIRT JURASSIC WILD A JP-N036:MISTY LIGHT GREY:7-8:PRINT:SS T-SHIRT</t>
  </si>
  <si>
    <t>SS T-SHIRT JURASSIC WILD A JP-N036:MISTY LIGHT GREY:9-10:PRINT:SS T-SHIRT</t>
  </si>
  <si>
    <t>JP-HR481</t>
  </si>
  <si>
    <t>SS T-SHIRT JURASSIC ROAR A JP-HR481:MISTY LIGHT GREY:3-4:GRAPHIC:SS T-SHIRT</t>
  </si>
  <si>
    <t>SS T-SHIRT JURASSIC ROAR A JP-HR481:MISTY LIGHT GREY:4-5:GRAPHIC:SS T-SHIRT</t>
  </si>
  <si>
    <t>SS T-SHIRT JURASSIC ROAR A JP-HR481:MISTY LIGHT GREY:5-6:GRAPHIC:SS T-SHIRT</t>
  </si>
  <si>
    <t>SS T-SHIRT JURASSIC ROAR A JP-HR481:MISTY LIGHT GREY:7-8:GRAPHIC:SS T-SHIRT</t>
  </si>
  <si>
    <t>SS T-SHIRT JURASSIC ROAR A JP-HR481:MISTY LIGHT GREY:9-10:GRAPHIC:SS T-SHIRT</t>
  </si>
  <si>
    <t>JP-HN07</t>
  </si>
  <si>
    <t>SS T-SHIRT JURASSIC WORLD C JP-HN07:MISTY MEDIUM BLUE:7-8:GRAPHIC:SS T-SHIRT</t>
  </si>
  <si>
    <t>SS T-SHIRT JURASSIC WORLD C JP-HN07:MISTY MEDIUM BLUE:9-10:GRAPHIC:SS T-SHIRT</t>
  </si>
  <si>
    <t>SS T-SHIRT JURASSIC WORLD C JP-HN07:MISTY MEDIUM BLUE:11-12:GRAPHIC:SS T-SHIRT</t>
  </si>
  <si>
    <t>SS T-SHIRT JURASSIC WORLD C JP-HN07:MISTY MEDIUM BLUE:13-14:GRAPHIC:SS T-SHIRT</t>
  </si>
  <si>
    <t>SS T-SHIRT JURASSIC WORLD C JP-HN07:MISTY MEDIUM BLUE:15-16:GRAPHIC:SS T-SHIRT</t>
  </si>
  <si>
    <t>BT-N236</t>
  </si>
  <si>
    <t>SS T-SHIRT BATMAN STAND LOGO A BT-N236:CLASSIC YELLOW:3-4:GRAPHIC:SS T-SHIRT</t>
  </si>
  <si>
    <t>SS T-SHIRT BATMAN STAND LOGO A BT-N236:CLASSIC YELLOW:4-5:GRAPHIC:SS T-SHIRT</t>
  </si>
  <si>
    <t>SS T-SHIRT BATMAN STAND LOGO A BT-N236:CLASSIC YELLOW:5-6:GRAPHIC:SS T-SHIRT</t>
  </si>
  <si>
    <t>SS T-SHIRT BATMAN STAND LOGO A BT-N236:CLASSIC YELLOW:7-8:GRAPHIC:SS T-SHIRT</t>
  </si>
  <si>
    <t>SS T-SHIRT BATMAN STAND LOGO A BT-N236:CLASSIC YELLOW:9-10:GRAPHIC:SS T-SHIRT</t>
  </si>
  <si>
    <t>BT-N031</t>
  </si>
  <si>
    <t>SHORT PANTS CP KNIT BATMAN PRINT KANTONG A BT-N031:CLASSIC YELLOW:3-4:GRAPHIC:SHORT PANTS</t>
  </si>
  <si>
    <t>SHORT PANTS CP KNIT BATMAN PRINT KANTONG A BT-N031:CLASSIC YELLOW:4-5:GRAPHIC:SHORT PANTS</t>
  </si>
  <si>
    <t>SHORT PANTS CP KNIT BATMAN PRINT KANTONG A BT-N031:CLASSIC YELLOW:5-6:GRAPHIC:SHORT PANTS</t>
  </si>
  <si>
    <t>SHORT PANTS CP KNIT BATMAN PRINT KANTONG A BT-N031:CLASSIC YELLOW:7-8:GRAPHIC:SHORT PANTS</t>
  </si>
  <si>
    <t>SHORT PANTS CP KNIT BATMAN PRINT KANTONG A BT-N031:CLASSIC YELLOW:9-10:GRAPHIC:SHORT PANTS</t>
  </si>
  <si>
    <t>BT-HR042</t>
  </si>
  <si>
    <t>SS T-SHIRT BATMAN LOGO FP A BT-HR042:CLASSIC YELLOW:3-4:PRINT:SS T-SHIRT</t>
  </si>
  <si>
    <t>SS T-SHIRT BATMAN LOGO FP A BT-HR042:CLASSIC YELLOW:4-5:PRINT:SS T-SHIRT</t>
  </si>
  <si>
    <t>SS T-SHIRT BATMAN LOGO FP A BT-HR042:CLASSIC YELLOW:5-6:PRINT:SS T-SHIRT</t>
  </si>
  <si>
    <t>SS T-SHIRT BATMAN LOGO FP A BT-HR042:CLASSIC YELLOW:7-8:PRINT:SS T-SHIRT</t>
  </si>
  <si>
    <t>SS T-SHIRT BATMAN LOGO FP A BT-HR042:CLASSIC YELLOW:9-10:PRINT:SS T-SHIRT</t>
  </si>
  <si>
    <t>BT-N213</t>
  </si>
  <si>
    <t>SS T-SHIRT BATMAN LOGO LIS LGN A BT-N213:VANILLA:3-4:GRAPHIC:SS T-SHIRT</t>
  </si>
  <si>
    <t>SS T-SHIRT BATMAN LOGO LIS LGN A BT-N213:VANILLA:4-5:GRAPHIC:SS T-SHIRT</t>
  </si>
  <si>
    <t>SS T-SHIRT BATMAN LOGO LIS LGN A BT-N213:VANILLA:5-6:GRAPHIC:SS T-SHIRT</t>
  </si>
  <si>
    <t>SS T-SHIRT BATMAN LOGO LIS LGN A BT-N213:VANILLA:7-8:GRAPHIC:SS T-SHIRT</t>
  </si>
  <si>
    <t>SS T-SHIRT BATMAN LOGO LIS LGN A BT-N213:VANILLA:9-10:GRAPHIC:SS T-SHIRT</t>
  </si>
  <si>
    <t>BG-116A</t>
  </si>
  <si>
    <t>SS T-SHIRT BATMAN POSE KTG A BG-116A:MISTY LIGHT BLUE:3-4:GRAPHIC:SS T-SHIRT</t>
  </si>
  <si>
    <t>SS T-SHIRT BATMAN POSE KTG A BG-116A:MISTY LIGHT BLUE:4-5:GRAPHIC:SS T-SHIRT</t>
  </si>
  <si>
    <t>SS T-SHIRT BATMAN POSE KTG A BG-116A:MISTY LIGHT BLUE:5-6:GRAPHIC:SS T-SHIRT</t>
  </si>
  <si>
    <t>SS T-SHIRT BATMAN POSE KTG A BG-116A:MISTY LIGHT BLUE:7-8:GRAPHIC:SS T-SHIRT</t>
  </si>
  <si>
    <t>SS T-SHIRT BATMAN POSE KTG A BG-116A:MISTY LIGHT BLUE:9-10:GRAPHIC:SS T-SHIRT</t>
  </si>
  <si>
    <t>BT-N216</t>
  </si>
  <si>
    <t>SS T-SHIRT BATMAN LOGO GITD BT-N216:BLACK:3-4:GRAPHIC:SS T-SHIRT</t>
  </si>
  <si>
    <t>SS T-SHIRT BATMAN LOGO GITD BT-N216:BLACK:4-5:GRAPHIC:SS T-SHIRT</t>
  </si>
  <si>
    <t>SS T-SHIRT BATMAN LOGO GITD BT-N216:BLACK:5-6:GRAPHIC:SS T-SHIRT</t>
  </si>
  <si>
    <t>SS T-SHIRT BATMAN LOGO GITD BT-N216:BLACK:7-8:GRAPHIC:SS T-SHIRT</t>
  </si>
  <si>
    <t>SS T-SHIRT BATMAN LOGO GITD BT-N216:BLACK:9-10:GRAPHIC:SS T-SHIRT</t>
  </si>
  <si>
    <t>SS T-SHIRT BATMAN LOGO GITD BT-N216:BLACK:11-12:GRAPHIC:SS T-SHIRT</t>
  </si>
  <si>
    <t>SS T-SHIRT BATMAN LOGO GITD BT-N216:BLACK:13-14:GRAPHIC:SS T-SHIRT</t>
  </si>
  <si>
    <t>SS T-SHIRT BATMAN LOGO GITD BT-N216:BLACK:15-16:GRAPHIC:SS T-SHIRT</t>
  </si>
  <si>
    <t>BT-HN33</t>
  </si>
  <si>
    <t>SS T-SHIRT BATMAN BIG TULISAN LOGO C BT-HN33:WHITE:7-8:GRAPHIC:SS T-SHIRT</t>
  </si>
  <si>
    <t>SS T-SHIRT BATMAN BIG TULISAN LOGO C BT-HN33:WHITE:9-10:GRAPHIC:SS T-SHIRT</t>
  </si>
  <si>
    <t>SS T-SHIRT BATMAN BIG TULISAN LOGO C BT-HN33:WHITE:11-12:GRAPHIC:SS T-SHIRT</t>
  </si>
  <si>
    <t>SS T-SHIRT BATMAN BIG TULISAN LOGO C BT-HN33:WHITE:13-14:GRAPHIC:SS T-SHIRT</t>
  </si>
  <si>
    <t>SS T-SHIRT BATMAN BIG TULISAN LOGO C BT-HN33:WHITE:15-16:GRAPHIC:SS T-SHIRT</t>
  </si>
  <si>
    <t>BT-N225</t>
  </si>
  <si>
    <t>SS T-SHIRT BATMAN LOGO TENGAH KTG LGN C BT-N225:CLASSIC YELLOW:7-8:GRAPHIC:SS T-SHIRT</t>
  </si>
  <si>
    <t>SS T-SHIRT BATMAN LOGO TENGAH KTG LGN C BT-N225:CLASSIC YELLOW:9-10:GRAPHIC:SS T-SHIRT</t>
  </si>
  <si>
    <t>SS T-SHIRT BATMAN LOGO TENGAH KTG LGN C BT-N225:CLASSIC YELLOW:11-12:GRAPHIC:SS T-SHIRT</t>
  </si>
  <si>
    <t>SS T-SHIRT BATMAN LOGO TENGAH KTG LGN C BT-N225:CLASSIC YELLOW:13-14:GRAPHIC:SS T-SHIRT</t>
  </si>
  <si>
    <t>SS T-SHIRT BATMAN LOGO TENGAH KTG LGN C BT-N225:CLASSIC YELLOW:15-16:GRAPHIC:SS T-SHIRT</t>
  </si>
  <si>
    <t>BT-N224</t>
  </si>
  <si>
    <t>SS T-SHIRT BATMAN CUT SEW LOGO C BT-N224:CLASSIC YELLOW:7-8:GRAPHIC:SS T-SHIRT</t>
  </si>
  <si>
    <t>SS T-SHIRT BATMAN CUT SEW LOGO C BT-N224:CLASSIC YELLOW:9-10:GRAPHIC:SS T-SHIRT</t>
  </si>
  <si>
    <t>SS T-SHIRT BATMAN CUT SEW LOGO C BT-N224:CLASSIC YELLOW:11-12:GRAPHIC:SS T-SHIRT</t>
  </si>
  <si>
    <t>SS T-SHIRT BATMAN CUT SEW LOGO C BT-N224:CLASSIC YELLOW:13-14:GRAPHIC:SS T-SHIRT</t>
  </si>
  <si>
    <t>SS T-SHIRT BATMAN CUT SEW LOGO C BT-N224:CLASSIC YELLOW:15-16:GRAPHIC:SS T-SHIRT</t>
  </si>
  <si>
    <t>BT-N242</t>
  </si>
  <si>
    <t>SS T-SHIRT BATMAN KTG PRINT BLKG C BT-N242:MISTY LIGHT KHAKI:7-8:GRAPHIC:SS T-SHIRT</t>
  </si>
  <si>
    <t>SS T-SHIRT BATMAN KTG PRINT BLKG C BT-N242:MISTY LIGHT KHAKI:9-10:GRAPHIC:SS T-SHIRT</t>
  </si>
  <si>
    <t>SS T-SHIRT BATMAN KTG PRINT BLKG C BT-N242:MISTY LIGHT KHAKI:11-12:GRAPHIC:SS T-SHIRT</t>
  </si>
  <si>
    <t>SS T-SHIRT BATMAN KTG PRINT BLKG C BT-N242:MISTY LIGHT KHAKI:13-14:GRAPHIC:SS T-SHIRT</t>
  </si>
  <si>
    <t>SS T-SHIRT BATMAN KTG PRINT BLKG C BT-N242:MISTY LIGHT KHAKI:15-16:GRAPHIC:SS T-SHIRT</t>
  </si>
  <si>
    <t>BM-A94</t>
  </si>
  <si>
    <t>SWEATER BATMAN DARK KNIGHT C BM-A94:BLACK:7-8:GRAPHIC:SWEATER</t>
  </si>
  <si>
    <t>SWEATER BATMAN DARK KNIGHT C BM-A94:BLACK:9-10:GRAPHIC:SWEATER</t>
  </si>
  <si>
    <t>SWEATER BATMAN DARK KNIGHT C BM-A94:BLACK:11-12:GRAPHIC:SWEATER</t>
  </si>
  <si>
    <t>SWEATER BATMAN DARK KNIGHT C BM-A94:BLACK:13-14:GRAPHIC:SWEATER</t>
  </si>
  <si>
    <t>SWEATER BATMAN DARK KNIGHT C BM-A94:BLACK:15-16:GRAPHIC:SWEATER</t>
  </si>
  <si>
    <t>SUP-A140</t>
  </si>
  <si>
    <t>SS T-SHIRT SUPERMAN FP HALF LIS LGN SUP-A140:WHITE:3-4:PRINT:SS T-SHIRT</t>
  </si>
  <si>
    <t>SS T-SHIRT SUPERMAN FP HALF LIS LGN SUP-A140:WHITE:4-5:PRINT:SS T-SHIRT</t>
  </si>
  <si>
    <t>SS T-SHIRT SUPERMAN FP HALF LIS LGN SUP-A140:WHITE:5-6:PRINT:SS T-SHIRT</t>
  </si>
  <si>
    <t>SS T-SHIRT SUPERMAN FP HALF LIS LGN SUP-A140:WHITE:7-8:PRINT:SS T-SHIRT</t>
  </si>
  <si>
    <t>SS T-SHIRT SUPERMAN FP HALF LIS LGN SUP-A140:WHITE:9-10:PRINT:SS T-SHIRT</t>
  </si>
  <si>
    <t>SS T-SHIRT SUPERMAN FP HALF LIS LGN SUP-A140:WHITE:11-12:PRINT:SS T-SHIRT</t>
  </si>
  <si>
    <t>SS T-SHIRT SUPERMAN FP HALF LIS LGN SUP-A140:WHITE:13-14:PRINT:SS T-SHIRT</t>
  </si>
  <si>
    <t>SS T-SHIRT SUPERMAN FP HALF LIS LGN SUP-A140:WHITE:15-16:PRINT:SS T-SHIRT</t>
  </si>
  <si>
    <t>SUP-A180</t>
  </si>
  <si>
    <t>SS T-SHIRT SUPERMAN LOGO TAG LGN SUP-A180:MISTY LIGHT BLUE:3-4:GRAPHIC:SS T-SHIRT</t>
  </si>
  <si>
    <t>SS T-SHIRT SUPERMAN LOGO TAG LGN SUP-A180:MISTY LIGHT BLUE:4-5:GRAPHIC:SS T-SHIRT</t>
  </si>
  <si>
    <t>SS T-SHIRT SUPERMAN LOGO TAG LGN SUP-A180:MISTY LIGHT BLUE:5-6:GRAPHIC:SS T-SHIRT</t>
  </si>
  <si>
    <t>SS T-SHIRT SUPERMAN LOGO TAG LGN SUP-A180:MISTY LIGHT BLUE:7-8:GRAPHIC:SS T-SHIRT</t>
  </si>
  <si>
    <t>SS T-SHIRT SUPERMAN LOGO TAG LGN SUP-A180:MISTY LIGHT BLUE:9-10:GRAPHIC:SS T-SHIRT</t>
  </si>
  <si>
    <t>SS T-SHIRT SUPERMAN LOGO TAG LGN SUP-A180:MISTY LIGHT BLUE:11-12:GRAPHIC:SS T-SHIRT</t>
  </si>
  <si>
    <t>SS T-SHIRT SUPERMAN LOGO TAG LGN SUP-A180:MISTY LIGHT BLUE:13-14:GRAPHIC:SS T-SHIRT</t>
  </si>
  <si>
    <t>SS T-SHIRT SUPERMAN LOGO TAG LGN SUP-A180:MISTY LIGHT BLUE:15-16:GRAPHIC:SS T-SHIRT</t>
  </si>
  <si>
    <t>SUP-A84</t>
  </si>
  <si>
    <t>JOGGER SUPERMAN LOGO TAG KTG SUP-A84:NAVY BLUE:3-4:GRAPHIC:JOGGER</t>
  </si>
  <si>
    <t>JOGGER SUPERMAN LOGO TAG KTG SUP-A84:NAVY BLUE:4-5:GRAPHIC:JOGGER</t>
  </si>
  <si>
    <t>JOGGER SUPERMAN LOGO TAG KTG SUP-A84:NAVY BLUE:5-6:GRAPHIC:JOGGER</t>
  </si>
  <si>
    <t>JOGGER SUPERMAN LOGO TAG KTG SUP-A84:NAVY BLUE:7-8:GRAPHIC:JOGGER</t>
  </si>
  <si>
    <t>JOGGER SUPERMAN LOGO TAG KTG SUP-A84:NAVY BLUE:9-10:GRAPHIC:JOGGER</t>
  </si>
  <si>
    <t>JOGGER SUPERMAN LOGO TAG KTG SUP-A84:NAVY BLUE:11-12:GRAPHIC:JOGGER</t>
  </si>
  <si>
    <t>JOGGER SUPERMAN LOGO TAG KTG SUP-A84:NAVY BLUE:13-14:GRAPHIC:JOGGER</t>
  </si>
  <si>
    <t>JOGGER SUPERMAN LOGO TAG KTG SUP-A84:NAVY BLUE:15-16:GRAPHIC:JOGGER</t>
  </si>
  <si>
    <t>SB-A08</t>
  </si>
  <si>
    <t>SS T-SHIRT SPONGEBOB EXPRESS SB-A08:NAVY BLUE:3-4:GRAPHIC:SS T-SHIRT</t>
  </si>
  <si>
    <t>SS T-SHIRT SPONGEBOB EXPRESS SB-A08:NAVY BLUE:4-5:GRAPHIC:SS T-SHIRT</t>
  </si>
  <si>
    <t>SS T-SHIRT SPONGEBOB EXPRESS SB-A08:NAVY BLUE:5-6:GRAPHIC:SS T-SHIRT</t>
  </si>
  <si>
    <t>SS T-SHIRT SPONGEBOB EXPRESS SB-A08:NAVY BLUE:7-8:GRAPHIC:SS T-SHIRT</t>
  </si>
  <si>
    <t>SS T-SHIRT SPONGEBOB EXPRESS SB-A08:NAVY BLUE:9-10:GRAPHIC:SS T-SHIRT</t>
  </si>
  <si>
    <t>SS T-SHIRT SPONGEBOB EXPRESS SB-A08:NAVY BLUE:11-12:GRAPHIC:SS T-SHIRT</t>
  </si>
  <si>
    <t>SB-A01</t>
  </si>
  <si>
    <t>SS T-SHIRT SPONGEBOB SMILE SB-A01:CLASSIC YELLOW:3-4:GRAPHIC:SS T-SHIRT</t>
  </si>
  <si>
    <t>SS T-SHIRT SPONGEBOB SMILE SB-A01:CLASSIC YELLOW:4-5:GRAPHIC:SS T-SHIRT</t>
  </si>
  <si>
    <t>SS T-SHIRT SPONGEBOB SMILE SB-A01:CLASSIC YELLOW:5-6:GRAPHIC:SS T-SHIRT</t>
  </si>
  <si>
    <t>SS T-SHIRT SPONGEBOB SMILE SB-A01:CLASSIC YELLOW:7-8:GRAPHIC:SS T-SHIRT</t>
  </si>
  <si>
    <t>SS T-SHIRT SPONGEBOB SMILE SB-A01:CLASSIC YELLOW:9-10:GRAPHIC:SS T-SHIRT</t>
  </si>
  <si>
    <t>SS T-SHIRT SPONGEBOB SMILE SB-A01:CLASSIC YELLOW:11-12:GRAPHIC:SS T-SHIRT</t>
  </si>
  <si>
    <t>SB-A03</t>
  </si>
  <si>
    <t>SS T-SHIRT SPONGEBOB TEAMS KOTAK SB-A03:NAVY BLUE:3-4:GRAPHIC:SS T-SHIRT</t>
  </si>
  <si>
    <t>SS T-SHIRT SPONGEBOB TEAMS KOTAK SB-A03:NAVY BLUE:4-5:GRAPHIC:SS T-SHIRT</t>
  </si>
  <si>
    <t>SS T-SHIRT SPONGEBOB TEAMS KOTAK SB-A03:NAVY BLUE:5-6:GRAPHIC:SS T-SHIRT</t>
  </si>
  <si>
    <t>SS T-SHIRT SPONGEBOB TEAMS KOTAK SB-A03:NAVY BLUE:7-8:GRAPHIC:SS T-SHIRT</t>
  </si>
  <si>
    <t>SS T-SHIRT SPONGEBOB TEAMS KOTAK SB-A03:NAVY BLUE:9-10:GRAPHIC:SS T-SHIRT</t>
  </si>
  <si>
    <t>SS T-SHIRT SPONGEBOB TEAMS KOTAK SB-A03:NAVY BLUE:11-12:GRAPHIC:SS T-SHIRT</t>
  </si>
  <si>
    <t>SB-HR16</t>
  </si>
  <si>
    <t>SS T-SHIRT SPONGEBOB FP LOGO SB-HR16:CLASSIC YELLOW:3-4:PRINT:SS T-SHIRT</t>
  </si>
  <si>
    <t>SS T-SHIRT SPONGEBOB FP LOGO SB-HR16:CLASSIC YELLOW:4-5:PRINT:SS T-SHIRT</t>
  </si>
  <si>
    <t>SS T-SHIRT SPONGEBOB FP LOGO SB-HR16:CLASSIC YELLOW:5-6:PRINT:SS T-SHIRT</t>
  </si>
  <si>
    <t>SS T-SHIRT SPONGEBOB FP LOGO SB-HR16:CLASSIC YELLOW:7-8:PRINT:SS T-SHIRT</t>
  </si>
  <si>
    <t>SS T-SHIRT SPONGEBOB FP LOGO SB-HR16:CLASSIC YELLOW:9-10:PRINT:SS T-SHIRT</t>
  </si>
  <si>
    <t>SS T-SHIRT SPONGEBOB FP LOGO SB-HR16:CLASSIC YELLOW:11-12:PRINT:SS T-SHIRT</t>
  </si>
  <si>
    <t>SB-A02</t>
  </si>
  <si>
    <t>SS T-SHIRT SPONGEBOB TEAMS SB-A02:NAVY BLUE:3-4:GRAPHIC:SS T-SHIRT</t>
  </si>
  <si>
    <t>SS T-SHIRT SPONGEBOB TEAMS SB-A02:NAVY BLUE:4-5:GRAPHIC:SS T-SHIRT</t>
  </si>
  <si>
    <t>SS T-SHIRT SPONGEBOB TEAMS SB-A02:NAVY BLUE:5-6:GRAPHIC:SS T-SHIRT</t>
  </si>
  <si>
    <t>SS T-SHIRT SPONGEBOB TEAMS SB-A02:NAVY BLUE:7-8:GRAPHIC:SS T-SHIRT</t>
  </si>
  <si>
    <t>SS T-SHIRT SPONGEBOB TEAMS SB-A02:NAVY BLUE:9-10:GRAPHIC:SS T-SHIRT</t>
  </si>
  <si>
    <t>SS T-SHIRT SPONGEBOB TEAMS SB-A02:NAVY BLUE:11-12:GRAPHIC:SS T-SHIRT</t>
  </si>
  <si>
    <t>SB-HN01</t>
  </si>
  <si>
    <t>JOGGER SPONGEBOB SB-HN01:MISTY LIGHT GREY:3-4:GRAPHIC:JOGGER</t>
  </si>
  <si>
    <t>JOGGER SPONGEBOB SB-HN01:MISTY LIGHT GREY:4-5:GRAPHIC:JOGGER</t>
  </si>
  <si>
    <t>JOGGER SPONGEBOB SB-HN01:MISTY LIGHT GREY:5-6:GRAPHIC:JOGGER</t>
  </si>
  <si>
    <t>JOGGER SPONGEBOB SB-HN01:MISTY LIGHT GREY:7-8:GRAPHIC:JOGGER</t>
  </si>
  <si>
    <t>JOGGER SPONGEBOB SB-HN01:MISTY LIGHT GREY:9-10:GRAPHIC:JOGGER</t>
  </si>
  <si>
    <t>JOGGER SPONGEBOB SB-HN01:MISTY LIGHT GREY:11-12:GRAPHIC:JOGGER</t>
  </si>
  <si>
    <t>TF-A81</t>
  </si>
  <si>
    <t>SS T-SHIRT TF OPTIMUS ROCKS TF-A81:MISTY LIGHT KHAKI:3-4:GRAPHIC:SS T-SHIRT</t>
  </si>
  <si>
    <t>SS T-SHIRT TF OPTIMUS ROCKS TF-A81:MISTY LIGHT KHAKI:4-5:GRAPHIC:SS T-SHIRT</t>
  </si>
  <si>
    <t>SS T-SHIRT TF OPTIMUS ROCKS TF-A81:MISTY LIGHT KHAKI:5-6:GRAPHIC:SS T-SHIRT</t>
  </si>
  <si>
    <t>SS T-SHIRT TF OPTIMUS ROCKS TF-A81:MISTY LIGHT KHAKI:7-8:GRAPHIC:SS T-SHIRT</t>
  </si>
  <si>
    <t>SS T-SHIRT TF OPTIMUS ROCKS TF-A81:MISTY LIGHT KHAKI:9-10:GRAPHIC:SS T-SHIRT</t>
  </si>
  <si>
    <t>SS T-SHIRT TF OPTIMUS ROCKS TF-A81:MISTY LIGHT KHAKI:11-12:GRAPHIC:SS T-SHIRT</t>
  </si>
  <si>
    <t>SS T-SHIRT TF OPTIMUS ROCKS TF-A81:MISTY LIGHT KHAKI:13-14:GRAPHIC:SS T-SHIRT</t>
  </si>
  <si>
    <t>SS T-SHIRT TF OPTIMUS ROCKS TF-A81:MISTY LIGHT KHAKI:15-16:GRAPHIC:SS T-SHIRT</t>
  </si>
  <si>
    <t>TF-A124</t>
  </si>
  <si>
    <t>SS T-SHIRT TF AUTOBOTS TEAM TF-A124:MISTY MEDIUM BLUE:3-4:GRAPHIC:SS T-SHIRT</t>
  </si>
  <si>
    <t>SS T-SHIRT TF AUTOBOTS TEAM TF-A124:MISTY MEDIUM BLUE:4-5:GRAPHIC:SS T-SHIRT</t>
  </si>
  <si>
    <t>SS T-SHIRT TF AUTOBOTS TEAM TF-A124:MISTY MEDIUM BLUE:5-6:GRAPHIC:SS T-SHIRT</t>
  </si>
  <si>
    <t>SS T-SHIRT TF AUTOBOTS TEAM TF-A124:MISTY MEDIUM BLUE:7-8:GRAPHIC:SS T-SHIRT</t>
  </si>
  <si>
    <t>SS T-SHIRT TF AUTOBOTS TEAM TF-A124:MISTY MEDIUM BLUE:9-10:GRAPHIC:SS T-SHIRT</t>
  </si>
  <si>
    <t>SS T-SHIRT TF AUTOBOTS TEAM TF-A124:MISTY MEDIUM BLUE:11-12:GRAPHIC:SS T-SHIRT</t>
  </si>
  <si>
    <t>SS T-SHIRT TF AUTOBOTS TEAM TF-A124:MISTY MEDIUM BLUE:13-14:GRAPHIC:SS T-SHIRT</t>
  </si>
  <si>
    <t>SS T-SHIRT TF AUTOBOTS TEAM TF-A124:MISTY MEDIUM BLUE:15-16:GRAPHIC:SS T-SHIRT</t>
  </si>
  <si>
    <t>TF-HR049</t>
  </si>
  <si>
    <t>SS T-SHIRT TF FP LOGO TF-HR049:MISTY MEDIUM KHAKI:3-4:PRINT:SS T-SHIRT</t>
  </si>
  <si>
    <t>SS T-SHIRT TF FP LOGO TF-HR049:MISTY MEDIUM KHAKI:4-5:PRINT:SS T-SHIRT</t>
  </si>
  <si>
    <t>SS T-SHIRT TF FP LOGO TF-HR049:MISTY MEDIUM KHAKI:5-6:PRINT:SS T-SHIRT</t>
  </si>
  <si>
    <t>SS T-SHIRT TF FP LOGO TF-HR049:MISTY MEDIUM KHAKI:7-8:PRINT:SS T-SHIRT</t>
  </si>
  <si>
    <t>SS T-SHIRT TF FP LOGO TF-HR049:MISTY MEDIUM KHAKI:9-10:PRINT:SS T-SHIRT</t>
  </si>
  <si>
    <t>SS T-SHIRT TF FP LOGO TF-HR049:MISTY MEDIUM KHAKI:11-12:PRINT:SS T-SHIRT</t>
  </si>
  <si>
    <t>SS T-SHIRT TF FP LOGO TF-HR049:MISTY MEDIUM KHAKI:13-14:PRINT:SS T-SHIRT</t>
  </si>
  <si>
    <t>SS T-SHIRT TF FP LOGO TF-HR049:MISTY MEDIUM KHAKI:15-16:PRINT:SS T-SHIRT</t>
  </si>
  <si>
    <t>TF-N046</t>
  </si>
  <si>
    <t>SWEATER HOOD BUMBLEBEE LIS LGN TF-N046:MISTY MEDIUM GREY:3-4:GRAPHIC:SWEATER</t>
  </si>
  <si>
    <t>SWEATER HOOD BUMBLEBEE LIS LGN TF-N046:MISTY MEDIUM GREY:4-5:GRAPHIC:SWEATER</t>
  </si>
  <si>
    <t>SWEATER HOOD BUMBLEBEE LIS LGN TF-N046:MISTY MEDIUM GREY:5-6:GRAPHIC:SWEATER</t>
  </si>
  <si>
    <t>SWEATER HOOD BUMBLEBEE LIS LGN TF-N046:MISTY MEDIUM GREY:7-8:GRAPHIC:SWEATER</t>
  </si>
  <si>
    <t>SWEATER HOOD BUMBLEBEE LIS LGN TF-N046:MISTY MEDIUM GREY:9-10:GRAPHIC:SWEATER</t>
  </si>
  <si>
    <t>SWEATER HOOD BUMBLEBEE LIS LGN TF-N046:MISTY MEDIUM GREY:11-12:GRAPHIC:SWEATER</t>
  </si>
  <si>
    <t>TF-A136</t>
  </si>
  <si>
    <t>SHORT PANTS CP KNIT TF FP OPTIMUS TF-A136:NAVY BLUE:3-4:PRINT:SHORT PANTS</t>
  </si>
  <si>
    <t>SHORT PANTS CP KNIT TF FP OPTIMUS TF-A136:NAVY BLUE:4-5:PRINT:SHORT PANTS</t>
  </si>
  <si>
    <t>SHORT PANTS CP KNIT TF FP OPTIMUS TF-A136:NAVY BLUE:5-6:PRINT:SHORT PANTS</t>
  </si>
  <si>
    <t>SHORT PANTS CP KNIT TF FP OPTIMUS TF-A136:NAVY BLUE:7-8:PRINT:SHORT PANTS</t>
  </si>
  <si>
    <t>SHORT PANTS CP KNIT TF FP OPTIMUS TF-A136:NAVY BLUE:9-10:PRINT:SHORT PANTS</t>
  </si>
  <si>
    <t>SHORT PANTS CP KNIT TF FP OPTIMUS TF-A136:NAVY BLUE:11-12:PRINT:SHORT PANTS</t>
  </si>
  <si>
    <t>SHORT PANTS CP KNIT TF FP OPTIMUS TF-A136:NAVY BLUE:13-14:PRINT:SHORT PANTS</t>
  </si>
  <si>
    <t>SHORT PANTS CP KNIT TF FP OPTIMUS TF-A136:NAVY BLUE:15-16:PRINT:SHORT PANTS</t>
  </si>
  <si>
    <t>TF-A138</t>
  </si>
  <si>
    <t>SHORT PANTS CP KNIT TF FP BEE TF-A138:CLASSIC YELLOW:3-4:PRINT:SHORT PANTS</t>
  </si>
  <si>
    <t>SHORT PANTS CP KNIT TF FP BEE TF-A138:CLASSIC YELLOW:4-5:PRINT:SHORT PANTS</t>
  </si>
  <si>
    <t>SHORT PANTS CP KNIT TF FP BEE TF-A138:CLASSIC YELLOW:5-6:PRINT:SHORT PANTS</t>
  </si>
  <si>
    <t>SHORT PANTS CP KNIT TF FP BEE TF-A138:CLASSIC YELLOW:7-8:PRINT:SHORT PANTS</t>
  </si>
  <si>
    <t>SHORT PANTS CP KNIT TF FP BEE TF-A138:CLASSIC YELLOW:9-10:PRINT:SHORT PANTS</t>
  </si>
  <si>
    <t>SHORT PANTS CP KNIT TF FP BEE TF-A138:CLASSIC YELLOW:11-12:PRINT:SHORT PANTS</t>
  </si>
  <si>
    <t>SHORT PANTS CP KNIT TF FP BEE TF-A138:CLASSIC YELLOW:13-14:PRINT:SHORT PANTS</t>
  </si>
  <si>
    <t>SHORT PANTS CP KNIT TF FP BEE TF-A138:CLASSIC YELLOW:15-16:PRINT:SHORT PANTS</t>
  </si>
  <si>
    <t>TF-N029</t>
  </si>
  <si>
    <t>SS T-SHIRT TF TEAMS LIS LGN TF-N029:MISTY DARK BLUE:3-4:GRAPHIC:SS T-SHIRT</t>
  </si>
  <si>
    <t>SS T-SHIRT TF TEAMS LIS LGN TF-N029:MISTY DARK BLUE:4-5:GRAPHIC:SS T-SHIRT</t>
  </si>
  <si>
    <t>SS T-SHIRT TF TEAMS LIS LGN TF-N029:MISTY DARK BLUE:5-6:GRAPHIC:SS T-SHIRT</t>
  </si>
  <si>
    <t>SS T-SHIRT TF TEAMS LIS LGN TF-N029:MISTY DARK BLUE:7-8:GRAPHIC:SS T-SHIRT</t>
  </si>
  <si>
    <t>SS T-SHIRT TF TEAMS LIS LGN TF-N029:MISTY DARK BLUE:9-10:GRAPHIC:SS T-SHIRT</t>
  </si>
  <si>
    <t>SS T-SHIRT TF TEAMS LIS LGN TF-N029:MISTY DARK BLUE:11-12:GRAPHIC:SS T-SHIRT</t>
  </si>
  <si>
    <t>SS T-SHIRT TF TEAMS LIS LGN TF-N029:MISTY DARK BLUE:13-14:GRAPHIC:SS T-SHIRT</t>
  </si>
  <si>
    <t>SS T-SHIRT TF TEAMS LIS LGN TF-N029:MISTY DARK BLUE:15-16:GRAPHIC:SS T-SHIRT</t>
  </si>
  <si>
    <t>MN-N75</t>
  </si>
  <si>
    <t>SHORT PANTS MINIONS KTG MN-N75:CLASSIC YELLOW:3-4:GRAPHIC:SHORT PANTS</t>
  </si>
  <si>
    <t>SHORT PANTS MINIONS KTG MN-N75:CLASSIC YELLOW:4-5:GRAPHIC:SHORT PANTS</t>
  </si>
  <si>
    <t>SHORT PANTS MINIONS KTG MN-N75:CLASSIC YELLOW:5-6:GRAPHIC:SHORT PANTS</t>
  </si>
  <si>
    <t>SHORT PANTS MINIONS KTG MN-N75:CLASSIC YELLOW:7-8:GRAPHIC:SHORT PANTS</t>
  </si>
  <si>
    <t>SHORT PANTS MINIONS KTG MN-N75:CLASSIC YELLOW:9-10:GRAPHIC:SHORT PANTS</t>
  </si>
  <si>
    <t>SHORT PANTS MINIONS KTG MN-N75:CLASSIC YELLOW:11-12:GRAPHIC:SHORT PANTS</t>
  </si>
  <si>
    <t>SHORT PANTS MINIONS KTG MN-N75:CLASSIC YELLOW:13-14:GRAPHIC:SHORT PANTS</t>
  </si>
  <si>
    <t>SHORT PANTS MINIONS KTG MN-N75:CLASSIC YELLOW:15-16:GRAPHIC:SHORT PANTS</t>
  </si>
  <si>
    <t>MN-HN017</t>
  </si>
  <si>
    <t>SS T-SHIRT MINIONS CARL JERRY MN-HN017:MISTY LIGHT BLUE:3-4:PRINT:SS T-SHIRT</t>
  </si>
  <si>
    <t>SS T-SHIRT MINIONS CARL JERRY MN-HN017:MISTY LIGHT BLUE:4-5:PRINT:SS T-SHIRT</t>
  </si>
  <si>
    <t>SS T-SHIRT MINIONS CARL JERRY MN-HN017:MISTY LIGHT BLUE:5-6:PRINT:SS T-SHIRT</t>
  </si>
  <si>
    <t>SS T-SHIRT MINIONS CARL JERRY MN-HN017:MISTY LIGHT BLUE:7-8:PRINT:SS T-SHIRT</t>
  </si>
  <si>
    <t>SS T-SHIRT MINIONS CARL JERRY MN-HN017:MISTY LIGHT BLUE:9-10:PRINT:SS T-SHIRT</t>
  </si>
  <si>
    <t>SS T-SHIRT MINIONS CARL JERRY MN-HN017:MISTY LIGHT BLUE:11-12:PRINT:SS T-SHIRT</t>
  </si>
  <si>
    <t>SS T-SHIRT MINIONS CARL JERRY MN-HN017:MISTY LIGHT BLUE:13-14:PRINT:SS T-SHIRT</t>
  </si>
  <si>
    <t>SS T-SHIRT MINIONS CARL JERRY MN-HN017:MISTY LIGHT BLUE:15-16:PRINT:SS T-SHIRT</t>
  </si>
  <si>
    <t>MN-HN29</t>
  </si>
  <si>
    <t>SS T-SHIRT MINIONS KEVIN FP TD MN-HN29:MISTY MEDIUM BLUE:3-4:PRINT:SS T-SHIRT</t>
  </si>
  <si>
    <t>SS T-SHIRT MINIONS KEVIN FP TD MN-HN29:MISTY MEDIUM BLUE:4-5:PRINT:SS T-SHIRT</t>
  </si>
  <si>
    <t>SS T-SHIRT MINIONS KEVIN FP TD MN-HN29:MISTY MEDIUM BLUE:5-6:PRINT:SS T-SHIRT</t>
  </si>
  <si>
    <t>SS T-SHIRT MINIONS KEVIN FP TD MN-HN29:MISTY MEDIUM BLUE:7-8:PRINT:SS T-SHIRT</t>
  </si>
  <si>
    <t>SS T-SHIRT MINIONS KEVIN FP TD MN-HN29:MISTY MEDIUM BLUE:9-10:PRINT:SS T-SHIRT</t>
  </si>
  <si>
    <t>SS T-SHIRT MINIONS KEVIN FP TD MN-HN29:MISTY MEDIUM BLUE:11-12:PRINT:SS T-SHIRT</t>
  </si>
  <si>
    <t>SS T-SHIRT MINIONS KEVIN FP TD MN-HN29:MISTY MEDIUM BLUE:13-14:PRINT:SS T-SHIRT</t>
  </si>
  <si>
    <t>SS T-SHIRT MINIONS KEVIN FP TD MN-HN29:MISTY MEDIUM BLUE:15-16:PRINT:SS T-SHIRT</t>
  </si>
  <si>
    <t>MN-HN025</t>
  </si>
  <si>
    <t>SS T-SHIRT MINIONS STUART MN-HN025:WHITE:3-4:GRAPHIC:SS T-SHIRT</t>
  </si>
  <si>
    <t>SS T-SHIRT MINIONS STUART MN-HN025:WHITE:4-5:GRAPHIC:SS T-SHIRT</t>
  </si>
  <si>
    <t>SS T-SHIRT MINIONS STUART MN-HN025:WHITE:5-6:GRAPHIC:SS T-SHIRT</t>
  </si>
  <si>
    <t>SS T-SHIRT MINIONS STUART MN-HN025:WHITE:7-8:GRAPHIC:SS T-SHIRT</t>
  </si>
  <si>
    <t>SS T-SHIRT MINIONS STUART MN-HN025:WHITE:9-10:GRAPHIC:SS T-SHIRT</t>
  </si>
  <si>
    <t>SS T-SHIRT MINIONS STUART MN-HN025:WHITE:11-12:GRAPHIC:SS T-SHIRT</t>
  </si>
  <si>
    <t>SS T-SHIRT MINIONS STUART MN-HN025:WHITE:13-14:GRAPHIC:SS T-SHIRT</t>
  </si>
  <si>
    <t>SS T-SHIRT MINIONS STUART MN-HN025:WHITE:15-16:GRAPHIC:SS T-SHIRT</t>
  </si>
  <si>
    <t>BG-114A</t>
  </si>
  <si>
    <t>SS T-SHIRT MINIONS FP BELLO BG-114A:MISTY MEDIUM YELLOW:3-4:PRINT:SS T-SHIRT</t>
  </si>
  <si>
    <t>SS T-SHIRT MINIONS FP BELLO BG-114A:MISTY MEDIUM YELLOW:4-5:PRINT:SS T-SHIRT</t>
  </si>
  <si>
    <t>SS T-SHIRT MINIONS FP BELLO BG-114A:MISTY MEDIUM YELLOW:5-6:PRINT:SS T-SHIRT</t>
  </si>
  <si>
    <t>SS T-SHIRT MINIONS FP BELLO BG-114A:MISTY MEDIUM YELLOW:7-8:PRINT:SS T-SHIRT</t>
  </si>
  <si>
    <t>SS T-SHIRT MINIONS FP BELLO BG-114A:MISTY MEDIUM YELLOW:9-10:PRINT:SS T-SHIRT</t>
  </si>
  <si>
    <t>JP-106A</t>
  </si>
  <si>
    <t>SWEATER JURASSIC WORLD HOODY T-REX A JP-106A:BLACK:3-4:GRAPHIC:SWEATER</t>
  </si>
  <si>
    <t>SWEATER JURASSIC WORLD HOODY T-REX A JP-106A:BLACK:4-5:GRAPHIC:SWEATER</t>
  </si>
  <si>
    <t>SWEATER JURASSIC WORLD HOODY T-REX A JP-106A:BLACK:5-6:GRAPHIC:SWEATER</t>
  </si>
  <si>
    <t>SWEATER JURASSIC WORLD HOODY T-REX A JP-106A:BLACK:7-8:GRAPHIC:SWEATER</t>
  </si>
  <si>
    <t>SWEATER JURASSIC WORLD HOODY T-REX A JP-106A:BLACK:9-10:GRAPHIC:SWEATER</t>
  </si>
  <si>
    <t>JP-107</t>
  </si>
  <si>
    <t>SS T-SHIRT JURASSIC WORLD SURVIVAL JP-107:WHITE:3-4:GRAPHIC:SS T-SHIRT</t>
  </si>
  <si>
    <t>SS T-SHIRT JURASSIC WORLD SURVIVAL JP-107:WHITE:4-5:GRAPHIC:SS T-SHIRT</t>
  </si>
  <si>
    <t>SS T-SHIRT JURASSIC WORLD SURVIVAL JP-107:WHITE:5-6:GRAPHIC:SS T-SHIRT</t>
  </si>
  <si>
    <t>SS T-SHIRT JURASSIC WORLD SURVIVAL JP-107:WHITE:7-8:GRAPHIC:SS T-SHIRT</t>
  </si>
  <si>
    <t>SS T-SHIRT JURASSIC WORLD SURVIVAL JP-107:WHITE:9-10:GRAPHIC:SS T-SHIRT</t>
  </si>
  <si>
    <t>SS T-SHIRT JURASSIC WORLD SURVIVAL JP-107:WHITE:11-12:GRAPHIC:SS T-SHIRT</t>
  </si>
  <si>
    <t>SS T-SHIRT JURASSIC WORLD SURVIVAL JP-107:WHITE:13-14:GRAPHIC:SS T-SHIRT</t>
  </si>
  <si>
    <t>SS T-SHIRT JURASSIC WORLD SURVIVAL JP-107:WHITE:15-16:GRAPHIC:SS T-SHIRT</t>
  </si>
  <si>
    <t>JP-108C</t>
  </si>
  <si>
    <t>SS T-SHIRT JURASSIC WORLD LOGO SILVER C JP-108C:CLASSIC GREEN:7-8:GRAPHIC:SS T-SHIRT</t>
  </si>
  <si>
    <t>SS T-SHIRT JURASSIC WORLD LOGO SILVER C JP-108C:CLASSIC GREEN:9-10:GRAPHIC:SS T-SHIRT</t>
  </si>
  <si>
    <t>SS T-SHIRT JURASSIC WORLD LOGO SILVER C JP-108C:CLASSIC GREEN:11-12:GRAPHIC:SS T-SHIRT</t>
  </si>
  <si>
    <t>SS T-SHIRT JURASSIC WORLD LOGO SILVER C JP-108C:CLASSIC GREEN:13-14:GRAPHIC:SS T-SHIRT</t>
  </si>
  <si>
    <t>SS T-SHIRT JURASSIC WORLD LOGO SILVER C JP-108C:CLASSIC GREEN:15-16:GRAPHIC:SS T-SHIRT</t>
  </si>
  <si>
    <t>ML-HR032</t>
  </si>
  <si>
    <t>SS T-SHIRT MLBB ZILONG FACE MARBLE BAWAH ML-HR032:NAVY BLUE:7-8:GRAPHIC:SS T-SHIRT</t>
  </si>
  <si>
    <t>SS T-SHIRT MLBB ZILONG FACE MARBLE BAWAH ML-HR032:NAVY BLUE:9-10:GRAPHIC:SS T-SHIRT</t>
  </si>
  <si>
    <t>SS T-SHIRT MLBB ZILONG FACE MARBLE BAWAH ML-HR032:NAVY BLUE:11-12:GRAPHIC:SS T-SHIRT</t>
  </si>
  <si>
    <t>SS T-SHIRT MLBB ZILONG FACE MARBLE BAWAH ML-HR032:NAVY BLUE:13-14:GRAPHIC:SS T-SHIRT</t>
  </si>
  <si>
    <t>SS T-SHIRT MLBB ZILONG FACE MARBLE BAWAH ML-HR032:NAVY BLUE:15-16:GRAPHIC:SS T-SHIRT</t>
  </si>
  <si>
    <t>ML-A04</t>
  </si>
  <si>
    <t>SS T-SHIRT MLBB LOGO SPLASH BAWAH ML-A04:BLACK:7-8:PRINT:SS T-SHIRT</t>
  </si>
  <si>
    <t>SS T-SHIRT MLBB LOGO SPLASH BAWAH ML-A04:BLACK:9-10:PRINT:SS T-SHIRT</t>
  </si>
  <si>
    <t>SS T-SHIRT MLBB LOGO SPLASH BAWAH ML-A04:BLACK:11-12:PRINT:SS T-SHIRT</t>
  </si>
  <si>
    <t>SS T-SHIRT MLBB LOGO SPLASH BAWAH ML-A04:BLACK:13-14:PRINT:SS T-SHIRT</t>
  </si>
  <si>
    <t>SS T-SHIRT MLBB LOGO SPLASH BAWAH ML-A04:BLACK:15-16:PRINT:SS T-SHIRT</t>
  </si>
  <si>
    <t>ML-A05</t>
  </si>
  <si>
    <t>SWEATER MLBB STRIPE LENGAN ML-A05:BLACK:7-8:GRAPHIC:SWEATER</t>
  </si>
  <si>
    <t>SWEATER MLBB STRIPE LENGAN ML-A05:BLACK:9-10:GRAPHIC:SWEATER</t>
  </si>
  <si>
    <t>SWEATER MLBB STRIPE LENGAN ML-A05:BLACK:11-12:GRAPHIC:SWEATER</t>
  </si>
  <si>
    <t>SWEATER MLBB STRIPE LENGAN ML-A05:BLACK:13-14:GRAPHIC:SWEATER</t>
  </si>
  <si>
    <t>SWEATER MLBB STRIPE LENGAN ML-A05:BLACK:15-16:GRAPHIC:SWEATER</t>
  </si>
  <si>
    <t>BG-115A</t>
  </si>
  <si>
    <t>SS T-SHIRT BATMAN FP KTG A BG-115A:MISTY MEDIUM YELLOW:3-4:PRINT:SS T-SHIRT</t>
  </si>
  <si>
    <t>SS T-SHIRT BATMAN FP KTG A BG-115A:MISTY MEDIUM YELLOW:4-5:PRINT:SS T-SHIRT</t>
  </si>
  <si>
    <t>SS T-SHIRT BATMAN FP KTG A BG-115A:MISTY MEDIUM YELLOW:5-6:PRINT:SS T-SHIRT</t>
  </si>
  <si>
    <t>SS T-SHIRT BATMAN FP KTG A BG-115A:MISTY MEDIUM YELLOW:7-8:PRINT:SS T-SHIRT</t>
  </si>
  <si>
    <t>SS T-SHIRT BATMAN FP KTG A BG-115A:MISTY MEDIUM YELLOW:9-10:PRINT:SS T-SHIRT</t>
  </si>
  <si>
    <t>BG-117C</t>
  </si>
  <si>
    <t>SS T-SHIRT BATMAN LOGO JARING C BG-117C:DARK GREY:7-8:GRAPHIC:SS T-SHIRT</t>
  </si>
  <si>
    <t>SS T-SHIRT BATMAN LOGO JARING C BG-117C:DARK GREY:9-10:GRAPHIC:SS T-SHIRT</t>
  </si>
  <si>
    <t>SS T-SHIRT BATMAN LOGO JARING C BG-117C:DARK GREY:11-12:GRAPHIC:SS T-SHIRT</t>
  </si>
  <si>
    <t>SS T-SHIRT BATMAN LOGO JARING C BG-117C:DARK GREY:13-14:GRAPHIC:SS T-SHIRT</t>
  </si>
  <si>
    <t>SS T-SHIRT BATMAN LOGO JARING C BG-117C:DARK GREY:15-16:GRAPHIC:SS T-SHIRT</t>
  </si>
  <si>
    <t>BG-119C</t>
  </si>
  <si>
    <t>SS T-SHIRT BATMAN LOGO APLK PRINT BLKG C BG-119C:MISTY LIGHT BLUE:7-8:GRAPHIC:SS T-SHIRT</t>
  </si>
  <si>
    <t>SS T-SHIRT BATMAN LOGO APLK PRINT BLKG C BG-119C:MISTY LIGHT BLUE:9-10:GRAPHIC:SS T-SHIRT</t>
  </si>
  <si>
    <t>SS T-SHIRT BATMAN LOGO APLK PRINT BLKG C BG-119C:MISTY LIGHT BLUE:11-12:GRAPHIC:SS T-SHIRT</t>
  </si>
  <si>
    <t>SS T-SHIRT BATMAN LOGO APLK PRINT BLKG C BG-119C:MISTY LIGHT BLUE:13-14:GRAPHIC:SS T-SHIRT</t>
  </si>
  <si>
    <t>SS T-SHIRT BATMAN LOGO APLK PRINT BLKG C BG-119C:MISTY LIGHT BLUE:15-16:GRAPHIC:SS T-SHIRT</t>
  </si>
  <si>
    <t>SUP-HR195</t>
  </si>
  <si>
    <t>SS T-SHIRT FP SUPERMAN LOGO SUP-HR195:NAVY BLUE:3-4:PRINT:SS T-SHIRT</t>
  </si>
  <si>
    <t>SS T-SHIRT FP SUPERMAN LOGO SUP-HR195:NAVY BLUE:4-5:PRINT:SS T-SHIRT</t>
  </si>
  <si>
    <t>SS T-SHIRT FP SUPERMAN LOGO SUP-HR195:NAVY BLUE:5-6:PRINT:SS T-SHIRT</t>
  </si>
  <si>
    <t>SS T-SHIRT FP SUPERMAN LOGO SUP-HR195:NAVY BLUE:7-8:PRINT:SS T-SHIRT</t>
  </si>
  <si>
    <t>SS T-SHIRT FP SUPERMAN LOGO SUP-HR195:NAVY BLUE:9-10:PRINT:SS T-SHIRT</t>
  </si>
  <si>
    <t>SS T-SHIRT FP SUPERMAN LOGO SUP-HR195:NAVY BLUE:11-12:PRINT:SS T-SHIRT</t>
  </si>
  <si>
    <t>SS T-SHIRT FP SUPERMAN LOGO SUP-HR195:NAVY BLUE:13-14:PRINT:SS T-SHIRT</t>
  </si>
  <si>
    <t>SS T-SHIRT FP SUPERMAN LOGO SUP-HR195:NAVY BLUE:15-16:PRINT:SS T-SHIRT</t>
  </si>
  <si>
    <t>SB-A14</t>
  </si>
  <si>
    <t>SS T-SHIRT SPONGEBOB JUMP SB-A14:WHITE:3-4:GRAPHIC:SS T-SHIRT</t>
  </si>
  <si>
    <t>SS T-SHIRT SPONGEBOB JUMP SB-A14:WHITE:4-5:GRAPHIC:SS T-SHIRT</t>
  </si>
  <si>
    <t>SS T-SHIRT SPONGEBOB JUMP SB-A14:WHITE:5-6:GRAPHIC:SS T-SHIRT</t>
  </si>
  <si>
    <t>SS T-SHIRT SPONGEBOB JUMP SB-A14:WHITE:7-8:GRAPHIC:SS T-SHIRT</t>
  </si>
  <si>
    <t>SS T-SHIRT SPONGEBOB JUMP SB-A14:WHITE:9-10:GRAPHIC:SS T-SHIRT</t>
  </si>
  <si>
    <t>SS T-SHIRT SPONGEBOB JUMP SB-A14:WHITE:11-12:GRAPHIC:SS T-SHIRT</t>
  </si>
  <si>
    <t>SB-A10</t>
  </si>
  <si>
    <t>SS T-SHIRT SPONGEBOB PATRICK SB-A10:MISTY MEDIUM BLUE:3-4:GRAPHIC:SS T-SHIRT</t>
  </si>
  <si>
    <t>SS T-SHIRT SPONGEBOB PATRICK SB-A10:MISTY MEDIUM BLUE:4-5:GRAPHIC:SS T-SHIRT</t>
  </si>
  <si>
    <t>SS T-SHIRT SPONGEBOB PATRICK SB-A10:MISTY MEDIUM BLUE:5-6:GRAPHIC:SS T-SHIRT</t>
  </si>
  <si>
    <t>SS T-SHIRT SPONGEBOB PATRICK SB-A10:MISTY MEDIUM BLUE:7-8:GRAPHIC:SS T-SHIRT</t>
  </si>
  <si>
    <t>SS T-SHIRT SPONGEBOB PATRICK SB-A10:MISTY MEDIUM BLUE:9-10:GRAPHIC:SS T-SHIRT</t>
  </si>
  <si>
    <t>SS T-SHIRT SPONGEBOB PATRICK SB-A10:MISTY MEDIUM BLUE:11-12:GRAPHIC:SS T-SHIRT</t>
  </si>
  <si>
    <t>SB-A13</t>
  </si>
  <si>
    <t>SS T-SHIRT SPONGEBOB FP TD SB-A13:WHITE:3-4:PRINT:SS T-SHIRT</t>
  </si>
  <si>
    <t>SS T-SHIRT SPONGEBOB FP TD SB-A13:WHITE:4-5:PRINT:SS T-SHIRT</t>
  </si>
  <si>
    <t>SS T-SHIRT SPONGEBOB FP TD SB-A13:WHITE:5-6:PRINT:SS T-SHIRT</t>
  </si>
  <si>
    <t>SS T-SHIRT SPONGEBOB FP TD SB-A13:WHITE:7-8:PRINT:SS T-SHIRT</t>
  </si>
  <si>
    <t>SS T-SHIRT SPONGEBOB FP TD SB-A13:WHITE:9-10:PRINT:SS T-SHIRT</t>
  </si>
  <si>
    <t>SS T-SHIRT SPONGEBOB FP TD SB-A13:WHITE:11-12:PRINT:SS T-SHIRT</t>
  </si>
  <si>
    <t>MN-N058</t>
  </si>
  <si>
    <t>SS T-SHIRT MINIONS TEAMS WHAT MN-N058:MISTY DARK BLUE:3-4:GRAPHIC:SS T-SHIRT</t>
  </si>
  <si>
    <t>SS T-SHIRT MINIONS TEAMS WHAT MN-N058:MISTY DARK BLUE:4-5:GRAPHIC:SS T-SHIRT</t>
  </si>
  <si>
    <t>SS T-SHIRT MINIONS TEAMS WHAT MN-N058:MISTY DARK BLUE:5-6:GRAPHIC:SS T-SHIRT</t>
  </si>
  <si>
    <t>SS T-SHIRT MINIONS TEAMS WHAT MN-N058:MISTY DARK BLUE:7-8:GRAPHIC:SS T-SHIRT</t>
  </si>
  <si>
    <t>SS T-SHIRT MINIONS TEAMS WHAT MN-N058:MISTY DARK BLUE:9-10:GRAPHIC:SS T-SHIRT</t>
  </si>
  <si>
    <t>SS T-SHIRT MINIONS TEAMS WHAT MN-N058:MISTY DARK BLUE:11-12:GRAPHIC:SS T-SHIRT</t>
  </si>
  <si>
    <t>MN-N057</t>
  </si>
  <si>
    <t>SS T-SHIRT MINIONS TEAMS MAKE IT MN-N057:MISTY LIGHT KHAKI:3-4:GRAPHIC:SS T-SHIRT</t>
  </si>
  <si>
    <t>SS T-SHIRT MINIONS TEAMS MAKE IT MN-N057:MISTY LIGHT KHAKI:4-5:GRAPHIC:SS T-SHIRT</t>
  </si>
  <si>
    <t>SS T-SHIRT MINIONS TEAMS MAKE IT MN-N057:MISTY LIGHT KHAKI:5-6:GRAPHIC:SS T-SHIRT</t>
  </si>
  <si>
    <t>SS T-SHIRT MINIONS TEAMS MAKE IT MN-N057:MISTY LIGHT KHAKI:7-8:GRAPHIC:SS T-SHIRT</t>
  </si>
  <si>
    <t>SS T-SHIRT MINIONS TEAMS MAKE IT MN-N057:MISTY LIGHT KHAKI:9-10:GRAPHIC:SS T-SHIRT</t>
  </si>
  <si>
    <t>SS T-SHIRT MINIONS TEAMS MAKE IT MN-N057:MISTY LIGHT KHAKI:11-12:GRAPHIC:SS T-SHIRT</t>
  </si>
  <si>
    <t>SS T-SHIRT MINIONS TEAMS MAKE IT MN-N057:MISTY LIGHT KHAKI:13-14:GRAPHIC:SS T-SHIRT</t>
  </si>
  <si>
    <t>SS T-SHIRT MINIONS TEAMS MAKE IT MN-N057:MISTY LIGHT KHAKI:15-16:GRAPHIC:SS T-SHIRT</t>
  </si>
  <si>
    <t>MN-HN27</t>
  </si>
  <si>
    <t>SS T-SHIRT MINIONS VIRTUAL MN-HN27:MISTY MEDIUM BLUE:3-4:GRAPHIC:SS T-SHIRT</t>
  </si>
  <si>
    <t>SS T-SHIRT MINIONS VIRTUAL MN-HN27:MISTY MEDIUM BLUE:4-5:GRAPHIC:SS T-SHIRT</t>
  </si>
  <si>
    <t>SS T-SHIRT MINIONS VIRTUAL MN-HN27:MISTY MEDIUM BLUE:5-6:GRAPHIC:SS T-SHIRT</t>
  </si>
  <si>
    <t>SS T-SHIRT MINIONS VIRTUAL MN-HN27:MISTY MEDIUM BLUE:7-8:GRAPHIC:SS T-SHIRT</t>
  </si>
  <si>
    <t>SS T-SHIRT MINIONS VIRTUAL MN-HN27:MISTY MEDIUM BLUE:9-10:GRAPHIC:SS T-SHIRT</t>
  </si>
  <si>
    <t>SS T-SHIRT MINIONS VIRTUAL MN-HN27:MISTY MEDIUM BLUE:11-12:GRAPHIC:SS T-SHIRT</t>
  </si>
  <si>
    <t>SS T-SHIRT MINIONS VIRTUAL MN-HN27:MISTY MEDIUM BLUE:13-14:GRAPHIC:SS T-SHIRT</t>
  </si>
  <si>
    <t>SS T-SHIRT MINIONS VIRTUAL MN-HN27:MISTY MEDIUM BLUE:15-16:GRAPHIC:SS T-SHIRT</t>
  </si>
  <si>
    <t>MN-HN28</t>
  </si>
  <si>
    <t>SS T-SHIRT MINIONS VIRTUAL MN-HN28:MISTY MEDIUM YELLOW:3-4:GRAPHIC:SS T-SHIRT</t>
  </si>
  <si>
    <t>SS T-SHIRT MINIONS VIRTUAL MN-HN28:MISTY MEDIUM YELLOW:4-5:GRAPHIC:SS T-SHIRT</t>
  </si>
  <si>
    <t>SS T-SHIRT MINIONS VIRTUAL MN-HN28:MISTY MEDIUM YELLOW:5-6:GRAPHIC:SS T-SHIRT</t>
  </si>
  <si>
    <t>SS T-SHIRT MINIONS VIRTUAL MN-HN28:MISTY MEDIUM YELLOW:7-8:GRAPHIC:SS T-SHIRT</t>
  </si>
  <si>
    <t>SS T-SHIRT MINIONS VIRTUAL MN-HN28:MISTY MEDIUM YELLOW:9-10:GRAPHIC:SS T-SHIRT</t>
  </si>
  <si>
    <t>SS T-SHIRT MINIONS VIRTUAL MN-HN28:MISTY MEDIUM YELLOW:11-12:GRAPHIC:SS T-SHIRT</t>
  </si>
  <si>
    <t>SS T-SHIRT MINIONS VIRTUAL MN-HN28:MISTY MEDIUM YELLOW:13-14:GRAPHIC:SS T-SHIRT</t>
  </si>
  <si>
    <t>SS T-SHIRT MINIONS VIRTUAL MN-HN28:MISTY MEDIUM YELLOW:15-16:GRAPHIC:SS T-SHIRT</t>
  </si>
  <si>
    <t>SS T-SHIRT JURASSIC WORLD C JP-HN07:MISTY MEDIUM BLUE:3-4:GRAPHIC:SS T-SHIRT</t>
  </si>
  <si>
    <t>SS T-SHIRT JURASSIC WORLD C JP-HN07:MISTY MEDIUM BLUE:5-6:GRAPHIC:SS T-SHIRT</t>
  </si>
  <si>
    <t>ML-HN01BL</t>
  </si>
  <si>
    <t>SS T-SHIRT MLBB HAYABUSA FIGHT ML-HN01BL:BLACK:7-8:GRAPHIC:SS T-SHIRT</t>
  </si>
  <si>
    <t>SS T-SHIRT MLBB HAYABUSA FIGHT ML-HN01BL:BLACK:9-10:GRAPHIC:SS T-SHIRT</t>
  </si>
  <si>
    <t>SS T-SHIRT MLBB HAYABUSA FIGHT ML-HN01BL:BLACK:11-12:GRAPHIC:SS T-SHIRT</t>
  </si>
  <si>
    <t>SS T-SHIRT MLBB HAYABUSA FIGHT ML-HN01BL:BLACK:13-14:GRAPHIC:SS T-SHIRT</t>
  </si>
  <si>
    <t>SS T-SHIRT MLBB HAYABUSA FIGHT ML-HN01BL:BLACK:15-16:GRAPHIC:SS T-SHIRT</t>
  </si>
  <si>
    <t>ML-A01</t>
  </si>
  <si>
    <t>SS T-SHIRT MLBB JOHNSON ML-A01:NAVY BLUE:7-8:PRINT:SS T-SHIRT</t>
  </si>
  <si>
    <t>SS T-SHIRT MLBB JOHNSON ML-A01:NAVY BLUE:9-10:PRINT:SS T-SHIRT</t>
  </si>
  <si>
    <t>SS T-SHIRT MLBB JOHNSON ML-A01:NAVY BLUE:11-12:PRINT:SS T-SHIRT</t>
  </si>
  <si>
    <t>SS T-SHIRT MLBB JOHNSON ML-A01:NAVY BLUE:13-14:PRINT:SS T-SHIRT</t>
  </si>
  <si>
    <t>SS T-SHIRT MLBB JOHNSON ML-A01:NAVY BLUE:15-16:PRINT:SS T-SHIRT</t>
  </si>
  <si>
    <t>SS T-SHIRT JURASSIC WORLD C JP-HN07:MISTY MEDIUM BLUE:4-5:GRAPHIC:SS T-SHIRT</t>
  </si>
  <si>
    <t>ML-HN07</t>
  </si>
  <si>
    <t>SS T-SHIRT MLBB ZILONG RIDE FP ML-HN07:CLASSIC RED:7-8:PRINT:SS T-SHIRT</t>
  </si>
  <si>
    <t>SS T-SHIRT MLBB ZILONG RIDE FP ML-HN07:CLASSIC RED:9-10:PRINT:SS T-SHIRT</t>
  </si>
  <si>
    <t>SS T-SHIRT MLBB ZILONG RIDE FP ML-HN07:CLASSIC RED:11-12:PRINT:SS T-SHIRT</t>
  </si>
  <si>
    <t>SS T-SHIRT MLBB ZILONG RIDE FP ML-HN07:CLASSIC RED:13-14:PRINT:SS T-SHIRT</t>
  </si>
  <si>
    <t>SS T-SHIRT MLBB ZILONG RIDE FP ML-HN07:CLASSIC RED:15-16:PRINT:SS T-SHIRT</t>
  </si>
  <si>
    <t>ML-HR030</t>
  </si>
  <si>
    <t>SS T-SHIRT MLBB ZYROTH PRINT LENGAN ML-HR030:BLACK:7-8:PRINT:SS T-SHIRT</t>
  </si>
  <si>
    <t>SS T-SHIRT MLBB ZYROTH PRINT LENGAN ML-HR030:BLACK:9-10:PRINT:SS T-SHIRT</t>
  </si>
  <si>
    <t>SS T-SHIRT MLBB ZYROTH PRINT LENGAN ML-HR030:BLACK:11-12:PRINT:SS T-SHIRT</t>
  </si>
  <si>
    <t>SS T-SHIRT MLBB ZYROTH PRINT LENGAN ML-HR030:BLACK:13-14:PRINT:SS T-SHIRT</t>
  </si>
  <si>
    <t>SS T-SHIRT MLBB ZYROTH PRINT LENGAN ML-HR030:BLACK:15-16:PRINT:SS T-SHIRT</t>
  </si>
  <si>
    <t>SB-HN04</t>
  </si>
  <si>
    <t>SWEATER SPONGEBOB SB-HN04:CLASSIC YELLOW:3-4:GRAPHIC:SWEATER</t>
  </si>
  <si>
    <t>SWEATER SPONGEBOB SB-HN04:CLASSIC YELLOW:4-5:GRAPHIC:SWEATER</t>
  </si>
  <si>
    <t>SWEATER SPONGEBOB SB-HN04:CLASSIC YELLOW:5-6:GRAPHIC:SWEATER</t>
  </si>
  <si>
    <t>SWEATER SPONGEBOB SB-HN04:CLASSIC YELLOW:7-8:GRAPHIC:SWEATER</t>
  </si>
  <si>
    <t>SWEATER SPONGEBOB SB-HN04:CLASSIC YELLOW:9-10:GRAPHIC:SWEATER</t>
  </si>
  <si>
    <t>SWEATER SPONGEBOB SB-HN04:CLASSIC YELLOW:11-12:GRAPHIC:SWEATER</t>
  </si>
  <si>
    <t>SUP-HR001</t>
  </si>
  <si>
    <t>SS T-SHIRT SUPERMAN TD LOGO HANDUK SUP-HR001:WHITE:3-4:PRINT:SS T-SHIRT</t>
  </si>
  <si>
    <t>SS T-SHIRT SUPERMAN TD LOGO HANDUK SUP-HR001:WHITE:4-5:PRINT:SS T-SHIRT</t>
  </si>
  <si>
    <t>SS T-SHIRT SUPERMAN TD LOGO HANDUK SUP-HR001:WHITE:5-6:PRINT:SS T-SHIRT</t>
  </si>
  <si>
    <t>SS T-SHIRT SUPERMAN TD LOGO HANDUK SUP-HR001:WHITE:7-8:PRINT:SS T-SHIRT</t>
  </si>
  <si>
    <t>SS T-SHIRT SUPERMAN TD LOGO HANDUK SUP-HR001:WHITE:9-10:PRINT:SS T-SHIRT</t>
  </si>
  <si>
    <t>SS T-SHIRT SUPERMAN TD LOGO HANDUK SUP-HR001:WHITE:11-12:PRINT:SS T-SHIRT</t>
  </si>
  <si>
    <t>SS T-SHIRT SUPERMAN TD LOGO HANDUK SUP-HR001:WHITE:13-14:PRINT:SS T-SHIRT</t>
  </si>
  <si>
    <t>SS T-SHIRT SUPERMAN TD LOGO HANDUK SUP-HR001:WHITE:15-16:PRINT:SS T-SHIRT</t>
  </si>
  <si>
    <t>BT-N235</t>
  </si>
  <si>
    <t>SHORT PANTS CP KNIT BATMAN PRINT LOGO BLKG C BT-N235:BLACK:7-8:GRAPHIC:SHORT PANTS</t>
  </si>
  <si>
    <t>SHORT PANTS CP KNIT BATMAN PRINT LOGO BLKG C BT-N235:BLACK:9-10:GRAPHIC:SHORT PANTS</t>
  </si>
  <si>
    <t>SHORT PANTS CP KNIT BATMAN PRINT LOGO BLKG C BT-N235:BLACK:11-12:GRAPHIC:SHORT PANTS</t>
  </si>
  <si>
    <t>SHORT PANTS CP KNIT BATMAN PRINT LOGO BLKG C BT-N235:BLACK:13-14:GRAPHIC:SHORT PANTS</t>
  </si>
  <si>
    <t>SHORT PANTS CP KNIT BATMAN PRINT LOGO BLKG C BT-N235:BLACK:15-16:GRAPHIC:SHORT PANTS</t>
  </si>
  <si>
    <t>TF-HR051</t>
  </si>
  <si>
    <t>SS T-SHIRT TF OPTIMUS CUT SEW TF-HR051:CLASSIC RED:3-4:PRINT:SS T-SHIRT</t>
  </si>
  <si>
    <t>SS T-SHIRT TF OPTIMUS CUT SEW TF-HR051:CLASSIC RED:4-5:PRINT:SS T-SHIRT</t>
  </si>
  <si>
    <t>SS T-SHIRT TF OPTIMUS CUT SEW TF-HR051:CLASSIC RED:5-6:PRINT:SS T-SHIRT</t>
  </si>
  <si>
    <t>SS T-SHIRT TF OPTIMUS CUT SEW TF-HR051:CLASSIC RED:7-8:PRINT:SS T-SHIRT</t>
  </si>
  <si>
    <t>SS T-SHIRT TF OPTIMUS CUT SEW TF-HR051:CLASSIC RED:9-10:PRINT:SS T-SHIRT</t>
  </si>
  <si>
    <t>SS T-SHIRT TF OPTIMUS CUT SEW TF-HR051:CLASSIC RED:11-12:PRINT:SS T-SHIRT</t>
  </si>
  <si>
    <t>SS T-SHIRT TF OPTIMUS CUT SEW TF-HR051:CLASSIC RED:13-14:PRINT:SS T-SHIRT</t>
  </si>
  <si>
    <t>SS T-SHIRT TF OPTIMUS CUT SEW TF-HR051:CLASSIC RED:15-16:PRINT:SS T-SHIRT</t>
  </si>
  <si>
    <t>TF-A109</t>
  </si>
  <si>
    <t>SS T-SHIRT TF OPTIMUS ROLLS TF-A109:MISTY MEDIUM BLUE:3-4:GRAPHIC:SS T-SHIRT</t>
  </si>
  <si>
    <t>SS T-SHIRT TF OPTIMUS ROLLS TF-A109:MISTY MEDIUM BLUE:4-5:GRAPHIC:SS T-SHIRT</t>
  </si>
  <si>
    <t>SS T-SHIRT TF OPTIMUS ROLLS TF-A109:MISTY MEDIUM BLUE:5-6:GRAPHIC:SS T-SHIRT</t>
  </si>
  <si>
    <t>SS T-SHIRT TF OPTIMUS ROLLS TF-A109:MISTY MEDIUM BLUE:7-8:GRAPHIC:SS T-SHIRT</t>
  </si>
  <si>
    <t>SS T-SHIRT TF OPTIMUS ROLLS TF-A109:MISTY MEDIUM BLUE:9-10:GRAPHIC:SS T-SHIRT</t>
  </si>
  <si>
    <t>SS T-SHIRT TF OPTIMUS ROLLS TF-A109:MISTY MEDIUM BLUE:11-12:GRAPHIC:SS T-SHIRT</t>
  </si>
  <si>
    <t>SS T-SHIRT TF OPTIMUS ROLLS TF-A109:MISTY MEDIUM BLUE:13-14:GRAPHIC:SS T-SHIRT</t>
  </si>
  <si>
    <t>SS T-SHIRT TF OPTIMUS ROLLS TF-A109:MISTY MEDIUM BLUE:15-16:GRAPHIC:SS T-SHIRT</t>
  </si>
  <si>
    <t>JP-105C</t>
  </si>
  <si>
    <t>SWEATER JURRASIC WORLD HOODY FP LOGO C JP-105C:CLASSIC GREEN:7-8:GRAPHIC:SWEATER</t>
  </si>
  <si>
    <t>SWEATER JURRASIC WORLD HOODY FP LOGO C JP-105C:CLASSIC GREEN:9-10:GRAPHIC:SWEATER</t>
  </si>
  <si>
    <t>SWEATER JURRASIC WORLD HOODY FP LOGO C JP-105C:CLASSIC GREEN:11-12:GRAPHIC:SWEATER</t>
  </si>
  <si>
    <t>SWEATER JURRASIC WORLD HOODY FP LOGO C JP-105C:CLASSIC GREEN:13-14:GRAPHIC:SWEATER</t>
  </si>
  <si>
    <t>SWEATER JURRASIC WORLD HOODY FP LOGO C JP-105C:CLASSIC GREEN:15-16:GRAPHIC:SWEATER</t>
  </si>
  <si>
    <t>ML-A03</t>
  </si>
  <si>
    <t>SS T-SHIRT MLBB HAYABUSA FACE ML-A03:MISTY DARK GREY:7-8:PRINT:SS T-SHIRT</t>
  </si>
  <si>
    <t>SS T-SHIRT MLBB HAYABUSA FACE ML-A03:MISTY DARK GREY:9-10:PRINT:SS T-SHIRT</t>
  </si>
  <si>
    <t>SS T-SHIRT MLBB HAYABUSA FACE ML-A03:MISTY DARK GREY:11-12:PRINT:SS T-SHIRT</t>
  </si>
  <si>
    <t>SS T-SHIRT MLBB HAYABUSA FACE ML-A03:MISTY DARK GREY:13-14:PRINT:SS T-SHIRT</t>
  </si>
  <si>
    <t>SS T-SHIRT MLBB HAYABUSA FACE ML-A03:MISTY DARK GREY:15-16:PRINT:SS T-SHIRT</t>
  </si>
  <si>
    <t>BT-HR410</t>
  </si>
  <si>
    <t>SS T-SHIRT BATMAN CUT SEW FP JARING A BT-HR410:BLACK:3-4:PRINT:SS T-SHIRT</t>
  </si>
  <si>
    <t>SS T-SHIRT BATMAN CUT SEW FP JARING A BT-HR410:BLACK:4-5:PRINT:SS T-SHIRT</t>
  </si>
  <si>
    <t>SS T-SHIRT BATMAN CUT SEW FP JARING A BT-HR410:BLACK:5-6:PRINT:SS T-SHIRT</t>
  </si>
  <si>
    <t>SS T-SHIRT BATMAN CUT SEW FP JARING A BT-HR410:BLACK:7-8:PRINT:SS T-SHIRT</t>
  </si>
  <si>
    <t>SS T-SHIRT BATMAN CUT SEW FP JARING A BT-HR410:BLACK:9-10:PRINT:SS T-SHIRT</t>
  </si>
  <si>
    <t>SB-HR15</t>
  </si>
  <si>
    <t>SS T-SHIRT SPONGEBOB FP BUBBLE SB-HR15:MISTY MEDIUM KHAKI:3-4:PRINT:SS T-SHIRT</t>
  </si>
  <si>
    <t>SS T-SHIRT SPONGEBOB FP BUBBLE SB-HR15:MISTY MEDIUM KHAKI:4-5:PRINT:SS T-SHIRT</t>
  </si>
  <si>
    <t>SS T-SHIRT SPONGEBOB FP BUBBLE SB-HR15:MISTY MEDIUM KHAKI:5-6:PRINT:SS T-SHIRT</t>
  </si>
  <si>
    <t>SS T-SHIRT SPONGEBOB FP BUBBLE SB-HR15:MISTY MEDIUM KHAKI:7-8:PRINT:SS T-SHIRT</t>
  </si>
  <si>
    <t>SS T-SHIRT SPONGEBOB FP BUBBLE SB-HR15:MISTY MEDIUM KHAKI:9-10:PRINT:SS T-SHIRT</t>
  </si>
  <si>
    <t>SS T-SHIRT SPONGEBOB FP BUBBLE SB-HR15:MISTY MEDIUM KHAKI:11-12:PRINT:SS T-SHIRT</t>
  </si>
  <si>
    <t>MN-HN26</t>
  </si>
  <si>
    <t>SS T-SHIRT MINIONS CARL MN-HN26:BLACK:3-4:GRAPHIC:SS T-SHIRT</t>
  </si>
  <si>
    <t>SS T-SHIRT MINIONS CARL MN-HN26:BLACK:4-5:GRAPHIC:SS T-SHIRT</t>
  </si>
  <si>
    <t>SS T-SHIRT MINIONS CARL MN-HN26:BLACK:5-6:GRAPHIC:SS T-SHIRT</t>
  </si>
  <si>
    <t>SS T-SHIRT MINIONS CARL MN-HN26:BLACK:7-8:GRAPHIC:SS T-SHIRT</t>
  </si>
  <si>
    <t>SS T-SHIRT MINIONS CARL MN-HN26:BLACK:9-10:GRAPHIC:SS T-SHIRT</t>
  </si>
  <si>
    <t>SS T-SHIRT MINIONS CARL MN-HN26:BLACK:11-12:GRAPHIC:SS T-SHIRT</t>
  </si>
  <si>
    <t>SS T-SHIRT MINIONS CARL MN-HN26:BLACK:13-14:GRAPHIC:SS T-SHIRT</t>
  </si>
  <si>
    <t>SS T-SHIRT MINIONS CARL MN-HN26:BLACK:15-16:GRAPHIC:SS T-SHIRT</t>
  </si>
  <si>
    <t>SS T-SHIRT MLBB JOHNSON ML-A01:MISTY MEDIUM BLUE:7-8:PRINT:SS T-SHIRT</t>
  </si>
  <si>
    <t>SS T-SHIRT MLBB JOHNSON ML-A01:MISTY MEDIUM BLUE:9-10:PRINT:SS T-SHIRT</t>
  </si>
  <si>
    <t>SS T-SHIRT MLBB JOHNSON ML-A01:MISTY MEDIUM BLUE:11-12:PRINT:SS T-SHIRT</t>
  </si>
  <si>
    <t>SS T-SHIRT MLBB JOHNSON ML-A01:MISTY MEDIUM BLUE:13-14:PRINT:SS T-SHIRT</t>
  </si>
  <si>
    <t>SS T-SHIRT MLBB JOHNSON ML-A01:MISTY MEDIUM BLUE:15-16:PRINT:SS T-SHIRT</t>
  </si>
  <si>
    <t>ML-HR031</t>
  </si>
  <si>
    <t>JOGGER MLBB LOGO ML-HR031:BLACK:7-8:GRAPHIC:JOGGER</t>
  </si>
  <si>
    <t>JOGGER MLBB LOGO ML-HR031:BLACK:9-10:GRAPHIC:JOGGER</t>
  </si>
  <si>
    <t>JOGGER MLBB LOGO ML-HR031:BLACK:11-12:GRAPHIC:JOGGER</t>
  </si>
  <si>
    <t>JOGGER MLBB LOGO ML-HR031:BLACK:13-14:GRAPHIC:JOGGER</t>
  </si>
  <si>
    <t>JOGGER MLBB LOGO ML-HR031:BLACK:15-16:GRAPHIC:JOGGER</t>
  </si>
  <si>
    <t>ML-A06</t>
  </si>
  <si>
    <t>SHORT PANTS CP KNIT MLBB LOGO ML-A06:NAVY BLUE:7-8:GRAPHIC:SHORT PANTS</t>
  </si>
  <si>
    <t>SHORT PANTS CP KNIT MLBB LOGO ML-A06:NAVY BLUE:9-10:GRAPHIC:SHORT PANTS</t>
  </si>
  <si>
    <t>SHORT PANTS CP KNIT MLBB LOGO ML-A06:NAVY BLUE:11-12:GRAPHIC:SHORT PANTS</t>
  </si>
  <si>
    <t>SHORT PANTS CP KNIT MLBB LOGO ML-A06:NAVY BLUE:13-14:GRAPHIC:SHORT PANTS</t>
  </si>
  <si>
    <t>SHORT PANTS CP KNIT MLBB LOGO ML-A06:NAVY BLUE:15-16:GRAPHIC:SHORT PANTS</t>
  </si>
  <si>
    <t>SUP-HR194</t>
  </si>
  <si>
    <t>SWEATER LOGO LGN TULISAN SUP-HR194:MISTY MEDIUM GREY:3-4:GRAPHIC:SWEATER</t>
  </si>
  <si>
    <t>SWEATER LOGO LGN TULISAN SUP-HR194:MISTY MEDIUM GREY:4-5:GRAPHIC:SWEATER</t>
  </si>
  <si>
    <t>SWEATER LOGO LGN TULISAN SUP-HR194:MISTY MEDIUM GREY:5-6:GRAPHIC:SWEATER</t>
  </si>
  <si>
    <t>SWEATER LOGO LGN TULISAN SUP-HR194:MISTY MEDIUM GREY:7-8:GRAPHIC:SWEATER</t>
  </si>
  <si>
    <t>SWEATER LOGO LGN TULISAN SUP-HR194:MISTY MEDIUM GREY:9-10:GRAPHIC:SWEATER</t>
  </si>
  <si>
    <t>SWEATER LOGO LGN TULISAN SUP-HR194:MISTY MEDIUM GREY:11-12:GRAPHIC:SWEATER</t>
  </si>
  <si>
    <t>SWEATER LOGO LGN TULISAN SUP-HR194:MISTY MEDIUM GREY:13-14:GRAPHIC:SWEATER</t>
  </si>
  <si>
    <t>SWEATER LOGO LGN TULISAN SUP-HR194:MISTY MEDIUM GREY:15-16:GRAPHIC:SWEATER</t>
  </si>
  <si>
    <t>TF-A139</t>
  </si>
  <si>
    <t>SHORT PANTS CP KNIT TF LOGO KTG TF-A139:BLACK:3-4:GRAPHIC:SHORT PANTS</t>
  </si>
  <si>
    <t>SHORT PANTS CP KNIT TF LOGO KTG TF-A139:BLACK:4-5:GRAPHIC:SHORT PANTS</t>
  </si>
  <si>
    <t>SHORT PANTS CP KNIT TF LOGO KTG TF-A139:BLACK:5-6:GRAPHIC:SHORT PANTS</t>
  </si>
  <si>
    <t>SHORT PANTS CP KNIT TF LOGO KTG TF-A139:BLACK:7-8:GRAPHIC:SHORT PANTS</t>
  </si>
  <si>
    <t>SHORT PANTS CP KNIT TF LOGO KTG TF-A139:BLACK:9-10:GRAPHIC:SHORT PANTS</t>
  </si>
  <si>
    <t>SHORT PANTS CP KNIT TF LOGO KTG TF-A139:BLACK:11-12:GRAPHIC:SHORT PANTS</t>
  </si>
  <si>
    <t>SHORT PANTS CP KNIT TF LOGO KTG TF-A139:BLACK:13-14:GRAPHIC:SHORT PANTS</t>
  </si>
  <si>
    <t>SHORT PANTS CP KNIT TF LOGO KTG TF-A139:BLACK:15-16:GRAPHIC:SHORT PANTS</t>
  </si>
  <si>
    <t>BT-N229</t>
  </si>
  <si>
    <t>JOGGER BATMAN LOGO A BT-N229:BLACK:3-4:GRAPHIC:JOGGER</t>
  </si>
  <si>
    <t>JOGGER BATMAN LOGO A BT-N229:BLACK:4-5:GRAPHIC:JOGGER</t>
  </si>
  <si>
    <t>JOGGER BATMAN LOGO A BT-N229:BLACK:5-6:GRAPHIC:JOGGER</t>
  </si>
  <si>
    <t>JOGGER BATMAN LOGO A BT-N229:BLACK:7-8:GRAPHIC:JOGGER</t>
  </si>
  <si>
    <t>JOGGER BATMAN LOGO A BT-N229:BLACK:9-10:GRAPHIC:JOGGER</t>
  </si>
  <si>
    <t>BT-N239</t>
  </si>
  <si>
    <t>JOGGER BATMAN DARK KNIGHT LIS C BT-N239:BLACK:7-8:GRAPHIC:JOGGER</t>
  </si>
  <si>
    <t>JOGGER BATMAN DARK KNIGHT LIS C BT-N239:BLACK:9-10:GRAPHIC:JOGGER</t>
  </si>
  <si>
    <t>JOGGER BATMAN DARK KNIGHT LIS C BT-N239:BLACK:11-12:GRAPHIC:JOGGER</t>
  </si>
  <si>
    <t>JOGGER BATMAN DARK KNIGHT LIS C BT-N239:BLACK:13-14:GRAPHIC:JOGGER</t>
  </si>
  <si>
    <t>JOGGER BATMAN DARK KNIGHT LIS C BT-N239:BLACK:15-16:GRAPHIC:JOGGER</t>
  </si>
  <si>
    <t>BT-S02</t>
  </si>
  <si>
    <t>SHORT PANTS CP KNIT BATMAN CARGO LOGO BT-S02:BLACK:3-4:GRAPHIC:SHORT PANTS</t>
  </si>
  <si>
    <t>SHORT PANTS CP KNIT BATMAN CARGO LOGO BT-S02:BLACK:4-5:GRAPHIC:SHORT PANTS</t>
  </si>
  <si>
    <t>SHORT PANTS CP KNIT BATMAN CARGO LOGO BT-S02:BLACK:5-6:GRAPHIC:SHORT PANTS</t>
  </si>
  <si>
    <t>SHORT PANTS CP KNIT BATMAN CARGO LOGO BT-S02:BLACK:7-8:GRAPHIC:SHORT PANTS</t>
  </si>
  <si>
    <t>SHORT PANTS CP KNIT BATMAN CARGO LOGO BT-S02:BLACK:9-10:GRAPHIC:SHORT PANTS</t>
  </si>
  <si>
    <t>SHORT PANTS CP KNIT BATMAN CARGO LOGO BT-S02:BLACK:11-12:GRAPHIC:SHORT PANTS</t>
  </si>
  <si>
    <t>SHORT PANTS CP KNIT BATMAN CARGO LOGO BT-S02:BLACK:13-14:GRAPHIC:SHORT PANTS</t>
  </si>
  <si>
    <t>SHORT PANTS CP KNIT BATMAN CARGO LOGO BT-S02:BLACK:15-16:GRAPHIC:SHORT PANTS</t>
  </si>
  <si>
    <t>BT-TS021</t>
  </si>
  <si>
    <t>SS T-SHIRT SUPERMAN MOVIE FP FLY BT-TS021:BLACK:3-4:PRINT:SS T-SHIRT</t>
  </si>
  <si>
    <t>SS T-SHIRT SUPERMAN MOVIE FP FLY BT-TS021:BLACK:4-5:PRINT:SS T-SHIRT</t>
  </si>
  <si>
    <t>SS T-SHIRT SUPERMAN MOVIE FP FLY BT-TS021:BLACK:5-6:PRINT:SS T-SHIRT</t>
  </si>
  <si>
    <t>SS T-SHIRT SUPERMAN MOVIE FP FLY BT-TS021:BLACK:7-8:PRINT:SS T-SHIRT</t>
  </si>
  <si>
    <t>SS T-SHIRT SUPERMAN MOVIE FP FLY BT-TS021:BLACK:9-10:PRINT:SS T-SHIRT</t>
  </si>
  <si>
    <t>SS T-SHIRT SUPERMAN MOVIE FP FLY BT-TS021:BLACK:11-12:PRINT:SS T-SHIRT</t>
  </si>
  <si>
    <t>SS T-SHIRT SUPERMAN MOVIE FP FLY BT-TS021:BLACK:13-14:PRINT:SS T-SHIRT</t>
  </si>
  <si>
    <t>SS T-SHIRT SUPERMAN MOVIE FP FLY BT-TS021:BLACK:15-16:PRINT:SS T-SHIRT</t>
  </si>
  <si>
    <t>SPM-TS01</t>
  </si>
  <si>
    <t>SS T-SHIRT SUPERMAN MOVIE SALUR FLY SPM-TS01:NAVY BLUE:3-4:STRIPES:SS T-SHIRT</t>
  </si>
  <si>
    <t>SS T-SHIRT SUPERMAN MOVIE SALUR FLY SPM-TS01:NAVY BLUE:4-5:STRIPES:SS T-SHIRT</t>
  </si>
  <si>
    <t>SS T-SHIRT SUPERMAN MOVIE SALUR FLY SPM-TS01:NAVY BLUE:5-6:STRIPES:SS T-SHIRT</t>
  </si>
  <si>
    <t>SS T-SHIRT SUPERMAN MOVIE SALUR FLY SPM-TS01:NAVY BLUE:7-8:STRIPES:SS T-SHIRT</t>
  </si>
  <si>
    <t>SS T-SHIRT SUPERMAN MOVIE SALUR FLY SPM-TS01:NAVY BLUE:9-10:STRIPES:SS T-SHIRT</t>
  </si>
  <si>
    <t>SS T-SHIRT SUPERMAN MOVIE SALUR FLY SPM-TS01:NAVY BLUE:11-12:STRIPES:SS T-SHIRT</t>
  </si>
  <si>
    <t>SS T-SHIRT SUPERMAN MOVIE SALUR FLY SPM-TS01:NAVY BLUE:13-14:STRIPES:SS T-SHIRT</t>
  </si>
  <si>
    <t>SS T-SHIRT SUPERMAN MOVIE SALUR FLY SPM-TS01:NAVY BLUE:15-16:STRIPES:SS T-SHIRT</t>
  </si>
  <si>
    <t>JW-N038</t>
  </si>
  <si>
    <t>SS T-SHIRT JURASSIC TEAMS JW-N038:MISTY LIGHT KHAKI:3-4:PRINT:SS T-SHIRT</t>
  </si>
  <si>
    <t>SS T-SHIRT JURASSIC TEAMS JW-N038:MISTY LIGHT KHAKI:4-5:PRINT:SS T-SHIRT</t>
  </si>
  <si>
    <t>SS T-SHIRT JURASSIC TEAMS JW-N038:MISTY LIGHT KHAKI:5-6:PRINT:SS T-SHIRT</t>
  </si>
  <si>
    <t>SS T-SHIRT JURASSIC TEAMS JW-N038:MISTY LIGHT KHAKI:7-8:PRINT:SS T-SHIRT</t>
  </si>
  <si>
    <t>SS T-SHIRT JURASSIC TEAMS JW-N038:MISTY LIGHT KHAKI:9-10:PRINT:SS T-SHIRT</t>
  </si>
  <si>
    <t>JW-HR066</t>
  </si>
  <si>
    <t>SS T-SHIRT JURASSIC T-REX CUT SEW JW-HR066:MISTY LIGHT YELLOW:3-4:GRAPHIC:SS T-SHIRT</t>
  </si>
  <si>
    <t>SS T-SHIRT JURASSIC T-REX CUT SEW JW-HR066:MISTY LIGHT YELLOW:4-5:GRAPHIC:SS T-SHIRT</t>
  </si>
  <si>
    <t>SS T-SHIRT JURASSIC T-REX CUT SEW JW-HR066:MISTY LIGHT YELLOW:5-6:GRAPHIC:SS T-SHIRT</t>
  </si>
  <si>
    <t>SS T-SHIRT JURASSIC T-REX CUT SEW JW-HR066:MISTY LIGHT YELLOW:7-8:GRAPHIC:SS T-SHIRT</t>
  </si>
  <si>
    <t>SS T-SHIRT JURASSIC T-REX CUT SEW JW-HR066:MISTY LIGHT YELLOW:9-10:GRAPHIC:SS T-SHIRT</t>
  </si>
  <si>
    <t>SS T-SHIRT JURASSIC T-REX CUT SEW JW-HR066:MISTY LIGHT YELLOW:11-12:GRAPHIC:SS T-SHIRT</t>
  </si>
  <si>
    <t>SS T-SHIRT JURASSIC T-REX CUT SEW JW-HR066:MISTY LIGHT YELLOW:13-14:GRAPHIC:SS T-SHIRT</t>
  </si>
  <si>
    <t>SS T-SHIRT JURASSIC T-REX CUT SEW JW-HR066:MISTY LIGHT YELLOW:15-16:GRAPHIC:SS T-SHIRT</t>
  </si>
  <si>
    <t>JP-HR067</t>
  </si>
  <si>
    <t>SS T-SHIRT JURASSIC TRACKER LIS TENGAH JP-HR067:FOREST GREEN:3-4:GRAPHIC:SS T-SHIRT</t>
  </si>
  <si>
    <t>SS T-SHIRT JURASSIC TRACKER LIS TENGAH JP-HR067:FOREST GREEN:4-5:GRAPHIC:SS T-SHIRT</t>
  </si>
  <si>
    <t>SS T-SHIRT JURASSIC TRACKER LIS TENGAH JP-HR067:FOREST GREEN:5-6:GRAPHIC:SS T-SHIRT</t>
  </si>
  <si>
    <t>SS T-SHIRT JURASSIC TRACKER LIS TENGAH JP-HR067:FOREST GREEN:7-8:GRAPHIC:SS T-SHIRT</t>
  </si>
  <si>
    <t>SS T-SHIRT JURASSIC TRACKER LIS TENGAH JP-HR067:FOREST GREEN:9-10:GRAPHIC:SS T-SHIRT</t>
  </si>
  <si>
    <t>SS T-SHIRT JURASSIC TRACKER LIS TENGAH JP-HR067:FOREST GREEN:11-12:GRAPHIC:SS T-SHIRT</t>
  </si>
  <si>
    <t>SS T-SHIRT JURASSIC TRACKER LIS TENGAH JP-HR067:FOREST GREEN:13-14:GRAPHIC:SS T-SHIRT</t>
  </si>
  <si>
    <t>SS T-SHIRT JURASSIC TRACKER LIS TENGAH JP-HR067:FOREST GREEN:15-16:GRAPHIC:SS T-SHIRT</t>
  </si>
  <si>
    <t>BT-TS01</t>
  </si>
  <si>
    <t>SS T-SHIRT BATMAN LOGO EMBOSS BT-TS01:BLACK:3-4:GRAPHIC:SS T-SHIRT</t>
  </si>
  <si>
    <t>SS T-SHIRT BATMAN LOGO EMBOSS BT-TS01:BLACK:4-5:GRAPHIC:SS T-SHIRT</t>
  </si>
  <si>
    <t>SS T-SHIRT BATMAN LOGO EMBOSS BT-TS01:BLACK:5-6:GRAPHIC:SS T-SHIRT</t>
  </si>
  <si>
    <t>SS T-SHIRT BATMAN LOGO EMBOSS BT-TS01:BLACK:7-8:GRAPHIC:SS T-SHIRT</t>
  </si>
  <si>
    <t>SS T-SHIRT BATMAN LOGO EMBOSS BT-TS01:BLACK:9-10:GRAPHIC:SS T-SHIRT</t>
  </si>
  <si>
    <t>SS T-SHIRT BATMAN LOGO EMBOSS BT-TS01:BLACK:11-12:GRAPHIC:SS T-SHIRT</t>
  </si>
  <si>
    <t>SS T-SHIRT BATMAN LOGO EMBOSS BT-TS01:BLACK:13-14:GRAPHIC:SS T-SHIRT</t>
  </si>
  <si>
    <t>SS T-SHIRT BATMAN LOGO EMBOSS BT-TS01:BLACK:15-16:GRAPHIC:SS T-SHIRT</t>
  </si>
  <si>
    <t>MN-N049</t>
  </si>
  <si>
    <t>SS T-SHIRT MINIONS RAGLAN MN-N049:WHITE:3-4:GRAPHIC:SS T-SHIRT</t>
  </si>
  <si>
    <t>SS T-SHIRT MINIONS RAGLAN MN-N049:WHITE:4-5:GRAPHIC:SS T-SHIRT</t>
  </si>
  <si>
    <t>SS T-SHIRT MINIONS RAGLAN MN-N049:WHITE:5-6:GRAPHIC:SS T-SHIRT</t>
  </si>
  <si>
    <t>SS T-SHIRT MINIONS RAGLAN MN-N049:WHITE:7-8:GRAPHIC:SS T-SHIRT</t>
  </si>
  <si>
    <t>SS T-SHIRT MINIONS RAGLAN MN-N049:WHITE:9-10:GRAPHIC:SS T-SHIRT</t>
  </si>
  <si>
    <t>SS T-SHIRT MINIONS RAGLAN MN-N049:WHITE:11-12:GRAPHIC:SS T-SHIRT</t>
  </si>
  <si>
    <t>SS T-SHIRT MINIONS RAGLAN MN-N049:WHITE:13-14:GRAPHIC:SS T-SHIRT</t>
  </si>
  <si>
    <t>SS T-SHIRT MINIONS RAGLAN MN-N049:WHITE:15-16:GRAPHIC:SS T-SHIRT</t>
  </si>
  <si>
    <t>MN-HR034</t>
  </si>
  <si>
    <t>SS T-SHIRT MINIONS DANCE LIS LGN MN-HR034:CLASSIC YELLOW:3-4:GRAPHIC:SS T-SHIRT</t>
  </si>
  <si>
    <t>SS T-SHIRT MINIONS DANCE LIS LGN MN-HR034:CLASSIC YELLOW:4-5:GRAPHIC:SS T-SHIRT</t>
  </si>
  <si>
    <t>SS T-SHIRT MINIONS DANCE LIS LGN MN-HR034:CLASSIC YELLOW:5-6:GRAPHIC:SS T-SHIRT</t>
  </si>
  <si>
    <t>SS T-SHIRT MINIONS DANCE LIS LGN MN-HR034:CLASSIC YELLOW:7-8:GRAPHIC:SS T-SHIRT</t>
  </si>
  <si>
    <t>SS T-SHIRT MINIONS DANCE LIS LGN MN-HR034:CLASSIC YELLOW:9-10:GRAPHIC:SS T-SHIRT</t>
  </si>
  <si>
    <t>SS T-SHIRT MINIONS DANCE LIS LGN MN-HR034:CLASSIC YELLOW:11-12:GRAPHIC:SS T-SHIRT</t>
  </si>
  <si>
    <t>SS T-SHIRT MINIONS DANCE LIS LGN MN-HR034:CLASSIC YELLOW:13-14:GRAPHIC:SS T-SHIRT</t>
  </si>
  <si>
    <t>SS T-SHIRT MINIONS DANCE LIS LGN MN-HR034:CLASSIC YELLOW:15-16:GRAPHIC:SS T-SHIRT</t>
  </si>
  <si>
    <t>SUP-HR057</t>
  </si>
  <si>
    <t>SS T-SHIRT SUPERMAN MOVIE LOGO FP BAWAH SUP-HR057:TURQOUISE:3-4:GRAPHIC:SS T-SHIRT</t>
  </si>
  <si>
    <t>SS T-SHIRT SUPERMAN MOVIE LOGO FP BAWAH SUP-HR057:TURQOUISE:4-5:GRAPHIC:SS T-SHIRT</t>
  </si>
  <si>
    <t>SS T-SHIRT SUPERMAN MOVIE LOGO FP BAWAH SUP-HR057:TURQOUISE:5-6:GRAPHIC:SS T-SHIRT</t>
  </si>
  <si>
    <t>SS T-SHIRT SUPERMAN MOVIE LOGO FP BAWAH SUP-HR057:TURQOUISE:7-8:GRAPHIC:SS T-SHIRT</t>
  </si>
  <si>
    <t>SS T-SHIRT SUPERMAN MOVIE LOGO FP BAWAH SUP-HR057:TURQOUISE:9-10:GRAPHIC:SS T-SHIRT</t>
  </si>
  <si>
    <t>SS T-SHIRT SUPERMAN MOVIE LOGO FP BAWAH SUP-HR057:TURQOUISE:11-12:GRAPHIC:SS T-SHIRT</t>
  </si>
  <si>
    <t>SS T-SHIRT SUPERMAN MOVIE LOGO FP BAWAH SUP-HR057:TURQOUISE:13-14:GRAPHIC:SS T-SHIRT</t>
  </si>
  <si>
    <t>SS T-SHIRT SUPERMAN MOVIE LOGO FP BAWAH SUP-HR057:TURQOUISE:15-16:GRAPHIC:SS T-SHIRT</t>
  </si>
  <si>
    <t>SUP-HR061</t>
  </si>
  <si>
    <t>SS T-SHIRT SUPERMAN MOVIE FP LOGO SUP-HR061:WHITE:3-4:PRINT:SS T-SHIRT</t>
  </si>
  <si>
    <t>SS T-SHIRT SUPERMAN MOVIE FP LOGO SUP-HR061:WHITE:4-5:PRINT:SS T-SHIRT</t>
  </si>
  <si>
    <t>SS T-SHIRT SUPERMAN MOVIE FP LOGO SUP-HR061:WHITE:5-6:PRINT:SS T-SHIRT</t>
  </si>
  <si>
    <t>SS T-SHIRT SUPERMAN MOVIE FP LOGO SUP-HR061:WHITE:7-8:PRINT:SS T-SHIRT</t>
  </si>
  <si>
    <t>SS T-SHIRT SUPERMAN MOVIE FP LOGO SUP-HR061:WHITE:9-10:PRINT:SS T-SHIRT</t>
  </si>
  <si>
    <t>SS T-SHIRT SUPERMAN MOVIE FP LOGO SUP-HR061:WHITE:11-12:PRINT:SS T-SHIRT</t>
  </si>
  <si>
    <t>SS T-SHIRT SUPERMAN MOVIE FP LOGO SUP-HR061:WHITE:13-14:PRINT:SS T-SHIRT</t>
  </si>
  <si>
    <t>SS T-SHIRT SUPERMAN MOVIE FP LOGO SUP-HR061:WHITE:15-16:PRINT:SS T-SHIRT</t>
  </si>
  <si>
    <t>SUP-HR060</t>
  </si>
  <si>
    <t>SS T-SHIRT SUPERMAN MOVIE ACTION SUP-HR060:MISTY LIGHT BLUE:3-4:GRAPHIC:SS T-SHIRT</t>
  </si>
  <si>
    <t>SS T-SHIRT SUPERMAN MOVIE ACTION SUP-HR060:MISTY LIGHT BLUE:4-5:GRAPHIC:SS T-SHIRT</t>
  </si>
  <si>
    <t>SS T-SHIRT SUPERMAN MOVIE ACTION SUP-HR060:MISTY LIGHT BLUE:5-6:GRAPHIC:SS T-SHIRT</t>
  </si>
  <si>
    <t>SS T-SHIRT SUPERMAN MOVIE ACTION SUP-HR060:MISTY LIGHT BLUE:7-8:GRAPHIC:SS T-SHIRT</t>
  </si>
  <si>
    <t>SS T-SHIRT SUPERMAN MOVIE ACTION SUP-HR060:MISTY LIGHT BLUE:9-10:GRAPHIC:SS T-SHIRT</t>
  </si>
  <si>
    <t>SS T-SHIRT SUPERMAN MOVIE ACTION SUP-HR060:MISTY LIGHT BLUE:11-12:GRAPHIC:SS T-SHIRT</t>
  </si>
  <si>
    <t>SS T-SHIRT SUPERMAN MOVIE ACTION SUP-HR060:MISTY LIGHT BLUE:13-14:GRAPHIC:SS T-SHIRT</t>
  </si>
  <si>
    <t>SS T-SHIRT SUPERMAN MOVIE ACTION SUP-HR060:MISTY LIGHT BLUE:15-16:GRAPHIC:SS T-SHIRT</t>
  </si>
  <si>
    <t>SUP-HR059</t>
  </si>
  <si>
    <t>SS T-SHIRT SUPERMAN MOVIE CUT SEW SUP-HR059:NAVY BLUE:3-4:GRAPHIC:SS T-SHIRT</t>
  </si>
  <si>
    <t>SS T-SHIRT SUPERMAN MOVIE CUT SEW SUP-HR059:NAVY BLUE:4-5:GRAPHIC:SS T-SHIRT</t>
  </si>
  <si>
    <t>SS T-SHIRT SUPERMAN MOVIE CUT SEW SUP-HR059:NAVY BLUE:5-6:GRAPHIC:SS T-SHIRT</t>
  </si>
  <si>
    <t>SS T-SHIRT SUPERMAN MOVIE CUT SEW SUP-HR059:NAVY BLUE:7-8:GRAPHIC:SS T-SHIRT</t>
  </si>
  <si>
    <t>SS T-SHIRT SUPERMAN MOVIE CUT SEW SUP-HR059:NAVY BLUE:9-10:GRAPHIC:SS T-SHIRT</t>
  </si>
  <si>
    <t>SS T-SHIRT SUPERMAN MOVIE CUT SEW SUP-HR059:NAVY BLUE:11-12:GRAPHIC:SS T-SHIRT</t>
  </si>
  <si>
    <t>SS T-SHIRT SUPERMAN MOVIE CUT SEW SUP-HR059:NAVY BLUE:13-14:GRAPHIC:SS T-SHIRT</t>
  </si>
  <si>
    <t>SS T-SHIRT SUPERMAN MOVIE CUT SEW SUP-HR059:NAVY BLUE:15-16:GRAPHIC:SS T-SHIRT</t>
  </si>
  <si>
    <t>JP-115</t>
  </si>
  <si>
    <t>SS T-SHIRT JURASSIC FULL DPN JP-115:FOREST GREEN:5-6:PRINT:SS T-SHIRT</t>
  </si>
  <si>
    <t>SS T-SHIRT JURASSIC FULL DPN JP-115:FOREST GREEN:7-8:PRINT:SS T-SHIRT</t>
  </si>
  <si>
    <t>SS T-SHIRT JURASSIC FULL DPN JP-115:FOREST GREEN:9-10:PRINT:SS T-SHIRT</t>
  </si>
  <si>
    <t>SS T-SHIRT JURASSIC FULL DPN JP-115:FOREST GREEN:11-12:PRINT:SS T-SHIRT</t>
  </si>
  <si>
    <t>SS T-SHIRT JURASSIC FULL DPN JP-115:FOREST GREEN:13-14:PRINT:SS T-SHIRT</t>
  </si>
  <si>
    <t>SS T-SHIRT JURASSIC FULL DPN JP-115:FOREST GREEN:15-16:PRINT:SS T-SHIRT</t>
  </si>
  <si>
    <t>JP-112</t>
  </si>
  <si>
    <t>SS T-SHIRT JURASSIC T-REX LOGO PATCH JP-112:FOREST GREEN:5-6:GRAPHIC:SS T-SHIRT</t>
  </si>
  <si>
    <t>SS T-SHIRT JURASSIC T-REX LOGO PATCH JP-112:FOREST GREEN:7-8:GRAPHIC:SS T-SHIRT</t>
  </si>
  <si>
    <t>SS T-SHIRT JURASSIC T-REX LOGO PATCH JP-112:FOREST GREEN:9-10:GRAPHIC:SS T-SHIRT</t>
  </si>
  <si>
    <t>SS T-SHIRT JURASSIC T-REX LOGO PATCH JP-112:FOREST GREEN:11-12:GRAPHIC:SS T-SHIRT</t>
  </si>
  <si>
    <t>SS T-SHIRT JURASSIC T-REX LOGO PATCH JP-112:FOREST GREEN:13-14:GRAPHIC:SS T-SHIRT</t>
  </si>
  <si>
    <t>SS T-SHIRT JURASSIC T-REX LOGO PATCH JP-112:FOREST GREEN:15-16:GRAPHIC:SS T-SHIRT</t>
  </si>
  <si>
    <t>SUP-HR063</t>
  </si>
  <si>
    <t>SWEATER SUPERMAN MOVIE LOGO SUP-HR063:NAVY BLUE:3-4:GRAPHIC:SWEATER</t>
  </si>
  <si>
    <t>SWEATER SUPERMAN MOVIE LOGO SUP-HR063:NAVY BLUE:4-5:GRAPHIC:SWEATER</t>
  </si>
  <si>
    <t>SWEATER SUPERMAN MOVIE LOGO SUP-HR063:NAVY BLUE:5-6:GRAPHIC:SWEATER</t>
  </si>
  <si>
    <t>SWEATER SUPERMAN MOVIE LOGO SUP-HR063:NAVY BLUE:7-8:GRAPHIC:SWEATER</t>
  </si>
  <si>
    <t>SWEATER SUPERMAN MOVIE LOGO SUP-HR063:NAVY BLUE:9-10:GRAPHIC:SWEATER</t>
  </si>
  <si>
    <t>SWEATER SUPERMAN MOVIE LOGO SUP-HR063:NAVY BLUE:11-12:GRAPHIC:SWEATER</t>
  </si>
  <si>
    <t>SWEATER SUPERMAN MOVIE LOGO SUP-HR063:NAVY BLUE:13-14:GRAPHIC:SWEATER</t>
  </si>
  <si>
    <t>SWEATER SUPERMAN MOVIE LOGO SUP-HR063:NAVY BLUE:15-16:GRAPHIC:SWEATER</t>
  </si>
  <si>
    <t>JP-N041</t>
  </si>
  <si>
    <t>JACKET JURASSIC LOGO LENGAN JP-N041:BLACK:3-4:GRAPHIC:JACKET</t>
  </si>
  <si>
    <t>JACKET JURASSIC LOGO LENGAN JP-N041:BLACK:4-5:GRAPHIC:JACKET</t>
  </si>
  <si>
    <t>JACKET JURASSIC LOGO LENGAN JP-N041:BLACK:5-6:GRAPHIC:JACKET</t>
  </si>
  <si>
    <t>JACKET JURASSIC LOGO LENGAN JP-N041:BLACK:7-8:GRAPHIC:JACKET</t>
  </si>
  <si>
    <t>JACKET JURASSIC LOGO LENGAN JP-N041:BLACK:9-10:GRAPHIC:JACKET</t>
  </si>
  <si>
    <t>JACKET JURASSIC LOGO LENGAN JP-N041:BLACK:11-12:GRAPHIC:JACKET</t>
  </si>
  <si>
    <t>JACKET JURASSIC LOGO LENGAN JP-N041:BLACK:13-14:GRAPHIC:JACKET</t>
  </si>
  <si>
    <t>JACKET JURASSIC LOGO LENGAN JP-N041:BLACK:15-16:GRAPHIC:JACKET</t>
  </si>
  <si>
    <t>SUP-HR065</t>
  </si>
  <si>
    <t>SHORT PANTS SUPERMAN MOVIE LOGO KANTONG SUP-HR065:NAVY BLUE:3-4:GRAPHIC:SHORT PANTS</t>
  </si>
  <si>
    <t>SHORT PANTS SUPERMAN MOVIE LOGO KANTONG SUP-HR065:NAVY BLUE:4-5:GRAPHIC:SHORT PANTS</t>
  </si>
  <si>
    <t>SHORT PANTS SUPERMAN MOVIE LOGO KANTONG SUP-HR065:NAVY BLUE:5-6:GRAPHIC:SHORT PANTS</t>
  </si>
  <si>
    <t>SHORT PANTS SUPERMAN MOVIE LOGO KANTONG SUP-HR065:NAVY BLUE:7-8:GRAPHIC:SHORT PANTS</t>
  </si>
  <si>
    <t>SHORT PANTS SUPERMAN MOVIE LOGO KANTONG SUP-HR065:NAVY BLUE:9-10:GRAPHIC:SHORT PANTS</t>
  </si>
  <si>
    <t>SHORT PANTS SUPERMAN MOVIE LOGO KANTONG SUP-HR065:NAVY BLUE:11-12:GRAPHIC:SHORT PANTS</t>
  </si>
  <si>
    <t>SHORT PANTS SUPERMAN MOVIE LOGO KANTONG SUP-HR065:NAVY BLUE:13-14:GRAPHIC:SHORT PANTS</t>
  </si>
  <si>
    <t>SHORT PANTS SUPERMAN MOVIE LOGO KANTONG SUP-HR065:NAVY BLUE:15-16:GRAPHIC:SHORT PANTS</t>
  </si>
  <si>
    <t>JW-HR068</t>
  </si>
  <si>
    <t>SHORT PANTS JURASSIC LOGO KANTONG JW-HR068:FOREST GREEN:3-4:GRAPHIC:SHORT PANTS</t>
  </si>
  <si>
    <t>SHORT PANTS JURASSIC LOGO KANTONG JW-HR068:FOREST GREEN:4-5:GRAPHIC:SHORT PANTS</t>
  </si>
  <si>
    <t>SHORT PANTS JURASSIC LOGO KANTONG JW-HR068:FOREST GREEN:5-6:GRAPHIC:SHORT PANTS</t>
  </si>
  <si>
    <t>SHORT PANTS JURASSIC LOGO KANTONG JW-HR068:FOREST GREEN:7-8:GRAPHIC:SHORT PANTS</t>
  </si>
  <si>
    <t>SHORT PANTS JURASSIC LOGO KANTONG JW-HR068:FOREST GREEN:9-10:GRAPHIC:SHORT PANTS</t>
  </si>
  <si>
    <t>SHORT PANTS JURASSIC LOGO KANTONG JW-HR068:FOREST GREEN:11-12:GRAPHIC:SHORT PANTS</t>
  </si>
  <si>
    <t>SHORT PANTS JURASSIC LOGO KANTONG JW-HR068:FOREST GREEN:13-14:GRAPHIC:SHORT PANTS</t>
  </si>
  <si>
    <t>SHORT PANTS JURASSIC LOGO KANTONG JW-HR068:FOREST GREEN:15-16:GRAPHIC:SHORT PANTS</t>
  </si>
  <si>
    <t>SUP-HR064</t>
  </si>
  <si>
    <t>JOGGER SUPERMAN MOVIE LOGO SUP-HR064:NAVY BLUE:3-4:GRAPHIC:JOGGER</t>
  </si>
  <si>
    <t>JOGGER SUPERMAN MOVIE LOGO SUP-HR064:NAVY BLUE:4-5:GRAPHIC:JOGGER</t>
  </si>
  <si>
    <t>JOGGER SUPERMAN MOVIE LOGO SUP-HR064:NAVY BLUE:5-6:GRAPHIC:JOGGER</t>
  </si>
  <si>
    <t>JOGGER SUPERMAN MOVIE LOGO SUP-HR064:NAVY BLUE:7-8:GRAPHIC:JOGGER</t>
  </si>
  <si>
    <t>JOGGER SUPERMAN MOVIE LOGO SUP-HR064:NAVY BLUE:9-10:GRAPHIC:JOGGER</t>
  </si>
  <si>
    <t>JOGGER SUPERMAN MOVIE LOGO SUP-HR064:NAVY BLUE:11-12:GRAPHIC:JOGGER</t>
  </si>
  <si>
    <t>JOGGER SUPERMAN MOVIE LOGO SUP-HR064:NAVY BLUE:13-14:GRAPHIC:JOGGER</t>
  </si>
  <si>
    <t>JOGGER SUPERMAN MOVIE LOGO SUP-HR064:NAVY BLUE:15-16:GRAPHIC:JOGGER</t>
  </si>
  <si>
    <t>JP-N043</t>
  </si>
  <si>
    <t>JOGGER JURASSIC LOGO LIS SAMPING JP-N043:BLACK:3-4:GRAPHIC:JOGGER</t>
  </si>
  <si>
    <t>JOGGER JURASSIC LOGO LIS SAMPING JP-N043:BLACK:4-5:GRAPHIC:JOGGER</t>
  </si>
  <si>
    <t>JOGGER JURASSIC LOGO LIS SAMPING JP-N043:BLACK:5-6:GRAPHIC:JOGGER</t>
  </si>
  <si>
    <t>JOGGER JURASSIC LOGO LIS SAMPING JP-N043:BLACK:7-8:GRAPHIC:JOGGER</t>
  </si>
  <si>
    <t>JOGGER JURASSIC LOGO LIS SAMPING JP-N043:BLACK:9-10:GRAPHIC:JOGGER</t>
  </si>
  <si>
    <t>JOGGER JURASSIC LOGO LIS SAMPING JP-N043:BLACK:11-12:GRAPHIC:JOGGER</t>
  </si>
  <si>
    <t>JOGGER JURASSIC LOGO LIS SAMPING JP-N043:BLACK:13-14:GRAPHIC:JOGGER</t>
  </si>
  <si>
    <t>JOGGER JURASSIC LOGO LIS SAMPING JP-N043:BLACK:15-16:GRAPHIC:JOGGER</t>
  </si>
  <si>
    <t>BAT-BB02</t>
  </si>
  <si>
    <t>SS T-SHIRT BB BATMAN LOGO DPN DTF BAT-BB02:BLACK:3-4:GRAPHIC:SS T-SHIRT</t>
  </si>
  <si>
    <t>SS T-SHIRT BB BATMAN LOGO DPN DTF BAT-BB02:BLACK:4-5:GRAPHIC:SS T-SHIRT</t>
  </si>
  <si>
    <t>SS T-SHIRT BB BATMAN LOGO DPN DTF BAT-BB02:BLACK:5-6:GRAPHIC:SS T-SHIRT</t>
  </si>
  <si>
    <t>SS T-SHIRT BB BATMAN LOGO DPN DTF BAT-BB02:BLACK:7-8:GRAPHIC:SS T-SHIRT</t>
  </si>
  <si>
    <t>SS T-SHIRT BB BATMAN LOGO DPN DTF BAT-BB02:BLACK:9-10:GRAPHIC:SS T-SHIRT</t>
  </si>
  <si>
    <t>SS T-SHIRT BB BATMAN LOGO DPN DTF BAT-BB02:BLACK:11-12:GRAPHIC:SS T-SHIRT</t>
  </si>
  <si>
    <t>SS T-SHIRT BB BATMAN LOGO DPN DTF BAT-BB02:BLACK:13-14:GRAPHIC:SS T-SHIRT</t>
  </si>
  <si>
    <t>MN-N048</t>
  </si>
  <si>
    <t>SS T-SHIRT MINIONS LOGO CUT SEW MN-N048:BLACK:3-4:PRINT:SS T-SHIRT</t>
  </si>
  <si>
    <t>SS T-SHIRT MINIONS LOGO CUT SEW MN-N048:BLACK:4-5:PRINT:SS T-SHIRT</t>
  </si>
  <si>
    <t>SS T-SHIRT MINIONS LOGO CUT SEW MN-N048:BLACK:5-6:PRINT:SS T-SHIRT</t>
  </si>
  <si>
    <t>SS T-SHIRT MINIONS LOGO CUT SEW MN-N048:BLACK:7-8:PRINT:SS T-SHIRT</t>
  </si>
  <si>
    <t>SS T-SHIRT MINIONS LOGO CUT SEW MN-N048:BLACK:9-10:PRINT:SS T-SHIRT</t>
  </si>
  <si>
    <t>SS T-SHIRT MINIONS LOGO CUT SEW MN-N048:BLACK:11-12:PRINT:SS T-SHIRT</t>
  </si>
  <si>
    <t>SS T-SHIRT MINIONS LOGO CUT SEW MN-N048:BLACK:13-14:PRINT:SS T-SHIRT</t>
  </si>
  <si>
    <t>SS T-SHIRT MINIONS LOGO CUT SEW MN-N048:BLACK:15-16:PRINT:SS T-SHIRT</t>
  </si>
  <si>
    <t>SUP-A155</t>
  </si>
  <si>
    <t>SS T-SHIRT SUPERMAN TULISAN CUT SEW A SUP-A155:CLASSIC RED:3-4:GRAPHIC:SS T-SHIRT</t>
  </si>
  <si>
    <t>SS T-SHIRT SUPERMAN TULISAN CUT SEW A SUP-A155:CLASSIC RED:4-5:GRAPHIC:SS T-SHIRT</t>
  </si>
  <si>
    <t>SS T-SHIRT SUPERMAN TULISAN CUT SEW A SUP-A155:CLASSIC RED:5-6:GRAPHIC:SS T-SHIRT</t>
  </si>
  <si>
    <t>SS T-SHIRT SUPERMAN TULISAN CUT SEW A SUP-A155:CLASSIC RED:7-8:GRAPHIC:SS T-SHIRT</t>
  </si>
  <si>
    <t>SS T-SHIRT SUPERMAN TULISAN CUT SEW A SUP-A155:CLASSIC RED:9-10:GRAPHIC:SS T-SHIRT</t>
  </si>
  <si>
    <t>SUP-A179</t>
  </si>
  <si>
    <t>SS T-SHIRT SUPERMAN JUSTICE LIS LGN SUP-A179:CLASSIC RED:3-4:GRAPHIC:SS T-SHIRT</t>
  </si>
  <si>
    <t>SS T-SHIRT SUPERMAN JUSTICE LIS LGN SUP-A179:CLASSIC RED:4-5:GRAPHIC:SS T-SHIRT</t>
  </si>
  <si>
    <t>SS T-SHIRT SUPERMAN JUSTICE LIS LGN SUP-A179:CLASSIC RED:5-6:GRAPHIC:SS T-SHIRT</t>
  </si>
  <si>
    <t>SS T-SHIRT SUPERMAN JUSTICE LIS LGN SUP-A179:CLASSIC RED:7-8:GRAPHIC:SS T-SHIRT</t>
  </si>
  <si>
    <t>SS T-SHIRT SUPERMAN JUSTICE LIS LGN SUP-A179:CLASSIC RED:9-10:GRAPHIC:SS T-SHIRT</t>
  </si>
  <si>
    <t>SS T-SHIRT SUPERMAN JUSTICE LIS LGN SUP-A179:CLASSIC RED:11-12:GRAPHIC:SS T-SHIRT</t>
  </si>
  <si>
    <t>SS T-SHIRT SUPERMAN JUSTICE LIS LGN SUP-A179:CLASSIC RED:13-14:GRAPHIC:SS T-SHIRT</t>
  </si>
  <si>
    <t>SS T-SHIRT SUPERMAN JUSTICE LIS LGN SUP-A179:CLASSIC RED:15-16:GRAPHIC:SS T-SHIRT</t>
  </si>
  <si>
    <t>BAT-W09</t>
  </si>
  <si>
    <t>SS T-SHIRT BATMAN LOGO DPN FLOCKING BAT-W09:DARK BROWN:3-4:GRAPHIC:SS T-SHIRT</t>
  </si>
  <si>
    <t>SS T-SHIRT BATMAN LOGO DPN FLOCKING BAT-W09:DARK BROWN:4-5:GRAPHIC:SS T-SHIRT</t>
  </si>
  <si>
    <t>SS T-SHIRT BATMAN LOGO DPN FLOCKING BAT-W09:DARK BROWN:5-6:GRAPHIC:SS T-SHIRT</t>
  </si>
  <si>
    <t>SS T-SHIRT BATMAN LOGO DPN FLOCKING BAT-W09:DARK BROWN:7-8:GRAPHIC:SS T-SHIRT</t>
  </si>
  <si>
    <t>SS T-SHIRT BATMAN LOGO DPN FLOCKING BAT-W09:DARK BROWN:9-10:GRAPHIC:SS T-SHIRT</t>
  </si>
  <si>
    <t>SS T-SHIRT BATMAN LOGO DPN FLOCKING BAT-W09:DARK BROWN:11-12:GRAPHIC:SS T-SHIRT</t>
  </si>
  <si>
    <t>SS T-SHIRT BATMAN LOGO DPN FLOCKING BAT-W09:DARK BROWN:13-14:GRAPHIC:SS T-SHIRT</t>
  </si>
  <si>
    <t>BM-HN071</t>
  </si>
  <si>
    <t>SS T-SHIRT BATMAN LOGO BDR HANDUK BM-HN071:WHITE:3-4:GRAPHIC:SS T-SHIRT</t>
  </si>
  <si>
    <t>SS T-SHIRT BATMAN LOGO BDR HANDUK BM-HN071:WHITE:4-5:GRAPHIC:SS T-SHIRT</t>
  </si>
  <si>
    <t>SS T-SHIRT BATMAN LOGO BDR HANDUK BM-HN071:WHITE:5-6:GRAPHIC:SS T-SHIRT</t>
  </si>
  <si>
    <t>SS T-SHIRT BATMAN LOGO BDR HANDUK BM-HN071:WHITE:7-8:GRAPHIC:SS T-SHIRT</t>
  </si>
  <si>
    <t>SS T-SHIRT BATMAN LOGO BDR HANDUK BM-HN071:WHITE:9-10:GRAPHIC:SS T-SHIRT</t>
  </si>
  <si>
    <t>SS T-SHIRT BATMAN LOGO BDR HANDUK BM-HN071:WHITE:11-12:GRAPHIC:SS T-SHIRT</t>
  </si>
  <si>
    <t>SS T-SHIRT BATMAN LOGO BDR HANDUK BM-HN071:WHITE:13-14:GRAPHIC:SS T-SHIRT</t>
  </si>
  <si>
    <t>TF-HR014</t>
  </si>
  <si>
    <t>SS T-SHIRT TF FP BUMBLEBEE LIS LGN TF-HR014:BLACK:3-4:GRAPHIC:SS T-SHIRT</t>
  </si>
  <si>
    <t>SS T-SHIRT TF FP BUMBLEBEE LIS LGN TF-HR014:BLACK:4-5:GRAPHIC:SS T-SHIRT</t>
  </si>
  <si>
    <t>SS T-SHIRT TF FP BUMBLEBEE LIS LGN TF-HR014:BLACK:5-6:GRAPHIC:SS T-SHIRT</t>
  </si>
  <si>
    <t>SS T-SHIRT TF FP BUMBLEBEE LIS LGN TF-HR014:BLACK:7-8:GRAPHIC:SS T-SHIRT</t>
  </si>
  <si>
    <t>SS T-SHIRT TF FP BUMBLEBEE LIS LGN TF-HR014:BLACK:9-10:GRAPHIC:SS T-SHIRT</t>
  </si>
  <si>
    <t>SS T-SHIRT TF FP BUMBLEBEE LIS LGN TF-HR014:BLACK:11-12:GRAPHIC:SS T-SHIRT</t>
  </si>
  <si>
    <t>SS T-SHIRT TF FP BUMBLEBEE LIS LGN TF-HR014:BLACK:13-14:GRAPHIC:SS T-SHIRT</t>
  </si>
  <si>
    <t>SS T-SHIRT TF FP BUMBLEBEE LIS LGN TF-HR014:BLACK:15-16:GRAPHIC:SS T-SHIRT</t>
  </si>
  <si>
    <t>TF-HR047</t>
  </si>
  <si>
    <t>SS T-SHIRT TF TULISAN CUT SEW TF-HR047:CLASSIC RED:3-4:PRINT:SS T-SHIRT</t>
  </si>
  <si>
    <t>SS T-SHIRT TF TULISAN CUT SEW TF-HR047:CLASSIC RED:4-5:PRINT:SS T-SHIRT</t>
  </si>
  <si>
    <t>SS T-SHIRT TF TULISAN CUT SEW TF-HR047:CLASSIC RED:5-6:PRINT:SS T-SHIRT</t>
  </si>
  <si>
    <t>SS T-SHIRT TF TULISAN CUT SEW TF-HR047:CLASSIC RED:7-8:PRINT:SS T-SHIRT</t>
  </si>
  <si>
    <t>SS T-SHIRT TF TULISAN CUT SEW TF-HR047:CLASSIC RED:9-10:PRINT:SS T-SHIRT</t>
  </si>
  <si>
    <t>SS T-SHIRT TF TULISAN CUT SEW TF-HR047:CLASSIC RED:11-12:PRINT:SS T-SHIRT</t>
  </si>
  <si>
    <t>SS T-SHIRT TF TULISAN CUT SEW TF-HR047:CLASSIC RED:13-14:PRINT:SS T-SHIRT</t>
  </si>
  <si>
    <t>SS T-SHIRT TF TULISAN CUT SEW TF-HR047:CLASSIC RED:15-16:PRINT:SS T-SHIRT</t>
  </si>
  <si>
    <t>TF-A050</t>
  </si>
  <si>
    <t>SS T-SHIRT TF CUT SEW BEE KTG TF-A050:NAVY BLUE:3-4:GRAPHIC:SS T-SHIRT</t>
  </si>
  <si>
    <t>SS T-SHIRT TF CUT SEW BEE KTG TF-A050:NAVY BLUE:4-5:GRAPHIC:SS T-SHIRT</t>
  </si>
  <si>
    <t>SS T-SHIRT TF CUT SEW BEE KTG TF-A050:NAVY BLUE:5-6:GRAPHIC:SS T-SHIRT</t>
  </si>
  <si>
    <t>SS T-SHIRT TF CUT SEW BEE KTG TF-A050:NAVY BLUE:7-8:GRAPHIC:SS T-SHIRT</t>
  </si>
  <si>
    <t>SS T-SHIRT TF CUT SEW BEE KTG TF-A050:NAVY BLUE:9-10:GRAPHIC:SS T-SHIRT</t>
  </si>
  <si>
    <t>SS T-SHIRT TF CUT SEW BEE KTG TF-A050:NAVY BLUE:11-12:GRAPHIC:SS T-SHIRT</t>
  </si>
  <si>
    <t>SS T-SHIRT TF CUT SEW BEE KTG TF-A050:NAVY BLUE:13-14:GRAPHIC:SS T-SHIRT</t>
  </si>
  <si>
    <t>SS T-SHIRT TF CUT SEW BEE KTG TF-A050:NAVY BLUE:15-16:GRAPHIC:SS T-SHIRT</t>
  </si>
  <si>
    <t>TF-A127</t>
  </si>
  <si>
    <t>SS T-SHIRT TF AUTOBOTS TF-A127:NAVY BLUE:3-4:GRAPHIC:SS T-SHIRT</t>
  </si>
  <si>
    <t>SS T-SHIRT TF AUTOBOTS TF-A127:NAVY BLUE:4-5:GRAPHIC:SS T-SHIRT</t>
  </si>
  <si>
    <t>SS T-SHIRT TF AUTOBOTS TF-A127:NAVY BLUE:5-6:GRAPHIC:SS T-SHIRT</t>
  </si>
  <si>
    <t>SS T-SHIRT TF AUTOBOTS TF-A127:NAVY BLUE:7-8:GRAPHIC:SS T-SHIRT</t>
  </si>
  <si>
    <t>SS T-SHIRT TF AUTOBOTS TF-A127:NAVY BLUE:9-10:GRAPHIC:SS T-SHIRT</t>
  </si>
  <si>
    <t>SS T-SHIRT TF AUTOBOTS TF-A127:NAVY BLUE:11-12:GRAPHIC:SS T-SHIRT</t>
  </si>
  <si>
    <t>SS T-SHIRT TF AUTOBOTS TF-A127:NAVY BLUE:13-14:GRAPHIC:SS T-SHIRT</t>
  </si>
  <si>
    <t>SS T-SHIRT TF AUTOBOTS TF-A127:NAVY BLUE:15-16:GRAPHIC:SS T-SHIRT</t>
  </si>
  <si>
    <t>BG-118C</t>
  </si>
  <si>
    <t>SS T-SHIRT BATMAN LOGO LIS LGN C BG-118C:BLACK:7-8:GRAPHIC:SS T-SHIRT</t>
  </si>
  <si>
    <t>SS T-SHIRT BATMAN LOGO LIS LGN C BG-118C:BLACK:9-10:GRAPHIC:SS T-SHIRT</t>
  </si>
  <si>
    <t>SS T-SHIRT BATMAN LOGO LIS LGN C BG-118C:BLACK:11-12:GRAPHIC:SS T-SHIRT</t>
  </si>
  <si>
    <t>SS T-SHIRT BATMAN LOGO LIS LGN C BG-118C:BLACK:13-14:GRAPHIC:SS T-SHIRT</t>
  </si>
  <si>
    <t>SS T-SHIRT BATMAN LOGO LIS LGN C BG-118C:BLACK:15-16:GRAPHIC:SS T-SHIRT</t>
  </si>
  <si>
    <t>BG-519C</t>
  </si>
  <si>
    <t>SS T-SHIRT BATMAN FP ANIME C BG-519C:DARK GREY:7-8:PRINT:SS T-SHIRT</t>
  </si>
  <si>
    <t>SS T-SHIRT BATMAN FP ANIME C BG-519C:DARK GREY:9-10:PRINT:SS T-SHIRT</t>
  </si>
  <si>
    <t>SS T-SHIRT BATMAN FP ANIME C BG-519C:DARK GREY:11-12:PRINT:SS T-SHIRT</t>
  </si>
  <si>
    <t>SS T-SHIRT BATMAN FP ANIME C BG-519C:DARK GREY:13-14:PRINT:SS T-SHIRT</t>
  </si>
  <si>
    <t>SS T-SHIRT BATMAN FP ANIME C BG-519C:DARK GREY:15-16:PRINT:SS T-SHIRT</t>
  </si>
  <si>
    <t>SG-F3</t>
  </si>
  <si>
    <t>SS T-SHIRT FP SUPERMAN LOGO EMBOSS SG-F3:NAVY BLUE:3-4:PRINT:SS T-SHIRT</t>
  </si>
  <si>
    <t>SS T-SHIRT FP SUPERMAN LOGO EMBOSS SG-F3:NAVY BLUE:4-5:PRINT:SS T-SHIRT</t>
  </si>
  <si>
    <t>SS T-SHIRT FP SUPERMAN LOGO EMBOSS SG-F3:NAVY BLUE:5-6:PRINT:SS T-SHIRT</t>
  </si>
  <si>
    <t>SS T-SHIRT FP SUPERMAN LOGO EMBOSS SG-F3:NAVY BLUE:7-8:PRINT:SS T-SHIRT</t>
  </si>
  <si>
    <t>SS T-SHIRT FP SUPERMAN LOGO EMBOSS SG-F3:NAVY BLUE:9-10:PRINT:SS T-SHIRT</t>
  </si>
  <si>
    <t>SS T-SHIRT FP SUPERMAN LOGO EMBOSS SG-F3:NAVY BLUE:11-12:PRINT:SS T-SHIRT</t>
  </si>
  <si>
    <t>SS T-SHIRT FP SUPERMAN LOGO EMBOSS SG-F3:NAVY BLUE:13-14:PRINT:SS T-SHIRT</t>
  </si>
  <si>
    <t>SS T-SHIRT FP SUPERMAN LOGO EMBOSS SG-F3:NAVY BLUE:15-16:PRINT:SS T-SHIRT</t>
  </si>
  <si>
    <t>SUP-A182</t>
  </si>
  <si>
    <t>SWEATER SUPERMAN HOOD TULISAN KTG SUP-A182:NAVY BLUE:3-4:GRAPHIC:SWEATER</t>
  </si>
  <si>
    <t>SWEATER SUPERMAN HOOD TULISAN KTG SUP-A182:NAVY BLUE:4-5:GRAPHIC:SWEATER</t>
  </si>
  <si>
    <t>SWEATER SUPERMAN HOOD TULISAN KTG SUP-A182:NAVY BLUE:5-6:GRAPHIC:SWEATER</t>
  </si>
  <si>
    <t>SWEATER SUPERMAN HOOD TULISAN KTG SUP-A182:NAVY BLUE:7-8:GRAPHIC:SWEATER</t>
  </si>
  <si>
    <t>SWEATER SUPERMAN HOOD TULISAN KTG SUP-A182:NAVY BLUE:9-10:GRAPHIC:SWEATER</t>
  </si>
  <si>
    <t>SWEATER SUPERMAN HOOD TULISAN KTG SUP-A182:NAVY BLUE:11-12:GRAPHIC:SWEATER</t>
  </si>
  <si>
    <t>SWEATER SUPERMAN HOOD TULISAN KTG SUP-A182:NAVY BLUE:13-14:GRAPHIC:SWEATER</t>
  </si>
  <si>
    <t>SWEATER SUPERMAN HOOD TULISAN KTG SUP-A182:NAVY BLUE:15-16:GRAPHIC:SWEATER</t>
  </si>
  <si>
    <t>BT-S01</t>
  </si>
  <si>
    <t>SHORT PANTS CP KNIT BATMAN PRINT LOGO BT-S01:BLACK:3-4:GRAPHIC:SHORT PANTS</t>
  </si>
  <si>
    <t>SHORT PANTS CP KNIT BATMAN PRINT LOGO BT-S01:BLACK:4-5:GRAPHIC:SHORT PANTS</t>
  </si>
  <si>
    <t>SHORT PANTS CP KNIT BATMAN PRINT LOGO BT-S01:BLACK:5-6:GRAPHIC:SHORT PANTS</t>
  </si>
  <si>
    <t>SHORT PANTS CP KNIT BATMAN PRINT LOGO BT-S01:BLACK:7-8:GRAPHIC:SHORT PANTS</t>
  </si>
  <si>
    <t>SHORT PANTS CP KNIT BATMAN PRINT LOGO BT-S01:BLACK:9-10:GRAPHIC:SHORT PANTS</t>
  </si>
  <si>
    <t>SHORT PANTS CP KNIT BATMAN PRINT LOGO BT-S01:BLACK:11-12:GRAPHIC:SHORT PANTS</t>
  </si>
  <si>
    <t>SHORT PANTS CP KNIT BATMAN PRINT LOGO BT-S01:BLACK:13-14:GRAPHIC:SHORT PANTS</t>
  </si>
  <si>
    <t>SHORT PANTS CP KNIT BATMAN PRINT LOGO BT-S01:BLACK:15-16:GRAPHIC:SHORT PANTS</t>
  </si>
  <si>
    <t>MN-HR072</t>
  </si>
  <si>
    <t>SHORT PANTS MINIONS KTG MN-HR072:NAVY BLUE:3-4:GRAPHIC:SHORT PANTS</t>
  </si>
  <si>
    <t>SHORT PANTS MINIONS KTG MN-HR072:NAVY BLUE:4-5:GRAPHIC:SHORT PANTS</t>
  </si>
  <si>
    <t>SHORT PANTS MINIONS KTG MN-HR072:NAVY BLUE:5-6:GRAPHIC:SHORT PANTS</t>
  </si>
  <si>
    <t>SHORT PANTS MINIONS KTG MN-HR072:NAVY BLUE:7-8:GRAPHIC:SHORT PANTS</t>
  </si>
  <si>
    <t>SHORT PANTS MINIONS KTG MN-HR072:NAVY BLUE:9-10:GRAPHIC:SHORT PANTS</t>
  </si>
  <si>
    <t>SHORT PANTS MINIONS KTG MN-HR072:NAVY BLUE:11-12:GRAPHIC:SHORT PANTS</t>
  </si>
  <si>
    <t>SHORT PANTS MINIONS KTG MN-HR072:NAVY BLUE:13-14:GRAPHIC:SHORT PANTS</t>
  </si>
  <si>
    <t>SHORT PANTS MINIONS KTG MN-HR072:NAVY BLUE:15-16:GRAPHIC:SHORT PANTS</t>
  </si>
  <si>
    <t>SB-N01</t>
  </si>
  <si>
    <t>SHORT PANTS CP KNIT SPONGEBOB SB-N01:NAVY BLUE:3-4:GRAPHIC:SHORT PANTS</t>
  </si>
  <si>
    <t>SHORT PANTS CP KNIT SPONGEBOB SB-N01:NAVY BLUE:4-5:GRAPHIC:SHORT PANTS</t>
  </si>
  <si>
    <t>SHORT PANTS CP KNIT SPONGEBOB SB-N01:NAVY BLUE:5-6:GRAPHIC:SHORT PANTS</t>
  </si>
  <si>
    <t>SHORT PANTS CP KNIT SPONGEBOB SB-N01:NAVY BLUE:7-8:GRAPHIC:SHORT PANTS</t>
  </si>
  <si>
    <t>SHORT PANTS CP KNIT SPONGEBOB SB-N01:NAVY BLUE:9-10:GRAPHIC:SHORT PANTS</t>
  </si>
  <si>
    <t>SHORT PANTS CP KNIT SPONGEBOB SB-N01:NAVY BLUE:11-12:GRAPHIC:SHORT PANTS</t>
  </si>
  <si>
    <t>2025 JAN-JUN D70</t>
  </si>
  <si>
    <t>2024 ALL D75</t>
  </si>
  <si>
    <t>SS T-SHIRT BATMAN KOMIK SWING HN020:CLASSIC YELLOW:4:GRAPHIC:SS T-SHIRT</t>
  </si>
  <si>
    <t>SS T-SHIRT BATMAN KOMIK SWING HN020:CLASSIC YELLOW:5:GRAPHIC:SS T-SHIRT</t>
  </si>
  <si>
    <t>SS T-SHIRT BATMAN KOMIK SWING HN020:CLASSIC YELLOW:6:GRAPHIC:SS T-SHIRT</t>
  </si>
  <si>
    <t>SS T-SHIRT BATMAN KOMIK SWING HN020:CLASSIC YELLOW:7-8:GRAPHIC:SS T-SHIRT</t>
  </si>
  <si>
    <t>SS T-SHIRT BATMAN KOMIK KAPOW HN019:MISTY LIGHT BLUE:4:GRAPHIC:SS T-SHIRT</t>
  </si>
  <si>
    <t>SS T-SHIRT BATMAN KOMIK KAPOW HN019:MISTY LIGHT BLUE:5:GRAPHIC:SS T-SHIRT</t>
  </si>
  <si>
    <t>SS T-SHIRT BATMAN KOMIK KAPOW HN019:MISTY LIGHT BLUE:6:GRAPHIC:SS T-SHIRT</t>
  </si>
  <si>
    <t>SS T-SHIRT BATMAN KOMIK KAPOW HN019:MISTY LIGHT BLUE:7-8:GRAPHIC:SS T-SHIRT</t>
  </si>
  <si>
    <t>SHORT PANTS KNIT SUPERMAN LOGO BORDIR GSUP-6:KHAKI:4:EMBRO:SHORT PANTS</t>
  </si>
  <si>
    <t>SHORT PANTS KNIT SUPERMAN LOGO BORDIR GSUP-6:KHAKI:5:EMBRO:SHORT PANTS</t>
  </si>
  <si>
    <t>SHORT PANTS KNIT SUPERMAN LOGO BORDIR GSUP-6:KHAKI:6:EMBRO:SHORT PANTS</t>
  </si>
  <si>
    <t>SHORT PANTS KNIT SUPERMAN LOGO BORDIR GSUP-6:KHAKI:7-8:EMBRO:SHORT PANTS</t>
  </si>
  <si>
    <t>SHORT PANTS KNIT SUPERMAN LOGO BORDIR GSUP-6:KHAKI:9-10:EMBRO:SHORT PANTS</t>
  </si>
  <si>
    <t>SHORT PANTS KNIT SUPERMAN LOGO BORDIR GSUP-6:KHAKI:11-12:EMBRO:SHORT PANTS</t>
  </si>
  <si>
    <t>SHORT PANTS KNIT SUPERMAN LOGO BORDIR GSUP-6:KHAKI:13-14:EMBRO:SHORT PANTS</t>
  </si>
  <si>
    <t>HN020</t>
  </si>
  <si>
    <t>HN019</t>
  </si>
  <si>
    <t>GSUP-6</t>
  </si>
  <si>
    <t>2025 OCT D30</t>
  </si>
  <si>
    <t>PAW-N001</t>
  </si>
  <si>
    <t>SS T-SHIRT PAW PATROL TEAMS LOGO PAW-N001:NAVY BLUE:4:GRAPHIC:SS T-SHIRT</t>
  </si>
  <si>
    <t>SS T-SHIRT PAW PATROL TEAMS LOGO PAW-N001:NAVY BLUE:5:GRAPHIC:SS T-SHIRT</t>
  </si>
  <si>
    <t>SS T-SHIRT PAW PATROL TEAMS LOGO PAW-N001:NAVY BLUE:6:GRAPHIC:SS T-SHIRT</t>
  </si>
  <si>
    <t>SS T-SHIRT PAW PATROL TEAMS LOGO PAW-N001:NAVY BLUE:7-8:GRAPHIC:SS T-SHIRT</t>
  </si>
  <si>
    <t>PAW-N003</t>
  </si>
  <si>
    <t>SS T-SHIRT PAW SOME PAW-N003:LIGHT BLUE:4:GRAPHIC:SS T-SHIRT</t>
  </si>
  <si>
    <t>SS T-SHIRT PAW SOME PAW-N003:LIGHT BLUE:5:GRAPHIC:SS T-SHIRT</t>
  </si>
  <si>
    <t>SS T-SHIRT PAW SOME PAW-N003:LIGHT BLUE:6:GRAPHIC:SS T-SHIRT</t>
  </si>
  <si>
    <t>SS T-SHIRT PAW SOME PAW-N003:LIGHT BLUE:7-8:GRAPHIC:SS T-SHIRT</t>
  </si>
  <si>
    <t>PAW-N002</t>
  </si>
  <si>
    <t>SS T-SHIRT PAW TEAMS PAW-N002:WHITE:4:GRAPHIC:SS T-SHIRT</t>
  </si>
  <si>
    <t>SS T-SHIRT PAW TEAMS PAW-N002:WHITE:5:GRAPHIC:SS T-SHIRT</t>
  </si>
  <si>
    <t>SS T-SHIRT PAW TEAMS PAW-N002:WHITE:6:GRAPHIC:SS T-SHIRT</t>
  </si>
  <si>
    <t>SS T-SHIRT PAW TEAMS PAW-N002:WHITE:7-8:GRAPHIC:SS T-SHIRT</t>
  </si>
  <si>
    <t>GSUP-3</t>
  </si>
  <si>
    <t>SS T-SHIRT SUPERMAN LOGO TULISAN DPN GSUP-3:WHITE:4:GRAPHIC:SS T-SHIRT</t>
  </si>
  <si>
    <t>SS T-SHIRT SUPERMAN LOGO TULISAN DPN GSUP-3:WHITE:5:GRAPHIC:SS T-SHIRT</t>
  </si>
  <si>
    <t>SS T-SHIRT SUPERMAN LOGO TULISAN DPN GSUP-3:WHITE:6:GRAPHIC:SS T-SHIRT</t>
  </si>
  <si>
    <t>SS T-SHIRT SUPERMAN LOGO TULISAN DPN GSUP-3:WHITE:7-8:GRAPHIC:SS T-SHIRT</t>
  </si>
  <si>
    <t>SS T-SHIRT SUPERMAN LOGO TULISAN DPN GSUP-3:WHITE:9-10:GRAPHIC:SS T-SHIRT</t>
  </si>
  <si>
    <t>SS T-SHIRT SUPERMAN LOGO TULISAN DPN GSUP-3:WHITE:11-12:GRAPHIC:SS T-SHIRT</t>
  </si>
  <si>
    <t>SS T-SHIRT SUPERMAN LOGO TULISAN DPN GSUP-3:WHITE:13-14:GRAPHIC:SS T-SHIRT</t>
  </si>
  <si>
    <t>BAT-HR076</t>
  </si>
  <si>
    <t>JOGGER BATMAN LOGO CUT SEW BAT-HR076:CHARCOAL:4:GRAPHIC:JOGGER</t>
  </si>
  <si>
    <t>JOGGER BATMAN LOGO CUT SEW BAT-HR076:CHARCOAL:5:GRAPHIC:JOGGER</t>
  </si>
  <si>
    <t>JOGGER BATMAN LOGO CUT SEW BAT-HR076:CHARCOAL:6:GRAPHIC:JOGGER</t>
  </si>
  <si>
    <t>JOGGER BATMAN LOGO CUT SEW BAT-HR076:CHARCOAL:7-8:GRAPHIC:JOGGER</t>
  </si>
  <si>
    <t>JOGGER BATMAN LOGO CUT SEW BAT-HR076:CHARCOAL:9-10:GRAPHIC:JOGGER</t>
  </si>
  <si>
    <t>JOGGER BATMAN LOGO CUT SEW BAT-HR076:CHARCOAL:11-12:GRAPHIC:JOGGER</t>
  </si>
  <si>
    <t>JOGGER BATMAN LOGO CUT SEW BAT-HR076:CHARCOAL:13-14:GRAPHIC:JOGGER</t>
  </si>
  <si>
    <t>PAW-N005</t>
  </si>
  <si>
    <t>JOGGER KNIT PAW LOGO P PAW-N005:NAVY BLUE:4:GRAPHIC:JOGGER</t>
  </si>
  <si>
    <t>JOGGER KNIT PAW LOGO P PAW-N005:NAVY BLUE:5:GRAPHIC:JOGGER</t>
  </si>
  <si>
    <t>JOGGER KNIT PAW LOGO P PAW-N005:NAVY BLUE:6:GRAPHIC:JOGGER</t>
  </si>
  <si>
    <t>JOGGER KNIT PAW LOGO P PAW-N005:NAVY BLUE:7-8:GRAPHIC:JOGGER</t>
  </si>
  <si>
    <t>PAW-N004</t>
  </si>
  <si>
    <t>SWEATER NON HOODY PAW TEAMS PAW-N004:FROST GREY:4:GRAPHIC:SWEATER</t>
  </si>
  <si>
    <t>SWEATER NON HOODY PAW TEAMS PAW-N004:FROST GREY:5:GRAPHIC:SWEATER</t>
  </si>
  <si>
    <t>SWEATER NON HOODY PAW TEAMS PAW-N004:FROST GREY:6:GRAPHIC:SWEATER</t>
  </si>
  <si>
    <t>SWEATER NON HOODY PAW TEAMS PAW-N004:FROST GREY:7-8:GRAPHIC:SWEATER</t>
  </si>
  <si>
    <t>2025 SEPT B1G1</t>
  </si>
  <si>
    <t>B1G1</t>
  </si>
  <si>
    <t>BTHP03</t>
  </si>
  <si>
    <t>BTHP01</t>
  </si>
  <si>
    <t>BTHP02</t>
  </si>
  <si>
    <t>HN002</t>
  </si>
  <si>
    <t>HR-108</t>
  </si>
  <si>
    <t>WO10</t>
  </si>
  <si>
    <t>HN018</t>
  </si>
  <si>
    <t>BT-HR08</t>
  </si>
  <si>
    <t>HN003</t>
  </si>
  <si>
    <t>HN001</t>
  </si>
  <si>
    <t>BT-W03</t>
  </si>
  <si>
    <t>HR-106</t>
  </si>
  <si>
    <t>HP-HN016</t>
  </si>
  <si>
    <t>HP-HN018</t>
  </si>
  <si>
    <t>HP-HN017</t>
  </si>
  <si>
    <t>HP-HN019</t>
  </si>
  <si>
    <t>HP-HN020</t>
  </si>
  <si>
    <t>HP-HN015</t>
  </si>
  <si>
    <t>MLHR-099</t>
  </si>
  <si>
    <t>MLHR-107</t>
  </si>
  <si>
    <t>MLHR-123</t>
  </si>
  <si>
    <t>MLHR-122</t>
  </si>
  <si>
    <t>SB-HN14</t>
  </si>
  <si>
    <t>SB-HN13</t>
  </si>
  <si>
    <t>TSSPMB1</t>
  </si>
  <si>
    <t>SB-HN006</t>
  </si>
  <si>
    <t>TSSPMBN</t>
  </si>
  <si>
    <t>HR-105</t>
  </si>
  <si>
    <t>HR-110</t>
  </si>
  <si>
    <t>HR093</t>
  </si>
  <si>
    <t>HN007</t>
  </si>
  <si>
    <t>JKTSPMB1</t>
  </si>
  <si>
    <t>W08</t>
  </si>
  <si>
    <t>SBHN15</t>
  </si>
  <si>
    <t>HN006</t>
  </si>
  <si>
    <t>HP-HN013</t>
  </si>
  <si>
    <t>SB-HN011</t>
  </si>
  <si>
    <t>SS T-SHIRT BATMAN HEAD LOGO ANIME BTHP03:WHITE:4:GRAPHIC:SS T-SHIRT</t>
  </si>
  <si>
    <t>SS T-SHIRT BATMAN HEAD LOGO ANIME BTHP03:WHITE:5:GRAPHIC:SS T-SHIRT</t>
  </si>
  <si>
    <t>SS T-SHIRT BATMAN HEAD LOGO ANIME BTHP03:WHITE:6:GRAPHIC:SS T-SHIRT</t>
  </si>
  <si>
    <t>SS T-SHIRT BATMAN HEAD LOGO ANIME BTHP03:WHITE:7-8:GRAPHIC:SS T-SHIRT</t>
  </si>
  <si>
    <t>SS T-SHIRT BATMAN HEAD LOGO ANIME BTHP03:WHITE:9-10:GRAPHIC:SS T-SHIRT</t>
  </si>
  <si>
    <t>SS T-SHIRT BATMAN HEAD LOGO ANIME BTHP03:WHITE:11-12:GRAPHIC:SS T-SHIRT</t>
  </si>
  <si>
    <t>SS T-SHIRT BATMAN HEAD LOGO ANIME BTHP03:WHITE:13-14:GRAPHIC:SS T-SHIRT</t>
  </si>
  <si>
    <t>SS T-SHIRT BATMAN FACE ANIME BTHP01:WHITE:4:GRAPHIC:SS T-SHIRT</t>
  </si>
  <si>
    <t>SS T-SHIRT BATMAN FACE ANIME BTHP01:WHITE:5:GRAPHIC:SS T-SHIRT</t>
  </si>
  <si>
    <t>SS T-SHIRT BATMAN FACE ANIME BTHP01:WHITE:6:GRAPHIC:SS T-SHIRT</t>
  </si>
  <si>
    <t>SS T-SHIRT BATMAN FACE ANIME BTHP01:WHITE:7-8:GRAPHIC:SS T-SHIRT</t>
  </si>
  <si>
    <t>SS T-SHIRT BATMAN FACE ANIME BTHP01:WHITE:9-10:GRAPHIC:SS T-SHIRT</t>
  </si>
  <si>
    <t>SS T-SHIRT BATMAN FACE ANIME BTHP01:WHITE:11-12:GRAPHIC:SS T-SHIRT</t>
  </si>
  <si>
    <t>SS T-SHIRT BATMAN FACE ANIME BTHP01:WHITE:13-14:GRAPHIC:SS T-SHIRT</t>
  </si>
  <si>
    <t>SS T-SHIRT BATMAN ACTION WING BTHP02:WHITE:4:GRAPHIC:SS T-SHIRT</t>
  </si>
  <si>
    <t>SS T-SHIRT BATMAN ACTION WING BTHP02:WHITE:5:GRAPHIC:SS T-SHIRT</t>
  </si>
  <si>
    <t>SS T-SHIRT BATMAN ACTION WING BTHP02:WHITE:6:GRAPHIC:SS T-SHIRT</t>
  </si>
  <si>
    <t>SS T-SHIRT BATMAN ACTION WING BTHP02:WHITE:7-8:GRAPHIC:SS T-SHIRT</t>
  </si>
  <si>
    <t>SS T-SHIRT BATMAN ACTION WING BTHP02:WHITE:9-10:GRAPHIC:SS T-SHIRT</t>
  </si>
  <si>
    <t>SS T-SHIRT BATMAN ACTION WING BTHP02:WHITE:11-12:GRAPHIC:SS T-SHIRT</t>
  </si>
  <si>
    <t>SS T-SHIRT BATMAN ACTION WING BTHP02:WHITE:13-14:GRAPHIC:SS T-SHIRT</t>
  </si>
  <si>
    <t>SS T-SHIRT SUPERMAN FLY LOGO HN002:CHARCOAL:4:GRAPHIC:SS T-SHIRT</t>
  </si>
  <si>
    <t>SS T-SHIRT SUPERMAN FLY LOGO HN002:CHARCOAL:5:GRAPHIC:SS T-SHIRT</t>
  </si>
  <si>
    <t>SS T-SHIRT SUPERMAN FLY LOGO HN002:CHARCOAL:6:GRAPHIC:SS T-SHIRT</t>
  </si>
  <si>
    <t>SS T-SHIRT SUPERMAN FLY LOGO HN002:CHARCOAL:7-8:GRAPHIC:SS T-SHIRT</t>
  </si>
  <si>
    <t>SS T-SHIRT SUPERMAN FLY LOGO HN002:CHARCOAL:9-10:GRAPHIC:SS T-SHIRT</t>
  </si>
  <si>
    <t>SS T-SHIRT SUPERMAN FLY LOGO HN002:CHARCOAL:11-12:GRAPHIC:SS T-SHIRT</t>
  </si>
  <si>
    <t>SS T-SHIRT SUPERMAN FLY LOGO HN002:CHARCOAL:13-14:GRAPHIC:SS T-SHIRT</t>
  </si>
  <si>
    <t>SS T-SHIRT SUPERMAN ACTION PRINT DPN HR-108:PASTEL BLUE:4:GRAPHIC:SS T-SHIRT</t>
  </si>
  <si>
    <t>SS T-SHIRT SUPERMAN ACTION PRINT DPN HR-108:PASTEL BLUE:5:GRAPHIC:SS T-SHIRT</t>
  </si>
  <si>
    <t>SS T-SHIRT SUPERMAN ACTION PRINT DPN HR-108:PASTEL BLUE:6:GRAPHIC:SS T-SHIRT</t>
  </si>
  <si>
    <t>SS T-SHIRT SUPERMAN ACTION PRINT DPN HR-108:PASTEL BLUE:7-8:GRAPHIC:SS T-SHIRT</t>
  </si>
  <si>
    <t>SS T-SHIRT SUPERMAN ACTION PRINT DPN HR-108:PASTEL BLUE:9-10:GRAPHIC:SS T-SHIRT</t>
  </si>
  <si>
    <t>SS T-SHIRT SUPERMAN ACTION PRINT DPN HR-108:PASTEL BLUE:11-12:GRAPHIC:SS T-SHIRT</t>
  </si>
  <si>
    <t>SS T-SHIRT SUPERMAN ACTION PRINT DPN HR-108:PASTEL BLUE:13-14:GRAPHIC:SS T-SHIRT</t>
  </si>
  <si>
    <t>SS T-SHIRT SUPERMAN LOGO DPN WO 10:BLACK:4:GRAPHIC:SS T-SHIRT</t>
  </si>
  <si>
    <t>SS T-SHIRT SUPERMAN LOGO DPN WO 10:BLACK:5:GRAPHIC:SS T-SHIRT</t>
  </si>
  <si>
    <t>SS T-SHIRT SUPERMAN LOGO DPN WO 10:BLACK:6:GRAPHIC:SS T-SHIRT</t>
  </si>
  <si>
    <t>SS T-SHIRT SUPERMAN LOGO DPN WO 10:BLACK:7-8:GRAPHIC:SS T-SHIRT</t>
  </si>
  <si>
    <t>SS T-SHIRT SUPERMAN LOGO DPN WO 10:BLACK:9-10:GRAPHIC:SS T-SHIRT</t>
  </si>
  <si>
    <t>SS T-SHIRT SUPERMAN LOGO DPN WO 10:BLACK:11-12:GRAPHIC:SS T-SHIRT</t>
  </si>
  <si>
    <t>SS T-SHIRT SUPERMAN LOGO DPN WO 10:BLACK:13-14:GRAPHIC:SS T-SHIRT</t>
  </si>
  <si>
    <t>SS T-SHIRT BATMAN SPACESHIP HN018:MISTY DARK GREY:4:GRAPHIC:SS T-SHIRT</t>
  </si>
  <si>
    <t>SS T-SHIRT BATMAN SPACESHIP HN018:MISTY DARK GREY:5:GRAPHIC:SS T-SHIRT</t>
  </si>
  <si>
    <t>SS T-SHIRT BATMAN SPACESHIP HN018:MISTY DARK GREY:6:GRAPHIC:SS T-SHIRT</t>
  </si>
  <si>
    <t>SS T-SHIRT BATMAN SPACESHIP HN018:MISTY DARK GREY:7-8:GRAPHIC:SS T-SHIRT</t>
  </si>
  <si>
    <t>SS T-SHIRT BATMAN SPACESHIP HN018:MISTY DARK GREY:9-10:GRAPHIC:SS T-SHIRT</t>
  </si>
  <si>
    <t>SS T-SHIRT BATMAN SPACESHIP HN018:MISTY DARK GREY:11-12:GRAPHIC:SS T-SHIRT</t>
  </si>
  <si>
    <t>SS T-SHIRT BATMAN SPACESHIP HN018:MISTY DARK GREY:13-14:GRAPHIC:SS T-SHIRT</t>
  </si>
  <si>
    <t>SS T-SHIRT BATMAN LOGO HD PRINT BLKG BT-HR08:PASTEL GREY:4:GRAPHIC:SS T-SHIRT</t>
  </si>
  <si>
    <t>SS T-SHIRT BATMAN LOGO HD PRINT BLKG BT-HR08:PASTEL GREY:5:GRAPHIC:SS T-SHIRT</t>
  </si>
  <si>
    <t>SS T-SHIRT BATMAN LOGO HD PRINT BLKG BT-HR08:PASTEL GREY:6:GRAPHIC:SS T-SHIRT</t>
  </si>
  <si>
    <t>SS T-SHIRT BATMAN LOGO HD PRINT BLKG BT-HR08:PASTEL GREY:7-8:GRAPHIC:SS T-SHIRT</t>
  </si>
  <si>
    <t>SS T-SHIRT BATMAN LOGO HD PRINT BLKG BT-HR08:PASTEL GREY:9-10:GRAPHIC:SS T-SHIRT</t>
  </si>
  <si>
    <t>SS T-SHIRT BATMAN LOGO HD PRINT BLKG BT-HR08:PASTEL GREY:11-12:GRAPHIC:SS T-SHIRT</t>
  </si>
  <si>
    <t>SS T-SHIRT BATMAN LOGO HD PRINT BLKG BT-HR08:PASTEL GREY:13-14:GRAPHIC:SS T-SHIRT</t>
  </si>
  <si>
    <t>SS T-SHIRT BATMAN LOGO TULISAN DPN HN003:CLASSIC YELLOW:4:GRAPHIC:SS T-SHIRT</t>
  </si>
  <si>
    <t>SS T-SHIRT BATMAN LOGO TULISAN DPN HN003:CLASSIC YELLOW:5:GRAPHIC:SS T-SHIRT</t>
  </si>
  <si>
    <t>SS T-SHIRT BATMAN LOGO TULISAN DPN HN003:CLASSIC YELLOW:6:GRAPHIC:SS T-SHIRT</t>
  </si>
  <si>
    <t>SS T-SHIRT BATMAN LOGO TULISAN DPN HN003:CLASSIC YELLOW:7-8:GRAPHIC:SS T-SHIRT</t>
  </si>
  <si>
    <t>SS T-SHIRT BATMAN LOGO TULISAN DPN HN003:CLASSIC YELLOW:9-10:GRAPHIC:SS T-SHIRT</t>
  </si>
  <si>
    <t>SS T-SHIRT BATMAN LOGO TULISAN DPN HN003:CLASSIC YELLOW:11-12:GRAPHIC:SS T-SHIRT</t>
  </si>
  <si>
    <t>SS T-SHIRT BATMAN LOGO TULISAN DPN HN003:CLASSIC YELLOW:13-14:GRAPHIC:SS T-SHIRT</t>
  </si>
  <si>
    <t>SS T-SHIRT BATMAN LOGO TULISAN DPN HN001:BLACK:4:GRAPHIC:SS T-SHIRT</t>
  </si>
  <si>
    <t>SS T-SHIRT BATMAN LOGO TULISAN DPN HN001:BLACK:5:GRAPHIC:SS T-SHIRT</t>
  </si>
  <si>
    <t>SS T-SHIRT BATMAN LOGO TULISAN DPN HN001:BLACK:6:GRAPHIC:SS T-SHIRT</t>
  </si>
  <si>
    <t>SS T-SHIRT BATMAN LOGO TULISAN DPN HN001:BLACK:7-8:GRAPHIC:SS T-SHIRT</t>
  </si>
  <si>
    <t>SS T-SHIRT BATMAN LOGO TULISAN DPN HN001:BLACK:9-10:GRAPHIC:SS T-SHIRT</t>
  </si>
  <si>
    <t>SS T-SHIRT BATMAN LOGO TULISAN DPN HN001:BLACK:11-12:GRAPHIC:SS T-SHIRT</t>
  </si>
  <si>
    <t>SS T-SHIRT BATMAN LOGO TULISAN DPN HN001:BLACK:13-14:GRAPHIC:SS T-SHIRT</t>
  </si>
  <si>
    <t>SS T-SHIRT BATMAN LOGO STANDING BT-W03:BLACK:4:GRAPHIC:SS T-SHIRT</t>
  </si>
  <si>
    <t>SS T-SHIRT BATMAN LOGO STANDING BT-W03:BLACK:5:GRAPHIC:SS T-SHIRT</t>
  </si>
  <si>
    <t>SS T-SHIRT BATMAN LOGO STANDING BT-W03:BLACK:6:GRAPHIC:SS T-SHIRT</t>
  </si>
  <si>
    <t>SS T-SHIRT BATMAN LOGO STANDING BT-W03:BLACK:7-8:GRAPHIC:SS T-SHIRT</t>
  </si>
  <si>
    <t>SS T-SHIRT BATMAN LOGO STANDING BT-W03:BLACK:9-10:GRAPHIC:SS T-SHIRT</t>
  </si>
  <si>
    <t>SS T-SHIRT BATMAN LOGO STANDING BT-W03:BLACK:11-12:GRAPHIC:SS T-SHIRT</t>
  </si>
  <si>
    <t>SS T-SHIRT BATMAN LOGO STANDING BT-W03:BLACK:13-14:GRAPHIC:SS T-SHIRT</t>
  </si>
  <si>
    <t>SS T-SHIRT SUPERMAN COMIC ACTION C HR-106:VANILLA:7-8:GRAPHIC:SS T-SHIRT</t>
  </si>
  <si>
    <t>SS T-SHIRT SUPERMAN COMIC ACTION C HR-106:VANILLA:9-10:GRAPHIC:SS T-SHIRT</t>
  </si>
  <si>
    <t>SS T-SHIRT SUPERMAN COMIC ACTION C HR-106:VANILLA:11-12:GRAPHIC:SS T-SHIRT</t>
  </si>
  <si>
    <t>SS T-SHIRT SUPERMAN COMIC ACTION C HR-106:VANILLA:13-14:GRAPHIC:SS T-SHIRT</t>
  </si>
  <si>
    <t>SS T-SHIRT HARRY POTTER LOGO EMBOSS HD HP-HN016:NAVY BLUE:7-8:GRAPHIC:SS T-SHIRT</t>
  </si>
  <si>
    <t>SS T-SHIRT HARRY POTTER LOGO EMBOSS HD HP-HN016:NAVY BLUE:9-10:GRAPHIC:SS T-SHIRT</t>
  </si>
  <si>
    <t>SS T-SHIRT HARRY POTTER LOGO EMBOSS HD HP-HN016:NAVY BLUE:11-12:GRAPHIC:SS T-SHIRT</t>
  </si>
  <si>
    <t>SS T-SHIRT HARRY POTTER LOGO EMBOSS HD HP-HN016:NAVY BLUE:13-14:GRAPHIC:SS T-SHIRT</t>
  </si>
  <si>
    <t>SS T-SHIRT HARRY POTTER HUFFLEPUFF HP-HN018:BLACK:7-8:GRAPHIC:SS T-SHIRT</t>
  </si>
  <si>
    <t>SS T-SHIRT HARRY POTTER HUFFLEPUFF HP-HN018:BLACK:9-10:GRAPHIC:SS T-SHIRT</t>
  </si>
  <si>
    <t>SS T-SHIRT HARRY POTTER HUFFLEPUFF HP-HN018:BLACK:11-12:GRAPHIC:SS T-SHIRT</t>
  </si>
  <si>
    <t>SS T-SHIRT HARRY POTTER HUFFLEPUFF HP-HN018:BLACK:13-14:GRAPHIC:SS T-SHIRT</t>
  </si>
  <si>
    <t>SS T-SHIRT HARRY POTTER SLYTHERIN HP-HN017:FOREST GREEN:7-8:GRAPHIC:SS T-SHIRT</t>
  </si>
  <si>
    <t>SS T-SHIRT HARRY POTTER SLYTHERIN HP-HN017:FOREST GREEN:9-10:GRAPHIC:SS T-SHIRT</t>
  </si>
  <si>
    <t>SS T-SHIRT HARRY POTTER SLYTHERIN HP-HN017:FOREST GREEN:11-12:GRAPHIC:SS T-SHIRT</t>
  </si>
  <si>
    <t>SS T-SHIRT HARRY POTTER SLYTHERIN HP-HN017:FOREST GREEN:13-14:GRAPHIC:SS T-SHIRT</t>
  </si>
  <si>
    <t>SS T-SHIRT HARRY POTTER GRYFFINDOR HP-HN019:OFF WHITE:7-8:GRAPHIC:SS T-SHIRT</t>
  </si>
  <si>
    <t>SS T-SHIRT HARRY POTTER GRYFFINDOR HP-HN019:OFF WHITE:9-10:GRAPHIC:SS T-SHIRT</t>
  </si>
  <si>
    <t>SS T-SHIRT HARRY POTTER GRYFFINDOR HP-HN019:OFF WHITE:11-12:GRAPHIC:SS T-SHIRT</t>
  </si>
  <si>
    <t>SS T-SHIRT HARRY POTTER GRYFFINDOR HP-HN019:OFF WHITE:13-14:GRAPHIC:SS T-SHIRT</t>
  </si>
  <si>
    <t>SS T-SHIRT HARRY POTTER RAVENCLAW HP-HN020:PASTEL GREY:7-8:GRAPHIC:SS T-SHIRT</t>
  </si>
  <si>
    <t>SS T-SHIRT HARRY POTTER RAVENCLAW HP-HN020:PASTEL GREY:9-10:GRAPHIC:SS T-SHIRT</t>
  </si>
  <si>
    <t>SS T-SHIRT HARRY POTTER RAVENCLAW HP-HN020:PASTEL GREY:11-12:GRAPHIC:SS T-SHIRT</t>
  </si>
  <si>
    <t>SS T-SHIRT HARRY POTTER RAVENCLAW HP-HN020:PASTEL GREY:13-14:GRAPHIC:SS T-SHIRT</t>
  </si>
  <si>
    <t>SS T-SHIRT HARRY POTTER RAGLAN HOGWARTS HP-HN015:OFF WHITE:7-8:GRAPHIC:SS T-SHIRT</t>
  </si>
  <si>
    <t>SS T-SHIRT HARRY POTTER RAGLAN HOGWARTS HP-HN015:OFF WHITE:9-10:GRAPHIC:SS T-SHIRT</t>
  </si>
  <si>
    <t>SS T-SHIRT HARRY POTTER RAGLAN HOGWARTS HP-HN015:OFF WHITE:11-12:GRAPHIC:SS T-SHIRT</t>
  </si>
  <si>
    <t>SS T-SHIRT HARRY POTTER RAGLAN HOGWARTS HP-HN015:OFF WHITE:13-14:GRAPHIC:SS T-SHIRT</t>
  </si>
  <si>
    <t>SS T-SHIRT MLBB HAYABUSA MLHR-099:BLACK:7-8:GRAPHIC:SS T-SHIRT</t>
  </si>
  <si>
    <t>SS T-SHIRT MLBB HAYABUSA MLHR-099:BLACK:9-10:GRAPHIC:SS T-SHIRT</t>
  </si>
  <si>
    <t>SS T-SHIRT MLBB HAYABUSA MLHR-099:BLACK:11-12:GRAPHIC:SS T-SHIRT</t>
  </si>
  <si>
    <t>SS T-SHIRT MLBB HAYABUSA MLHR-099:BLACK:13-14:GRAPHIC:SS T-SHIRT</t>
  </si>
  <si>
    <t>SS T-SHIRT MLBB JOHNSON MLHR-107:WHITE:7-8:GRAPHIC:SS T-SHIRT</t>
  </si>
  <si>
    <t>SS T-SHIRT MLBB JOHNSON MLHR-107:WHITE:9-10:GRAPHIC:SS T-SHIRT</t>
  </si>
  <si>
    <t>SS T-SHIRT MLBB JOHNSON MLHR-107:WHITE:11-12:GRAPHIC:SS T-SHIRT</t>
  </si>
  <si>
    <t>SS T-SHIRT MLBB JOHNSON MLHR-107:WHITE:13-14:GRAPHIC:SS T-SHIRT</t>
  </si>
  <si>
    <t>SS T-SHIRT MLBB ALPHA MLHR-123:MISTY LIGHT BLUE:7-8:PRINT:SS T-SHIRT</t>
  </si>
  <si>
    <t>SS T-SHIRT MLBB ALPHA MLHR-123:MISTY LIGHT BLUE:9-10:PRINT:SS T-SHIRT</t>
  </si>
  <si>
    <t>SS T-SHIRT MLBB ALPHA MLHR-123:MISTY LIGHT BLUE:11-12:PRINT:SS T-SHIRT</t>
  </si>
  <si>
    <t>SS T-SHIRT MLBB ALPHA MLHR-123:MISTY LIGHT BLUE:13-14:PRINT:SS T-SHIRT</t>
  </si>
  <si>
    <t>SS T-SHIRT MLBB ZILONG MLHR-122:NAVY BLUE:7-8:GRAPHIC:SS T-SHIRT</t>
  </si>
  <si>
    <t>SS T-SHIRT MLBB ZILONG MLHR-122:NAVY BLUE:9-10:GRAPHIC:SS T-SHIRT</t>
  </si>
  <si>
    <t>SS T-SHIRT MLBB ZILONG MLHR-122:NAVY BLUE:11-12:GRAPHIC:SS T-SHIRT</t>
  </si>
  <si>
    <t>SS T-SHIRT MLBB ZILONG MLHR-122:NAVY BLUE:13-14:GRAPHIC:SS T-SHIRT</t>
  </si>
  <si>
    <t>SS T-SHIRT SPONGEBOB LIFE MOVIE SB-HN14:NAVY BLUE:4:GRAPHIC:SS T-SHIRT</t>
  </si>
  <si>
    <t>SS T-SHIRT SPONGEBOB LIFE MOVIE SB-HN14:NAVY BLUE:5:GRAPHIC:SS T-SHIRT</t>
  </si>
  <si>
    <t>SS T-SHIRT SPONGEBOB LIFE MOVIE SB-HN14:NAVY BLUE:6:GRAPHIC:SS T-SHIRT</t>
  </si>
  <si>
    <t>SS T-SHIRT SPONGEBOB LIFE MOVIE SB-HN14:NAVY BLUE:7-8:GRAPHIC:SS T-SHIRT</t>
  </si>
  <si>
    <t>SS T-SHIRT SPONGEBOB LIFE MOVIE SB-HN14:NAVY BLUE:9-10:GRAPHIC:SS T-SHIRT</t>
  </si>
  <si>
    <t>SS T-SHIRT SPONGEBOB LIFE MOVIE SB-HN14:NAVY BLUE:11-12:GRAPHIC:SS T-SHIRT</t>
  </si>
  <si>
    <t>SS T-SHIRT SPONGEBOB LIFE MOVIE SB-HN14:NAVY BLUE:13-14:GRAPHIC:SS T-SHIRT</t>
  </si>
  <si>
    <t>SS T-SHIRT SPONGEBOB MOVIE TEAMS SB-HN13:WHITE:4:GRAPHIC:SS T-SHIRT</t>
  </si>
  <si>
    <t>SS T-SHIRT SPONGEBOB MOVIE TEAMS SB-HN13:WHITE:5:GRAPHIC:SS T-SHIRT</t>
  </si>
  <si>
    <t>SS T-SHIRT SPONGEBOB MOVIE TEAMS SB-HN13:WHITE:6:GRAPHIC:SS T-SHIRT</t>
  </si>
  <si>
    <t>SS T-SHIRT SPONGEBOB MOVIE TEAMS SB-HN13:WHITE:7-8:GRAPHIC:SS T-SHIRT</t>
  </si>
  <si>
    <t>SS T-SHIRT SPONGEBOB MOVIE TEAMS SB-HN13:WHITE:9-10:GRAPHIC:SS T-SHIRT</t>
  </si>
  <si>
    <t>SS T-SHIRT SPONGEBOB MOVIE TEAMS SB-HN13:WHITE:11-12:GRAPHIC:SS T-SHIRT</t>
  </si>
  <si>
    <t>SS T-SHIRT SPONGEBOB MOVIE TEAMS SB-HN13:WHITE:13-14:GRAPHIC:SS T-SHIRT</t>
  </si>
  <si>
    <t>SS T-SHIRT SPONGEBOB HOLIDAY TSSPMB1:CLASSIC YELLOW:4:GRAPHIC:SS T-SHIRT</t>
  </si>
  <si>
    <t>SS T-SHIRT SPONGEBOB HOLIDAY TSSPMB1:CLASSIC YELLOW:5:GRAPHIC:SS T-SHIRT</t>
  </si>
  <si>
    <t>SS T-SHIRT SPONGEBOB HOLIDAY TSSPMB1:CLASSIC YELLOW:6:GRAPHIC:SS T-SHIRT</t>
  </si>
  <si>
    <t>SS T-SHIRT SPONGEBOB HOLIDAY TSSPMB1:CLASSIC YELLOW:7-8:GRAPHIC:SS T-SHIRT</t>
  </si>
  <si>
    <t>SS T-SHIRT SPONGEBOB HOLIDAY TSSPMB1:CLASSIC YELLOW:9-10:GRAPHIC:SS T-SHIRT</t>
  </si>
  <si>
    <t>SS T-SHIRT SPONGEBOB HOLIDAY TSSPMB1:CLASSIC YELLOW:11-12:GRAPHIC:SS T-SHIRT</t>
  </si>
  <si>
    <t>SS T-SHIRT SPONGEBOB HOLIDAY TSSPMB1:CLASSIC YELLOW:13-14:GRAPHIC:SS T-SHIRT</t>
  </si>
  <si>
    <t>SS T-SHIRT SPONGEBOB IM READY SB-HN006:CLASSIC YELLOW:4:GRAPHIC:SS T-SHIRT</t>
  </si>
  <si>
    <t>SS T-SHIRT SPONGEBOB IM READY SB-HN006:CLASSIC YELLOW:5:GRAPHIC:SS T-SHIRT</t>
  </si>
  <si>
    <t>SS T-SHIRT SPONGEBOB IM READY SB-HN006:CLASSIC YELLOW:6:GRAPHIC:SS T-SHIRT</t>
  </si>
  <si>
    <t>SS T-SHIRT SPONGEBOB IM READY SB-HN006:CLASSIC YELLOW:7-8:GRAPHIC:SS T-SHIRT</t>
  </si>
  <si>
    <t>SS T-SHIRT SPONGEBOB IM READY SB-HN006:CLASSIC YELLOW:9-10:GRAPHIC:SS T-SHIRT</t>
  </si>
  <si>
    <t>SS T-SHIRT SPONGEBOB IM READY SB-HN006:CLASSIC YELLOW:11-12:GRAPHIC:SS T-SHIRT</t>
  </si>
  <si>
    <t>SS T-SHIRT SPONGEBOB IM READY SB-HN006:CLASSIC YELLOW:13-14:GRAPHIC:SS T-SHIRT</t>
  </si>
  <si>
    <t>SS T-SHIRT SPONGEBOB BEACH TSSPMBN:NAVY BLUE:4:GRAPHIC:SS T-SHIRT</t>
  </si>
  <si>
    <t>SS T-SHIRT SPONGEBOB BEACH TSSPMBN:NAVY BLUE:5:GRAPHIC:SS T-SHIRT</t>
  </si>
  <si>
    <t>SS T-SHIRT SPONGEBOB BEACH TSSPMBN:NAVY BLUE:6:GRAPHIC:SS T-SHIRT</t>
  </si>
  <si>
    <t>SS T-SHIRT SPONGEBOB BEACH TSSPMBN:NAVY BLUE:7-8:GRAPHIC:SS T-SHIRT</t>
  </si>
  <si>
    <t>SS T-SHIRT SPONGEBOB BEACH TSSPMBN:NAVY BLUE:9-10:GRAPHIC:SS T-SHIRT</t>
  </si>
  <si>
    <t>SS T-SHIRT SPONGEBOB BEACH TSSPMBN:NAVY BLUE:11-12:GRAPHIC:SS T-SHIRT</t>
  </si>
  <si>
    <t>SS T-SHIRT SPONGEBOB BEACH TSSPMBN:NAVY BLUE:13-14:GRAPHIC:SS T-SHIRT</t>
  </si>
  <si>
    <t>SS T-SHIRT SUPERMAN LOGO DPN HR-105:CLASSIC RED:7-8:GRAPHIC:SS T-SHIRT</t>
  </si>
  <si>
    <t>SS T-SHIRT SUPERMAN LOGO DPN HR-105:CLASSIC RED:9-10:GRAPHIC:SS T-SHIRT</t>
  </si>
  <si>
    <t>SS T-SHIRT SUPERMAN LOGO DPN HR-105:CLASSIC RED:11-12:GRAPHIC:SS T-SHIRT</t>
  </si>
  <si>
    <t>SS T-SHIRT SUPERMAN LOGO DPN HR-105:CLASSIC RED:13-14:GRAPHIC:SS T-SHIRT</t>
  </si>
  <si>
    <t>SS T-SHIRT SUPERMAN LOGO DPN HR-105:CLASSIC RED:15-16:GRAPHIC:SS T-SHIRT</t>
  </si>
  <si>
    <t>SWEATER HOODY SUPERMAN AUTH C HR-110:NAVY BLUE:7-8:GRAPHIC:SWEATER</t>
  </si>
  <si>
    <t>SWEATER HOODY SUPERMAN AUTH C HR-110:NAVY BLUE:9-10:GRAPHIC:SWEATER</t>
  </si>
  <si>
    <t>SWEATER HOODY SUPERMAN AUTH C HR-110:NAVY BLUE:11-12:GRAPHIC:SWEATER</t>
  </si>
  <si>
    <t>SWEATER HOODY SUPERMAN AUTH C HR-110:NAVY BLUE:13-14:GRAPHIC:SWEATER</t>
  </si>
  <si>
    <t>SWEATSHIRT BATMAN LOGO DPN HR093:WHITE:4:EMBRO:SWEATSHIRT</t>
  </si>
  <si>
    <t>SWEATSHIRT BATMAN LOGO DPN HR093:WHITE:5:EMBRO:SWEATSHIRT</t>
  </si>
  <si>
    <t>SWEATSHIRT BATMAN LOGO DPN HR093:WHITE:6:EMBRO:SWEATSHIRT</t>
  </si>
  <si>
    <t>SWEATSHIRT BATMAN LOGO DPN HR093:WHITE:7-8:EMBRO:SWEATSHIRT</t>
  </si>
  <si>
    <t>SWEATSHIRT BATMAN LOGO DPN HR093:WHITE:9-10:EMBRO:SWEATSHIRT</t>
  </si>
  <si>
    <t>SWEATSHIRT BATMAN LOGO DPN HR093:WHITE:11-12:EMBRO:SWEATSHIRT</t>
  </si>
  <si>
    <t>SWEATSHIRT BATMAN LOGO DPN HR093:WHITE:13-14:EMBRO:SWEATSHIRT</t>
  </si>
  <si>
    <t>JACKET KNIT BATMAN LOGO DPN HN007:BLACK:4:EMBRO:JACKET</t>
  </si>
  <si>
    <t>JACKET KNIT BATMAN LOGO DPN HN007:BLACK:5:EMBRO:JACKET</t>
  </si>
  <si>
    <t>JACKET KNIT BATMAN LOGO DPN HN007:BLACK:6:EMBRO:JACKET</t>
  </si>
  <si>
    <t>JACKET KNIT BATMAN LOGO DPN HN007:BLACK:7-8:EMBRO:JACKET</t>
  </si>
  <si>
    <t>JACKET KNIT BATMAN LOGO DPN HN007:BLACK:9-10:EMBRO:JACKET</t>
  </si>
  <si>
    <t>JACKET KNIT BATMAN LOGO DPN HN007:BLACK:11-12:EMBRO:JACKET</t>
  </si>
  <si>
    <t>JACKET KNIT BATMAN LOGO DPN HN007:BLACK:13-14:EMBRO:JACKET</t>
  </si>
  <si>
    <t>SWEATER HOODY SPONGEBOB LOGO BLKG JKTSPMB 1:NAVY BLUE:4:GRAPHIC:SWEATER</t>
  </si>
  <si>
    <t>SWEATER HOODY SPONGEBOB LOGO BLKG JKTSPMB 1:NAVY BLUE:5:GRAPHIC:SWEATER</t>
  </si>
  <si>
    <t>SWEATER HOODY SPONGEBOB LOGO BLKG JKTSPMB 1:NAVY BLUE:6:GRAPHIC:SWEATER</t>
  </si>
  <si>
    <t>SWEATER HOODY SPONGEBOB LOGO BLKG JKTSPMB 1:NAVY BLUE:7-8:GRAPHIC:SWEATER</t>
  </si>
  <si>
    <t>SWEATER HOODY SPONGEBOB LOGO BLKG JKTSPMB 1:NAVY BLUE:9-10:GRAPHIC:SWEATER</t>
  </si>
  <si>
    <t>SWEATER HOODY SPONGEBOB LOGO BLKG JKTSPMB 1:NAVY BLUE:11-12:GRAPHIC:SWEATER</t>
  </si>
  <si>
    <t>SWEATER HOODY SPONGEBOB LOGO BLKG JKTSPMB 1:NAVY BLUE:13-14:GRAPHIC:SWEATER</t>
  </si>
  <si>
    <t>SHORT PANTS KNIT BATMAN LOGO HD W08:FROST GREY:4:GRAPHIC:SHORT PANTS</t>
  </si>
  <si>
    <t>SHORT PANTS KNIT BATMAN LOGO HD W08:FROST GREY:5:GRAPHIC:SHORT PANTS</t>
  </si>
  <si>
    <t>SHORT PANTS KNIT BATMAN LOGO HD W08:FROST GREY:6:GRAPHIC:SHORT PANTS</t>
  </si>
  <si>
    <t>SHORT PANTS KNIT BATMAN LOGO HD W08:FROST GREY:7-8:GRAPHIC:SHORT PANTS</t>
  </si>
  <si>
    <t>SHORT PANTS KNIT BATMAN LOGO HD W08:FROST GREY:9-10:GRAPHIC:SHORT PANTS</t>
  </si>
  <si>
    <t>SHORT PANTS KNIT BATMAN LOGO HD W08:FROST GREY:11-12:GRAPHIC:SHORT PANTS</t>
  </si>
  <si>
    <t>SHORT PANTS KNIT BATMAN LOGO HD W08:FROST GREY:13-14:GRAPHIC:SHORT PANTS</t>
  </si>
  <si>
    <t>SHORT PANTS KNIT SPONGEBOB MOVIE LOGO SBHN15:BLACK:4:GRAPHIC:SHORT PANTS</t>
  </si>
  <si>
    <t>SHORT PANTS KNIT SPONGEBOB MOVIE LOGO SBHN15:BLACK:5:GRAPHIC:SHORT PANTS</t>
  </si>
  <si>
    <t>SHORT PANTS KNIT SPONGEBOB MOVIE LOGO SBHN15:BLACK:6:GRAPHIC:SHORT PANTS</t>
  </si>
  <si>
    <t>SHORT PANTS KNIT SPONGEBOB MOVIE LOGO SBHN15:BLACK:7-8:GRAPHIC:SHORT PANTS</t>
  </si>
  <si>
    <t>SHORT PANTS KNIT SPONGEBOB MOVIE LOGO SBHN15:BLACK:9-10:GRAPHIC:SHORT PANTS</t>
  </si>
  <si>
    <t>SHORT PANTS KNIT SPONGEBOB MOVIE LOGO SBHN15:BLACK:11-12:GRAPHIC:SHORT PANTS</t>
  </si>
  <si>
    <t>SHORT PANTS KNIT SPONGEBOB MOVIE LOGO SBHN15:BLACK:13-14:GRAPHIC:SHORT PANTS</t>
  </si>
  <si>
    <t>JOGGER BATMAN CARGO HN006:BLACK:4:GRAPHIC:JOGGER</t>
  </si>
  <si>
    <t>JOGGER BATMAN CARGO HN006:BLACK:5:GRAPHIC:JOGGER</t>
  </si>
  <si>
    <t>JOGGER BATMAN CARGO HN006:BLACK:6:GRAPHIC:JOGGER</t>
  </si>
  <si>
    <t>JOGGER BATMAN CARGO HN006:BLACK:7-8:GRAPHIC:JOGGER</t>
  </si>
  <si>
    <t>JOGGER BATMAN CARGO HN006:BLACK:9-10:GRAPHIC:JOGGER</t>
  </si>
  <si>
    <t>JOGGER BATMAN CARGO HN006:BLACK:11-12:GRAPHIC:JOGGER</t>
  </si>
  <si>
    <t>JOGGER BATMAN CARGO HN006:BLACK:13-14:GRAPHIC:JOGGER</t>
  </si>
  <si>
    <t>JOGGER BATMAN CARGO HN006:BLACK:15-16:GRAPHIC:JOGGER</t>
  </si>
  <si>
    <t>JOGGER KNIT HARRY POTTER LOGO LIS HP-HN013:NAVY BLUE:7-8:GRAPHIC:JOGGER</t>
  </si>
  <si>
    <t>JOGGER KNIT HARRY POTTER LOGO LIS HP-HN013:NAVY BLUE:9-10:GRAPHIC:JOGGER</t>
  </si>
  <si>
    <t>JOGGER KNIT HARRY POTTER LOGO LIS HP-HN013:NAVY BLUE:11-12:GRAPHIC:JOGGER</t>
  </si>
  <si>
    <t>JOGGER KNIT HARRY POTTER LOGO LIS HP-HN013:NAVY BLUE:13-14:GRAPHIC:JOGGER</t>
  </si>
  <si>
    <t>JOGGER KNIT SPONGEBOB TEAMS SB-HN011:BLACK:4:GRAPHIC:JOGGER</t>
  </si>
  <si>
    <t>JOGGER KNIT SPONGEBOB TEAMS SB-HN011:BLACK:5:GRAPHIC:JOGGER</t>
  </si>
  <si>
    <t>JOGGER KNIT SPONGEBOB TEAMS SB-HN011:BLACK:6:GRAPHIC:JOGGER</t>
  </si>
  <si>
    <t>JOGGER KNIT SPONGEBOB TEAMS SB-HN011:BLACK:7-8:GRAPHIC:JOGGER</t>
  </si>
  <si>
    <t>JOGGER KNIT SPONGEBOB TEAMS SB-HN011:BLACK:9-10:GRAPHIC:JOGGER</t>
  </si>
  <si>
    <t>JOGGER KNIT SPONGEBOB TEAMS SB-HN011:BLACK:11-12:GRAPHIC:JOGGER</t>
  </si>
  <si>
    <t>JOGGER KNIT SPONGEBOB TEAMS SB-HN011:BLACK:13-14:GRAPHIC:JOGGER</t>
  </si>
  <si>
    <t>2025 NOV DISC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</si>
</sst>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5" fontId="1" fillId="0" borderId="1" xfId="1" applyNumberFormat="1" applyFont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9" fontId="6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165" fontId="2" fillId="2" borderId="1" xfId="1" applyNumberFormat="1" applyFont="1" applyFill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0" fontId="0" fillId="0" borderId="1" xfId="0" applyBorder="1" applyAlignment="1">
      <alignment horizontal="right"/>
    </xf>
    <xf numFmtId="9" fontId="0" fillId="0" borderId="1" xfId="0" applyNumberForma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3" fontId="0" fillId="0" borderId="1" xfId="0" applyNumberFormat="1" applyBorder="1" applyAlignment="1">
      <alignment horizontal="left"/>
    </xf>
    <xf numFmtId="0" fontId="2" fillId="2" borderId="0" xfId="0" applyFont="1" applyFill="1" applyBorder="1" applyAlignment="1">
      <alignment horizontal="left" vertical="top"/>
    </xf>
    <xf numFmtId="164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vertical="top"/>
    </xf>
    <xf numFmtId="3" fontId="2" fillId="2" borderId="0" xfId="0" applyNumberFormat="1" applyFont="1" applyFill="1" applyBorder="1" applyAlignment="1">
      <alignment horizontal="center" vertical="center"/>
    </xf>
    <xf numFmtId="3" fontId="2" fillId="2" borderId="0" xfId="2" applyNumberFormat="1" applyFont="1" applyFill="1" applyBorder="1" applyAlignment="1">
      <alignment horizontal="center" vertical="center"/>
    </xf>
    <xf numFmtId="165" fontId="2" fillId="2" borderId="0" xfId="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16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0" xfId="0" applyNumberFormat="1" applyBorder="1"/>
    <xf numFmtId="9" fontId="0" fillId="0" borderId="0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MO\3272-CB_CHARACTER%2018%20MAR%20-%2001%20APR%202026.xlsx" TargetMode="External"/><Relationship Id="rId1" Type="http://schemas.openxmlformats.org/officeDocument/2006/relationships/externalLinkPath" Target="3272-CB_CHARACTER%2018%20MAR%20-%2001%20APR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9 ALL D95"/>
      <sheetName val="2020 ALL D90"/>
      <sheetName val="2021 ALL D90"/>
      <sheetName val="2022 ALL D90"/>
      <sheetName val="2023 ALL D90"/>
      <sheetName val="2024 JAN-JUN D70"/>
      <sheetName val="2024 JUL-SEPT B1G2"/>
      <sheetName val="2024 NOV-DEC B1G2"/>
      <sheetName val="2025 JAN-APR B1G2"/>
      <sheetName val="2025 MEI B1G2"/>
      <sheetName val="2025 JUN B1G2"/>
      <sheetName val="2025 JUL B1G1"/>
      <sheetName val="2025 AUG B1G1"/>
      <sheetName val="2025 SEPT B1 D30"/>
      <sheetName val="2025 Q4 B3D10"/>
      <sheetName val="2026 JAN FEB B3D10"/>
      <sheetName val="2026 BAMUS D60 "/>
      <sheetName val="2026 HILITE B1 D20 B2G1"/>
    </sheetNames>
    <sheetDataSet>
      <sheetData sheetId="0">
        <row r="2">
          <cell r="C2">
            <v>46113</v>
          </cell>
        </row>
        <row r="3">
          <cell r="C3">
            <v>46113</v>
          </cell>
        </row>
        <row r="4">
          <cell r="C4">
            <v>46113</v>
          </cell>
        </row>
        <row r="5">
          <cell r="C5">
            <v>46113</v>
          </cell>
        </row>
        <row r="6">
          <cell r="C6">
            <v>46113</v>
          </cell>
        </row>
        <row r="7">
          <cell r="C7">
            <v>46113</v>
          </cell>
        </row>
        <row r="8">
          <cell r="C8">
            <v>46113</v>
          </cell>
        </row>
        <row r="9">
          <cell r="C9">
            <v>46113</v>
          </cell>
        </row>
        <row r="10">
          <cell r="C10">
            <v>46113</v>
          </cell>
        </row>
        <row r="11">
          <cell r="C11">
            <v>46113</v>
          </cell>
        </row>
        <row r="12">
          <cell r="C12">
            <v>46113</v>
          </cell>
        </row>
        <row r="13">
          <cell r="C13">
            <v>46113</v>
          </cell>
        </row>
        <row r="14">
          <cell r="C14">
            <v>46113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2890-6B9B-4FB6-A413-17EC71BDD4D8}">
  <dimension ref="A1:P874"/>
  <sheetViews>
    <sheetView topLeftCell="A857" workbookViewId="0">
      <selection activeCell="M870" sqref="M870"/>
    </sheetView>
  </sheetViews>
  <sheetFormatPr defaultRowHeight="15" x14ac:dyDescent="0.25"/>
  <cols>
    <col min="1" max="1" width="16.7109375" bestFit="1" customWidth="1"/>
    <col min="2" max="2" width="11.42578125" bestFit="1" customWidth="1"/>
    <col min="3" max="3" width="10.42578125" bestFit="1" customWidth="1"/>
    <col min="13" max="13" width="15.85546875" bestFit="1" customWidth="1"/>
    <col min="16" max="16" width="15.710937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6" customFormat="1" x14ac:dyDescent="0.25">
      <c r="A2" s="7" t="s">
        <v>1961</v>
      </c>
      <c r="B2" s="8">
        <v>46104</v>
      </c>
      <c r="C2" s="8">
        <v>46113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16</v>
      </c>
      <c r="J2" s="7">
        <v>13990284</v>
      </c>
      <c r="K2" s="7" t="s">
        <v>17</v>
      </c>
      <c r="L2" s="7" t="s">
        <v>18</v>
      </c>
      <c r="M2" s="9">
        <v>149900</v>
      </c>
      <c r="N2" s="10">
        <v>0.75</v>
      </c>
      <c r="O2" s="9">
        <f>M2-((75*M2))/100</f>
        <v>37475</v>
      </c>
      <c r="P2" s="7" t="s">
        <v>19</v>
      </c>
    </row>
    <row r="3" spans="1:16" s="6" customFormat="1" x14ac:dyDescent="0.25">
      <c r="A3" s="7" t="str">
        <f>A2</f>
        <v>2024 ALL D75</v>
      </c>
      <c r="B3" s="8">
        <f>B2</f>
        <v>46104</v>
      </c>
      <c r="C3" s="8">
        <f t="shared" ref="C3:C18" si="0">C2</f>
        <v>46113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16</v>
      </c>
      <c r="J3" s="7">
        <v>13990293</v>
      </c>
      <c r="K3" s="7" t="s">
        <v>17</v>
      </c>
      <c r="L3" s="7" t="s">
        <v>20</v>
      </c>
      <c r="M3" s="9">
        <v>149900</v>
      </c>
      <c r="N3" s="10">
        <f t="shared" ref="N3:N66" si="1">N2</f>
        <v>0.75</v>
      </c>
      <c r="O3" s="9">
        <f t="shared" ref="O3:O66" si="2">M3-((75*M3))/100</f>
        <v>37475</v>
      </c>
      <c r="P3" s="9" t="str">
        <f>P2</f>
        <v>PERCENTAGE</v>
      </c>
    </row>
    <row r="4" spans="1:16" s="6" customFormat="1" x14ac:dyDescent="0.25">
      <c r="A4" s="7" t="str">
        <f t="shared" ref="A4:A67" si="3">A3</f>
        <v>2024 ALL D75</v>
      </c>
      <c r="B4" s="8">
        <f t="shared" ref="B4:B67" si="4">B3</f>
        <v>46104</v>
      </c>
      <c r="C4" s="8">
        <f t="shared" si="0"/>
        <v>46113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16</v>
      </c>
      <c r="J4" s="7">
        <v>13990300</v>
      </c>
      <c r="K4" s="7" t="s">
        <v>17</v>
      </c>
      <c r="L4" s="7" t="s">
        <v>21</v>
      </c>
      <c r="M4" s="9">
        <v>149900</v>
      </c>
      <c r="N4" s="10">
        <f t="shared" si="1"/>
        <v>0.75</v>
      </c>
      <c r="O4" s="9">
        <f t="shared" si="2"/>
        <v>37475</v>
      </c>
      <c r="P4" s="9" t="str">
        <f t="shared" ref="P4:P67" si="5">P3</f>
        <v>PERCENTAGE</v>
      </c>
    </row>
    <row r="5" spans="1:16" s="6" customFormat="1" x14ac:dyDescent="0.25">
      <c r="A5" s="7" t="str">
        <f t="shared" si="3"/>
        <v>2024 ALL D75</v>
      </c>
      <c r="B5" s="8">
        <f t="shared" si="4"/>
        <v>46104</v>
      </c>
      <c r="C5" s="8">
        <f t="shared" si="0"/>
        <v>46113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16</v>
      </c>
      <c r="J5" s="7">
        <v>13990319</v>
      </c>
      <c r="K5" s="7" t="s">
        <v>17</v>
      </c>
      <c r="L5" s="7" t="s">
        <v>22</v>
      </c>
      <c r="M5" s="9">
        <v>149900</v>
      </c>
      <c r="N5" s="10">
        <f t="shared" si="1"/>
        <v>0.75</v>
      </c>
      <c r="O5" s="9">
        <f t="shared" si="2"/>
        <v>37475</v>
      </c>
      <c r="P5" s="9" t="str">
        <f t="shared" si="5"/>
        <v>PERCENTAGE</v>
      </c>
    </row>
    <row r="6" spans="1:16" s="6" customFormat="1" x14ac:dyDescent="0.25">
      <c r="A6" s="7" t="str">
        <f t="shared" si="3"/>
        <v>2024 ALL D75</v>
      </c>
      <c r="B6" s="8">
        <f t="shared" si="4"/>
        <v>46104</v>
      </c>
      <c r="C6" s="8">
        <f t="shared" si="0"/>
        <v>46113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16</v>
      </c>
      <c r="J6" s="7">
        <v>13990328</v>
      </c>
      <c r="K6" s="7" t="s">
        <v>17</v>
      </c>
      <c r="L6" s="7" t="s">
        <v>23</v>
      </c>
      <c r="M6" s="9">
        <v>149900</v>
      </c>
      <c r="N6" s="10">
        <f t="shared" si="1"/>
        <v>0.75</v>
      </c>
      <c r="O6" s="9">
        <f t="shared" si="2"/>
        <v>37475</v>
      </c>
      <c r="P6" s="9" t="str">
        <f t="shared" si="5"/>
        <v>PERCENTAGE</v>
      </c>
    </row>
    <row r="7" spans="1:16" s="6" customFormat="1" x14ac:dyDescent="0.25">
      <c r="A7" s="7" t="str">
        <f t="shared" si="3"/>
        <v>2024 ALL D75</v>
      </c>
      <c r="B7" s="8">
        <f t="shared" si="4"/>
        <v>46104</v>
      </c>
      <c r="C7" s="8">
        <f t="shared" si="0"/>
        <v>46113</v>
      </c>
      <c r="D7" s="7">
        <v>3272</v>
      </c>
      <c r="E7" s="7">
        <v>336</v>
      </c>
      <c r="F7" s="7">
        <v>4</v>
      </c>
      <c r="G7" s="7">
        <v>1</v>
      </c>
      <c r="H7" s="7">
        <v>81379</v>
      </c>
      <c r="I7" s="7" t="s">
        <v>16</v>
      </c>
      <c r="J7" s="7">
        <v>13990337</v>
      </c>
      <c r="K7" s="7" t="s">
        <v>24</v>
      </c>
      <c r="L7" s="7" t="s">
        <v>25</v>
      </c>
      <c r="M7" s="9">
        <v>139900</v>
      </c>
      <c r="N7" s="10">
        <f t="shared" si="1"/>
        <v>0.75</v>
      </c>
      <c r="O7" s="9">
        <f t="shared" si="2"/>
        <v>34975</v>
      </c>
      <c r="P7" s="9" t="str">
        <f t="shared" si="5"/>
        <v>PERCENTAGE</v>
      </c>
    </row>
    <row r="8" spans="1:16" s="6" customFormat="1" x14ac:dyDescent="0.25">
      <c r="A8" s="7" t="str">
        <f t="shared" si="3"/>
        <v>2024 ALL D75</v>
      </c>
      <c r="B8" s="8">
        <f t="shared" si="4"/>
        <v>46104</v>
      </c>
      <c r="C8" s="8">
        <f t="shared" si="0"/>
        <v>46113</v>
      </c>
      <c r="D8" s="7">
        <v>3272</v>
      </c>
      <c r="E8" s="7">
        <v>336</v>
      </c>
      <c r="F8" s="7">
        <v>4</v>
      </c>
      <c r="G8" s="7">
        <v>1</v>
      </c>
      <c r="H8" s="7">
        <v>81379</v>
      </c>
      <c r="I8" s="7" t="s">
        <v>16</v>
      </c>
      <c r="J8" s="7">
        <v>13990346</v>
      </c>
      <c r="K8" s="7" t="s">
        <v>24</v>
      </c>
      <c r="L8" s="7" t="s">
        <v>26</v>
      </c>
      <c r="M8" s="9">
        <v>139900</v>
      </c>
      <c r="N8" s="10">
        <f t="shared" si="1"/>
        <v>0.75</v>
      </c>
      <c r="O8" s="9">
        <f t="shared" si="2"/>
        <v>34975</v>
      </c>
      <c r="P8" s="9" t="str">
        <f t="shared" si="5"/>
        <v>PERCENTAGE</v>
      </c>
    </row>
    <row r="9" spans="1:16" s="6" customFormat="1" x14ac:dyDescent="0.25">
      <c r="A9" s="7" t="str">
        <f t="shared" si="3"/>
        <v>2024 ALL D75</v>
      </c>
      <c r="B9" s="8">
        <f t="shared" si="4"/>
        <v>46104</v>
      </c>
      <c r="C9" s="8">
        <f t="shared" si="0"/>
        <v>46113</v>
      </c>
      <c r="D9" s="7">
        <v>3272</v>
      </c>
      <c r="E9" s="7">
        <v>336</v>
      </c>
      <c r="F9" s="7">
        <v>4</v>
      </c>
      <c r="G9" s="7">
        <v>1</v>
      </c>
      <c r="H9" s="7">
        <v>81379</v>
      </c>
      <c r="I9" s="7" t="s">
        <v>16</v>
      </c>
      <c r="J9" s="7">
        <v>13990355</v>
      </c>
      <c r="K9" s="7" t="s">
        <v>24</v>
      </c>
      <c r="L9" s="7" t="s">
        <v>27</v>
      </c>
      <c r="M9" s="9">
        <v>139900</v>
      </c>
      <c r="N9" s="10">
        <f t="shared" si="1"/>
        <v>0.75</v>
      </c>
      <c r="O9" s="9">
        <f t="shared" si="2"/>
        <v>34975</v>
      </c>
      <c r="P9" s="9" t="str">
        <f t="shared" si="5"/>
        <v>PERCENTAGE</v>
      </c>
    </row>
    <row r="10" spans="1:16" s="6" customFormat="1" x14ac:dyDescent="0.25">
      <c r="A10" s="7" t="str">
        <f t="shared" si="3"/>
        <v>2024 ALL D75</v>
      </c>
      <c r="B10" s="8">
        <f t="shared" si="4"/>
        <v>46104</v>
      </c>
      <c r="C10" s="8">
        <f t="shared" si="0"/>
        <v>46113</v>
      </c>
      <c r="D10" s="7">
        <v>3272</v>
      </c>
      <c r="E10" s="7">
        <v>336</v>
      </c>
      <c r="F10" s="7">
        <v>4</v>
      </c>
      <c r="G10" s="7">
        <v>1</v>
      </c>
      <c r="H10" s="7">
        <v>81379</v>
      </c>
      <c r="I10" s="7" t="s">
        <v>16</v>
      </c>
      <c r="J10" s="7">
        <v>13990364</v>
      </c>
      <c r="K10" s="7" t="s">
        <v>24</v>
      </c>
      <c r="L10" s="7" t="s">
        <v>28</v>
      </c>
      <c r="M10" s="9">
        <v>139900</v>
      </c>
      <c r="N10" s="10">
        <f t="shared" si="1"/>
        <v>0.75</v>
      </c>
      <c r="O10" s="9">
        <f t="shared" si="2"/>
        <v>34975</v>
      </c>
      <c r="P10" s="9" t="str">
        <f t="shared" si="5"/>
        <v>PERCENTAGE</v>
      </c>
    </row>
    <row r="11" spans="1:16" s="6" customFormat="1" x14ac:dyDescent="0.25">
      <c r="A11" s="7" t="str">
        <f t="shared" si="3"/>
        <v>2024 ALL D75</v>
      </c>
      <c r="B11" s="8">
        <f t="shared" si="4"/>
        <v>46104</v>
      </c>
      <c r="C11" s="8">
        <f t="shared" si="0"/>
        <v>46113</v>
      </c>
      <c r="D11" s="7">
        <v>3272</v>
      </c>
      <c r="E11" s="7">
        <v>336</v>
      </c>
      <c r="F11" s="7">
        <v>4</v>
      </c>
      <c r="G11" s="7">
        <v>1</v>
      </c>
      <c r="H11" s="7">
        <v>81379</v>
      </c>
      <c r="I11" s="7" t="s">
        <v>16</v>
      </c>
      <c r="J11" s="7">
        <v>13990373</v>
      </c>
      <c r="K11" s="7" t="s">
        <v>24</v>
      </c>
      <c r="L11" s="7" t="s">
        <v>29</v>
      </c>
      <c r="M11" s="9">
        <v>139900</v>
      </c>
      <c r="N11" s="10">
        <f t="shared" si="1"/>
        <v>0.75</v>
      </c>
      <c r="O11" s="9">
        <f t="shared" si="2"/>
        <v>34975</v>
      </c>
      <c r="P11" s="9" t="str">
        <f t="shared" si="5"/>
        <v>PERCENTAGE</v>
      </c>
    </row>
    <row r="12" spans="1:16" s="6" customFormat="1" x14ac:dyDescent="0.25">
      <c r="A12" s="7" t="str">
        <f t="shared" si="3"/>
        <v>2024 ALL D75</v>
      </c>
      <c r="B12" s="8">
        <f t="shared" si="4"/>
        <v>46104</v>
      </c>
      <c r="C12" s="8">
        <f t="shared" si="0"/>
        <v>46113</v>
      </c>
      <c r="D12" s="7">
        <v>3272</v>
      </c>
      <c r="E12" s="7">
        <v>336</v>
      </c>
      <c r="F12" s="7">
        <v>4</v>
      </c>
      <c r="G12" s="7">
        <v>1</v>
      </c>
      <c r="H12" s="7">
        <v>81379</v>
      </c>
      <c r="I12" s="7" t="s">
        <v>16</v>
      </c>
      <c r="J12" s="7">
        <v>13990382</v>
      </c>
      <c r="K12" s="7" t="s">
        <v>30</v>
      </c>
      <c r="L12" s="7" t="s">
        <v>31</v>
      </c>
      <c r="M12" s="9">
        <v>149900</v>
      </c>
      <c r="N12" s="10">
        <f t="shared" si="1"/>
        <v>0.75</v>
      </c>
      <c r="O12" s="9">
        <f t="shared" si="2"/>
        <v>37475</v>
      </c>
      <c r="P12" s="9" t="str">
        <f t="shared" si="5"/>
        <v>PERCENTAGE</v>
      </c>
    </row>
    <row r="13" spans="1:16" s="6" customFormat="1" x14ac:dyDescent="0.25">
      <c r="A13" s="7" t="str">
        <f t="shared" si="3"/>
        <v>2024 ALL D75</v>
      </c>
      <c r="B13" s="8">
        <f t="shared" si="4"/>
        <v>46104</v>
      </c>
      <c r="C13" s="8">
        <f t="shared" si="0"/>
        <v>46113</v>
      </c>
      <c r="D13" s="7">
        <v>3272</v>
      </c>
      <c r="E13" s="7">
        <v>336</v>
      </c>
      <c r="F13" s="7">
        <v>4</v>
      </c>
      <c r="G13" s="7">
        <v>1</v>
      </c>
      <c r="H13" s="7">
        <v>81379</v>
      </c>
      <c r="I13" s="7" t="s">
        <v>16</v>
      </c>
      <c r="J13" s="7">
        <v>13990391</v>
      </c>
      <c r="K13" s="7" t="s">
        <v>30</v>
      </c>
      <c r="L13" s="7" t="s">
        <v>32</v>
      </c>
      <c r="M13" s="9">
        <v>149900</v>
      </c>
      <c r="N13" s="10">
        <f t="shared" si="1"/>
        <v>0.75</v>
      </c>
      <c r="O13" s="9">
        <f t="shared" si="2"/>
        <v>37475</v>
      </c>
      <c r="P13" s="9" t="str">
        <f t="shared" si="5"/>
        <v>PERCENTAGE</v>
      </c>
    </row>
    <row r="14" spans="1:16" s="6" customFormat="1" x14ac:dyDescent="0.25">
      <c r="A14" s="7" t="str">
        <f t="shared" si="3"/>
        <v>2024 ALL D75</v>
      </c>
      <c r="B14" s="8">
        <f t="shared" si="4"/>
        <v>46104</v>
      </c>
      <c r="C14" s="8">
        <f t="shared" si="0"/>
        <v>46113</v>
      </c>
      <c r="D14" s="7">
        <v>3272</v>
      </c>
      <c r="E14" s="7">
        <v>336</v>
      </c>
      <c r="F14" s="7">
        <v>4</v>
      </c>
      <c r="G14" s="7">
        <v>1</v>
      </c>
      <c r="H14" s="7">
        <v>81379</v>
      </c>
      <c r="I14" s="7" t="s">
        <v>16</v>
      </c>
      <c r="J14" s="7">
        <v>13990408</v>
      </c>
      <c r="K14" s="7" t="s">
        <v>30</v>
      </c>
      <c r="L14" s="7" t="s">
        <v>33</v>
      </c>
      <c r="M14" s="9">
        <v>149900</v>
      </c>
      <c r="N14" s="10">
        <f t="shared" si="1"/>
        <v>0.75</v>
      </c>
      <c r="O14" s="9">
        <f t="shared" si="2"/>
        <v>37475</v>
      </c>
      <c r="P14" s="9" t="str">
        <f t="shared" si="5"/>
        <v>PERCENTAGE</v>
      </c>
    </row>
    <row r="15" spans="1:16" s="6" customFormat="1" x14ac:dyDescent="0.25">
      <c r="A15" s="7" t="str">
        <f t="shared" si="3"/>
        <v>2024 ALL D75</v>
      </c>
      <c r="B15" s="8">
        <f t="shared" si="4"/>
        <v>46104</v>
      </c>
      <c r="C15" s="8">
        <f t="shared" si="0"/>
        <v>46113</v>
      </c>
      <c r="D15" s="7">
        <v>3272</v>
      </c>
      <c r="E15" s="7">
        <v>336</v>
      </c>
      <c r="F15" s="7">
        <v>4</v>
      </c>
      <c r="G15" s="7">
        <v>1</v>
      </c>
      <c r="H15" s="7">
        <v>81379</v>
      </c>
      <c r="I15" s="7" t="s">
        <v>16</v>
      </c>
      <c r="J15" s="7">
        <v>13990417</v>
      </c>
      <c r="K15" s="7" t="s">
        <v>30</v>
      </c>
      <c r="L15" s="7" t="s">
        <v>34</v>
      </c>
      <c r="M15" s="9">
        <v>149900</v>
      </c>
      <c r="N15" s="10">
        <f t="shared" si="1"/>
        <v>0.75</v>
      </c>
      <c r="O15" s="9">
        <f t="shared" si="2"/>
        <v>37475</v>
      </c>
      <c r="P15" s="9" t="str">
        <f t="shared" si="5"/>
        <v>PERCENTAGE</v>
      </c>
    </row>
    <row r="16" spans="1:16" s="6" customFormat="1" x14ac:dyDescent="0.25">
      <c r="A16" s="7" t="str">
        <f t="shared" si="3"/>
        <v>2024 ALL D75</v>
      </c>
      <c r="B16" s="8">
        <f t="shared" si="4"/>
        <v>46104</v>
      </c>
      <c r="C16" s="8">
        <f t="shared" si="0"/>
        <v>46113</v>
      </c>
      <c r="D16" s="7">
        <v>3272</v>
      </c>
      <c r="E16" s="7">
        <v>336</v>
      </c>
      <c r="F16" s="7">
        <v>4</v>
      </c>
      <c r="G16" s="7">
        <v>1</v>
      </c>
      <c r="H16" s="7">
        <v>81379</v>
      </c>
      <c r="I16" s="7" t="s">
        <v>16</v>
      </c>
      <c r="J16" s="7">
        <v>13990426</v>
      </c>
      <c r="K16" s="7" t="s">
        <v>30</v>
      </c>
      <c r="L16" s="7" t="s">
        <v>35</v>
      </c>
      <c r="M16" s="9">
        <v>149900</v>
      </c>
      <c r="N16" s="10">
        <f t="shared" si="1"/>
        <v>0.75</v>
      </c>
      <c r="O16" s="9">
        <f t="shared" si="2"/>
        <v>37475</v>
      </c>
      <c r="P16" s="9" t="str">
        <f t="shared" si="5"/>
        <v>PERCENTAGE</v>
      </c>
    </row>
    <row r="17" spans="1:16" s="6" customFormat="1" x14ac:dyDescent="0.25">
      <c r="A17" s="7" t="str">
        <f t="shared" si="3"/>
        <v>2024 ALL D75</v>
      </c>
      <c r="B17" s="8">
        <f t="shared" si="4"/>
        <v>46104</v>
      </c>
      <c r="C17" s="8">
        <f t="shared" si="0"/>
        <v>46113</v>
      </c>
      <c r="D17" s="7">
        <v>3272</v>
      </c>
      <c r="E17" s="7">
        <v>336</v>
      </c>
      <c r="F17" s="7">
        <v>4</v>
      </c>
      <c r="G17" s="7">
        <v>1</v>
      </c>
      <c r="H17" s="7">
        <v>81379</v>
      </c>
      <c r="I17" s="7" t="s">
        <v>16</v>
      </c>
      <c r="J17" s="7">
        <v>13990480</v>
      </c>
      <c r="K17" s="7" t="s">
        <v>36</v>
      </c>
      <c r="L17" s="7" t="s">
        <v>37</v>
      </c>
      <c r="M17" s="9">
        <v>149900</v>
      </c>
      <c r="N17" s="10">
        <f t="shared" si="1"/>
        <v>0.75</v>
      </c>
      <c r="O17" s="9">
        <f t="shared" si="2"/>
        <v>37475</v>
      </c>
      <c r="P17" s="9" t="str">
        <f t="shared" si="5"/>
        <v>PERCENTAGE</v>
      </c>
    </row>
    <row r="18" spans="1:16" s="6" customFormat="1" x14ac:dyDescent="0.25">
      <c r="A18" s="7" t="str">
        <f t="shared" si="3"/>
        <v>2024 ALL D75</v>
      </c>
      <c r="B18" s="8">
        <f t="shared" si="4"/>
        <v>46104</v>
      </c>
      <c r="C18" s="8">
        <f t="shared" si="0"/>
        <v>46113</v>
      </c>
      <c r="D18" s="7">
        <v>3272</v>
      </c>
      <c r="E18" s="7">
        <v>336</v>
      </c>
      <c r="F18" s="7">
        <v>4</v>
      </c>
      <c r="G18" s="7">
        <v>1</v>
      </c>
      <c r="H18" s="7">
        <v>81379</v>
      </c>
      <c r="I18" s="7" t="s">
        <v>16</v>
      </c>
      <c r="J18" s="7">
        <v>13990499</v>
      </c>
      <c r="K18" s="7" t="s">
        <v>36</v>
      </c>
      <c r="L18" s="7" t="s">
        <v>38</v>
      </c>
      <c r="M18" s="9">
        <v>149900</v>
      </c>
      <c r="N18" s="10">
        <f t="shared" si="1"/>
        <v>0.75</v>
      </c>
      <c r="O18" s="9">
        <f t="shared" si="2"/>
        <v>37475</v>
      </c>
      <c r="P18" s="9" t="str">
        <f t="shared" si="5"/>
        <v>PERCENTAGE</v>
      </c>
    </row>
    <row r="19" spans="1:16" s="6" customFormat="1" x14ac:dyDescent="0.25">
      <c r="A19" s="7" t="str">
        <f t="shared" si="3"/>
        <v>2024 ALL D75</v>
      </c>
      <c r="B19" s="8">
        <f t="shared" si="4"/>
        <v>46104</v>
      </c>
      <c r="C19" s="8">
        <f t="shared" ref="C19:C34" si="6">C18</f>
        <v>46113</v>
      </c>
      <c r="D19" s="7">
        <v>3272</v>
      </c>
      <c r="E19" s="7">
        <v>336</v>
      </c>
      <c r="F19" s="7">
        <v>4</v>
      </c>
      <c r="G19" s="7">
        <v>1</v>
      </c>
      <c r="H19" s="7">
        <v>81379</v>
      </c>
      <c r="I19" s="7" t="s">
        <v>16</v>
      </c>
      <c r="J19" s="7">
        <v>13990506</v>
      </c>
      <c r="K19" s="7" t="s">
        <v>36</v>
      </c>
      <c r="L19" s="7" t="s">
        <v>39</v>
      </c>
      <c r="M19" s="9">
        <v>149900</v>
      </c>
      <c r="N19" s="10">
        <f t="shared" si="1"/>
        <v>0.75</v>
      </c>
      <c r="O19" s="9">
        <f t="shared" si="2"/>
        <v>37475</v>
      </c>
      <c r="P19" s="9" t="str">
        <f t="shared" si="5"/>
        <v>PERCENTAGE</v>
      </c>
    </row>
    <row r="20" spans="1:16" s="6" customFormat="1" x14ac:dyDescent="0.25">
      <c r="A20" s="7" t="str">
        <f t="shared" si="3"/>
        <v>2024 ALL D75</v>
      </c>
      <c r="B20" s="8">
        <f t="shared" si="4"/>
        <v>46104</v>
      </c>
      <c r="C20" s="8">
        <f t="shared" si="6"/>
        <v>46113</v>
      </c>
      <c r="D20" s="7">
        <v>3272</v>
      </c>
      <c r="E20" s="7">
        <v>336</v>
      </c>
      <c r="F20" s="7">
        <v>4</v>
      </c>
      <c r="G20" s="7">
        <v>1</v>
      </c>
      <c r="H20" s="7">
        <v>81379</v>
      </c>
      <c r="I20" s="7" t="s">
        <v>16</v>
      </c>
      <c r="J20" s="7">
        <v>13990515</v>
      </c>
      <c r="K20" s="7" t="s">
        <v>36</v>
      </c>
      <c r="L20" s="7" t="s">
        <v>40</v>
      </c>
      <c r="M20" s="9">
        <v>149900</v>
      </c>
      <c r="N20" s="10">
        <f t="shared" si="1"/>
        <v>0.75</v>
      </c>
      <c r="O20" s="9">
        <f t="shared" si="2"/>
        <v>37475</v>
      </c>
      <c r="P20" s="9" t="str">
        <f t="shared" si="5"/>
        <v>PERCENTAGE</v>
      </c>
    </row>
    <row r="21" spans="1:16" s="6" customFormat="1" x14ac:dyDescent="0.25">
      <c r="A21" s="7" t="str">
        <f t="shared" si="3"/>
        <v>2024 ALL D75</v>
      </c>
      <c r="B21" s="8">
        <f t="shared" si="4"/>
        <v>46104</v>
      </c>
      <c r="C21" s="8">
        <f t="shared" si="6"/>
        <v>46113</v>
      </c>
      <c r="D21" s="7">
        <v>3272</v>
      </c>
      <c r="E21" s="7">
        <v>336</v>
      </c>
      <c r="F21" s="7">
        <v>4</v>
      </c>
      <c r="G21" s="7">
        <v>1</v>
      </c>
      <c r="H21" s="7">
        <v>81379</v>
      </c>
      <c r="I21" s="7" t="s">
        <v>16</v>
      </c>
      <c r="J21" s="7">
        <v>13990524</v>
      </c>
      <c r="K21" s="7" t="s">
        <v>36</v>
      </c>
      <c r="L21" s="7" t="s">
        <v>41</v>
      </c>
      <c r="M21" s="9">
        <v>149900</v>
      </c>
      <c r="N21" s="10">
        <f t="shared" si="1"/>
        <v>0.75</v>
      </c>
      <c r="O21" s="9">
        <f t="shared" si="2"/>
        <v>37475</v>
      </c>
      <c r="P21" s="9" t="str">
        <f t="shared" si="5"/>
        <v>PERCENTAGE</v>
      </c>
    </row>
    <row r="22" spans="1:16" s="6" customFormat="1" x14ac:dyDescent="0.25">
      <c r="A22" s="7" t="str">
        <f t="shared" si="3"/>
        <v>2024 ALL D75</v>
      </c>
      <c r="B22" s="8">
        <f t="shared" si="4"/>
        <v>46104</v>
      </c>
      <c r="C22" s="8">
        <f t="shared" si="6"/>
        <v>46113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16</v>
      </c>
      <c r="J22" s="7">
        <v>13990533</v>
      </c>
      <c r="K22" s="7" t="s">
        <v>42</v>
      </c>
      <c r="L22" s="7" t="s">
        <v>43</v>
      </c>
      <c r="M22" s="9">
        <v>149900</v>
      </c>
      <c r="N22" s="10">
        <f t="shared" si="1"/>
        <v>0.75</v>
      </c>
      <c r="O22" s="9">
        <f t="shared" si="2"/>
        <v>37475</v>
      </c>
      <c r="P22" s="9" t="str">
        <f t="shared" si="5"/>
        <v>PERCENTAGE</v>
      </c>
    </row>
    <row r="23" spans="1:16" s="6" customFormat="1" x14ac:dyDescent="0.25">
      <c r="A23" s="7" t="str">
        <f t="shared" si="3"/>
        <v>2024 ALL D75</v>
      </c>
      <c r="B23" s="8">
        <f t="shared" si="4"/>
        <v>46104</v>
      </c>
      <c r="C23" s="8">
        <f t="shared" si="6"/>
        <v>46113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16</v>
      </c>
      <c r="J23" s="7">
        <v>13990542</v>
      </c>
      <c r="K23" s="7" t="s">
        <v>42</v>
      </c>
      <c r="L23" s="7" t="s">
        <v>44</v>
      </c>
      <c r="M23" s="9">
        <v>149900</v>
      </c>
      <c r="N23" s="10">
        <f t="shared" si="1"/>
        <v>0.75</v>
      </c>
      <c r="O23" s="9">
        <f t="shared" si="2"/>
        <v>37475</v>
      </c>
      <c r="P23" s="9" t="str">
        <f t="shared" si="5"/>
        <v>PERCENTAGE</v>
      </c>
    </row>
    <row r="24" spans="1:16" s="6" customFormat="1" x14ac:dyDescent="0.25">
      <c r="A24" s="7" t="str">
        <f t="shared" si="3"/>
        <v>2024 ALL D75</v>
      </c>
      <c r="B24" s="8">
        <f t="shared" si="4"/>
        <v>46104</v>
      </c>
      <c r="C24" s="8">
        <f t="shared" si="6"/>
        <v>46113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16</v>
      </c>
      <c r="J24" s="7">
        <v>13990551</v>
      </c>
      <c r="K24" s="7" t="s">
        <v>42</v>
      </c>
      <c r="L24" s="7" t="s">
        <v>45</v>
      </c>
      <c r="M24" s="9">
        <v>149900</v>
      </c>
      <c r="N24" s="10">
        <f t="shared" si="1"/>
        <v>0.75</v>
      </c>
      <c r="O24" s="9">
        <f t="shared" si="2"/>
        <v>37475</v>
      </c>
      <c r="P24" s="9" t="str">
        <f t="shared" si="5"/>
        <v>PERCENTAGE</v>
      </c>
    </row>
    <row r="25" spans="1:16" s="6" customFormat="1" x14ac:dyDescent="0.25">
      <c r="A25" s="7" t="str">
        <f t="shared" si="3"/>
        <v>2024 ALL D75</v>
      </c>
      <c r="B25" s="8">
        <f t="shared" si="4"/>
        <v>46104</v>
      </c>
      <c r="C25" s="8">
        <f t="shared" si="6"/>
        <v>46113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16</v>
      </c>
      <c r="J25" s="7">
        <v>13990560</v>
      </c>
      <c r="K25" s="7" t="s">
        <v>42</v>
      </c>
      <c r="L25" s="7" t="s">
        <v>46</v>
      </c>
      <c r="M25" s="9">
        <v>149900</v>
      </c>
      <c r="N25" s="10">
        <f t="shared" si="1"/>
        <v>0.75</v>
      </c>
      <c r="O25" s="9">
        <f t="shared" si="2"/>
        <v>37475</v>
      </c>
      <c r="P25" s="9" t="str">
        <f t="shared" si="5"/>
        <v>PERCENTAGE</v>
      </c>
    </row>
    <row r="26" spans="1:16" s="6" customFormat="1" x14ac:dyDescent="0.25">
      <c r="A26" s="7" t="str">
        <f t="shared" si="3"/>
        <v>2024 ALL D75</v>
      </c>
      <c r="B26" s="8">
        <f t="shared" si="4"/>
        <v>46104</v>
      </c>
      <c r="C26" s="8">
        <f t="shared" si="6"/>
        <v>46113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16</v>
      </c>
      <c r="J26" s="7">
        <v>13990579</v>
      </c>
      <c r="K26" s="7" t="s">
        <v>42</v>
      </c>
      <c r="L26" s="7" t="s">
        <v>47</v>
      </c>
      <c r="M26" s="9">
        <v>149900</v>
      </c>
      <c r="N26" s="10">
        <f t="shared" si="1"/>
        <v>0.75</v>
      </c>
      <c r="O26" s="9">
        <f t="shared" si="2"/>
        <v>37475</v>
      </c>
      <c r="P26" s="9" t="str">
        <f t="shared" si="5"/>
        <v>PERCENTAGE</v>
      </c>
    </row>
    <row r="27" spans="1:16" s="6" customFormat="1" x14ac:dyDescent="0.25">
      <c r="A27" s="7" t="str">
        <f t="shared" si="3"/>
        <v>2024 ALL D75</v>
      </c>
      <c r="B27" s="8">
        <f t="shared" si="4"/>
        <v>46104</v>
      </c>
      <c r="C27" s="8">
        <f t="shared" si="6"/>
        <v>46113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16</v>
      </c>
      <c r="J27" s="7">
        <v>13990588</v>
      </c>
      <c r="K27" s="7" t="s">
        <v>48</v>
      </c>
      <c r="L27" s="7" t="s">
        <v>49</v>
      </c>
      <c r="M27" s="9">
        <v>139900</v>
      </c>
      <c r="N27" s="10">
        <f t="shared" si="1"/>
        <v>0.75</v>
      </c>
      <c r="O27" s="9">
        <f t="shared" si="2"/>
        <v>34975</v>
      </c>
      <c r="P27" s="9" t="str">
        <f t="shared" si="5"/>
        <v>PERCENTAGE</v>
      </c>
    </row>
    <row r="28" spans="1:16" s="6" customFormat="1" x14ac:dyDescent="0.25">
      <c r="A28" s="7" t="str">
        <f t="shared" si="3"/>
        <v>2024 ALL D75</v>
      </c>
      <c r="B28" s="8">
        <f t="shared" si="4"/>
        <v>46104</v>
      </c>
      <c r="C28" s="8">
        <f t="shared" si="6"/>
        <v>46113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16</v>
      </c>
      <c r="J28" s="7">
        <v>13990597</v>
      </c>
      <c r="K28" s="7" t="s">
        <v>48</v>
      </c>
      <c r="L28" s="7" t="s">
        <v>50</v>
      </c>
      <c r="M28" s="9">
        <v>139900</v>
      </c>
      <c r="N28" s="10">
        <f t="shared" si="1"/>
        <v>0.75</v>
      </c>
      <c r="O28" s="9">
        <f t="shared" si="2"/>
        <v>34975</v>
      </c>
      <c r="P28" s="9" t="str">
        <f t="shared" si="5"/>
        <v>PERCENTAGE</v>
      </c>
    </row>
    <row r="29" spans="1:16" s="6" customFormat="1" x14ac:dyDescent="0.25">
      <c r="A29" s="7" t="str">
        <f t="shared" si="3"/>
        <v>2024 ALL D75</v>
      </c>
      <c r="B29" s="8">
        <f t="shared" si="4"/>
        <v>46104</v>
      </c>
      <c r="C29" s="8">
        <f t="shared" si="6"/>
        <v>46113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16</v>
      </c>
      <c r="J29" s="7">
        <v>13990604</v>
      </c>
      <c r="K29" s="7" t="s">
        <v>48</v>
      </c>
      <c r="L29" s="7" t="s">
        <v>51</v>
      </c>
      <c r="M29" s="9">
        <v>139900</v>
      </c>
      <c r="N29" s="10">
        <f t="shared" si="1"/>
        <v>0.75</v>
      </c>
      <c r="O29" s="9">
        <f t="shared" si="2"/>
        <v>34975</v>
      </c>
      <c r="P29" s="9" t="str">
        <f t="shared" si="5"/>
        <v>PERCENTAGE</v>
      </c>
    </row>
    <row r="30" spans="1:16" s="6" customFormat="1" x14ac:dyDescent="0.25">
      <c r="A30" s="7" t="str">
        <f t="shared" si="3"/>
        <v>2024 ALL D75</v>
      </c>
      <c r="B30" s="8">
        <f t="shared" si="4"/>
        <v>46104</v>
      </c>
      <c r="C30" s="8">
        <f t="shared" si="6"/>
        <v>46113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16</v>
      </c>
      <c r="J30" s="7">
        <v>13990613</v>
      </c>
      <c r="K30" s="7" t="s">
        <v>48</v>
      </c>
      <c r="L30" s="7" t="s">
        <v>52</v>
      </c>
      <c r="M30" s="9">
        <v>139900</v>
      </c>
      <c r="N30" s="10">
        <f t="shared" si="1"/>
        <v>0.75</v>
      </c>
      <c r="O30" s="9">
        <f t="shared" si="2"/>
        <v>34975</v>
      </c>
      <c r="P30" s="9" t="str">
        <f t="shared" si="5"/>
        <v>PERCENTAGE</v>
      </c>
    </row>
    <row r="31" spans="1:16" s="6" customFormat="1" x14ac:dyDescent="0.25">
      <c r="A31" s="7" t="str">
        <f t="shared" si="3"/>
        <v>2024 ALL D75</v>
      </c>
      <c r="B31" s="8">
        <f t="shared" si="4"/>
        <v>46104</v>
      </c>
      <c r="C31" s="8">
        <f t="shared" si="6"/>
        <v>46113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16</v>
      </c>
      <c r="J31" s="7">
        <v>13990622</v>
      </c>
      <c r="K31" s="7" t="s">
        <v>48</v>
      </c>
      <c r="L31" s="7" t="s">
        <v>53</v>
      </c>
      <c r="M31" s="9">
        <v>139900</v>
      </c>
      <c r="N31" s="10">
        <f t="shared" si="1"/>
        <v>0.75</v>
      </c>
      <c r="O31" s="9">
        <f t="shared" si="2"/>
        <v>34975</v>
      </c>
      <c r="P31" s="9" t="str">
        <f t="shared" si="5"/>
        <v>PERCENTAGE</v>
      </c>
    </row>
    <row r="32" spans="1:16" s="6" customFormat="1" x14ac:dyDescent="0.25">
      <c r="A32" s="7" t="str">
        <f t="shared" si="3"/>
        <v>2024 ALL D75</v>
      </c>
      <c r="B32" s="8">
        <f t="shared" si="4"/>
        <v>46104</v>
      </c>
      <c r="C32" s="8">
        <f t="shared" si="6"/>
        <v>46113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16</v>
      </c>
      <c r="J32" s="7">
        <v>13990631</v>
      </c>
      <c r="K32" s="7" t="s">
        <v>54</v>
      </c>
      <c r="L32" s="7" t="s">
        <v>55</v>
      </c>
      <c r="M32" s="9">
        <v>149900</v>
      </c>
      <c r="N32" s="10">
        <f t="shared" si="1"/>
        <v>0.75</v>
      </c>
      <c r="O32" s="9">
        <f t="shared" si="2"/>
        <v>37475</v>
      </c>
      <c r="P32" s="9" t="str">
        <f t="shared" si="5"/>
        <v>PERCENTAGE</v>
      </c>
    </row>
    <row r="33" spans="1:16" s="6" customFormat="1" x14ac:dyDescent="0.25">
      <c r="A33" s="7" t="str">
        <f t="shared" si="3"/>
        <v>2024 ALL D75</v>
      </c>
      <c r="B33" s="8">
        <f t="shared" si="4"/>
        <v>46104</v>
      </c>
      <c r="C33" s="8">
        <f t="shared" si="6"/>
        <v>46113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16</v>
      </c>
      <c r="J33" s="7">
        <v>13990640</v>
      </c>
      <c r="K33" s="7" t="s">
        <v>54</v>
      </c>
      <c r="L33" s="7" t="s">
        <v>56</v>
      </c>
      <c r="M33" s="9">
        <v>149900</v>
      </c>
      <c r="N33" s="10">
        <f t="shared" si="1"/>
        <v>0.75</v>
      </c>
      <c r="O33" s="9">
        <f t="shared" si="2"/>
        <v>37475</v>
      </c>
      <c r="P33" s="9" t="str">
        <f t="shared" si="5"/>
        <v>PERCENTAGE</v>
      </c>
    </row>
    <row r="34" spans="1:16" s="6" customFormat="1" x14ac:dyDescent="0.25">
      <c r="A34" s="7" t="str">
        <f t="shared" si="3"/>
        <v>2024 ALL D75</v>
      </c>
      <c r="B34" s="8">
        <f t="shared" si="4"/>
        <v>46104</v>
      </c>
      <c r="C34" s="8">
        <f t="shared" si="6"/>
        <v>46113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16</v>
      </c>
      <c r="J34" s="7">
        <v>13990659</v>
      </c>
      <c r="K34" s="7" t="s">
        <v>54</v>
      </c>
      <c r="L34" s="7" t="s">
        <v>57</v>
      </c>
      <c r="M34" s="9">
        <v>149900</v>
      </c>
      <c r="N34" s="10">
        <f t="shared" si="1"/>
        <v>0.75</v>
      </c>
      <c r="O34" s="9">
        <f t="shared" si="2"/>
        <v>37475</v>
      </c>
      <c r="P34" s="9" t="str">
        <f t="shared" si="5"/>
        <v>PERCENTAGE</v>
      </c>
    </row>
    <row r="35" spans="1:16" s="6" customFormat="1" x14ac:dyDescent="0.25">
      <c r="A35" s="7" t="str">
        <f t="shared" si="3"/>
        <v>2024 ALL D75</v>
      </c>
      <c r="B35" s="8">
        <f t="shared" si="4"/>
        <v>46104</v>
      </c>
      <c r="C35" s="8">
        <f t="shared" ref="C35:C50" si="7">C34</f>
        <v>46113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16</v>
      </c>
      <c r="J35" s="7">
        <v>13990668</v>
      </c>
      <c r="K35" s="7" t="s">
        <v>54</v>
      </c>
      <c r="L35" s="7" t="s">
        <v>58</v>
      </c>
      <c r="M35" s="9">
        <v>149900</v>
      </c>
      <c r="N35" s="10">
        <f t="shared" si="1"/>
        <v>0.75</v>
      </c>
      <c r="O35" s="9">
        <f t="shared" si="2"/>
        <v>37475</v>
      </c>
      <c r="P35" s="9" t="str">
        <f t="shared" si="5"/>
        <v>PERCENTAGE</v>
      </c>
    </row>
    <row r="36" spans="1:16" s="6" customFormat="1" x14ac:dyDescent="0.25">
      <c r="A36" s="7" t="str">
        <f t="shared" si="3"/>
        <v>2024 ALL D75</v>
      </c>
      <c r="B36" s="8">
        <f t="shared" si="4"/>
        <v>46104</v>
      </c>
      <c r="C36" s="8">
        <f t="shared" si="7"/>
        <v>46113</v>
      </c>
      <c r="D36" s="7">
        <v>3272</v>
      </c>
      <c r="E36" s="7">
        <v>336</v>
      </c>
      <c r="F36" s="7">
        <v>4</v>
      </c>
      <c r="G36" s="7">
        <v>1</v>
      </c>
      <c r="H36" s="7">
        <v>81379</v>
      </c>
      <c r="I36" s="7" t="s">
        <v>16</v>
      </c>
      <c r="J36" s="7">
        <v>13990677</v>
      </c>
      <c r="K36" s="7" t="s">
        <v>54</v>
      </c>
      <c r="L36" s="7" t="s">
        <v>59</v>
      </c>
      <c r="M36" s="9">
        <v>149900</v>
      </c>
      <c r="N36" s="10">
        <f t="shared" si="1"/>
        <v>0.75</v>
      </c>
      <c r="O36" s="9">
        <f t="shared" si="2"/>
        <v>37475</v>
      </c>
      <c r="P36" s="9" t="str">
        <f t="shared" si="5"/>
        <v>PERCENTAGE</v>
      </c>
    </row>
    <row r="37" spans="1:16" s="6" customFormat="1" x14ac:dyDescent="0.25">
      <c r="A37" s="7" t="str">
        <f t="shared" si="3"/>
        <v>2024 ALL D75</v>
      </c>
      <c r="B37" s="8">
        <f t="shared" si="4"/>
        <v>46104</v>
      </c>
      <c r="C37" s="8">
        <f t="shared" si="7"/>
        <v>46113</v>
      </c>
      <c r="D37" s="7">
        <v>3272</v>
      </c>
      <c r="E37" s="7">
        <v>336</v>
      </c>
      <c r="F37" s="7">
        <v>4</v>
      </c>
      <c r="G37" s="7">
        <v>1</v>
      </c>
      <c r="H37" s="7">
        <v>81379</v>
      </c>
      <c r="I37" s="7" t="s">
        <v>16</v>
      </c>
      <c r="J37" s="7">
        <v>13989983</v>
      </c>
      <c r="K37" s="7" t="s">
        <v>60</v>
      </c>
      <c r="L37" s="7" t="s">
        <v>61</v>
      </c>
      <c r="M37" s="9">
        <v>139900</v>
      </c>
      <c r="N37" s="10">
        <f t="shared" si="1"/>
        <v>0.75</v>
      </c>
      <c r="O37" s="9">
        <f t="shared" si="2"/>
        <v>34975</v>
      </c>
      <c r="P37" s="9" t="str">
        <f t="shared" si="5"/>
        <v>PERCENTAGE</v>
      </c>
    </row>
    <row r="38" spans="1:16" s="6" customFormat="1" x14ac:dyDescent="0.25">
      <c r="A38" s="7" t="str">
        <f t="shared" si="3"/>
        <v>2024 ALL D75</v>
      </c>
      <c r="B38" s="8">
        <f t="shared" si="4"/>
        <v>46104</v>
      </c>
      <c r="C38" s="8">
        <f t="shared" si="7"/>
        <v>46113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16</v>
      </c>
      <c r="J38" s="7">
        <v>13989992</v>
      </c>
      <c r="K38" s="7" t="s">
        <v>60</v>
      </c>
      <c r="L38" s="7" t="s">
        <v>62</v>
      </c>
      <c r="M38" s="9">
        <v>139900</v>
      </c>
      <c r="N38" s="10">
        <f t="shared" si="1"/>
        <v>0.75</v>
      </c>
      <c r="O38" s="9">
        <f t="shared" si="2"/>
        <v>34975</v>
      </c>
      <c r="P38" s="9" t="str">
        <f t="shared" si="5"/>
        <v>PERCENTAGE</v>
      </c>
    </row>
    <row r="39" spans="1:16" s="6" customFormat="1" x14ac:dyDescent="0.25">
      <c r="A39" s="7" t="str">
        <f t="shared" si="3"/>
        <v>2024 ALL D75</v>
      </c>
      <c r="B39" s="8">
        <f t="shared" si="4"/>
        <v>46104</v>
      </c>
      <c r="C39" s="8">
        <f t="shared" si="7"/>
        <v>46113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16</v>
      </c>
      <c r="J39" s="7">
        <v>13990006</v>
      </c>
      <c r="K39" s="7" t="s">
        <v>60</v>
      </c>
      <c r="L39" s="7" t="s">
        <v>63</v>
      </c>
      <c r="M39" s="9">
        <v>139900</v>
      </c>
      <c r="N39" s="10">
        <f t="shared" si="1"/>
        <v>0.75</v>
      </c>
      <c r="O39" s="9">
        <f t="shared" si="2"/>
        <v>34975</v>
      </c>
      <c r="P39" s="9" t="str">
        <f t="shared" si="5"/>
        <v>PERCENTAGE</v>
      </c>
    </row>
    <row r="40" spans="1:16" s="6" customFormat="1" x14ac:dyDescent="0.25">
      <c r="A40" s="7" t="str">
        <f t="shared" si="3"/>
        <v>2024 ALL D75</v>
      </c>
      <c r="B40" s="8">
        <f t="shared" si="4"/>
        <v>46104</v>
      </c>
      <c r="C40" s="8">
        <f t="shared" si="7"/>
        <v>46113</v>
      </c>
      <c r="D40" s="7">
        <v>3272</v>
      </c>
      <c r="E40" s="7">
        <v>336</v>
      </c>
      <c r="F40" s="7">
        <v>4</v>
      </c>
      <c r="G40" s="7">
        <v>1</v>
      </c>
      <c r="H40" s="7">
        <v>81379</v>
      </c>
      <c r="I40" s="7" t="s">
        <v>16</v>
      </c>
      <c r="J40" s="7">
        <v>13990015</v>
      </c>
      <c r="K40" s="7" t="s">
        <v>60</v>
      </c>
      <c r="L40" s="7" t="s">
        <v>64</v>
      </c>
      <c r="M40" s="9">
        <v>139900</v>
      </c>
      <c r="N40" s="10">
        <f t="shared" si="1"/>
        <v>0.75</v>
      </c>
      <c r="O40" s="9">
        <f t="shared" si="2"/>
        <v>34975</v>
      </c>
      <c r="P40" s="9" t="str">
        <f t="shared" si="5"/>
        <v>PERCENTAGE</v>
      </c>
    </row>
    <row r="41" spans="1:16" s="6" customFormat="1" x14ac:dyDescent="0.25">
      <c r="A41" s="7" t="str">
        <f t="shared" si="3"/>
        <v>2024 ALL D75</v>
      </c>
      <c r="B41" s="8">
        <f t="shared" si="4"/>
        <v>46104</v>
      </c>
      <c r="C41" s="8">
        <f t="shared" si="7"/>
        <v>46113</v>
      </c>
      <c r="D41" s="7">
        <v>3272</v>
      </c>
      <c r="E41" s="7">
        <v>336</v>
      </c>
      <c r="F41" s="7">
        <v>4</v>
      </c>
      <c r="G41" s="7">
        <v>1</v>
      </c>
      <c r="H41" s="7">
        <v>81379</v>
      </c>
      <c r="I41" s="7" t="s">
        <v>16</v>
      </c>
      <c r="J41" s="7">
        <v>13990024</v>
      </c>
      <c r="K41" s="7" t="s">
        <v>60</v>
      </c>
      <c r="L41" s="7" t="s">
        <v>65</v>
      </c>
      <c r="M41" s="9">
        <v>139900</v>
      </c>
      <c r="N41" s="10">
        <f t="shared" si="1"/>
        <v>0.75</v>
      </c>
      <c r="O41" s="9">
        <f t="shared" si="2"/>
        <v>34975</v>
      </c>
      <c r="P41" s="9" t="str">
        <f t="shared" si="5"/>
        <v>PERCENTAGE</v>
      </c>
    </row>
    <row r="42" spans="1:16" s="6" customFormat="1" x14ac:dyDescent="0.25">
      <c r="A42" s="7" t="str">
        <f t="shared" si="3"/>
        <v>2024 ALL D75</v>
      </c>
      <c r="B42" s="8">
        <f t="shared" si="4"/>
        <v>46104</v>
      </c>
      <c r="C42" s="8">
        <f t="shared" si="7"/>
        <v>46113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16</v>
      </c>
      <c r="J42" s="7">
        <v>13990033</v>
      </c>
      <c r="K42" s="7" t="s">
        <v>66</v>
      </c>
      <c r="L42" s="7" t="s">
        <v>67</v>
      </c>
      <c r="M42" s="9">
        <v>139900</v>
      </c>
      <c r="N42" s="10">
        <f t="shared" si="1"/>
        <v>0.75</v>
      </c>
      <c r="O42" s="9">
        <f t="shared" si="2"/>
        <v>34975</v>
      </c>
      <c r="P42" s="9" t="str">
        <f t="shared" si="5"/>
        <v>PERCENTAGE</v>
      </c>
    </row>
    <row r="43" spans="1:16" s="6" customFormat="1" x14ac:dyDescent="0.25">
      <c r="A43" s="7" t="str">
        <f t="shared" si="3"/>
        <v>2024 ALL D75</v>
      </c>
      <c r="B43" s="8">
        <f t="shared" si="4"/>
        <v>46104</v>
      </c>
      <c r="C43" s="8">
        <f t="shared" si="7"/>
        <v>46113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16</v>
      </c>
      <c r="J43" s="7">
        <v>13990042</v>
      </c>
      <c r="K43" s="7" t="s">
        <v>66</v>
      </c>
      <c r="L43" s="7" t="s">
        <v>68</v>
      </c>
      <c r="M43" s="9">
        <v>139900</v>
      </c>
      <c r="N43" s="10">
        <f t="shared" si="1"/>
        <v>0.75</v>
      </c>
      <c r="O43" s="9">
        <f t="shared" si="2"/>
        <v>34975</v>
      </c>
      <c r="P43" s="9" t="str">
        <f t="shared" si="5"/>
        <v>PERCENTAGE</v>
      </c>
    </row>
    <row r="44" spans="1:16" s="6" customFormat="1" x14ac:dyDescent="0.25">
      <c r="A44" s="7" t="str">
        <f t="shared" si="3"/>
        <v>2024 ALL D75</v>
      </c>
      <c r="B44" s="8">
        <f t="shared" si="4"/>
        <v>46104</v>
      </c>
      <c r="C44" s="8">
        <f t="shared" si="7"/>
        <v>46113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16</v>
      </c>
      <c r="J44" s="7">
        <v>13990051</v>
      </c>
      <c r="K44" s="7" t="s">
        <v>66</v>
      </c>
      <c r="L44" s="7" t="s">
        <v>69</v>
      </c>
      <c r="M44" s="9">
        <v>139900</v>
      </c>
      <c r="N44" s="10">
        <f t="shared" si="1"/>
        <v>0.75</v>
      </c>
      <c r="O44" s="9">
        <f t="shared" si="2"/>
        <v>34975</v>
      </c>
      <c r="P44" s="9" t="str">
        <f t="shared" si="5"/>
        <v>PERCENTAGE</v>
      </c>
    </row>
    <row r="45" spans="1:16" s="6" customFormat="1" x14ac:dyDescent="0.25">
      <c r="A45" s="7" t="str">
        <f t="shared" si="3"/>
        <v>2024 ALL D75</v>
      </c>
      <c r="B45" s="8">
        <f t="shared" si="4"/>
        <v>46104</v>
      </c>
      <c r="C45" s="8">
        <f t="shared" si="7"/>
        <v>46113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16</v>
      </c>
      <c r="J45" s="7">
        <v>13990060</v>
      </c>
      <c r="K45" s="7" t="s">
        <v>66</v>
      </c>
      <c r="L45" s="7" t="s">
        <v>70</v>
      </c>
      <c r="M45" s="9">
        <v>139900</v>
      </c>
      <c r="N45" s="10">
        <f t="shared" si="1"/>
        <v>0.75</v>
      </c>
      <c r="O45" s="9">
        <f t="shared" si="2"/>
        <v>34975</v>
      </c>
      <c r="P45" s="9" t="str">
        <f t="shared" si="5"/>
        <v>PERCENTAGE</v>
      </c>
    </row>
    <row r="46" spans="1:16" s="6" customFormat="1" x14ac:dyDescent="0.25">
      <c r="A46" s="7" t="str">
        <f t="shared" si="3"/>
        <v>2024 ALL D75</v>
      </c>
      <c r="B46" s="8">
        <f t="shared" si="4"/>
        <v>46104</v>
      </c>
      <c r="C46" s="8">
        <f t="shared" si="7"/>
        <v>46113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16</v>
      </c>
      <c r="J46" s="7">
        <v>13990079</v>
      </c>
      <c r="K46" s="7" t="s">
        <v>66</v>
      </c>
      <c r="L46" s="7" t="s">
        <v>71</v>
      </c>
      <c r="M46" s="9">
        <v>139900</v>
      </c>
      <c r="N46" s="10">
        <f t="shared" si="1"/>
        <v>0.75</v>
      </c>
      <c r="O46" s="9">
        <f t="shared" si="2"/>
        <v>34975</v>
      </c>
      <c r="P46" s="9" t="str">
        <f t="shared" si="5"/>
        <v>PERCENTAGE</v>
      </c>
    </row>
    <row r="47" spans="1:16" s="6" customFormat="1" x14ac:dyDescent="0.25">
      <c r="A47" s="7" t="str">
        <f t="shared" si="3"/>
        <v>2024 ALL D75</v>
      </c>
      <c r="B47" s="8">
        <f t="shared" si="4"/>
        <v>46104</v>
      </c>
      <c r="C47" s="8">
        <f t="shared" si="7"/>
        <v>46113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16</v>
      </c>
      <c r="J47" s="7">
        <v>13990088</v>
      </c>
      <c r="K47" s="7" t="s">
        <v>72</v>
      </c>
      <c r="L47" s="7" t="s">
        <v>73</v>
      </c>
      <c r="M47" s="9">
        <v>149900</v>
      </c>
      <c r="N47" s="10">
        <f t="shared" si="1"/>
        <v>0.75</v>
      </c>
      <c r="O47" s="9">
        <f t="shared" si="2"/>
        <v>37475</v>
      </c>
      <c r="P47" s="9" t="str">
        <f t="shared" si="5"/>
        <v>PERCENTAGE</v>
      </c>
    </row>
    <row r="48" spans="1:16" s="6" customFormat="1" x14ac:dyDescent="0.25">
      <c r="A48" s="7" t="str">
        <f t="shared" si="3"/>
        <v>2024 ALL D75</v>
      </c>
      <c r="B48" s="8">
        <f t="shared" si="4"/>
        <v>46104</v>
      </c>
      <c r="C48" s="8">
        <f t="shared" si="7"/>
        <v>46113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16</v>
      </c>
      <c r="J48" s="7">
        <v>13990097</v>
      </c>
      <c r="K48" s="7" t="s">
        <v>72</v>
      </c>
      <c r="L48" s="7" t="s">
        <v>74</v>
      </c>
      <c r="M48" s="9">
        <v>149900</v>
      </c>
      <c r="N48" s="10">
        <f t="shared" si="1"/>
        <v>0.75</v>
      </c>
      <c r="O48" s="9">
        <f t="shared" si="2"/>
        <v>37475</v>
      </c>
      <c r="P48" s="9" t="str">
        <f t="shared" si="5"/>
        <v>PERCENTAGE</v>
      </c>
    </row>
    <row r="49" spans="1:16" s="6" customFormat="1" x14ac:dyDescent="0.25">
      <c r="A49" s="7" t="str">
        <f t="shared" si="3"/>
        <v>2024 ALL D75</v>
      </c>
      <c r="B49" s="8">
        <f t="shared" si="4"/>
        <v>46104</v>
      </c>
      <c r="C49" s="8">
        <f t="shared" si="7"/>
        <v>46113</v>
      </c>
      <c r="D49" s="7">
        <v>3272</v>
      </c>
      <c r="E49" s="7">
        <v>336</v>
      </c>
      <c r="F49" s="7">
        <v>4</v>
      </c>
      <c r="G49" s="7">
        <v>1</v>
      </c>
      <c r="H49" s="7">
        <v>81379</v>
      </c>
      <c r="I49" s="7" t="s">
        <v>16</v>
      </c>
      <c r="J49" s="7">
        <v>13990104</v>
      </c>
      <c r="K49" s="7" t="s">
        <v>72</v>
      </c>
      <c r="L49" s="7" t="s">
        <v>75</v>
      </c>
      <c r="M49" s="9">
        <v>149900</v>
      </c>
      <c r="N49" s="10">
        <f t="shared" si="1"/>
        <v>0.75</v>
      </c>
      <c r="O49" s="9">
        <f t="shared" si="2"/>
        <v>37475</v>
      </c>
      <c r="P49" s="9" t="str">
        <f t="shared" si="5"/>
        <v>PERCENTAGE</v>
      </c>
    </row>
    <row r="50" spans="1:16" s="6" customFormat="1" x14ac:dyDescent="0.25">
      <c r="A50" s="7" t="str">
        <f t="shared" si="3"/>
        <v>2024 ALL D75</v>
      </c>
      <c r="B50" s="8">
        <f t="shared" si="4"/>
        <v>46104</v>
      </c>
      <c r="C50" s="8">
        <f t="shared" si="7"/>
        <v>46113</v>
      </c>
      <c r="D50" s="7">
        <v>3272</v>
      </c>
      <c r="E50" s="7">
        <v>336</v>
      </c>
      <c r="F50" s="7">
        <v>4</v>
      </c>
      <c r="G50" s="7">
        <v>1</v>
      </c>
      <c r="H50" s="7">
        <v>81379</v>
      </c>
      <c r="I50" s="7" t="s">
        <v>16</v>
      </c>
      <c r="J50" s="7">
        <v>13990113</v>
      </c>
      <c r="K50" s="7" t="s">
        <v>72</v>
      </c>
      <c r="L50" s="7" t="s">
        <v>76</v>
      </c>
      <c r="M50" s="9">
        <v>149900</v>
      </c>
      <c r="N50" s="10">
        <f t="shared" si="1"/>
        <v>0.75</v>
      </c>
      <c r="O50" s="9">
        <f t="shared" si="2"/>
        <v>37475</v>
      </c>
      <c r="P50" s="9" t="str">
        <f t="shared" si="5"/>
        <v>PERCENTAGE</v>
      </c>
    </row>
    <row r="51" spans="1:16" s="6" customFormat="1" x14ac:dyDescent="0.25">
      <c r="A51" s="7" t="str">
        <f t="shared" si="3"/>
        <v>2024 ALL D75</v>
      </c>
      <c r="B51" s="8">
        <f t="shared" si="4"/>
        <v>46104</v>
      </c>
      <c r="C51" s="8">
        <f t="shared" ref="C51:C66" si="8">C50</f>
        <v>46113</v>
      </c>
      <c r="D51" s="7">
        <v>3272</v>
      </c>
      <c r="E51" s="7">
        <v>336</v>
      </c>
      <c r="F51" s="7">
        <v>4</v>
      </c>
      <c r="G51" s="7">
        <v>1</v>
      </c>
      <c r="H51" s="7">
        <v>81379</v>
      </c>
      <c r="I51" s="7" t="s">
        <v>16</v>
      </c>
      <c r="J51" s="7">
        <v>13990122</v>
      </c>
      <c r="K51" s="7" t="s">
        <v>72</v>
      </c>
      <c r="L51" s="7" t="s">
        <v>77</v>
      </c>
      <c r="M51" s="9">
        <v>149900</v>
      </c>
      <c r="N51" s="10">
        <f t="shared" si="1"/>
        <v>0.75</v>
      </c>
      <c r="O51" s="9">
        <f t="shared" si="2"/>
        <v>37475</v>
      </c>
      <c r="P51" s="9" t="str">
        <f t="shared" si="5"/>
        <v>PERCENTAGE</v>
      </c>
    </row>
    <row r="52" spans="1:16" s="6" customFormat="1" x14ac:dyDescent="0.25">
      <c r="A52" s="7" t="str">
        <f t="shared" si="3"/>
        <v>2024 ALL D75</v>
      </c>
      <c r="B52" s="8">
        <f t="shared" si="4"/>
        <v>46104</v>
      </c>
      <c r="C52" s="8">
        <f t="shared" si="8"/>
        <v>46113</v>
      </c>
      <c r="D52" s="7">
        <v>3272</v>
      </c>
      <c r="E52" s="7">
        <v>336</v>
      </c>
      <c r="F52" s="7">
        <v>4</v>
      </c>
      <c r="G52" s="7">
        <v>1</v>
      </c>
      <c r="H52" s="7">
        <v>81379</v>
      </c>
      <c r="I52" s="7" t="s">
        <v>16</v>
      </c>
      <c r="J52" s="7">
        <v>13990131</v>
      </c>
      <c r="K52" s="7" t="s">
        <v>78</v>
      </c>
      <c r="L52" s="7" t="s">
        <v>79</v>
      </c>
      <c r="M52" s="9">
        <v>149900</v>
      </c>
      <c r="N52" s="10">
        <f t="shared" si="1"/>
        <v>0.75</v>
      </c>
      <c r="O52" s="9">
        <f t="shared" si="2"/>
        <v>37475</v>
      </c>
      <c r="P52" s="9" t="str">
        <f t="shared" si="5"/>
        <v>PERCENTAGE</v>
      </c>
    </row>
    <row r="53" spans="1:16" s="6" customFormat="1" x14ac:dyDescent="0.25">
      <c r="A53" s="7" t="str">
        <f t="shared" si="3"/>
        <v>2024 ALL D75</v>
      </c>
      <c r="B53" s="8">
        <f t="shared" si="4"/>
        <v>46104</v>
      </c>
      <c r="C53" s="8">
        <f t="shared" si="8"/>
        <v>46113</v>
      </c>
      <c r="D53" s="7">
        <v>3272</v>
      </c>
      <c r="E53" s="7">
        <v>336</v>
      </c>
      <c r="F53" s="7">
        <v>4</v>
      </c>
      <c r="G53" s="7">
        <v>1</v>
      </c>
      <c r="H53" s="7">
        <v>81379</v>
      </c>
      <c r="I53" s="7" t="s">
        <v>16</v>
      </c>
      <c r="J53" s="7">
        <v>13990140</v>
      </c>
      <c r="K53" s="7" t="s">
        <v>78</v>
      </c>
      <c r="L53" s="7" t="s">
        <v>80</v>
      </c>
      <c r="M53" s="9">
        <v>149900</v>
      </c>
      <c r="N53" s="10">
        <f t="shared" si="1"/>
        <v>0.75</v>
      </c>
      <c r="O53" s="9">
        <f t="shared" si="2"/>
        <v>37475</v>
      </c>
      <c r="P53" s="9" t="str">
        <f t="shared" si="5"/>
        <v>PERCENTAGE</v>
      </c>
    </row>
    <row r="54" spans="1:16" s="6" customFormat="1" x14ac:dyDescent="0.25">
      <c r="A54" s="7" t="str">
        <f t="shared" si="3"/>
        <v>2024 ALL D75</v>
      </c>
      <c r="B54" s="8">
        <f t="shared" si="4"/>
        <v>46104</v>
      </c>
      <c r="C54" s="8">
        <f t="shared" si="8"/>
        <v>46113</v>
      </c>
      <c r="D54" s="7">
        <v>3272</v>
      </c>
      <c r="E54" s="7">
        <v>336</v>
      </c>
      <c r="F54" s="7">
        <v>4</v>
      </c>
      <c r="G54" s="7">
        <v>1</v>
      </c>
      <c r="H54" s="7">
        <v>81379</v>
      </c>
      <c r="I54" s="7" t="s">
        <v>16</v>
      </c>
      <c r="J54" s="7">
        <v>13990159</v>
      </c>
      <c r="K54" s="7" t="s">
        <v>78</v>
      </c>
      <c r="L54" s="7" t="s">
        <v>81</v>
      </c>
      <c r="M54" s="9">
        <v>149900</v>
      </c>
      <c r="N54" s="10">
        <f t="shared" si="1"/>
        <v>0.75</v>
      </c>
      <c r="O54" s="9">
        <f t="shared" si="2"/>
        <v>37475</v>
      </c>
      <c r="P54" s="9" t="str">
        <f t="shared" si="5"/>
        <v>PERCENTAGE</v>
      </c>
    </row>
    <row r="55" spans="1:16" s="6" customFormat="1" x14ac:dyDescent="0.25">
      <c r="A55" s="7" t="str">
        <f t="shared" si="3"/>
        <v>2024 ALL D75</v>
      </c>
      <c r="B55" s="8">
        <f t="shared" si="4"/>
        <v>46104</v>
      </c>
      <c r="C55" s="8">
        <f t="shared" si="8"/>
        <v>46113</v>
      </c>
      <c r="D55" s="7">
        <v>3272</v>
      </c>
      <c r="E55" s="7">
        <v>336</v>
      </c>
      <c r="F55" s="7">
        <v>4</v>
      </c>
      <c r="G55" s="7">
        <v>1</v>
      </c>
      <c r="H55" s="7">
        <v>81379</v>
      </c>
      <c r="I55" s="7" t="s">
        <v>16</v>
      </c>
      <c r="J55" s="7">
        <v>13990168</v>
      </c>
      <c r="K55" s="7" t="s">
        <v>78</v>
      </c>
      <c r="L55" s="7" t="s">
        <v>82</v>
      </c>
      <c r="M55" s="9">
        <v>149900</v>
      </c>
      <c r="N55" s="10">
        <f t="shared" si="1"/>
        <v>0.75</v>
      </c>
      <c r="O55" s="9">
        <f t="shared" si="2"/>
        <v>37475</v>
      </c>
      <c r="P55" s="9" t="str">
        <f t="shared" si="5"/>
        <v>PERCENTAGE</v>
      </c>
    </row>
    <row r="56" spans="1:16" s="6" customFormat="1" x14ac:dyDescent="0.25">
      <c r="A56" s="7" t="str">
        <f t="shared" si="3"/>
        <v>2024 ALL D75</v>
      </c>
      <c r="B56" s="8">
        <f t="shared" si="4"/>
        <v>46104</v>
      </c>
      <c r="C56" s="8">
        <f t="shared" si="8"/>
        <v>46113</v>
      </c>
      <c r="D56" s="7">
        <v>3272</v>
      </c>
      <c r="E56" s="7">
        <v>336</v>
      </c>
      <c r="F56" s="7">
        <v>4</v>
      </c>
      <c r="G56" s="7">
        <v>1</v>
      </c>
      <c r="H56" s="7">
        <v>81379</v>
      </c>
      <c r="I56" s="7" t="s">
        <v>16</v>
      </c>
      <c r="J56" s="7">
        <v>13990177</v>
      </c>
      <c r="K56" s="7" t="s">
        <v>78</v>
      </c>
      <c r="L56" s="7" t="s">
        <v>83</v>
      </c>
      <c r="M56" s="9">
        <v>149900</v>
      </c>
      <c r="N56" s="10">
        <f t="shared" si="1"/>
        <v>0.75</v>
      </c>
      <c r="O56" s="9">
        <f t="shared" si="2"/>
        <v>37475</v>
      </c>
      <c r="P56" s="9" t="str">
        <f t="shared" si="5"/>
        <v>PERCENTAGE</v>
      </c>
    </row>
    <row r="57" spans="1:16" s="6" customFormat="1" x14ac:dyDescent="0.25">
      <c r="A57" s="7" t="str">
        <f t="shared" si="3"/>
        <v>2024 ALL D75</v>
      </c>
      <c r="B57" s="8">
        <f t="shared" si="4"/>
        <v>46104</v>
      </c>
      <c r="C57" s="8">
        <f t="shared" si="8"/>
        <v>46113</v>
      </c>
      <c r="D57" s="7">
        <v>3272</v>
      </c>
      <c r="E57" s="7">
        <v>336</v>
      </c>
      <c r="F57" s="7">
        <v>4</v>
      </c>
      <c r="G57" s="7">
        <v>1</v>
      </c>
      <c r="H57" s="7">
        <v>81379</v>
      </c>
      <c r="I57" s="7" t="s">
        <v>16</v>
      </c>
      <c r="J57" s="7">
        <v>13990186</v>
      </c>
      <c r="K57" s="7" t="s">
        <v>84</v>
      </c>
      <c r="L57" s="7" t="s">
        <v>85</v>
      </c>
      <c r="M57" s="9">
        <v>139900</v>
      </c>
      <c r="N57" s="10">
        <f t="shared" si="1"/>
        <v>0.75</v>
      </c>
      <c r="O57" s="9">
        <f t="shared" si="2"/>
        <v>34975</v>
      </c>
      <c r="P57" s="9" t="str">
        <f t="shared" si="5"/>
        <v>PERCENTAGE</v>
      </c>
    </row>
    <row r="58" spans="1:16" s="6" customFormat="1" x14ac:dyDescent="0.25">
      <c r="A58" s="7" t="str">
        <f t="shared" si="3"/>
        <v>2024 ALL D75</v>
      </c>
      <c r="B58" s="8">
        <f t="shared" si="4"/>
        <v>46104</v>
      </c>
      <c r="C58" s="8">
        <f t="shared" si="8"/>
        <v>46113</v>
      </c>
      <c r="D58" s="7">
        <v>3272</v>
      </c>
      <c r="E58" s="7">
        <v>336</v>
      </c>
      <c r="F58" s="7">
        <v>4</v>
      </c>
      <c r="G58" s="7">
        <v>1</v>
      </c>
      <c r="H58" s="7">
        <v>81379</v>
      </c>
      <c r="I58" s="7" t="s">
        <v>16</v>
      </c>
      <c r="J58" s="7">
        <v>13990195</v>
      </c>
      <c r="K58" s="7" t="s">
        <v>84</v>
      </c>
      <c r="L58" s="7" t="s">
        <v>86</v>
      </c>
      <c r="M58" s="9">
        <v>139900</v>
      </c>
      <c r="N58" s="10">
        <f t="shared" si="1"/>
        <v>0.75</v>
      </c>
      <c r="O58" s="9">
        <f t="shared" si="2"/>
        <v>34975</v>
      </c>
      <c r="P58" s="9" t="str">
        <f t="shared" si="5"/>
        <v>PERCENTAGE</v>
      </c>
    </row>
    <row r="59" spans="1:16" s="6" customFormat="1" x14ac:dyDescent="0.25">
      <c r="A59" s="7" t="str">
        <f t="shared" si="3"/>
        <v>2024 ALL D75</v>
      </c>
      <c r="B59" s="8">
        <f t="shared" si="4"/>
        <v>46104</v>
      </c>
      <c r="C59" s="8">
        <f t="shared" si="8"/>
        <v>46113</v>
      </c>
      <c r="D59" s="7">
        <v>3272</v>
      </c>
      <c r="E59" s="7">
        <v>336</v>
      </c>
      <c r="F59" s="7">
        <v>4</v>
      </c>
      <c r="G59" s="7">
        <v>1</v>
      </c>
      <c r="H59" s="7">
        <v>81379</v>
      </c>
      <c r="I59" s="7" t="s">
        <v>16</v>
      </c>
      <c r="J59" s="7">
        <v>13990202</v>
      </c>
      <c r="K59" s="7" t="s">
        <v>84</v>
      </c>
      <c r="L59" s="7" t="s">
        <v>87</v>
      </c>
      <c r="M59" s="9">
        <v>139900</v>
      </c>
      <c r="N59" s="10">
        <f t="shared" si="1"/>
        <v>0.75</v>
      </c>
      <c r="O59" s="9">
        <f t="shared" si="2"/>
        <v>34975</v>
      </c>
      <c r="P59" s="9" t="str">
        <f t="shared" si="5"/>
        <v>PERCENTAGE</v>
      </c>
    </row>
    <row r="60" spans="1:16" s="6" customFormat="1" x14ac:dyDescent="0.25">
      <c r="A60" s="7" t="str">
        <f t="shared" si="3"/>
        <v>2024 ALL D75</v>
      </c>
      <c r="B60" s="8">
        <f t="shared" si="4"/>
        <v>46104</v>
      </c>
      <c r="C60" s="8">
        <f t="shared" si="8"/>
        <v>46113</v>
      </c>
      <c r="D60" s="7">
        <v>3272</v>
      </c>
      <c r="E60" s="7">
        <v>336</v>
      </c>
      <c r="F60" s="7">
        <v>4</v>
      </c>
      <c r="G60" s="7">
        <v>1</v>
      </c>
      <c r="H60" s="7">
        <v>81379</v>
      </c>
      <c r="I60" s="7" t="s">
        <v>16</v>
      </c>
      <c r="J60" s="7">
        <v>13990211</v>
      </c>
      <c r="K60" s="7" t="s">
        <v>84</v>
      </c>
      <c r="L60" s="7" t="s">
        <v>88</v>
      </c>
      <c r="M60" s="9">
        <v>139900</v>
      </c>
      <c r="N60" s="10">
        <f t="shared" si="1"/>
        <v>0.75</v>
      </c>
      <c r="O60" s="9">
        <f t="shared" si="2"/>
        <v>34975</v>
      </c>
      <c r="P60" s="9" t="str">
        <f t="shared" si="5"/>
        <v>PERCENTAGE</v>
      </c>
    </row>
    <row r="61" spans="1:16" s="6" customFormat="1" x14ac:dyDescent="0.25">
      <c r="A61" s="7" t="str">
        <f t="shared" si="3"/>
        <v>2024 ALL D75</v>
      </c>
      <c r="B61" s="8">
        <f t="shared" si="4"/>
        <v>46104</v>
      </c>
      <c r="C61" s="8">
        <f t="shared" si="8"/>
        <v>46113</v>
      </c>
      <c r="D61" s="7">
        <v>3272</v>
      </c>
      <c r="E61" s="7">
        <v>336</v>
      </c>
      <c r="F61" s="7">
        <v>4</v>
      </c>
      <c r="G61" s="7">
        <v>1</v>
      </c>
      <c r="H61" s="7">
        <v>81379</v>
      </c>
      <c r="I61" s="7" t="s">
        <v>16</v>
      </c>
      <c r="J61" s="7">
        <v>13990220</v>
      </c>
      <c r="K61" s="7" t="s">
        <v>84</v>
      </c>
      <c r="L61" s="7" t="s">
        <v>89</v>
      </c>
      <c r="M61" s="9">
        <v>139900</v>
      </c>
      <c r="N61" s="10">
        <f t="shared" si="1"/>
        <v>0.75</v>
      </c>
      <c r="O61" s="9">
        <f t="shared" si="2"/>
        <v>34975</v>
      </c>
      <c r="P61" s="9" t="str">
        <f t="shared" si="5"/>
        <v>PERCENTAGE</v>
      </c>
    </row>
    <row r="62" spans="1:16" s="6" customFormat="1" x14ac:dyDescent="0.25">
      <c r="A62" s="7" t="str">
        <f t="shared" si="3"/>
        <v>2024 ALL D75</v>
      </c>
      <c r="B62" s="8">
        <f t="shared" si="4"/>
        <v>46104</v>
      </c>
      <c r="C62" s="8">
        <f t="shared" si="8"/>
        <v>46113</v>
      </c>
      <c r="D62" s="7">
        <v>3272</v>
      </c>
      <c r="E62" s="7">
        <v>336</v>
      </c>
      <c r="F62" s="7">
        <v>4</v>
      </c>
      <c r="G62" s="7">
        <v>1</v>
      </c>
      <c r="H62" s="7">
        <v>81379</v>
      </c>
      <c r="I62" s="7" t="s">
        <v>16</v>
      </c>
      <c r="J62" s="7">
        <v>15501843</v>
      </c>
      <c r="K62" s="7" t="s">
        <v>90</v>
      </c>
      <c r="L62" s="7" t="s">
        <v>91</v>
      </c>
      <c r="M62" s="9">
        <v>139900</v>
      </c>
      <c r="N62" s="10">
        <f t="shared" si="1"/>
        <v>0.75</v>
      </c>
      <c r="O62" s="9">
        <f t="shared" si="2"/>
        <v>34975</v>
      </c>
      <c r="P62" s="9" t="str">
        <f t="shared" si="5"/>
        <v>PERCENTAGE</v>
      </c>
    </row>
    <row r="63" spans="1:16" s="6" customFormat="1" x14ac:dyDescent="0.25">
      <c r="A63" s="7" t="str">
        <f t="shared" si="3"/>
        <v>2024 ALL D75</v>
      </c>
      <c r="B63" s="8">
        <f t="shared" si="4"/>
        <v>46104</v>
      </c>
      <c r="C63" s="8">
        <f t="shared" si="8"/>
        <v>46113</v>
      </c>
      <c r="D63" s="7">
        <v>3272</v>
      </c>
      <c r="E63" s="7">
        <v>336</v>
      </c>
      <c r="F63" s="7">
        <v>4</v>
      </c>
      <c r="G63" s="7">
        <v>1</v>
      </c>
      <c r="H63" s="7">
        <v>81379</v>
      </c>
      <c r="I63" s="7" t="s">
        <v>16</v>
      </c>
      <c r="J63" s="7">
        <v>15501852</v>
      </c>
      <c r="K63" s="7" t="s">
        <v>90</v>
      </c>
      <c r="L63" s="7" t="s">
        <v>92</v>
      </c>
      <c r="M63" s="9">
        <v>139900</v>
      </c>
      <c r="N63" s="10">
        <f t="shared" si="1"/>
        <v>0.75</v>
      </c>
      <c r="O63" s="9">
        <f t="shared" si="2"/>
        <v>34975</v>
      </c>
      <c r="P63" s="9" t="str">
        <f t="shared" si="5"/>
        <v>PERCENTAGE</v>
      </c>
    </row>
    <row r="64" spans="1:16" s="6" customFormat="1" x14ac:dyDescent="0.25">
      <c r="A64" s="7" t="str">
        <f t="shared" si="3"/>
        <v>2024 ALL D75</v>
      </c>
      <c r="B64" s="8">
        <f t="shared" si="4"/>
        <v>46104</v>
      </c>
      <c r="C64" s="8">
        <f t="shared" si="8"/>
        <v>46113</v>
      </c>
      <c r="D64" s="7">
        <v>3272</v>
      </c>
      <c r="E64" s="7">
        <v>336</v>
      </c>
      <c r="F64" s="7">
        <v>4</v>
      </c>
      <c r="G64" s="7">
        <v>1</v>
      </c>
      <c r="H64" s="7">
        <v>81379</v>
      </c>
      <c r="I64" s="7" t="s">
        <v>16</v>
      </c>
      <c r="J64" s="7">
        <v>15501861</v>
      </c>
      <c r="K64" s="7" t="s">
        <v>90</v>
      </c>
      <c r="L64" s="7" t="s">
        <v>93</v>
      </c>
      <c r="M64" s="9">
        <v>139900</v>
      </c>
      <c r="N64" s="10">
        <f t="shared" si="1"/>
        <v>0.75</v>
      </c>
      <c r="O64" s="9">
        <f t="shared" si="2"/>
        <v>34975</v>
      </c>
      <c r="P64" s="9" t="str">
        <f t="shared" si="5"/>
        <v>PERCENTAGE</v>
      </c>
    </row>
    <row r="65" spans="1:16" s="6" customFormat="1" x14ac:dyDescent="0.25">
      <c r="A65" s="7" t="str">
        <f t="shared" si="3"/>
        <v>2024 ALL D75</v>
      </c>
      <c r="B65" s="8">
        <f t="shared" si="4"/>
        <v>46104</v>
      </c>
      <c r="C65" s="8">
        <f t="shared" si="8"/>
        <v>46113</v>
      </c>
      <c r="D65" s="7">
        <v>3272</v>
      </c>
      <c r="E65" s="7">
        <v>336</v>
      </c>
      <c r="F65" s="7">
        <v>4</v>
      </c>
      <c r="G65" s="7">
        <v>1</v>
      </c>
      <c r="H65" s="7">
        <v>81379</v>
      </c>
      <c r="I65" s="7" t="s">
        <v>16</v>
      </c>
      <c r="J65" s="7">
        <v>15501870</v>
      </c>
      <c r="K65" s="7" t="s">
        <v>90</v>
      </c>
      <c r="L65" s="7" t="s">
        <v>94</v>
      </c>
      <c r="M65" s="9">
        <v>139900</v>
      </c>
      <c r="N65" s="10">
        <f t="shared" si="1"/>
        <v>0.75</v>
      </c>
      <c r="O65" s="9">
        <f t="shared" si="2"/>
        <v>34975</v>
      </c>
      <c r="P65" s="9" t="str">
        <f t="shared" si="5"/>
        <v>PERCENTAGE</v>
      </c>
    </row>
    <row r="66" spans="1:16" s="6" customFormat="1" x14ac:dyDescent="0.25">
      <c r="A66" s="7" t="str">
        <f t="shared" si="3"/>
        <v>2024 ALL D75</v>
      </c>
      <c r="B66" s="8">
        <f t="shared" si="4"/>
        <v>46104</v>
      </c>
      <c r="C66" s="8">
        <f t="shared" si="8"/>
        <v>46113</v>
      </c>
      <c r="D66" s="7">
        <v>3272</v>
      </c>
      <c r="E66" s="7">
        <v>336</v>
      </c>
      <c r="F66" s="7">
        <v>4</v>
      </c>
      <c r="G66" s="7">
        <v>1</v>
      </c>
      <c r="H66" s="7">
        <v>81379</v>
      </c>
      <c r="I66" s="7" t="s">
        <v>16</v>
      </c>
      <c r="J66" s="7">
        <v>15501889</v>
      </c>
      <c r="K66" s="7" t="s">
        <v>90</v>
      </c>
      <c r="L66" s="7" t="s">
        <v>95</v>
      </c>
      <c r="M66" s="9">
        <v>139900</v>
      </c>
      <c r="N66" s="10">
        <f t="shared" si="1"/>
        <v>0.75</v>
      </c>
      <c r="O66" s="9">
        <f t="shared" si="2"/>
        <v>34975</v>
      </c>
      <c r="P66" s="9" t="str">
        <f t="shared" si="5"/>
        <v>PERCENTAGE</v>
      </c>
    </row>
    <row r="67" spans="1:16" s="6" customFormat="1" x14ac:dyDescent="0.25">
      <c r="A67" s="7" t="str">
        <f t="shared" si="3"/>
        <v>2024 ALL D75</v>
      </c>
      <c r="B67" s="8">
        <f t="shared" si="4"/>
        <v>46104</v>
      </c>
      <c r="C67" s="8">
        <f t="shared" ref="C67:C82" si="9">C66</f>
        <v>46113</v>
      </c>
      <c r="D67" s="7">
        <v>3272</v>
      </c>
      <c r="E67" s="7">
        <v>336</v>
      </c>
      <c r="F67" s="7">
        <v>4</v>
      </c>
      <c r="G67" s="7">
        <v>1</v>
      </c>
      <c r="H67" s="7">
        <v>81379</v>
      </c>
      <c r="I67" s="7" t="s">
        <v>16</v>
      </c>
      <c r="J67" s="7">
        <v>15501996</v>
      </c>
      <c r="K67" s="7" t="s">
        <v>96</v>
      </c>
      <c r="L67" s="7" t="s">
        <v>97</v>
      </c>
      <c r="M67" s="9">
        <v>139900</v>
      </c>
      <c r="N67" s="10">
        <f t="shared" ref="N67:N130" si="10">N66</f>
        <v>0.75</v>
      </c>
      <c r="O67" s="9">
        <f t="shared" ref="O67:O130" si="11">M67-((75*M67))/100</f>
        <v>34975</v>
      </c>
      <c r="P67" s="9" t="str">
        <f t="shared" si="5"/>
        <v>PERCENTAGE</v>
      </c>
    </row>
    <row r="68" spans="1:16" s="6" customFormat="1" x14ac:dyDescent="0.25">
      <c r="A68" s="7" t="str">
        <f t="shared" ref="A68:A131" si="12">A67</f>
        <v>2024 ALL D75</v>
      </c>
      <c r="B68" s="8">
        <f t="shared" ref="B68:B131" si="13">B67</f>
        <v>46104</v>
      </c>
      <c r="C68" s="8">
        <f t="shared" si="9"/>
        <v>46113</v>
      </c>
      <c r="D68" s="7">
        <v>3272</v>
      </c>
      <c r="E68" s="7">
        <v>336</v>
      </c>
      <c r="F68" s="7">
        <v>4</v>
      </c>
      <c r="G68" s="7">
        <v>1</v>
      </c>
      <c r="H68" s="7">
        <v>81379</v>
      </c>
      <c r="I68" s="7" t="s">
        <v>16</v>
      </c>
      <c r="J68" s="7">
        <v>15502002</v>
      </c>
      <c r="K68" s="7" t="s">
        <v>96</v>
      </c>
      <c r="L68" s="7" t="s">
        <v>98</v>
      </c>
      <c r="M68" s="9">
        <v>139900</v>
      </c>
      <c r="N68" s="10">
        <f t="shared" si="10"/>
        <v>0.75</v>
      </c>
      <c r="O68" s="9">
        <f t="shared" si="11"/>
        <v>34975</v>
      </c>
      <c r="P68" s="9" t="str">
        <f t="shared" ref="P68:P131" si="14">P67</f>
        <v>PERCENTAGE</v>
      </c>
    </row>
    <row r="69" spans="1:16" s="6" customFormat="1" x14ac:dyDescent="0.25">
      <c r="A69" s="7" t="str">
        <f t="shared" si="12"/>
        <v>2024 ALL D75</v>
      </c>
      <c r="B69" s="8">
        <f t="shared" si="13"/>
        <v>46104</v>
      </c>
      <c r="C69" s="8">
        <f t="shared" si="9"/>
        <v>46113</v>
      </c>
      <c r="D69" s="7">
        <v>3272</v>
      </c>
      <c r="E69" s="7">
        <v>336</v>
      </c>
      <c r="F69" s="7">
        <v>4</v>
      </c>
      <c r="G69" s="7">
        <v>1</v>
      </c>
      <c r="H69" s="7">
        <v>81379</v>
      </c>
      <c r="I69" s="7" t="s">
        <v>16</v>
      </c>
      <c r="J69" s="7">
        <v>15502011</v>
      </c>
      <c r="K69" s="7" t="s">
        <v>96</v>
      </c>
      <c r="L69" s="7" t="s">
        <v>99</v>
      </c>
      <c r="M69" s="9">
        <v>139900</v>
      </c>
      <c r="N69" s="10">
        <f t="shared" si="10"/>
        <v>0.75</v>
      </c>
      <c r="O69" s="9">
        <f t="shared" si="11"/>
        <v>34975</v>
      </c>
      <c r="P69" s="9" t="str">
        <f t="shared" si="14"/>
        <v>PERCENTAGE</v>
      </c>
    </row>
    <row r="70" spans="1:16" s="6" customFormat="1" x14ac:dyDescent="0.25">
      <c r="A70" s="7" t="str">
        <f t="shared" si="12"/>
        <v>2024 ALL D75</v>
      </c>
      <c r="B70" s="8">
        <f t="shared" si="13"/>
        <v>46104</v>
      </c>
      <c r="C70" s="8">
        <f t="shared" si="9"/>
        <v>46113</v>
      </c>
      <c r="D70" s="7">
        <v>3272</v>
      </c>
      <c r="E70" s="7">
        <v>336</v>
      </c>
      <c r="F70" s="7">
        <v>4</v>
      </c>
      <c r="G70" s="7">
        <v>1</v>
      </c>
      <c r="H70" s="7">
        <v>81379</v>
      </c>
      <c r="I70" s="7" t="s">
        <v>16</v>
      </c>
      <c r="J70" s="7">
        <v>15502020</v>
      </c>
      <c r="K70" s="7" t="s">
        <v>96</v>
      </c>
      <c r="L70" s="7" t="s">
        <v>100</v>
      </c>
      <c r="M70" s="9">
        <v>139900</v>
      </c>
      <c r="N70" s="10">
        <f t="shared" si="10"/>
        <v>0.75</v>
      </c>
      <c r="O70" s="9">
        <f t="shared" si="11"/>
        <v>34975</v>
      </c>
      <c r="P70" s="9" t="str">
        <f t="shared" si="14"/>
        <v>PERCENTAGE</v>
      </c>
    </row>
    <row r="71" spans="1:16" s="6" customFormat="1" x14ac:dyDescent="0.25">
      <c r="A71" s="7" t="str">
        <f t="shared" si="12"/>
        <v>2024 ALL D75</v>
      </c>
      <c r="B71" s="8">
        <f t="shared" si="13"/>
        <v>46104</v>
      </c>
      <c r="C71" s="8">
        <f t="shared" si="9"/>
        <v>46113</v>
      </c>
      <c r="D71" s="7">
        <v>3272</v>
      </c>
      <c r="E71" s="7">
        <v>336</v>
      </c>
      <c r="F71" s="7">
        <v>4</v>
      </c>
      <c r="G71" s="7">
        <v>1</v>
      </c>
      <c r="H71" s="7">
        <v>81379</v>
      </c>
      <c r="I71" s="7" t="s">
        <v>16</v>
      </c>
      <c r="J71" s="7">
        <v>15502039</v>
      </c>
      <c r="K71" s="7" t="s">
        <v>96</v>
      </c>
      <c r="L71" s="7" t="s">
        <v>101</v>
      </c>
      <c r="M71" s="9">
        <v>139900</v>
      </c>
      <c r="N71" s="10">
        <f t="shared" si="10"/>
        <v>0.75</v>
      </c>
      <c r="O71" s="9">
        <f t="shared" si="11"/>
        <v>34975</v>
      </c>
      <c r="P71" s="9" t="str">
        <f t="shared" si="14"/>
        <v>PERCENTAGE</v>
      </c>
    </row>
    <row r="72" spans="1:16" s="6" customFormat="1" x14ac:dyDescent="0.25">
      <c r="A72" s="7" t="str">
        <f t="shared" si="12"/>
        <v>2024 ALL D75</v>
      </c>
      <c r="B72" s="8">
        <f t="shared" si="13"/>
        <v>46104</v>
      </c>
      <c r="C72" s="8">
        <f t="shared" si="9"/>
        <v>46113</v>
      </c>
      <c r="D72" s="7">
        <v>3272</v>
      </c>
      <c r="E72" s="7">
        <v>336</v>
      </c>
      <c r="F72" s="7">
        <v>4</v>
      </c>
      <c r="G72" s="7">
        <v>1</v>
      </c>
      <c r="H72" s="7">
        <v>81379</v>
      </c>
      <c r="I72" s="7" t="s">
        <v>16</v>
      </c>
      <c r="J72" s="7">
        <v>15501647</v>
      </c>
      <c r="K72" s="7" t="s">
        <v>102</v>
      </c>
      <c r="L72" s="7" t="s">
        <v>103</v>
      </c>
      <c r="M72" s="9">
        <v>149900</v>
      </c>
      <c r="N72" s="10">
        <f t="shared" si="10"/>
        <v>0.75</v>
      </c>
      <c r="O72" s="9">
        <f t="shared" si="11"/>
        <v>37475</v>
      </c>
      <c r="P72" s="9" t="str">
        <f t="shared" si="14"/>
        <v>PERCENTAGE</v>
      </c>
    </row>
    <row r="73" spans="1:16" s="6" customFormat="1" x14ac:dyDescent="0.25">
      <c r="A73" s="7" t="str">
        <f t="shared" si="12"/>
        <v>2024 ALL D75</v>
      </c>
      <c r="B73" s="8">
        <f t="shared" si="13"/>
        <v>46104</v>
      </c>
      <c r="C73" s="8">
        <f t="shared" si="9"/>
        <v>46113</v>
      </c>
      <c r="D73" s="7">
        <v>3272</v>
      </c>
      <c r="E73" s="7">
        <v>336</v>
      </c>
      <c r="F73" s="7">
        <v>4</v>
      </c>
      <c r="G73" s="7">
        <v>1</v>
      </c>
      <c r="H73" s="7">
        <v>81379</v>
      </c>
      <c r="I73" s="7" t="s">
        <v>16</v>
      </c>
      <c r="J73" s="7">
        <v>15501656</v>
      </c>
      <c r="K73" s="7" t="s">
        <v>102</v>
      </c>
      <c r="L73" s="7" t="s">
        <v>104</v>
      </c>
      <c r="M73" s="9">
        <v>149900</v>
      </c>
      <c r="N73" s="10">
        <f t="shared" si="10"/>
        <v>0.75</v>
      </c>
      <c r="O73" s="9">
        <f t="shared" si="11"/>
        <v>37475</v>
      </c>
      <c r="P73" s="9" t="str">
        <f t="shared" si="14"/>
        <v>PERCENTAGE</v>
      </c>
    </row>
    <row r="74" spans="1:16" s="6" customFormat="1" x14ac:dyDescent="0.25">
      <c r="A74" s="7" t="str">
        <f t="shared" si="12"/>
        <v>2024 ALL D75</v>
      </c>
      <c r="B74" s="8">
        <f t="shared" si="13"/>
        <v>46104</v>
      </c>
      <c r="C74" s="8">
        <f t="shared" si="9"/>
        <v>46113</v>
      </c>
      <c r="D74" s="7">
        <v>3272</v>
      </c>
      <c r="E74" s="7">
        <v>336</v>
      </c>
      <c r="F74" s="7">
        <v>4</v>
      </c>
      <c r="G74" s="7">
        <v>1</v>
      </c>
      <c r="H74" s="7">
        <v>81379</v>
      </c>
      <c r="I74" s="7" t="s">
        <v>16</v>
      </c>
      <c r="J74" s="7">
        <v>15501665</v>
      </c>
      <c r="K74" s="7" t="s">
        <v>102</v>
      </c>
      <c r="L74" s="7" t="s">
        <v>105</v>
      </c>
      <c r="M74" s="9">
        <v>149900</v>
      </c>
      <c r="N74" s="10">
        <f t="shared" si="10"/>
        <v>0.75</v>
      </c>
      <c r="O74" s="9">
        <f t="shared" si="11"/>
        <v>37475</v>
      </c>
      <c r="P74" s="9" t="str">
        <f t="shared" si="14"/>
        <v>PERCENTAGE</v>
      </c>
    </row>
    <row r="75" spans="1:16" s="6" customFormat="1" x14ac:dyDescent="0.25">
      <c r="A75" s="7" t="str">
        <f t="shared" si="12"/>
        <v>2024 ALL D75</v>
      </c>
      <c r="B75" s="8">
        <f t="shared" si="13"/>
        <v>46104</v>
      </c>
      <c r="C75" s="8">
        <f t="shared" si="9"/>
        <v>46113</v>
      </c>
      <c r="D75" s="7">
        <v>3272</v>
      </c>
      <c r="E75" s="7">
        <v>336</v>
      </c>
      <c r="F75" s="7">
        <v>4</v>
      </c>
      <c r="G75" s="7">
        <v>1</v>
      </c>
      <c r="H75" s="7">
        <v>81379</v>
      </c>
      <c r="I75" s="7" t="s">
        <v>16</v>
      </c>
      <c r="J75" s="7">
        <v>15501674</v>
      </c>
      <c r="K75" s="7" t="s">
        <v>102</v>
      </c>
      <c r="L75" s="7" t="s">
        <v>106</v>
      </c>
      <c r="M75" s="9">
        <v>149900</v>
      </c>
      <c r="N75" s="10">
        <f t="shared" si="10"/>
        <v>0.75</v>
      </c>
      <c r="O75" s="9">
        <f t="shared" si="11"/>
        <v>37475</v>
      </c>
      <c r="P75" s="9" t="str">
        <f t="shared" si="14"/>
        <v>PERCENTAGE</v>
      </c>
    </row>
    <row r="76" spans="1:16" s="6" customFormat="1" x14ac:dyDescent="0.25">
      <c r="A76" s="7" t="str">
        <f t="shared" si="12"/>
        <v>2024 ALL D75</v>
      </c>
      <c r="B76" s="8">
        <f t="shared" si="13"/>
        <v>46104</v>
      </c>
      <c r="C76" s="8">
        <f t="shared" si="9"/>
        <v>46113</v>
      </c>
      <c r="D76" s="7">
        <v>3272</v>
      </c>
      <c r="E76" s="7">
        <v>336</v>
      </c>
      <c r="F76" s="7">
        <v>4</v>
      </c>
      <c r="G76" s="7">
        <v>1</v>
      </c>
      <c r="H76" s="7">
        <v>81379</v>
      </c>
      <c r="I76" s="7" t="s">
        <v>16</v>
      </c>
      <c r="J76" s="7">
        <v>15501683</v>
      </c>
      <c r="K76" s="7" t="s">
        <v>102</v>
      </c>
      <c r="L76" s="7" t="s">
        <v>107</v>
      </c>
      <c r="M76" s="9">
        <v>149900</v>
      </c>
      <c r="N76" s="10">
        <f t="shared" si="10"/>
        <v>0.75</v>
      </c>
      <c r="O76" s="9">
        <f t="shared" si="11"/>
        <v>37475</v>
      </c>
      <c r="P76" s="9" t="str">
        <f t="shared" si="14"/>
        <v>PERCENTAGE</v>
      </c>
    </row>
    <row r="77" spans="1:16" s="6" customFormat="1" x14ac:dyDescent="0.25">
      <c r="A77" s="7" t="str">
        <f t="shared" si="12"/>
        <v>2024 ALL D75</v>
      </c>
      <c r="B77" s="8">
        <f t="shared" si="13"/>
        <v>46104</v>
      </c>
      <c r="C77" s="8">
        <f t="shared" si="9"/>
        <v>46113</v>
      </c>
      <c r="D77" s="7">
        <v>3272</v>
      </c>
      <c r="E77" s="7">
        <v>336</v>
      </c>
      <c r="F77" s="7">
        <v>4</v>
      </c>
      <c r="G77" s="7">
        <v>1</v>
      </c>
      <c r="H77" s="7">
        <v>81379</v>
      </c>
      <c r="I77" s="7" t="s">
        <v>16</v>
      </c>
      <c r="J77" s="7">
        <v>15501898</v>
      </c>
      <c r="K77" s="7" t="s">
        <v>108</v>
      </c>
      <c r="L77" s="7" t="s">
        <v>109</v>
      </c>
      <c r="M77" s="9">
        <v>149900</v>
      </c>
      <c r="N77" s="10">
        <f t="shared" si="10"/>
        <v>0.75</v>
      </c>
      <c r="O77" s="9">
        <f t="shared" si="11"/>
        <v>37475</v>
      </c>
      <c r="P77" s="9" t="str">
        <f t="shared" si="14"/>
        <v>PERCENTAGE</v>
      </c>
    </row>
    <row r="78" spans="1:16" s="6" customFormat="1" x14ac:dyDescent="0.25">
      <c r="A78" s="7" t="str">
        <f t="shared" si="12"/>
        <v>2024 ALL D75</v>
      </c>
      <c r="B78" s="8">
        <f t="shared" si="13"/>
        <v>46104</v>
      </c>
      <c r="C78" s="8">
        <f t="shared" si="9"/>
        <v>46113</v>
      </c>
      <c r="D78" s="7">
        <v>3272</v>
      </c>
      <c r="E78" s="7">
        <v>336</v>
      </c>
      <c r="F78" s="7">
        <v>4</v>
      </c>
      <c r="G78" s="7">
        <v>1</v>
      </c>
      <c r="H78" s="7">
        <v>81379</v>
      </c>
      <c r="I78" s="7" t="s">
        <v>16</v>
      </c>
      <c r="J78" s="7">
        <v>15501905</v>
      </c>
      <c r="K78" s="7" t="s">
        <v>108</v>
      </c>
      <c r="L78" s="7" t="s">
        <v>110</v>
      </c>
      <c r="M78" s="9">
        <v>149900</v>
      </c>
      <c r="N78" s="10">
        <f t="shared" si="10"/>
        <v>0.75</v>
      </c>
      <c r="O78" s="9">
        <f t="shared" si="11"/>
        <v>37475</v>
      </c>
      <c r="P78" s="9" t="str">
        <f t="shared" si="14"/>
        <v>PERCENTAGE</v>
      </c>
    </row>
    <row r="79" spans="1:16" s="6" customFormat="1" x14ac:dyDescent="0.25">
      <c r="A79" s="7" t="str">
        <f t="shared" si="12"/>
        <v>2024 ALL D75</v>
      </c>
      <c r="B79" s="8">
        <f t="shared" si="13"/>
        <v>46104</v>
      </c>
      <c r="C79" s="8">
        <f t="shared" si="9"/>
        <v>46113</v>
      </c>
      <c r="D79" s="7">
        <v>3272</v>
      </c>
      <c r="E79" s="7">
        <v>336</v>
      </c>
      <c r="F79" s="7">
        <v>4</v>
      </c>
      <c r="G79" s="7">
        <v>1</v>
      </c>
      <c r="H79" s="7">
        <v>81379</v>
      </c>
      <c r="I79" s="7" t="s">
        <v>16</v>
      </c>
      <c r="J79" s="7">
        <v>15501914</v>
      </c>
      <c r="K79" s="7" t="s">
        <v>108</v>
      </c>
      <c r="L79" s="7" t="s">
        <v>111</v>
      </c>
      <c r="M79" s="9">
        <v>149900</v>
      </c>
      <c r="N79" s="10">
        <f t="shared" si="10"/>
        <v>0.75</v>
      </c>
      <c r="O79" s="9">
        <f t="shared" si="11"/>
        <v>37475</v>
      </c>
      <c r="P79" s="9" t="str">
        <f t="shared" si="14"/>
        <v>PERCENTAGE</v>
      </c>
    </row>
    <row r="80" spans="1:16" s="6" customFormat="1" x14ac:dyDescent="0.25">
      <c r="A80" s="7" t="str">
        <f t="shared" si="12"/>
        <v>2024 ALL D75</v>
      </c>
      <c r="B80" s="8">
        <f t="shared" si="13"/>
        <v>46104</v>
      </c>
      <c r="C80" s="8">
        <f t="shared" si="9"/>
        <v>46113</v>
      </c>
      <c r="D80" s="7">
        <v>3272</v>
      </c>
      <c r="E80" s="7">
        <v>336</v>
      </c>
      <c r="F80" s="7">
        <v>4</v>
      </c>
      <c r="G80" s="7">
        <v>1</v>
      </c>
      <c r="H80" s="7">
        <v>81379</v>
      </c>
      <c r="I80" s="7" t="s">
        <v>16</v>
      </c>
      <c r="J80" s="7">
        <v>15501923</v>
      </c>
      <c r="K80" s="7" t="s">
        <v>108</v>
      </c>
      <c r="L80" s="7" t="s">
        <v>112</v>
      </c>
      <c r="M80" s="9">
        <v>149900</v>
      </c>
      <c r="N80" s="10">
        <f t="shared" si="10"/>
        <v>0.75</v>
      </c>
      <c r="O80" s="9">
        <f t="shared" si="11"/>
        <v>37475</v>
      </c>
      <c r="P80" s="9" t="str">
        <f t="shared" si="14"/>
        <v>PERCENTAGE</v>
      </c>
    </row>
    <row r="81" spans="1:16" s="6" customFormat="1" x14ac:dyDescent="0.25">
      <c r="A81" s="7" t="str">
        <f t="shared" si="12"/>
        <v>2024 ALL D75</v>
      </c>
      <c r="B81" s="8">
        <f t="shared" si="13"/>
        <v>46104</v>
      </c>
      <c r="C81" s="8">
        <f t="shared" si="9"/>
        <v>46113</v>
      </c>
      <c r="D81" s="7">
        <v>3272</v>
      </c>
      <c r="E81" s="7">
        <v>336</v>
      </c>
      <c r="F81" s="7">
        <v>4</v>
      </c>
      <c r="G81" s="7">
        <v>1</v>
      </c>
      <c r="H81" s="7">
        <v>81379</v>
      </c>
      <c r="I81" s="7" t="s">
        <v>16</v>
      </c>
      <c r="J81" s="7">
        <v>15501932</v>
      </c>
      <c r="K81" s="7" t="s">
        <v>108</v>
      </c>
      <c r="L81" s="7" t="s">
        <v>113</v>
      </c>
      <c r="M81" s="9">
        <v>149900</v>
      </c>
      <c r="N81" s="10">
        <f t="shared" si="10"/>
        <v>0.75</v>
      </c>
      <c r="O81" s="9">
        <f t="shared" si="11"/>
        <v>37475</v>
      </c>
      <c r="P81" s="9" t="str">
        <f t="shared" si="14"/>
        <v>PERCENTAGE</v>
      </c>
    </row>
    <row r="82" spans="1:16" s="6" customFormat="1" x14ac:dyDescent="0.25">
      <c r="A82" s="7" t="str">
        <f t="shared" si="12"/>
        <v>2024 ALL D75</v>
      </c>
      <c r="B82" s="8">
        <f t="shared" si="13"/>
        <v>46104</v>
      </c>
      <c r="C82" s="8">
        <f t="shared" si="9"/>
        <v>46113</v>
      </c>
      <c r="D82" s="7">
        <v>3272</v>
      </c>
      <c r="E82" s="7">
        <v>336</v>
      </c>
      <c r="F82" s="7">
        <v>4</v>
      </c>
      <c r="G82" s="7">
        <v>1</v>
      </c>
      <c r="H82" s="7">
        <v>81379</v>
      </c>
      <c r="I82" s="7" t="s">
        <v>16</v>
      </c>
      <c r="J82" s="7">
        <v>15502048</v>
      </c>
      <c r="K82" s="7" t="s">
        <v>114</v>
      </c>
      <c r="L82" s="7" t="s">
        <v>115</v>
      </c>
      <c r="M82" s="9">
        <v>149900</v>
      </c>
      <c r="N82" s="10">
        <f t="shared" si="10"/>
        <v>0.75</v>
      </c>
      <c r="O82" s="9">
        <f t="shared" si="11"/>
        <v>37475</v>
      </c>
      <c r="P82" s="9" t="str">
        <f t="shared" si="14"/>
        <v>PERCENTAGE</v>
      </c>
    </row>
    <row r="83" spans="1:16" s="6" customFormat="1" x14ac:dyDescent="0.25">
      <c r="A83" s="7" t="str">
        <f t="shared" si="12"/>
        <v>2024 ALL D75</v>
      </c>
      <c r="B83" s="8">
        <f t="shared" si="13"/>
        <v>46104</v>
      </c>
      <c r="C83" s="8">
        <f t="shared" ref="C83:C98" si="15">C82</f>
        <v>46113</v>
      </c>
      <c r="D83" s="7">
        <v>3272</v>
      </c>
      <c r="E83" s="7">
        <v>336</v>
      </c>
      <c r="F83" s="7">
        <v>4</v>
      </c>
      <c r="G83" s="7">
        <v>1</v>
      </c>
      <c r="H83" s="7">
        <v>81379</v>
      </c>
      <c r="I83" s="7" t="s">
        <v>16</v>
      </c>
      <c r="J83" s="7">
        <v>15502057</v>
      </c>
      <c r="K83" s="7" t="s">
        <v>114</v>
      </c>
      <c r="L83" s="7" t="s">
        <v>116</v>
      </c>
      <c r="M83" s="9">
        <v>149900</v>
      </c>
      <c r="N83" s="10">
        <f t="shared" si="10"/>
        <v>0.75</v>
      </c>
      <c r="O83" s="9">
        <f t="shared" si="11"/>
        <v>37475</v>
      </c>
      <c r="P83" s="9" t="str">
        <f t="shared" si="14"/>
        <v>PERCENTAGE</v>
      </c>
    </row>
    <row r="84" spans="1:16" s="6" customFormat="1" x14ac:dyDescent="0.25">
      <c r="A84" s="7" t="str">
        <f t="shared" si="12"/>
        <v>2024 ALL D75</v>
      </c>
      <c r="B84" s="8">
        <f t="shared" si="13"/>
        <v>46104</v>
      </c>
      <c r="C84" s="8">
        <f t="shared" si="15"/>
        <v>46113</v>
      </c>
      <c r="D84" s="7">
        <v>3272</v>
      </c>
      <c r="E84" s="7">
        <v>336</v>
      </c>
      <c r="F84" s="7">
        <v>4</v>
      </c>
      <c r="G84" s="7">
        <v>1</v>
      </c>
      <c r="H84" s="7">
        <v>81379</v>
      </c>
      <c r="I84" s="7" t="s">
        <v>16</v>
      </c>
      <c r="J84" s="7">
        <v>15502066</v>
      </c>
      <c r="K84" s="7" t="s">
        <v>114</v>
      </c>
      <c r="L84" s="7" t="s">
        <v>117</v>
      </c>
      <c r="M84" s="9">
        <v>149900</v>
      </c>
      <c r="N84" s="10">
        <f t="shared" si="10"/>
        <v>0.75</v>
      </c>
      <c r="O84" s="9">
        <f t="shared" si="11"/>
        <v>37475</v>
      </c>
      <c r="P84" s="9" t="str">
        <f t="shared" si="14"/>
        <v>PERCENTAGE</v>
      </c>
    </row>
    <row r="85" spans="1:16" s="6" customFormat="1" x14ac:dyDescent="0.25">
      <c r="A85" s="7" t="str">
        <f t="shared" si="12"/>
        <v>2024 ALL D75</v>
      </c>
      <c r="B85" s="8">
        <f t="shared" si="13"/>
        <v>46104</v>
      </c>
      <c r="C85" s="8">
        <f t="shared" si="15"/>
        <v>46113</v>
      </c>
      <c r="D85" s="7">
        <v>3272</v>
      </c>
      <c r="E85" s="7">
        <v>336</v>
      </c>
      <c r="F85" s="7">
        <v>4</v>
      </c>
      <c r="G85" s="7">
        <v>1</v>
      </c>
      <c r="H85" s="7">
        <v>81379</v>
      </c>
      <c r="I85" s="7" t="s">
        <v>16</v>
      </c>
      <c r="J85" s="7">
        <v>15502075</v>
      </c>
      <c r="K85" s="7" t="s">
        <v>114</v>
      </c>
      <c r="L85" s="7" t="s">
        <v>118</v>
      </c>
      <c r="M85" s="9">
        <v>149900</v>
      </c>
      <c r="N85" s="10">
        <f t="shared" si="10"/>
        <v>0.75</v>
      </c>
      <c r="O85" s="9">
        <f t="shared" si="11"/>
        <v>37475</v>
      </c>
      <c r="P85" s="9" t="str">
        <f t="shared" si="14"/>
        <v>PERCENTAGE</v>
      </c>
    </row>
    <row r="86" spans="1:16" s="6" customFormat="1" x14ac:dyDescent="0.25">
      <c r="A86" s="7" t="str">
        <f t="shared" si="12"/>
        <v>2024 ALL D75</v>
      </c>
      <c r="B86" s="8">
        <f t="shared" si="13"/>
        <v>46104</v>
      </c>
      <c r="C86" s="8">
        <f t="shared" si="15"/>
        <v>46113</v>
      </c>
      <c r="D86" s="7">
        <v>3272</v>
      </c>
      <c r="E86" s="7">
        <v>336</v>
      </c>
      <c r="F86" s="7">
        <v>4</v>
      </c>
      <c r="G86" s="7">
        <v>1</v>
      </c>
      <c r="H86" s="7">
        <v>81379</v>
      </c>
      <c r="I86" s="7" t="s">
        <v>16</v>
      </c>
      <c r="J86" s="7">
        <v>15502084</v>
      </c>
      <c r="K86" s="7" t="s">
        <v>114</v>
      </c>
      <c r="L86" s="7" t="s">
        <v>119</v>
      </c>
      <c r="M86" s="9">
        <v>149900</v>
      </c>
      <c r="N86" s="10">
        <f t="shared" si="10"/>
        <v>0.75</v>
      </c>
      <c r="O86" s="9">
        <f t="shared" si="11"/>
        <v>37475</v>
      </c>
      <c r="P86" s="9" t="str">
        <f t="shared" si="14"/>
        <v>PERCENTAGE</v>
      </c>
    </row>
    <row r="87" spans="1:16" s="6" customFormat="1" x14ac:dyDescent="0.25">
      <c r="A87" s="7" t="str">
        <f t="shared" si="12"/>
        <v>2024 ALL D75</v>
      </c>
      <c r="B87" s="8">
        <f t="shared" si="13"/>
        <v>46104</v>
      </c>
      <c r="C87" s="8">
        <f t="shared" si="15"/>
        <v>46113</v>
      </c>
      <c r="D87" s="7">
        <v>3272</v>
      </c>
      <c r="E87" s="7">
        <v>336</v>
      </c>
      <c r="F87" s="7">
        <v>4</v>
      </c>
      <c r="G87" s="7">
        <v>1</v>
      </c>
      <c r="H87" s="7">
        <v>81379</v>
      </c>
      <c r="I87" s="7" t="s">
        <v>16</v>
      </c>
      <c r="J87" s="7">
        <v>15502191</v>
      </c>
      <c r="K87" s="7" t="s">
        <v>120</v>
      </c>
      <c r="L87" s="7" t="s">
        <v>121</v>
      </c>
      <c r="M87" s="9">
        <v>149900</v>
      </c>
      <c r="N87" s="10">
        <f t="shared" si="10"/>
        <v>0.75</v>
      </c>
      <c r="O87" s="9">
        <f t="shared" si="11"/>
        <v>37475</v>
      </c>
      <c r="P87" s="9" t="str">
        <f t="shared" si="14"/>
        <v>PERCENTAGE</v>
      </c>
    </row>
    <row r="88" spans="1:16" s="6" customFormat="1" x14ac:dyDescent="0.25">
      <c r="A88" s="7" t="str">
        <f t="shared" si="12"/>
        <v>2024 ALL D75</v>
      </c>
      <c r="B88" s="8">
        <f t="shared" si="13"/>
        <v>46104</v>
      </c>
      <c r="C88" s="8">
        <f t="shared" si="15"/>
        <v>46113</v>
      </c>
      <c r="D88" s="7">
        <v>3272</v>
      </c>
      <c r="E88" s="7">
        <v>336</v>
      </c>
      <c r="F88" s="7">
        <v>4</v>
      </c>
      <c r="G88" s="7">
        <v>1</v>
      </c>
      <c r="H88" s="7">
        <v>81379</v>
      </c>
      <c r="I88" s="7" t="s">
        <v>16</v>
      </c>
      <c r="J88" s="7">
        <v>15502208</v>
      </c>
      <c r="K88" s="7" t="s">
        <v>120</v>
      </c>
      <c r="L88" s="7" t="s">
        <v>122</v>
      </c>
      <c r="M88" s="9">
        <v>149900</v>
      </c>
      <c r="N88" s="10">
        <f t="shared" si="10"/>
        <v>0.75</v>
      </c>
      <c r="O88" s="9">
        <f t="shared" si="11"/>
        <v>37475</v>
      </c>
      <c r="P88" s="9" t="str">
        <f t="shared" si="14"/>
        <v>PERCENTAGE</v>
      </c>
    </row>
    <row r="89" spans="1:16" s="6" customFormat="1" x14ac:dyDescent="0.25">
      <c r="A89" s="7" t="str">
        <f t="shared" si="12"/>
        <v>2024 ALL D75</v>
      </c>
      <c r="B89" s="8">
        <f t="shared" si="13"/>
        <v>46104</v>
      </c>
      <c r="C89" s="8">
        <f t="shared" si="15"/>
        <v>46113</v>
      </c>
      <c r="D89" s="7">
        <v>3272</v>
      </c>
      <c r="E89" s="7">
        <v>336</v>
      </c>
      <c r="F89" s="7">
        <v>4</v>
      </c>
      <c r="G89" s="7">
        <v>1</v>
      </c>
      <c r="H89" s="7">
        <v>81379</v>
      </c>
      <c r="I89" s="7" t="s">
        <v>16</v>
      </c>
      <c r="J89" s="7">
        <v>15502217</v>
      </c>
      <c r="K89" s="7" t="s">
        <v>120</v>
      </c>
      <c r="L89" s="7" t="s">
        <v>123</v>
      </c>
      <c r="M89" s="9">
        <v>149900</v>
      </c>
      <c r="N89" s="10">
        <f t="shared" si="10"/>
        <v>0.75</v>
      </c>
      <c r="O89" s="9">
        <f t="shared" si="11"/>
        <v>37475</v>
      </c>
      <c r="P89" s="9" t="str">
        <f t="shared" si="14"/>
        <v>PERCENTAGE</v>
      </c>
    </row>
    <row r="90" spans="1:16" s="6" customFormat="1" x14ac:dyDescent="0.25">
      <c r="A90" s="7" t="str">
        <f t="shared" si="12"/>
        <v>2024 ALL D75</v>
      </c>
      <c r="B90" s="8">
        <f t="shared" si="13"/>
        <v>46104</v>
      </c>
      <c r="C90" s="8">
        <f t="shared" si="15"/>
        <v>46113</v>
      </c>
      <c r="D90" s="7">
        <v>3272</v>
      </c>
      <c r="E90" s="7">
        <v>336</v>
      </c>
      <c r="F90" s="7">
        <v>4</v>
      </c>
      <c r="G90" s="7">
        <v>1</v>
      </c>
      <c r="H90" s="7">
        <v>81379</v>
      </c>
      <c r="I90" s="7" t="s">
        <v>16</v>
      </c>
      <c r="J90" s="7">
        <v>15502226</v>
      </c>
      <c r="K90" s="7" t="s">
        <v>120</v>
      </c>
      <c r="L90" s="7" t="s">
        <v>124</v>
      </c>
      <c r="M90" s="9">
        <v>149900</v>
      </c>
      <c r="N90" s="10">
        <f t="shared" si="10"/>
        <v>0.75</v>
      </c>
      <c r="O90" s="9">
        <f t="shared" si="11"/>
        <v>37475</v>
      </c>
      <c r="P90" s="9" t="str">
        <f t="shared" si="14"/>
        <v>PERCENTAGE</v>
      </c>
    </row>
    <row r="91" spans="1:16" s="6" customFormat="1" x14ac:dyDescent="0.25">
      <c r="A91" s="7" t="str">
        <f t="shared" si="12"/>
        <v>2024 ALL D75</v>
      </c>
      <c r="B91" s="8">
        <f t="shared" si="13"/>
        <v>46104</v>
      </c>
      <c r="C91" s="8">
        <f t="shared" si="15"/>
        <v>46113</v>
      </c>
      <c r="D91" s="7">
        <v>3272</v>
      </c>
      <c r="E91" s="7">
        <v>336</v>
      </c>
      <c r="F91" s="7">
        <v>4</v>
      </c>
      <c r="G91" s="7">
        <v>1</v>
      </c>
      <c r="H91" s="7">
        <v>81379</v>
      </c>
      <c r="I91" s="7" t="s">
        <v>16</v>
      </c>
      <c r="J91" s="7">
        <v>15502235</v>
      </c>
      <c r="K91" s="7" t="s">
        <v>120</v>
      </c>
      <c r="L91" s="7" t="s">
        <v>125</v>
      </c>
      <c r="M91" s="9">
        <v>149900</v>
      </c>
      <c r="N91" s="10">
        <f t="shared" si="10"/>
        <v>0.75</v>
      </c>
      <c r="O91" s="9">
        <f t="shared" si="11"/>
        <v>37475</v>
      </c>
      <c r="P91" s="9" t="str">
        <f t="shared" si="14"/>
        <v>PERCENTAGE</v>
      </c>
    </row>
    <row r="92" spans="1:16" s="6" customFormat="1" x14ac:dyDescent="0.25">
      <c r="A92" s="7" t="str">
        <f t="shared" si="12"/>
        <v>2024 ALL D75</v>
      </c>
      <c r="B92" s="8">
        <f t="shared" si="13"/>
        <v>46104</v>
      </c>
      <c r="C92" s="8">
        <f t="shared" si="15"/>
        <v>46113</v>
      </c>
      <c r="D92" s="7">
        <v>3272</v>
      </c>
      <c r="E92" s="7">
        <v>336</v>
      </c>
      <c r="F92" s="7">
        <v>4</v>
      </c>
      <c r="G92" s="7">
        <v>3</v>
      </c>
      <c r="H92" s="7">
        <v>81379</v>
      </c>
      <c r="I92" s="7" t="s">
        <v>16</v>
      </c>
      <c r="J92" s="7">
        <v>15501692</v>
      </c>
      <c r="K92" s="7" t="s">
        <v>126</v>
      </c>
      <c r="L92" s="7" t="s">
        <v>127</v>
      </c>
      <c r="M92" s="9">
        <v>239900</v>
      </c>
      <c r="N92" s="10">
        <f t="shared" si="10"/>
        <v>0.75</v>
      </c>
      <c r="O92" s="9">
        <f t="shared" si="11"/>
        <v>59975</v>
      </c>
      <c r="P92" s="9" t="str">
        <f t="shared" si="14"/>
        <v>PERCENTAGE</v>
      </c>
    </row>
    <row r="93" spans="1:16" s="6" customFormat="1" x14ac:dyDescent="0.25">
      <c r="A93" s="7" t="str">
        <f t="shared" si="12"/>
        <v>2024 ALL D75</v>
      </c>
      <c r="B93" s="8">
        <f t="shared" si="13"/>
        <v>46104</v>
      </c>
      <c r="C93" s="8">
        <f t="shared" si="15"/>
        <v>46113</v>
      </c>
      <c r="D93" s="7">
        <v>3272</v>
      </c>
      <c r="E93" s="7">
        <v>336</v>
      </c>
      <c r="F93" s="7">
        <v>4</v>
      </c>
      <c r="G93" s="7">
        <v>3</v>
      </c>
      <c r="H93" s="7">
        <v>81379</v>
      </c>
      <c r="I93" s="7" t="s">
        <v>16</v>
      </c>
      <c r="J93" s="7">
        <v>15501709</v>
      </c>
      <c r="K93" s="7" t="s">
        <v>126</v>
      </c>
      <c r="L93" s="7" t="s">
        <v>128</v>
      </c>
      <c r="M93" s="9">
        <v>239900</v>
      </c>
      <c r="N93" s="10">
        <f t="shared" si="10"/>
        <v>0.75</v>
      </c>
      <c r="O93" s="9">
        <f t="shared" si="11"/>
        <v>59975</v>
      </c>
      <c r="P93" s="9" t="str">
        <f t="shared" si="14"/>
        <v>PERCENTAGE</v>
      </c>
    </row>
    <row r="94" spans="1:16" s="6" customFormat="1" x14ac:dyDescent="0.25">
      <c r="A94" s="7" t="str">
        <f t="shared" si="12"/>
        <v>2024 ALL D75</v>
      </c>
      <c r="B94" s="8">
        <f t="shared" si="13"/>
        <v>46104</v>
      </c>
      <c r="C94" s="8">
        <f t="shared" si="15"/>
        <v>46113</v>
      </c>
      <c r="D94" s="7">
        <v>3272</v>
      </c>
      <c r="E94" s="7">
        <v>336</v>
      </c>
      <c r="F94" s="7">
        <v>4</v>
      </c>
      <c r="G94" s="7">
        <v>3</v>
      </c>
      <c r="H94" s="7">
        <v>81379</v>
      </c>
      <c r="I94" s="7" t="s">
        <v>16</v>
      </c>
      <c r="J94" s="7">
        <v>15501718</v>
      </c>
      <c r="K94" s="7" t="s">
        <v>126</v>
      </c>
      <c r="L94" s="7" t="s">
        <v>129</v>
      </c>
      <c r="M94" s="9">
        <v>239900</v>
      </c>
      <c r="N94" s="10">
        <f t="shared" si="10"/>
        <v>0.75</v>
      </c>
      <c r="O94" s="9">
        <f t="shared" si="11"/>
        <v>59975</v>
      </c>
      <c r="P94" s="9" t="str">
        <f t="shared" si="14"/>
        <v>PERCENTAGE</v>
      </c>
    </row>
    <row r="95" spans="1:16" s="6" customFormat="1" x14ac:dyDescent="0.25">
      <c r="A95" s="7" t="str">
        <f t="shared" si="12"/>
        <v>2024 ALL D75</v>
      </c>
      <c r="B95" s="8">
        <f t="shared" si="13"/>
        <v>46104</v>
      </c>
      <c r="C95" s="8">
        <f t="shared" si="15"/>
        <v>46113</v>
      </c>
      <c r="D95" s="7">
        <v>3272</v>
      </c>
      <c r="E95" s="7">
        <v>336</v>
      </c>
      <c r="F95" s="7">
        <v>4</v>
      </c>
      <c r="G95" s="7">
        <v>3</v>
      </c>
      <c r="H95" s="7">
        <v>81379</v>
      </c>
      <c r="I95" s="7" t="s">
        <v>16</v>
      </c>
      <c r="J95" s="7">
        <v>15501727</v>
      </c>
      <c r="K95" s="7" t="s">
        <v>126</v>
      </c>
      <c r="L95" s="7" t="s">
        <v>130</v>
      </c>
      <c r="M95" s="9">
        <v>239900</v>
      </c>
      <c r="N95" s="10">
        <f t="shared" si="10"/>
        <v>0.75</v>
      </c>
      <c r="O95" s="9">
        <f t="shared" si="11"/>
        <v>59975</v>
      </c>
      <c r="P95" s="9" t="str">
        <f t="shared" si="14"/>
        <v>PERCENTAGE</v>
      </c>
    </row>
    <row r="96" spans="1:16" s="6" customFormat="1" x14ac:dyDescent="0.25">
      <c r="A96" s="7" t="str">
        <f t="shared" si="12"/>
        <v>2024 ALL D75</v>
      </c>
      <c r="B96" s="8">
        <f t="shared" si="13"/>
        <v>46104</v>
      </c>
      <c r="C96" s="8">
        <f t="shared" si="15"/>
        <v>46113</v>
      </c>
      <c r="D96" s="7">
        <v>3272</v>
      </c>
      <c r="E96" s="7">
        <v>336</v>
      </c>
      <c r="F96" s="7">
        <v>4</v>
      </c>
      <c r="G96" s="7">
        <v>3</v>
      </c>
      <c r="H96" s="7">
        <v>81379</v>
      </c>
      <c r="I96" s="7" t="s">
        <v>16</v>
      </c>
      <c r="J96" s="7">
        <v>15501736</v>
      </c>
      <c r="K96" s="7" t="s">
        <v>126</v>
      </c>
      <c r="L96" s="7" t="s">
        <v>131</v>
      </c>
      <c r="M96" s="9">
        <v>239900</v>
      </c>
      <c r="N96" s="10">
        <f t="shared" si="10"/>
        <v>0.75</v>
      </c>
      <c r="O96" s="9">
        <f t="shared" si="11"/>
        <v>59975</v>
      </c>
      <c r="P96" s="9" t="str">
        <f t="shared" si="14"/>
        <v>PERCENTAGE</v>
      </c>
    </row>
    <row r="97" spans="1:16" s="6" customFormat="1" x14ac:dyDescent="0.25">
      <c r="A97" s="7" t="str">
        <f t="shared" si="12"/>
        <v>2024 ALL D75</v>
      </c>
      <c r="B97" s="8">
        <f t="shared" si="13"/>
        <v>46104</v>
      </c>
      <c r="C97" s="8">
        <f t="shared" si="15"/>
        <v>46113</v>
      </c>
      <c r="D97" s="7">
        <v>3272</v>
      </c>
      <c r="E97" s="7">
        <v>336</v>
      </c>
      <c r="F97" s="7">
        <v>4</v>
      </c>
      <c r="G97" s="7">
        <v>4</v>
      </c>
      <c r="H97" s="7">
        <v>81379</v>
      </c>
      <c r="I97" s="7" t="s">
        <v>16</v>
      </c>
      <c r="J97" s="7">
        <v>15501745</v>
      </c>
      <c r="K97" s="7" t="s">
        <v>132</v>
      </c>
      <c r="L97" s="7" t="s">
        <v>133</v>
      </c>
      <c r="M97" s="9">
        <v>159900</v>
      </c>
      <c r="N97" s="10">
        <f t="shared" si="10"/>
        <v>0.75</v>
      </c>
      <c r="O97" s="9">
        <f t="shared" si="11"/>
        <v>39975</v>
      </c>
      <c r="P97" s="9" t="str">
        <f t="shared" si="14"/>
        <v>PERCENTAGE</v>
      </c>
    </row>
    <row r="98" spans="1:16" s="6" customFormat="1" x14ac:dyDescent="0.25">
      <c r="A98" s="7" t="str">
        <f t="shared" si="12"/>
        <v>2024 ALL D75</v>
      </c>
      <c r="B98" s="8">
        <f t="shared" si="13"/>
        <v>46104</v>
      </c>
      <c r="C98" s="8">
        <f t="shared" si="15"/>
        <v>46113</v>
      </c>
      <c r="D98" s="7">
        <v>3272</v>
      </c>
      <c r="E98" s="7">
        <v>336</v>
      </c>
      <c r="F98" s="7">
        <v>4</v>
      </c>
      <c r="G98" s="7">
        <v>4</v>
      </c>
      <c r="H98" s="7">
        <v>81379</v>
      </c>
      <c r="I98" s="7" t="s">
        <v>16</v>
      </c>
      <c r="J98" s="7">
        <v>15501754</v>
      </c>
      <c r="K98" s="7" t="s">
        <v>132</v>
      </c>
      <c r="L98" s="7" t="s">
        <v>134</v>
      </c>
      <c r="M98" s="9">
        <v>159900</v>
      </c>
      <c r="N98" s="10">
        <f t="shared" si="10"/>
        <v>0.75</v>
      </c>
      <c r="O98" s="9">
        <f t="shared" si="11"/>
        <v>39975</v>
      </c>
      <c r="P98" s="9" t="str">
        <f t="shared" si="14"/>
        <v>PERCENTAGE</v>
      </c>
    </row>
    <row r="99" spans="1:16" s="6" customFormat="1" x14ac:dyDescent="0.25">
      <c r="A99" s="7" t="str">
        <f t="shared" si="12"/>
        <v>2024 ALL D75</v>
      </c>
      <c r="B99" s="8">
        <f t="shared" si="13"/>
        <v>46104</v>
      </c>
      <c r="C99" s="8">
        <f t="shared" ref="C99:C114" si="16">C98</f>
        <v>46113</v>
      </c>
      <c r="D99" s="7">
        <v>3272</v>
      </c>
      <c r="E99" s="7">
        <v>336</v>
      </c>
      <c r="F99" s="7">
        <v>4</v>
      </c>
      <c r="G99" s="7">
        <v>4</v>
      </c>
      <c r="H99" s="7">
        <v>81379</v>
      </c>
      <c r="I99" s="7" t="s">
        <v>16</v>
      </c>
      <c r="J99" s="7">
        <v>15501763</v>
      </c>
      <c r="K99" s="7" t="s">
        <v>132</v>
      </c>
      <c r="L99" s="7" t="s">
        <v>135</v>
      </c>
      <c r="M99" s="9">
        <v>159900</v>
      </c>
      <c r="N99" s="10">
        <f t="shared" si="10"/>
        <v>0.75</v>
      </c>
      <c r="O99" s="9">
        <f t="shared" si="11"/>
        <v>39975</v>
      </c>
      <c r="P99" s="9" t="str">
        <f t="shared" si="14"/>
        <v>PERCENTAGE</v>
      </c>
    </row>
    <row r="100" spans="1:16" s="6" customFormat="1" x14ac:dyDescent="0.25">
      <c r="A100" s="7" t="str">
        <f t="shared" si="12"/>
        <v>2024 ALL D75</v>
      </c>
      <c r="B100" s="8">
        <f t="shared" si="13"/>
        <v>46104</v>
      </c>
      <c r="C100" s="8">
        <f t="shared" si="16"/>
        <v>46113</v>
      </c>
      <c r="D100" s="7">
        <v>3272</v>
      </c>
      <c r="E100" s="7">
        <v>336</v>
      </c>
      <c r="F100" s="7">
        <v>4</v>
      </c>
      <c r="G100" s="7">
        <v>4</v>
      </c>
      <c r="H100" s="7">
        <v>81379</v>
      </c>
      <c r="I100" s="7" t="s">
        <v>16</v>
      </c>
      <c r="J100" s="7">
        <v>15501772</v>
      </c>
      <c r="K100" s="7" t="s">
        <v>132</v>
      </c>
      <c r="L100" s="7" t="s">
        <v>136</v>
      </c>
      <c r="M100" s="9">
        <v>159900</v>
      </c>
      <c r="N100" s="10">
        <f t="shared" si="10"/>
        <v>0.75</v>
      </c>
      <c r="O100" s="9">
        <f t="shared" si="11"/>
        <v>39975</v>
      </c>
      <c r="P100" s="9" t="str">
        <f t="shared" si="14"/>
        <v>PERCENTAGE</v>
      </c>
    </row>
    <row r="101" spans="1:16" s="6" customFormat="1" x14ac:dyDescent="0.25">
      <c r="A101" s="7" t="str">
        <f t="shared" si="12"/>
        <v>2024 ALL D75</v>
      </c>
      <c r="B101" s="8">
        <f t="shared" si="13"/>
        <v>46104</v>
      </c>
      <c r="C101" s="8">
        <f t="shared" si="16"/>
        <v>46113</v>
      </c>
      <c r="D101" s="7">
        <v>3272</v>
      </c>
      <c r="E101" s="7">
        <v>336</v>
      </c>
      <c r="F101" s="7">
        <v>4</v>
      </c>
      <c r="G101" s="7">
        <v>4</v>
      </c>
      <c r="H101" s="7">
        <v>81379</v>
      </c>
      <c r="I101" s="7" t="s">
        <v>16</v>
      </c>
      <c r="J101" s="7">
        <v>15501781</v>
      </c>
      <c r="K101" s="7" t="s">
        <v>132</v>
      </c>
      <c r="L101" s="7" t="s">
        <v>137</v>
      </c>
      <c r="M101" s="9">
        <v>159900</v>
      </c>
      <c r="N101" s="10">
        <f t="shared" si="10"/>
        <v>0.75</v>
      </c>
      <c r="O101" s="9">
        <f t="shared" si="11"/>
        <v>39975</v>
      </c>
      <c r="P101" s="9" t="str">
        <f t="shared" si="14"/>
        <v>PERCENTAGE</v>
      </c>
    </row>
    <row r="102" spans="1:16" s="6" customFormat="1" x14ac:dyDescent="0.25">
      <c r="A102" s="7" t="str">
        <f t="shared" si="12"/>
        <v>2024 ALL D75</v>
      </c>
      <c r="B102" s="8">
        <f t="shared" si="13"/>
        <v>46104</v>
      </c>
      <c r="C102" s="8">
        <f t="shared" si="16"/>
        <v>46113</v>
      </c>
      <c r="D102" s="7">
        <v>3272</v>
      </c>
      <c r="E102" s="7">
        <v>336</v>
      </c>
      <c r="F102" s="7">
        <v>4</v>
      </c>
      <c r="G102" s="7">
        <v>5</v>
      </c>
      <c r="H102" s="7">
        <v>81379</v>
      </c>
      <c r="I102" s="7" t="s">
        <v>16</v>
      </c>
      <c r="J102" s="7">
        <v>16034696</v>
      </c>
      <c r="K102" s="7" t="s">
        <v>138</v>
      </c>
      <c r="L102" s="7" t="s">
        <v>139</v>
      </c>
      <c r="M102" s="9">
        <v>229900</v>
      </c>
      <c r="N102" s="10">
        <f t="shared" si="10"/>
        <v>0.75</v>
      </c>
      <c r="O102" s="9">
        <f t="shared" si="11"/>
        <v>57475</v>
      </c>
      <c r="P102" s="9" t="str">
        <f t="shared" si="14"/>
        <v>PERCENTAGE</v>
      </c>
    </row>
    <row r="103" spans="1:16" s="6" customFormat="1" x14ac:dyDescent="0.25">
      <c r="A103" s="7" t="str">
        <f t="shared" si="12"/>
        <v>2024 ALL D75</v>
      </c>
      <c r="B103" s="8">
        <f t="shared" si="13"/>
        <v>46104</v>
      </c>
      <c r="C103" s="8">
        <f t="shared" si="16"/>
        <v>46113</v>
      </c>
      <c r="D103" s="7">
        <v>3272</v>
      </c>
      <c r="E103" s="7">
        <v>336</v>
      </c>
      <c r="F103" s="7">
        <v>4</v>
      </c>
      <c r="G103" s="7">
        <v>5</v>
      </c>
      <c r="H103" s="7">
        <v>81379</v>
      </c>
      <c r="I103" s="7" t="s">
        <v>16</v>
      </c>
      <c r="J103" s="7">
        <v>16034703</v>
      </c>
      <c r="K103" s="7" t="s">
        <v>138</v>
      </c>
      <c r="L103" s="7" t="s">
        <v>140</v>
      </c>
      <c r="M103" s="9">
        <v>229900</v>
      </c>
      <c r="N103" s="10">
        <f t="shared" si="10"/>
        <v>0.75</v>
      </c>
      <c r="O103" s="9">
        <f t="shared" si="11"/>
        <v>57475</v>
      </c>
      <c r="P103" s="9" t="str">
        <f t="shared" si="14"/>
        <v>PERCENTAGE</v>
      </c>
    </row>
    <row r="104" spans="1:16" s="6" customFormat="1" x14ac:dyDescent="0.25">
      <c r="A104" s="7" t="str">
        <f t="shared" si="12"/>
        <v>2024 ALL D75</v>
      </c>
      <c r="B104" s="8">
        <f t="shared" si="13"/>
        <v>46104</v>
      </c>
      <c r="C104" s="8">
        <f t="shared" si="16"/>
        <v>46113</v>
      </c>
      <c r="D104" s="7">
        <v>3272</v>
      </c>
      <c r="E104" s="7">
        <v>336</v>
      </c>
      <c r="F104" s="7">
        <v>4</v>
      </c>
      <c r="G104" s="7">
        <v>5</v>
      </c>
      <c r="H104" s="7">
        <v>81379</v>
      </c>
      <c r="I104" s="7" t="s">
        <v>16</v>
      </c>
      <c r="J104" s="7">
        <v>16034712</v>
      </c>
      <c r="K104" s="7" t="s">
        <v>138</v>
      </c>
      <c r="L104" s="7" t="s">
        <v>141</v>
      </c>
      <c r="M104" s="9">
        <v>229900</v>
      </c>
      <c r="N104" s="10">
        <f t="shared" si="10"/>
        <v>0.75</v>
      </c>
      <c r="O104" s="9">
        <f t="shared" si="11"/>
        <v>57475</v>
      </c>
      <c r="P104" s="9" t="str">
        <f t="shared" si="14"/>
        <v>PERCENTAGE</v>
      </c>
    </row>
    <row r="105" spans="1:16" s="6" customFormat="1" x14ac:dyDescent="0.25">
      <c r="A105" s="7" t="str">
        <f t="shared" si="12"/>
        <v>2024 ALL D75</v>
      </c>
      <c r="B105" s="8">
        <f t="shared" si="13"/>
        <v>46104</v>
      </c>
      <c r="C105" s="8">
        <f t="shared" si="16"/>
        <v>46113</v>
      </c>
      <c r="D105" s="7">
        <v>3272</v>
      </c>
      <c r="E105" s="7">
        <v>336</v>
      </c>
      <c r="F105" s="7">
        <v>4</v>
      </c>
      <c r="G105" s="7">
        <v>5</v>
      </c>
      <c r="H105" s="7">
        <v>81379</v>
      </c>
      <c r="I105" s="7" t="s">
        <v>16</v>
      </c>
      <c r="J105" s="7">
        <v>16034721</v>
      </c>
      <c r="K105" s="7" t="s">
        <v>138</v>
      </c>
      <c r="L105" s="7" t="s">
        <v>142</v>
      </c>
      <c r="M105" s="9">
        <v>229900</v>
      </c>
      <c r="N105" s="10">
        <f t="shared" si="10"/>
        <v>0.75</v>
      </c>
      <c r="O105" s="9">
        <f t="shared" si="11"/>
        <v>57475</v>
      </c>
      <c r="P105" s="9" t="str">
        <f t="shared" si="14"/>
        <v>PERCENTAGE</v>
      </c>
    </row>
    <row r="106" spans="1:16" s="6" customFormat="1" x14ac:dyDescent="0.25">
      <c r="A106" s="7" t="str">
        <f t="shared" si="12"/>
        <v>2024 ALL D75</v>
      </c>
      <c r="B106" s="8">
        <f t="shared" si="13"/>
        <v>46104</v>
      </c>
      <c r="C106" s="8">
        <f t="shared" si="16"/>
        <v>46113</v>
      </c>
      <c r="D106" s="7">
        <v>3272</v>
      </c>
      <c r="E106" s="7">
        <v>336</v>
      </c>
      <c r="F106" s="7">
        <v>4</v>
      </c>
      <c r="G106" s="7">
        <v>5</v>
      </c>
      <c r="H106" s="7">
        <v>81379</v>
      </c>
      <c r="I106" s="7" t="s">
        <v>16</v>
      </c>
      <c r="J106" s="7">
        <v>16034730</v>
      </c>
      <c r="K106" s="7" t="s">
        <v>138</v>
      </c>
      <c r="L106" s="7" t="s">
        <v>143</v>
      </c>
      <c r="M106" s="9">
        <v>229900</v>
      </c>
      <c r="N106" s="10">
        <f t="shared" si="10"/>
        <v>0.75</v>
      </c>
      <c r="O106" s="9">
        <f t="shared" si="11"/>
        <v>57475</v>
      </c>
      <c r="P106" s="9" t="str">
        <f t="shared" si="14"/>
        <v>PERCENTAGE</v>
      </c>
    </row>
    <row r="107" spans="1:16" s="6" customFormat="1" x14ac:dyDescent="0.25">
      <c r="A107" s="7" t="str">
        <f t="shared" si="12"/>
        <v>2024 ALL D75</v>
      </c>
      <c r="B107" s="8">
        <f t="shared" si="13"/>
        <v>46104</v>
      </c>
      <c r="C107" s="8">
        <f t="shared" si="16"/>
        <v>46113</v>
      </c>
      <c r="D107" s="7">
        <v>3272</v>
      </c>
      <c r="E107" s="7">
        <v>336</v>
      </c>
      <c r="F107" s="7">
        <v>4</v>
      </c>
      <c r="G107" s="7">
        <v>1</v>
      </c>
      <c r="H107" s="7">
        <v>81676</v>
      </c>
      <c r="I107" s="7" t="s">
        <v>16</v>
      </c>
      <c r="J107" s="7">
        <v>15499124</v>
      </c>
      <c r="K107" s="7" t="s">
        <v>144</v>
      </c>
      <c r="L107" s="7" t="s">
        <v>145</v>
      </c>
      <c r="M107" s="9">
        <v>129900</v>
      </c>
      <c r="N107" s="10">
        <f t="shared" si="10"/>
        <v>0.75</v>
      </c>
      <c r="O107" s="9">
        <f t="shared" si="11"/>
        <v>32475</v>
      </c>
      <c r="P107" s="9" t="str">
        <f t="shared" si="14"/>
        <v>PERCENTAGE</v>
      </c>
    </row>
    <row r="108" spans="1:16" s="6" customFormat="1" x14ac:dyDescent="0.25">
      <c r="A108" s="7" t="str">
        <f t="shared" si="12"/>
        <v>2024 ALL D75</v>
      </c>
      <c r="B108" s="8">
        <f t="shared" si="13"/>
        <v>46104</v>
      </c>
      <c r="C108" s="8">
        <f t="shared" si="16"/>
        <v>46113</v>
      </c>
      <c r="D108" s="7">
        <v>3272</v>
      </c>
      <c r="E108" s="7">
        <v>336</v>
      </c>
      <c r="F108" s="7">
        <v>4</v>
      </c>
      <c r="G108" s="7">
        <v>1</v>
      </c>
      <c r="H108" s="7">
        <v>81676</v>
      </c>
      <c r="I108" s="7" t="s">
        <v>16</v>
      </c>
      <c r="J108" s="7">
        <v>15499133</v>
      </c>
      <c r="K108" s="7" t="s">
        <v>144</v>
      </c>
      <c r="L108" s="7" t="s">
        <v>146</v>
      </c>
      <c r="M108" s="9">
        <v>129900</v>
      </c>
      <c r="N108" s="10">
        <f t="shared" si="10"/>
        <v>0.75</v>
      </c>
      <c r="O108" s="9">
        <f t="shared" si="11"/>
        <v>32475</v>
      </c>
      <c r="P108" s="9" t="str">
        <f t="shared" si="14"/>
        <v>PERCENTAGE</v>
      </c>
    </row>
    <row r="109" spans="1:16" s="6" customFormat="1" x14ac:dyDescent="0.25">
      <c r="A109" s="7" t="str">
        <f t="shared" si="12"/>
        <v>2024 ALL D75</v>
      </c>
      <c r="B109" s="8">
        <f t="shared" si="13"/>
        <v>46104</v>
      </c>
      <c r="C109" s="8">
        <f t="shared" si="16"/>
        <v>46113</v>
      </c>
      <c r="D109" s="7">
        <v>3272</v>
      </c>
      <c r="E109" s="7">
        <v>336</v>
      </c>
      <c r="F109" s="7">
        <v>4</v>
      </c>
      <c r="G109" s="7">
        <v>1</v>
      </c>
      <c r="H109" s="7">
        <v>81676</v>
      </c>
      <c r="I109" s="7" t="s">
        <v>16</v>
      </c>
      <c r="J109" s="7">
        <v>15499142</v>
      </c>
      <c r="K109" s="7" t="s">
        <v>144</v>
      </c>
      <c r="L109" s="7" t="s">
        <v>147</v>
      </c>
      <c r="M109" s="9">
        <v>129900</v>
      </c>
      <c r="N109" s="10">
        <f t="shared" si="10"/>
        <v>0.75</v>
      </c>
      <c r="O109" s="9">
        <f t="shared" si="11"/>
        <v>32475</v>
      </c>
      <c r="P109" s="9" t="str">
        <f t="shared" si="14"/>
        <v>PERCENTAGE</v>
      </c>
    </row>
    <row r="110" spans="1:16" s="6" customFormat="1" x14ac:dyDescent="0.25">
      <c r="A110" s="7" t="str">
        <f t="shared" si="12"/>
        <v>2024 ALL D75</v>
      </c>
      <c r="B110" s="8">
        <f t="shared" si="13"/>
        <v>46104</v>
      </c>
      <c r="C110" s="8">
        <f t="shared" si="16"/>
        <v>46113</v>
      </c>
      <c r="D110" s="7">
        <v>3272</v>
      </c>
      <c r="E110" s="7">
        <v>336</v>
      </c>
      <c r="F110" s="7">
        <v>4</v>
      </c>
      <c r="G110" s="7">
        <v>1</v>
      </c>
      <c r="H110" s="7">
        <v>81676</v>
      </c>
      <c r="I110" s="7" t="s">
        <v>16</v>
      </c>
      <c r="J110" s="7">
        <v>15499151</v>
      </c>
      <c r="K110" s="7" t="s">
        <v>144</v>
      </c>
      <c r="L110" s="7" t="s">
        <v>148</v>
      </c>
      <c r="M110" s="9">
        <v>129900</v>
      </c>
      <c r="N110" s="10">
        <f t="shared" si="10"/>
        <v>0.75</v>
      </c>
      <c r="O110" s="9">
        <f t="shared" si="11"/>
        <v>32475</v>
      </c>
      <c r="P110" s="9" t="str">
        <f t="shared" si="14"/>
        <v>PERCENTAGE</v>
      </c>
    </row>
    <row r="111" spans="1:16" s="6" customFormat="1" x14ac:dyDescent="0.25">
      <c r="A111" s="7" t="str">
        <f t="shared" si="12"/>
        <v>2024 ALL D75</v>
      </c>
      <c r="B111" s="8">
        <f t="shared" si="13"/>
        <v>46104</v>
      </c>
      <c r="C111" s="8">
        <f t="shared" si="16"/>
        <v>46113</v>
      </c>
      <c r="D111" s="7">
        <v>3272</v>
      </c>
      <c r="E111" s="7">
        <v>336</v>
      </c>
      <c r="F111" s="7">
        <v>4</v>
      </c>
      <c r="G111" s="7">
        <v>1</v>
      </c>
      <c r="H111" s="7">
        <v>81676</v>
      </c>
      <c r="I111" s="7" t="s">
        <v>16</v>
      </c>
      <c r="J111" s="7">
        <v>15499160</v>
      </c>
      <c r="K111" s="7" t="s">
        <v>144</v>
      </c>
      <c r="L111" s="7" t="s">
        <v>149</v>
      </c>
      <c r="M111" s="9">
        <v>129900</v>
      </c>
      <c r="N111" s="10">
        <f t="shared" si="10"/>
        <v>0.75</v>
      </c>
      <c r="O111" s="9">
        <f t="shared" si="11"/>
        <v>32475</v>
      </c>
      <c r="P111" s="9" t="str">
        <f t="shared" si="14"/>
        <v>PERCENTAGE</v>
      </c>
    </row>
    <row r="112" spans="1:16" s="6" customFormat="1" x14ac:dyDescent="0.25">
      <c r="A112" s="7" t="str">
        <f t="shared" si="12"/>
        <v>2024 ALL D75</v>
      </c>
      <c r="B112" s="8">
        <f t="shared" si="13"/>
        <v>46104</v>
      </c>
      <c r="C112" s="8">
        <f t="shared" si="16"/>
        <v>46113</v>
      </c>
      <c r="D112" s="7">
        <v>3272</v>
      </c>
      <c r="E112" s="7">
        <v>336</v>
      </c>
      <c r="F112" s="7">
        <v>4</v>
      </c>
      <c r="G112" s="7">
        <v>1</v>
      </c>
      <c r="H112" s="7">
        <v>81379</v>
      </c>
      <c r="I112" s="7" t="s">
        <v>16</v>
      </c>
      <c r="J112" s="7">
        <v>15499820</v>
      </c>
      <c r="K112" s="7" t="s">
        <v>150</v>
      </c>
      <c r="L112" s="7" t="s">
        <v>151</v>
      </c>
      <c r="M112" s="9">
        <v>149900</v>
      </c>
      <c r="N112" s="10">
        <f t="shared" si="10"/>
        <v>0.75</v>
      </c>
      <c r="O112" s="9">
        <f t="shared" si="11"/>
        <v>37475</v>
      </c>
      <c r="P112" s="9" t="str">
        <f t="shared" si="14"/>
        <v>PERCENTAGE</v>
      </c>
    </row>
    <row r="113" spans="1:16" s="6" customFormat="1" x14ac:dyDescent="0.25">
      <c r="A113" s="7" t="str">
        <f t="shared" si="12"/>
        <v>2024 ALL D75</v>
      </c>
      <c r="B113" s="8">
        <f t="shared" si="13"/>
        <v>46104</v>
      </c>
      <c r="C113" s="8">
        <f t="shared" si="16"/>
        <v>46113</v>
      </c>
      <c r="D113" s="7">
        <v>3272</v>
      </c>
      <c r="E113" s="7">
        <v>336</v>
      </c>
      <c r="F113" s="7">
        <v>4</v>
      </c>
      <c r="G113" s="7">
        <v>1</v>
      </c>
      <c r="H113" s="7">
        <v>81379</v>
      </c>
      <c r="I113" s="7" t="s">
        <v>16</v>
      </c>
      <c r="J113" s="7">
        <v>15499839</v>
      </c>
      <c r="K113" s="7" t="s">
        <v>150</v>
      </c>
      <c r="L113" s="7" t="s">
        <v>152</v>
      </c>
      <c r="M113" s="9">
        <v>149900</v>
      </c>
      <c r="N113" s="10">
        <f t="shared" si="10"/>
        <v>0.75</v>
      </c>
      <c r="O113" s="9">
        <f t="shared" si="11"/>
        <v>37475</v>
      </c>
      <c r="P113" s="9" t="str">
        <f t="shared" si="14"/>
        <v>PERCENTAGE</v>
      </c>
    </row>
    <row r="114" spans="1:16" s="6" customFormat="1" x14ac:dyDescent="0.25">
      <c r="A114" s="7" t="str">
        <f t="shared" si="12"/>
        <v>2024 ALL D75</v>
      </c>
      <c r="B114" s="8">
        <f t="shared" si="13"/>
        <v>46104</v>
      </c>
      <c r="C114" s="8">
        <f t="shared" si="16"/>
        <v>46113</v>
      </c>
      <c r="D114" s="7">
        <v>3272</v>
      </c>
      <c r="E114" s="7">
        <v>336</v>
      </c>
      <c r="F114" s="7">
        <v>4</v>
      </c>
      <c r="G114" s="7">
        <v>1</v>
      </c>
      <c r="H114" s="7">
        <v>81379</v>
      </c>
      <c r="I114" s="7" t="s">
        <v>16</v>
      </c>
      <c r="J114" s="7">
        <v>15499848</v>
      </c>
      <c r="K114" s="7" t="s">
        <v>150</v>
      </c>
      <c r="L114" s="7" t="s">
        <v>153</v>
      </c>
      <c r="M114" s="9">
        <v>149900</v>
      </c>
      <c r="N114" s="10">
        <f t="shared" si="10"/>
        <v>0.75</v>
      </c>
      <c r="O114" s="9">
        <f t="shared" si="11"/>
        <v>37475</v>
      </c>
      <c r="P114" s="9" t="str">
        <f t="shared" si="14"/>
        <v>PERCENTAGE</v>
      </c>
    </row>
    <row r="115" spans="1:16" s="6" customFormat="1" x14ac:dyDescent="0.25">
      <c r="A115" s="7" t="str">
        <f t="shared" si="12"/>
        <v>2024 ALL D75</v>
      </c>
      <c r="B115" s="8">
        <f t="shared" si="13"/>
        <v>46104</v>
      </c>
      <c r="C115" s="8">
        <f t="shared" ref="C115:C130" si="17">C114</f>
        <v>46113</v>
      </c>
      <c r="D115" s="7">
        <v>3272</v>
      </c>
      <c r="E115" s="7">
        <v>336</v>
      </c>
      <c r="F115" s="7">
        <v>4</v>
      </c>
      <c r="G115" s="7">
        <v>1</v>
      </c>
      <c r="H115" s="7">
        <v>81379</v>
      </c>
      <c r="I115" s="7" t="s">
        <v>16</v>
      </c>
      <c r="J115" s="7">
        <v>15499857</v>
      </c>
      <c r="K115" s="7" t="s">
        <v>150</v>
      </c>
      <c r="L115" s="7" t="s">
        <v>154</v>
      </c>
      <c r="M115" s="9">
        <v>149900</v>
      </c>
      <c r="N115" s="10">
        <f t="shared" si="10"/>
        <v>0.75</v>
      </c>
      <c r="O115" s="9">
        <f t="shared" si="11"/>
        <v>37475</v>
      </c>
      <c r="P115" s="9" t="str">
        <f t="shared" si="14"/>
        <v>PERCENTAGE</v>
      </c>
    </row>
    <row r="116" spans="1:16" s="6" customFormat="1" x14ac:dyDescent="0.25">
      <c r="A116" s="7" t="str">
        <f t="shared" si="12"/>
        <v>2024 ALL D75</v>
      </c>
      <c r="B116" s="8">
        <f t="shared" si="13"/>
        <v>46104</v>
      </c>
      <c r="C116" s="8">
        <f t="shared" si="17"/>
        <v>46113</v>
      </c>
      <c r="D116" s="7">
        <v>3272</v>
      </c>
      <c r="E116" s="7">
        <v>336</v>
      </c>
      <c r="F116" s="7">
        <v>4</v>
      </c>
      <c r="G116" s="7">
        <v>1</v>
      </c>
      <c r="H116" s="7">
        <v>81379</v>
      </c>
      <c r="I116" s="7" t="s">
        <v>16</v>
      </c>
      <c r="J116" s="7">
        <v>15499866</v>
      </c>
      <c r="K116" s="7" t="s">
        <v>150</v>
      </c>
      <c r="L116" s="7" t="s">
        <v>155</v>
      </c>
      <c r="M116" s="9">
        <v>149900</v>
      </c>
      <c r="N116" s="10">
        <f t="shared" si="10"/>
        <v>0.75</v>
      </c>
      <c r="O116" s="9">
        <f t="shared" si="11"/>
        <v>37475</v>
      </c>
      <c r="P116" s="9" t="str">
        <f t="shared" si="14"/>
        <v>PERCENTAGE</v>
      </c>
    </row>
    <row r="117" spans="1:16" s="6" customFormat="1" x14ac:dyDescent="0.25">
      <c r="A117" s="7" t="str">
        <f t="shared" si="12"/>
        <v>2024 ALL D75</v>
      </c>
      <c r="B117" s="8">
        <f t="shared" si="13"/>
        <v>46104</v>
      </c>
      <c r="C117" s="8">
        <f t="shared" si="17"/>
        <v>46113</v>
      </c>
      <c r="D117" s="7">
        <v>3272</v>
      </c>
      <c r="E117" s="7">
        <v>336</v>
      </c>
      <c r="F117" s="7">
        <v>4</v>
      </c>
      <c r="G117" s="7">
        <v>1</v>
      </c>
      <c r="H117" s="7">
        <v>81379</v>
      </c>
      <c r="I117" s="7" t="s">
        <v>16</v>
      </c>
      <c r="J117" s="7">
        <v>15499875</v>
      </c>
      <c r="K117" s="7" t="s">
        <v>156</v>
      </c>
      <c r="L117" s="7" t="s">
        <v>157</v>
      </c>
      <c r="M117" s="9">
        <v>149900</v>
      </c>
      <c r="N117" s="10">
        <f t="shared" si="10"/>
        <v>0.75</v>
      </c>
      <c r="O117" s="9">
        <f t="shared" si="11"/>
        <v>37475</v>
      </c>
      <c r="P117" s="9" t="str">
        <f t="shared" si="14"/>
        <v>PERCENTAGE</v>
      </c>
    </row>
    <row r="118" spans="1:16" s="6" customFormat="1" x14ac:dyDescent="0.25">
      <c r="A118" s="7" t="str">
        <f t="shared" si="12"/>
        <v>2024 ALL D75</v>
      </c>
      <c r="B118" s="8">
        <f t="shared" si="13"/>
        <v>46104</v>
      </c>
      <c r="C118" s="8">
        <f t="shared" si="17"/>
        <v>46113</v>
      </c>
      <c r="D118" s="7">
        <v>3272</v>
      </c>
      <c r="E118" s="7">
        <v>336</v>
      </c>
      <c r="F118" s="7">
        <v>4</v>
      </c>
      <c r="G118" s="7">
        <v>1</v>
      </c>
      <c r="H118" s="7">
        <v>81379</v>
      </c>
      <c r="I118" s="7" t="s">
        <v>16</v>
      </c>
      <c r="J118" s="7">
        <v>15499884</v>
      </c>
      <c r="K118" s="7" t="s">
        <v>156</v>
      </c>
      <c r="L118" s="7" t="s">
        <v>158</v>
      </c>
      <c r="M118" s="9">
        <v>149900</v>
      </c>
      <c r="N118" s="10">
        <f t="shared" si="10"/>
        <v>0.75</v>
      </c>
      <c r="O118" s="9">
        <f t="shared" si="11"/>
        <v>37475</v>
      </c>
      <c r="P118" s="9" t="str">
        <f t="shared" si="14"/>
        <v>PERCENTAGE</v>
      </c>
    </row>
    <row r="119" spans="1:16" s="6" customFormat="1" x14ac:dyDescent="0.25">
      <c r="A119" s="7" t="str">
        <f t="shared" si="12"/>
        <v>2024 ALL D75</v>
      </c>
      <c r="B119" s="8">
        <f t="shared" si="13"/>
        <v>46104</v>
      </c>
      <c r="C119" s="8">
        <f t="shared" si="17"/>
        <v>46113</v>
      </c>
      <c r="D119" s="7">
        <v>3272</v>
      </c>
      <c r="E119" s="7">
        <v>336</v>
      </c>
      <c r="F119" s="7">
        <v>4</v>
      </c>
      <c r="G119" s="7">
        <v>1</v>
      </c>
      <c r="H119" s="7">
        <v>81379</v>
      </c>
      <c r="I119" s="7" t="s">
        <v>16</v>
      </c>
      <c r="J119" s="7">
        <v>15499893</v>
      </c>
      <c r="K119" s="7" t="s">
        <v>156</v>
      </c>
      <c r="L119" s="7" t="s">
        <v>159</v>
      </c>
      <c r="M119" s="9">
        <v>149900</v>
      </c>
      <c r="N119" s="10">
        <f t="shared" si="10"/>
        <v>0.75</v>
      </c>
      <c r="O119" s="9">
        <f t="shared" si="11"/>
        <v>37475</v>
      </c>
      <c r="P119" s="9" t="str">
        <f t="shared" si="14"/>
        <v>PERCENTAGE</v>
      </c>
    </row>
    <row r="120" spans="1:16" s="6" customFormat="1" x14ac:dyDescent="0.25">
      <c r="A120" s="7" t="str">
        <f t="shared" si="12"/>
        <v>2024 ALL D75</v>
      </c>
      <c r="B120" s="8">
        <f t="shared" si="13"/>
        <v>46104</v>
      </c>
      <c r="C120" s="8">
        <f t="shared" si="17"/>
        <v>46113</v>
      </c>
      <c r="D120" s="7">
        <v>3272</v>
      </c>
      <c r="E120" s="7">
        <v>336</v>
      </c>
      <c r="F120" s="7">
        <v>4</v>
      </c>
      <c r="G120" s="7">
        <v>1</v>
      </c>
      <c r="H120" s="7">
        <v>81379</v>
      </c>
      <c r="I120" s="7" t="s">
        <v>16</v>
      </c>
      <c r="J120" s="7">
        <v>15499900</v>
      </c>
      <c r="K120" s="7" t="s">
        <v>156</v>
      </c>
      <c r="L120" s="7" t="s">
        <v>160</v>
      </c>
      <c r="M120" s="9">
        <v>149900</v>
      </c>
      <c r="N120" s="10">
        <f t="shared" si="10"/>
        <v>0.75</v>
      </c>
      <c r="O120" s="9">
        <f t="shared" si="11"/>
        <v>37475</v>
      </c>
      <c r="P120" s="9" t="str">
        <f t="shared" si="14"/>
        <v>PERCENTAGE</v>
      </c>
    </row>
    <row r="121" spans="1:16" s="6" customFormat="1" x14ac:dyDescent="0.25">
      <c r="A121" s="7" t="str">
        <f t="shared" si="12"/>
        <v>2024 ALL D75</v>
      </c>
      <c r="B121" s="8">
        <f t="shared" si="13"/>
        <v>46104</v>
      </c>
      <c r="C121" s="8">
        <f t="shared" si="17"/>
        <v>46113</v>
      </c>
      <c r="D121" s="7">
        <v>3272</v>
      </c>
      <c r="E121" s="7">
        <v>336</v>
      </c>
      <c r="F121" s="7">
        <v>4</v>
      </c>
      <c r="G121" s="7">
        <v>1</v>
      </c>
      <c r="H121" s="7">
        <v>81379</v>
      </c>
      <c r="I121" s="7" t="s">
        <v>16</v>
      </c>
      <c r="J121" s="7">
        <v>15499919</v>
      </c>
      <c r="K121" s="7" t="s">
        <v>156</v>
      </c>
      <c r="L121" s="7" t="s">
        <v>161</v>
      </c>
      <c r="M121" s="9">
        <v>149900</v>
      </c>
      <c r="N121" s="10">
        <f t="shared" si="10"/>
        <v>0.75</v>
      </c>
      <c r="O121" s="9">
        <f t="shared" si="11"/>
        <v>37475</v>
      </c>
      <c r="P121" s="9" t="str">
        <f t="shared" si="14"/>
        <v>PERCENTAGE</v>
      </c>
    </row>
    <row r="122" spans="1:16" s="6" customFormat="1" x14ac:dyDescent="0.25">
      <c r="A122" s="7" t="str">
        <f t="shared" si="12"/>
        <v>2024 ALL D75</v>
      </c>
      <c r="B122" s="8">
        <f t="shared" si="13"/>
        <v>46104</v>
      </c>
      <c r="C122" s="8">
        <f t="shared" si="17"/>
        <v>46113</v>
      </c>
      <c r="D122" s="7">
        <v>3272</v>
      </c>
      <c r="E122" s="7">
        <v>336</v>
      </c>
      <c r="F122" s="7">
        <v>4</v>
      </c>
      <c r="G122" s="7">
        <v>1</v>
      </c>
      <c r="H122" s="7">
        <v>81379</v>
      </c>
      <c r="I122" s="7" t="s">
        <v>16</v>
      </c>
      <c r="J122" s="7">
        <v>15499928</v>
      </c>
      <c r="K122" s="7" t="s">
        <v>162</v>
      </c>
      <c r="L122" s="7" t="s">
        <v>163</v>
      </c>
      <c r="M122" s="9">
        <v>149900</v>
      </c>
      <c r="N122" s="10">
        <f t="shared" si="10"/>
        <v>0.75</v>
      </c>
      <c r="O122" s="9">
        <f t="shared" si="11"/>
        <v>37475</v>
      </c>
      <c r="P122" s="9" t="str">
        <f t="shared" si="14"/>
        <v>PERCENTAGE</v>
      </c>
    </row>
    <row r="123" spans="1:16" s="6" customFormat="1" x14ac:dyDescent="0.25">
      <c r="A123" s="7" t="str">
        <f t="shared" si="12"/>
        <v>2024 ALL D75</v>
      </c>
      <c r="B123" s="8">
        <f t="shared" si="13"/>
        <v>46104</v>
      </c>
      <c r="C123" s="8">
        <f t="shared" si="17"/>
        <v>46113</v>
      </c>
      <c r="D123" s="7">
        <v>3272</v>
      </c>
      <c r="E123" s="7">
        <v>336</v>
      </c>
      <c r="F123" s="7">
        <v>4</v>
      </c>
      <c r="G123" s="7">
        <v>1</v>
      </c>
      <c r="H123" s="7">
        <v>81379</v>
      </c>
      <c r="I123" s="7" t="s">
        <v>16</v>
      </c>
      <c r="J123" s="7">
        <v>15499937</v>
      </c>
      <c r="K123" s="7" t="s">
        <v>162</v>
      </c>
      <c r="L123" s="7" t="s">
        <v>164</v>
      </c>
      <c r="M123" s="9">
        <v>149900</v>
      </c>
      <c r="N123" s="10">
        <f t="shared" si="10"/>
        <v>0.75</v>
      </c>
      <c r="O123" s="9">
        <f t="shared" si="11"/>
        <v>37475</v>
      </c>
      <c r="P123" s="9" t="str">
        <f t="shared" si="14"/>
        <v>PERCENTAGE</v>
      </c>
    </row>
    <row r="124" spans="1:16" s="6" customFormat="1" x14ac:dyDescent="0.25">
      <c r="A124" s="7" t="str">
        <f t="shared" si="12"/>
        <v>2024 ALL D75</v>
      </c>
      <c r="B124" s="8">
        <f t="shared" si="13"/>
        <v>46104</v>
      </c>
      <c r="C124" s="8">
        <f t="shared" si="17"/>
        <v>46113</v>
      </c>
      <c r="D124" s="7">
        <v>3272</v>
      </c>
      <c r="E124" s="7">
        <v>336</v>
      </c>
      <c r="F124" s="7">
        <v>4</v>
      </c>
      <c r="G124" s="7">
        <v>1</v>
      </c>
      <c r="H124" s="7">
        <v>81379</v>
      </c>
      <c r="I124" s="7" t="s">
        <v>16</v>
      </c>
      <c r="J124" s="7">
        <v>15499946</v>
      </c>
      <c r="K124" s="7" t="s">
        <v>162</v>
      </c>
      <c r="L124" s="7" t="s">
        <v>165</v>
      </c>
      <c r="M124" s="9">
        <v>149900</v>
      </c>
      <c r="N124" s="10">
        <f t="shared" si="10"/>
        <v>0.75</v>
      </c>
      <c r="O124" s="9">
        <f t="shared" si="11"/>
        <v>37475</v>
      </c>
      <c r="P124" s="9" t="str">
        <f t="shared" si="14"/>
        <v>PERCENTAGE</v>
      </c>
    </row>
    <row r="125" spans="1:16" s="6" customFormat="1" x14ac:dyDescent="0.25">
      <c r="A125" s="7" t="str">
        <f t="shared" si="12"/>
        <v>2024 ALL D75</v>
      </c>
      <c r="B125" s="8">
        <f t="shared" si="13"/>
        <v>46104</v>
      </c>
      <c r="C125" s="8">
        <f t="shared" si="17"/>
        <v>46113</v>
      </c>
      <c r="D125" s="7">
        <v>3272</v>
      </c>
      <c r="E125" s="7">
        <v>336</v>
      </c>
      <c r="F125" s="7">
        <v>4</v>
      </c>
      <c r="G125" s="7">
        <v>1</v>
      </c>
      <c r="H125" s="7">
        <v>81379</v>
      </c>
      <c r="I125" s="7" t="s">
        <v>16</v>
      </c>
      <c r="J125" s="7">
        <v>15499955</v>
      </c>
      <c r="K125" s="7" t="s">
        <v>162</v>
      </c>
      <c r="L125" s="7" t="s">
        <v>166</v>
      </c>
      <c r="M125" s="9">
        <v>149900</v>
      </c>
      <c r="N125" s="10">
        <f t="shared" si="10"/>
        <v>0.75</v>
      </c>
      <c r="O125" s="9">
        <f t="shared" si="11"/>
        <v>37475</v>
      </c>
      <c r="P125" s="9" t="str">
        <f t="shared" si="14"/>
        <v>PERCENTAGE</v>
      </c>
    </row>
    <row r="126" spans="1:16" s="6" customFormat="1" x14ac:dyDescent="0.25">
      <c r="A126" s="7" t="str">
        <f t="shared" si="12"/>
        <v>2024 ALL D75</v>
      </c>
      <c r="B126" s="8">
        <f t="shared" si="13"/>
        <v>46104</v>
      </c>
      <c r="C126" s="8">
        <f t="shared" si="17"/>
        <v>46113</v>
      </c>
      <c r="D126" s="7">
        <v>3272</v>
      </c>
      <c r="E126" s="7">
        <v>336</v>
      </c>
      <c r="F126" s="7">
        <v>4</v>
      </c>
      <c r="G126" s="7">
        <v>1</v>
      </c>
      <c r="H126" s="7">
        <v>81379</v>
      </c>
      <c r="I126" s="7" t="s">
        <v>16</v>
      </c>
      <c r="J126" s="7">
        <v>15499964</v>
      </c>
      <c r="K126" s="7" t="s">
        <v>162</v>
      </c>
      <c r="L126" s="7" t="s">
        <v>167</v>
      </c>
      <c r="M126" s="9">
        <v>149900</v>
      </c>
      <c r="N126" s="10">
        <f t="shared" si="10"/>
        <v>0.75</v>
      </c>
      <c r="O126" s="9">
        <f t="shared" si="11"/>
        <v>37475</v>
      </c>
      <c r="P126" s="9" t="str">
        <f t="shared" si="14"/>
        <v>PERCENTAGE</v>
      </c>
    </row>
    <row r="127" spans="1:16" s="6" customFormat="1" x14ac:dyDescent="0.25">
      <c r="A127" s="7" t="str">
        <f t="shared" si="12"/>
        <v>2024 ALL D75</v>
      </c>
      <c r="B127" s="8">
        <f t="shared" si="13"/>
        <v>46104</v>
      </c>
      <c r="C127" s="8">
        <f t="shared" si="17"/>
        <v>46113</v>
      </c>
      <c r="D127" s="7">
        <v>3272</v>
      </c>
      <c r="E127" s="7">
        <v>336</v>
      </c>
      <c r="F127" s="7">
        <v>4</v>
      </c>
      <c r="G127" s="7">
        <v>1</v>
      </c>
      <c r="H127" s="7">
        <v>81379</v>
      </c>
      <c r="I127" s="7" t="s">
        <v>16</v>
      </c>
      <c r="J127" s="7">
        <v>15499973</v>
      </c>
      <c r="K127" s="7" t="s">
        <v>168</v>
      </c>
      <c r="L127" s="7" t="s">
        <v>169</v>
      </c>
      <c r="M127" s="9">
        <v>149900</v>
      </c>
      <c r="N127" s="10">
        <f t="shared" si="10"/>
        <v>0.75</v>
      </c>
      <c r="O127" s="9">
        <f t="shared" si="11"/>
        <v>37475</v>
      </c>
      <c r="P127" s="9" t="str">
        <f t="shared" si="14"/>
        <v>PERCENTAGE</v>
      </c>
    </row>
    <row r="128" spans="1:16" s="6" customFormat="1" x14ac:dyDescent="0.25">
      <c r="A128" s="7" t="str">
        <f t="shared" si="12"/>
        <v>2024 ALL D75</v>
      </c>
      <c r="B128" s="8">
        <f t="shared" si="13"/>
        <v>46104</v>
      </c>
      <c r="C128" s="8">
        <f t="shared" si="17"/>
        <v>46113</v>
      </c>
      <c r="D128" s="7">
        <v>3272</v>
      </c>
      <c r="E128" s="7">
        <v>336</v>
      </c>
      <c r="F128" s="7">
        <v>4</v>
      </c>
      <c r="G128" s="7">
        <v>1</v>
      </c>
      <c r="H128" s="7">
        <v>81379</v>
      </c>
      <c r="I128" s="7" t="s">
        <v>16</v>
      </c>
      <c r="J128" s="7">
        <v>15499982</v>
      </c>
      <c r="K128" s="7" t="s">
        <v>168</v>
      </c>
      <c r="L128" s="7" t="s">
        <v>170</v>
      </c>
      <c r="M128" s="9">
        <v>149900</v>
      </c>
      <c r="N128" s="10">
        <f t="shared" si="10"/>
        <v>0.75</v>
      </c>
      <c r="O128" s="9">
        <f t="shared" si="11"/>
        <v>37475</v>
      </c>
      <c r="P128" s="9" t="str">
        <f t="shared" si="14"/>
        <v>PERCENTAGE</v>
      </c>
    </row>
    <row r="129" spans="1:16" s="6" customFormat="1" x14ac:dyDescent="0.25">
      <c r="A129" s="7" t="str">
        <f t="shared" si="12"/>
        <v>2024 ALL D75</v>
      </c>
      <c r="B129" s="8">
        <f t="shared" si="13"/>
        <v>46104</v>
      </c>
      <c r="C129" s="8">
        <f t="shared" si="17"/>
        <v>46113</v>
      </c>
      <c r="D129" s="7">
        <v>3272</v>
      </c>
      <c r="E129" s="7">
        <v>336</v>
      </c>
      <c r="F129" s="7">
        <v>4</v>
      </c>
      <c r="G129" s="7">
        <v>1</v>
      </c>
      <c r="H129" s="7">
        <v>81379</v>
      </c>
      <c r="I129" s="7" t="s">
        <v>16</v>
      </c>
      <c r="J129" s="7">
        <v>15499991</v>
      </c>
      <c r="K129" s="7" t="s">
        <v>168</v>
      </c>
      <c r="L129" s="7" t="s">
        <v>171</v>
      </c>
      <c r="M129" s="9">
        <v>149900</v>
      </c>
      <c r="N129" s="10">
        <f t="shared" si="10"/>
        <v>0.75</v>
      </c>
      <c r="O129" s="9">
        <f t="shared" si="11"/>
        <v>37475</v>
      </c>
      <c r="P129" s="9" t="str">
        <f t="shared" si="14"/>
        <v>PERCENTAGE</v>
      </c>
    </row>
    <row r="130" spans="1:16" s="6" customFormat="1" x14ac:dyDescent="0.25">
      <c r="A130" s="7" t="str">
        <f t="shared" si="12"/>
        <v>2024 ALL D75</v>
      </c>
      <c r="B130" s="8">
        <f t="shared" si="13"/>
        <v>46104</v>
      </c>
      <c r="C130" s="8">
        <f t="shared" si="17"/>
        <v>46113</v>
      </c>
      <c r="D130" s="7">
        <v>3272</v>
      </c>
      <c r="E130" s="7">
        <v>336</v>
      </c>
      <c r="F130" s="7">
        <v>4</v>
      </c>
      <c r="G130" s="7">
        <v>1</v>
      </c>
      <c r="H130" s="7">
        <v>81379</v>
      </c>
      <c r="I130" s="7" t="s">
        <v>16</v>
      </c>
      <c r="J130" s="7">
        <v>15500004</v>
      </c>
      <c r="K130" s="7" t="s">
        <v>168</v>
      </c>
      <c r="L130" s="7" t="s">
        <v>172</v>
      </c>
      <c r="M130" s="9">
        <v>149900</v>
      </c>
      <c r="N130" s="10">
        <f t="shared" si="10"/>
        <v>0.75</v>
      </c>
      <c r="O130" s="9">
        <f t="shared" si="11"/>
        <v>37475</v>
      </c>
      <c r="P130" s="9" t="str">
        <f t="shared" si="14"/>
        <v>PERCENTAGE</v>
      </c>
    </row>
    <row r="131" spans="1:16" s="6" customFormat="1" x14ac:dyDescent="0.25">
      <c r="A131" s="7" t="str">
        <f t="shared" si="12"/>
        <v>2024 ALL D75</v>
      </c>
      <c r="B131" s="8">
        <f t="shared" si="13"/>
        <v>46104</v>
      </c>
      <c r="C131" s="8">
        <f t="shared" ref="C131:C146" si="18">C130</f>
        <v>46113</v>
      </c>
      <c r="D131" s="7">
        <v>3272</v>
      </c>
      <c r="E131" s="7">
        <v>336</v>
      </c>
      <c r="F131" s="7">
        <v>4</v>
      </c>
      <c r="G131" s="7">
        <v>1</v>
      </c>
      <c r="H131" s="7">
        <v>81379</v>
      </c>
      <c r="I131" s="7" t="s">
        <v>16</v>
      </c>
      <c r="J131" s="7">
        <v>15500013</v>
      </c>
      <c r="K131" s="7" t="s">
        <v>168</v>
      </c>
      <c r="L131" s="7" t="s">
        <v>173</v>
      </c>
      <c r="M131" s="9">
        <v>149900</v>
      </c>
      <c r="N131" s="10">
        <f t="shared" ref="N131:N194" si="19">N130</f>
        <v>0.75</v>
      </c>
      <c r="O131" s="9">
        <f t="shared" ref="O131:O194" si="20">M131-((75*M131))/100</f>
        <v>37475</v>
      </c>
      <c r="P131" s="9" t="str">
        <f t="shared" si="14"/>
        <v>PERCENTAGE</v>
      </c>
    </row>
    <row r="132" spans="1:16" s="6" customFormat="1" x14ac:dyDescent="0.25">
      <c r="A132" s="7" t="str">
        <f t="shared" ref="A132:A195" si="21">A131</f>
        <v>2024 ALL D75</v>
      </c>
      <c r="B132" s="8">
        <f t="shared" ref="B132:B195" si="22">B131</f>
        <v>46104</v>
      </c>
      <c r="C132" s="8">
        <f t="shared" si="18"/>
        <v>46113</v>
      </c>
      <c r="D132" s="7">
        <v>3272</v>
      </c>
      <c r="E132" s="7">
        <v>336</v>
      </c>
      <c r="F132" s="7">
        <v>4</v>
      </c>
      <c r="G132" s="7">
        <v>1</v>
      </c>
      <c r="H132" s="7">
        <v>81379</v>
      </c>
      <c r="I132" s="7" t="s">
        <v>16</v>
      </c>
      <c r="J132" s="7">
        <v>15500022</v>
      </c>
      <c r="K132" s="7" t="s">
        <v>174</v>
      </c>
      <c r="L132" s="7" t="s">
        <v>175</v>
      </c>
      <c r="M132" s="9">
        <v>149900</v>
      </c>
      <c r="N132" s="10">
        <f t="shared" si="19"/>
        <v>0.75</v>
      </c>
      <c r="O132" s="9">
        <f t="shared" si="20"/>
        <v>37475</v>
      </c>
      <c r="P132" s="9" t="str">
        <f t="shared" ref="P132:P195" si="23">P131</f>
        <v>PERCENTAGE</v>
      </c>
    </row>
    <row r="133" spans="1:16" s="6" customFormat="1" x14ac:dyDescent="0.25">
      <c r="A133" s="7" t="str">
        <f t="shared" si="21"/>
        <v>2024 ALL D75</v>
      </c>
      <c r="B133" s="8">
        <f t="shared" si="22"/>
        <v>46104</v>
      </c>
      <c r="C133" s="8">
        <f t="shared" si="18"/>
        <v>46113</v>
      </c>
      <c r="D133" s="7">
        <v>3272</v>
      </c>
      <c r="E133" s="7">
        <v>336</v>
      </c>
      <c r="F133" s="7">
        <v>4</v>
      </c>
      <c r="G133" s="7">
        <v>1</v>
      </c>
      <c r="H133" s="7">
        <v>81379</v>
      </c>
      <c r="I133" s="7" t="s">
        <v>16</v>
      </c>
      <c r="J133" s="7">
        <v>15500031</v>
      </c>
      <c r="K133" s="7" t="s">
        <v>174</v>
      </c>
      <c r="L133" s="7" t="s">
        <v>176</v>
      </c>
      <c r="M133" s="9">
        <v>149900</v>
      </c>
      <c r="N133" s="10">
        <f t="shared" si="19"/>
        <v>0.75</v>
      </c>
      <c r="O133" s="9">
        <f t="shared" si="20"/>
        <v>37475</v>
      </c>
      <c r="P133" s="9" t="str">
        <f t="shared" si="23"/>
        <v>PERCENTAGE</v>
      </c>
    </row>
    <row r="134" spans="1:16" s="6" customFormat="1" x14ac:dyDescent="0.25">
      <c r="A134" s="7" t="str">
        <f t="shared" si="21"/>
        <v>2024 ALL D75</v>
      </c>
      <c r="B134" s="8">
        <f t="shared" si="22"/>
        <v>46104</v>
      </c>
      <c r="C134" s="8">
        <f t="shared" si="18"/>
        <v>46113</v>
      </c>
      <c r="D134" s="7">
        <v>3272</v>
      </c>
      <c r="E134" s="7">
        <v>336</v>
      </c>
      <c r="F134" s="7">
        <v>4</v>
      </c>
      <c r="G134" s="7">
        <v>1</v>
      </c>
      <c r="H134" s="7">
        <v>81379</v>
      </c>
      <c r="I134" s="7" t="s">
        <v>16</v>
      </c>
      <c r="J134" s="7">
        <v>15500040</v>
      </c>
      <c r="K134" s="7" t="s">
        <v>174</v>
      </c>
      <c r="L134" s="7" t="s">
        <v>177</v>
      </c>
      <c r="M134" s="9">
        <v>149900</v>
      </c>
      <c r="N134" s="10">
        <f t="shared" si="19"/>
        <v>0.75</v>
      </c>
      <c r="O134" s="9">
        <f t="shared" si="20"/>
        <v>37475</v>
      </c>
      <c r="P134" s="9" t="str">
        <f t="shared" si="23"/>
        <v>PERCENTAGE</v>
      </c>
    </row>
    <row r="135" spans="1:16" s="6" customFormat="1" x14ac:dyDescent="0.25">
      <c r="A135" s="7" t="str">
        <f t="shared" si="21"/>
        <v>2024 ALL D75</v>
      </c>
      <c r="B135" s="8">
        <f t="shared" si="22"/>
        <v>46104</v>
      </c>
      <c r="C135" s="8">
        <f t="shared" si="18"/>
        <v>46113</v>
      </c>
      <c r="D135" s="7">
        <v>3272</v>
      </c>
      <c r="E135" s="7">
        <v>336</v>
      </c>
      <c r="F135" s="7">
        <v>4</v>
      </c>
      <c r="G135" s="7">
        <v>1</v>
      </c>
      <c r="H135" s="7">
        <v>81379</v>
      </c>
      <c r="I135" s="7" t="s">
        <v>16</v>
      </c>
      <c r="J135" s="7">
        <v>15500059</v>
      </c>
      <c r="K135" s="7" t="s">
        <v>174</v>
      </c>
      <c r="L135" s="7" t="s">
        <v>178</v>
      </c>
      <c r="M135" s="9">
        <v>149900</v>
      </c>
      <c r="N135" s="10">
        <f t="shared" si="19"/>
        <v>0.75</v>
      </c>
      <c r="O135" s="9">
        <f t="shared" si="20"/>
        <v>37475</v>
      </c>
      <c r="P135" s="9" t="str">
        <f t="shared" si="23"/>
        <v>PERCENTAGE</v>
      </c>
    </row>
    <row r="136" spans="1:16" s="6" customFormat="1" x14ac:dyDescent="0.25">
      <c r="A136" s="7" t="str">
        <f t="shared" si="21"/>
        <v>2024 ALL D75</v>
      </c>
      <c r="B136" s="8">
        <f t="shared" si="22"/>
        <v>46104</v>
      </c>
      <c r="C136" s="8">
        <f t="shared" si="18"/>
        <v>46113</v>
      </c>
      <c r="D136" s="7">
        <v>3272</v>
      </c>
      <c r="E136" s="7">
        <v>336</v>
      </c>
      <c r="F136" s="7">
        <v>4</v>
      </c>
      <c r="G136" s="7">
        <v>1</v>
      </c>
      <c r="H136" s="7">
        <v>81379</v>
      </c>
      <c r="I136" s="7" t="s">
        <v>16</v>
      </c>
      <c r="J136" s="7">
        <v>15500068</v>
      </c>
      <c r="K136" s="7" t="s">
        <v>174</v>
      </c>
      <c r="L136" s="7" t="s">
        <v>179</v>
      </c>
      <c r="M136" s="9">
        <v>149900</v>
      </c>
      <c r="N136" s="10">
        <f t="shared" si="19"/>
        <v>0.75</v>
      </c>
      <c r="O136" s="9">
        <f t="shared" si="20"/>
        <v>37475</v>
      </c>
      <c r="P136" s="9" t="str">
        <f t="shared" si="23"/>
        <v>PERCENTAGE</v>
      </c>
    </row>
    <row r="137" spans="1:16" s="6" customFormat="1" x14ac:dyDescent="0.25">
      <c r="A137" s="7" t="str">
        <f t="shared" si="21"/>
        <v>2024 ALL D75</v>
      </c>
      <c r="B137" s="8">
        <f t="shared" si="22"/>
        <v>46104</v>
      </c>
      <c r="C137" s="8">
        <f t="shared" si="18"/>
        <v>46113</v>
      </c>
      <c r="D137" s="7">
        <v>3272</v>
      </c>
      <c r="E137" s="7">
        <v>336</v>
      </c>
      <c r="F137" s="7">
        <v>4</v>
      </c>
      <c r="G137" s="7">
        <v>1</v>
      </c>
      <c r="H137" s="7">
        <v>81379</v>
      </c>
      <c r="I137" s="7" t="s">
        <v>16</v>
      </c>
      <c r="J137" s="7">
        <v>15500077</v>
      </c>
      <c r="K137" s="7" t="s">
        <v>180</v>
      </c>
      <c r="L137" s="7" t="s">
        <v>181</v>
      </c>
      <c r="M137" s="9">
        <v>149900</v>
      </c>
      <c r="N137" s="10">
        <f t="shared" si="19"/>
        <v>0.75</v>
      </c>
      <c r="O137" s="9">
        <f t="shared" si="20"/>
        <v>37475</v>
      </c>
      <c r="P137" s="9" t="str">
        <f t="shared" si="23"/>
        <v>PERCENTAGE</v>
      </c>
    </row>
    <row r="138" spans="1:16" s="6" customFormat="1" x14ac:dyDescent="0.25">
      <c r="A138" s="7" t="str">
        <f t="shared" si="21"/>
        <v>2024 ALL D75</v>
      </c>
      <c r="B138" s="8">
        <f t="shared" si="22"/>
        <v>46104</v>
      </c>
      <c r="C138" s="8">
        <f t="shared" si="18"/>
        <v>46113</v>
      </c>
      <c r="D138" s="7">
        <v>3272</v>
      </c>
      <c r="E138" s="7">
        <v>336</v>
      </c>
      <c r="F138" s="7">
        <v>4</v>
      </c>
      <c r="G138" s="7">
        <v>1</v>
      </c>
      <c r="H138" s="7">
        <v>81379</v>
      </c>
      <c r="I138" s="7" t="s">
        <v>16</v>
      </c>
      <c r="J138" s="7">
        <v>15500086</v>
      </c>
      <c r="K138" s="7" t="s">
        <v>180</v>
      </c>
      <c r="L138" s="7" t="s">
        <v>182</v>
      </c>
      <c r="M138" s="9">
        <v>149900</v>
      </c>
      <c r="N138" s="10">
        <f t="shared" si="19"/>
        <v>0.75</v>
      </c>
      <c r="O138" s="9">
        <f t="shared" si="20"/>
        <v>37475</v>
      </c>
      <c r="P138" s="9" t="str">
        <f t="shared" si="23"/>
        <v>PERCENTAGE</v>
      </c>
    </row>
    <row r="139" spans="1:16" s="6" customFormat="1" x14ac:dyDescent="0.25">
      <c r="A139" s="7" t="str">
        <f t="shared" si="21"/>
        <v>2024 ALL D75</v>
      </c>
      <c r="B139" s="8">
        <f t="shared" si="22"/>
        <v>46104</v>
      </c>
      <c r="C139" s="8">
        <f t="shared" si="18"/>
        <v>46113</v>
      </c>
      <c r="D139" s="7">
        <v>3272</v>
      </c>
      <c r="E139" s="7">
        <v>336</v>
      </c>
      <c r="F139" s="7">
        <v>4</v>
      </c>
      <c r="G139" s="7">
        <v>1</v>
      </c>
      <c r="H139" s="7">
        <v>81379</v>
      </c>
      <c r="I139" s="7" t="s">
        <v>16</v>
      </c>
      <c r="J139" s="7">
        <v>15500095</v>
      </c>
      <c r="K139" s="7" t="s">
        <v>180</v>
      </c>
      <c r="L139" s="7" t="s">
        <v>183</v>
      </c>
      <c r="M139" s="9">
        <v>149900</v>
      </c>
      <c r="N139" s="10">
        <f t="shared" si="19"/>
        <v>0.75</v>
      </c>
      <c r="O139" s="9">
        <f t="shared" si="20"/>
        <v>37475</v>
      </c>
      <c r="P139" s="9" t="str">
        <f t="shared" si="23"/>
        <v>PERCENTAGE</v>
      </c>
    </row>
    <row r="140" spans="1:16" s="6" customFormat="1" x14ac:dyDescent="0.25">
      <c r="A140" s="7" t="str">
        <f t="shared" si="21"/>
        <v>2024 ALL D75</v>
      </c>
      <c r="B140" s="8">
        <f t="shared" si="22"/>
        <v>46104</v>
      </c>
      <c r="C140" s="8">
        <f t="shared" si="18"/>
        <v>46113</v>
      </c>
      <c r="D140" s="7">
        <v>3272</v>
      </c>
      <c r="E140" s="7">
        <v>336</v>
      </c>
      <c r="F140" s="7">
        <v>4</v>
      </c>
      <c r="G140" s="7">
        <v>1</v>
      </c>
      <c r="H140" s="7">
        <v>81379</v>
      </c>
      <c r="I140" s="7" t="s">
        <v>16</v>
      </c>
      <c r="J140" s="7">
        <v>15500102</v>
      </c>
      <c r="K140" s="7" t="s">
        <v>180</v>
      </c>
      <c r="L140" s="7" t="s">
        <v>184</v>
      </c>
      <c r="M140" s="9">
        <v>149900</v>
      </c>
      <c r="N140" s="10">
        <f t="shared" si="19"/>
        <v>0.75</v>
      </c>
      <c r="O140" s="9">
        <f t="shared" si="20"/>
        <v>37475</v>
      </c>
      <c r="P140" s="9" t="str">
        <f t="shared" si="23"/>
        <v>PERCENTAGE</v>
      </c>
    </row>
    <row r="141" spans="1:16" s="6" customFormat="1" x14ac:dyDescent="0.25">
      <c r="A141" s="7" t="str">
        <f t="shared" si="21"/>
        <v>2024 ALL D75</v>
      </c>
      <c r="B141" s="8">
        <f t="shared" si="22"/>
        <v>46104</v>
      </c>
      <c r="C141" s="8">
        <f t="shared" si="18"/>
        <v>46113</v>
      </c>
      <c r="D141" s="7">
        <v>3272</v>
      </c>
      <c r="E141" s="7">
        <v>336</v>
      </c>
      <c r="F141" s="7">
        <v>4</v>
      </c>
      <c r="G141" s="7">
        <v>1</v>
      </c>
      <c r="H141" s="7">
        <v>81379</v>
      </c>
      <c r="I141" s="7" t="s">
        <v>16</v>
      </c>
      <c r="J141" s="7">
        <v>15500111</v>
      </c>
      <c r="K141" s="7" t="s">
        <v>180</v>
      </c>
      <c r="L141" s="7" t="s">
        <v>185</v>
      </c>
      <c r="M141" s="9">
        <v>149900</v>
      </c>
      <c r="N141" s="10">
        <f t="shared" si="19"/>
        <v>0.75</v>
      </c>
      <c r="O141" s="9">
        <f t="shared" si="20"/>
        <v>37475</v>
      </c>
      <c r="P141" s="9" t="str">
        <f t="shared" si="23"/>
        <v>PERCENTAGE</v>
      </c>
    </row>
    <row r="142" spans="1:16" s="6" customFormat="1" x14ac:dyDescent="0.25">
      <c r="A142" s="7" t="str">
        <f t="shared" si="21"/>
        <v>2024 ALL D75</v>
      </c>
      <c r="B142" s="8">
        <f t="shared" si="22"/>
        <v>46104</v>
      </c>
      <c r="C142" s="8">
        <f t="shared" si="18"/>
        <v>46113</v>
      </c>
      <c r="D142" s="7">
        <v>3272</v>
      </c>
      <c r="E142" s="7">
        <v>336</v>
      </c>
      <c r="F142" s="7">
        <v>4</v>
      </c>
      <c r="G142" s="7">
        <v>1</v>
      </c>
      <c r="H142" s="7">
        <v>81676</v>
      </c>
      <c r="I142" s="7" t="s">
        <v>16</v>
      </c>
      <c r="J142" s="7">
        <v>15499071</v>
      </c>
      <c r="K142" s="7" t="s">
        <v>186</v>
      </c>
      <c r="L142" s="7" t="s">
        <v>187</v>
      </c>
      <c r="M142" s="9">
        <v>129900</v>
      </c>
      <c r="N142" s="10">
        <f t="shared" si="19"/>
        <v>0.75</v>
      </c>
      <c r="O142" s="9">
        <f t="shared" si="20"/>
        <v>32475</v>
      </c>
      <c r="P142" s="9" t="str">
        <f t="shared" si="23"/>
        <v>PERCENTAGE</v>
      </c>
    </row>
    <row r="143" spans="1:16" s="6" customFormat="1" x14ac:dyDescent="0.25">
      <c r="A143" s="7" t="str">
        <f t="shared" si="21"/>
        <v>2024 ALL D75</v>
      </c>
      <c r="B143" s="8">
        <f t="shared" si="22"/>
        <v>46104</v>
      </c>
      <c r="C143" s="8">
        <f t="shared" si="18"/>
        <v>46113</v>
      </c>
      <c r="D143" s="7">
        <v>3272</v>
      </c>
      <c r="E143" s="7">
        <v>336</v>
      </c>
      <c r="F143" s="7">
        <v>4</v>
      </c>
      <c r="G143" s="7">
        <v>1</v>
      </c>
      <c r="H143" s="7">
        <v>81676</v>
      </c>
      <c r="I143" s="7" t="s">
        <v>16</v>
      </c>
      <c r="J143" s="7">
        <v>15499080</v>
      </c>
      <c r="K143" s="7" t="s">
        <v>186</v>
      </c>
      <c r="L143" s="7" t="s">
        <v>188</v>
      </c>
      <c r="M143" s="9">
        <v>129900</v>
      </c>
      <c r="N143" s="10">
        <f t="shared" si="19"/>
        <v>0.75</v>
      </c>
      <c r="O143" s="9">
        <f t="shared" si="20"/>
        <v>32475</v>
      </c>
      <c r="P143" s="9" t="str">
        <f t="shared" si="23"/>
        <v>PERCENTAGE</v>
      </c>
    </row>
    <row r="144" spans="1:16" s="6" customFormat="1" x14ac:dyDescent="0.25">
      <c r="A144" s="7" t="str">
        <f t="shared" si="21"/>
        <v>2024 ALL D75</v>
      </c>
      <c r="B144" s="8">
        <f t="shared" si="22"/>
        <v>46104</v>
      </c>
      <c r="C144" s="8">
        <f t="shared" si="18"/>
        <v>46113</v>
      </c>
      <c r="D144" s="7">
        <v>3272</v>
      </c>
      <c r="E144" s="7">
        <v>336</v>
      </c>
      <c r="F144" s="7">
        <v>4</v>
      </c>
      <c r="G144" s="7">
        <v>1</v>
      </c>
      <c r="H144" s="7">
        <v>81676</v>
      </c>
      <c r="I144" s="7" t="s">
        <v>16</v>
      </c>
      <c r="J144" s="7">
        <v>15499099</v>
      </c>
      <c r="K144" s="7" t="s">
        <v>186</v>
      </c>
      <c r="L144" s="7" t="s">
        <v>189</v>
      </c>
      <c r="M144" s="9">
        <v>129900</v>
      </c>
      <c r="N144" s="10">
        <f t="shared" si="19"/>
        <v>0.75</v>
      </c>
      <c r="O144" s="9">
        <f t="shared" si="20"/>
        <v>32475</v>
      </c>
      <c r="P144" s="9" t="str">
        <f t="shared" si="23"/>
        <v>PERCENTAGE</v>
      </c>
    </row>
    <row r="145" spans="1:16" s="6" customFormat="1" x14ac:dyDescent="0.25">
      <c r="A145" s="7" t="str">
        <f t="shared" si="21"/>
        <v>2024 ALL D75</v>
      </c>
      <c r="B145" s="8">
        <f t="shared" si="22"/>
        <v>46104</v>
      </c>
      <c r="C145" s="8">
        <f t="shared" si="18"/>
        <v>46113</v>
      </c>
      <c r="D145" s="7">
        <v>3272</v>
      </c>
      <c r="E145" s="7">
        <v>336</v>
      </c>
      <c r="F145" s="7">
        <v>4</v>
      </c>
      <c r="G145" s="7">
        <v>1</v>
      </c>
      <c r="H145" s="7">
        <v>81676</v>
      </c>
      <c r="I145" s="7" t="s">
        <v>16</v>
      </c>
      <c r="J145" s="7">
        <v>15499106</v>
      </c>
      <c r="K145" s="7" t="s">
        <v>186</v>
      </c>
      <c r="L145" s="7" t="s">
        <v>190</v>
      </c>
      <c r="M145" s="9">
        <v>129900</v>
      </c>
      <c r="N145" s="10">
        <f t="shared" si="19"/>
        <v>0.75</v>
      </c>
      <c r="O145" s="9">
        <f t="shared" si="20"/>
        <v>32475</v>
      </c>
      <c r="P145" s="9" t="str">
        <f t="shared" si="23"/>
        <v>PERCENTAGE</v>
      </c>
    </row>
    <row r="146" spans="1:16" s="6" customFormat="1" x14ac:dyDescent="0.25">
      <c r="A146" s="7" t="str">
        <f t="shared" si="21"/>
        <v>2024 ALL D75</v>
      </c>
      <c r="B146" s="8">
        <f t="shared" si="22"/>
        <v>46104</v>
      </c>
      <c r="C146" s="8">
        <f t="shared" si="18"/>
        <v>46113</v>
      </c>
      <c r="D146" s="7">
        <v>3272</v>
      </c>
      <c r="E146" s="7">
        <v>336</v>
      </c>
      <c r="F146" s="7">
        <v>4</v>
      </c>
      <c r="G146" s="7">
        <v>1</v>
      </c>
      <c r="H146" s="7">
        <v>81676</v>
      </c>
      <c r="I146" s="7" t="s">
        <v>16</v>
      </c>
      <c r="J146" s="7">
        <v>15499115</v>
      </c>
      <c r="K146" s="7" t="s">
        <v>186</v>
      </c>
      <c r="L146" s="7" t="s">
        <v>191</v>
      </c>
      <c r="M146" s="9">
        <v>129900</v>
      </c>
      <c r="N146" s="10">
        <f t="shared" si="19"/>
        <v>0.75</v>
      </c>
      <c r="O146" s="9">
        <f t="shared" si="20"/>
        <v>32475</v>
      </c>
      <c r="P146" s="9" t="str">
        <f t="shared" si="23"/>
        <v>PERCENTAGE</v>
      </c>
    </row>
    <row r="147" spans="1:16" s="6" customFormat="1" x14ac:dyDescent="0.25">
      <c r="A147" s="7" t="str">
        <f t="shared" si="21"/>
        <v>2024 ALL D75</v>
      </c>
      <c r="B147" s="8">
        <f t="shared" si="22"/>
        <v>46104</v>
      </c>
      <c r="C147" s="8">
        <f t="shared" ref="C147:C162" si="24">C146</f>
        <v>46113</v>
      </c>
      <c r="D147" s="7">
        <v>3272</v>
      </c>
      <c r="E147" s="7">
        <v>336</v>
      </c>
      <c r="F147" s="7">
        <v>4</v>
      </c>
      <c r="G147" s="7">
        <v>1</v>
      </c>
      <c r="H147" s="7">
        <v>81676</v>
      </c>
      <c r="I147" s="7" t="s">
        <v>16</v>
      </c>
      <c r="J147" s="7">
        <v>15499277</v>
      </c>
      <c r="K147" s="7" t="s">
        <v>192</v>
      </c>
      <c r="L147" s="7" t="s">
        <v>193</v>
      </c>
      <c r="M147" s="9">
        <v>149900</v>
      </c>
      <c r="N147" s="10">
        <f t="shared" si="19"/>
        <v>0.75</v>
      </c>
      <c r="O147" s="9">
        <f t="shared" si="20"/>
        <v>37475</v>
      </c>
      <c r="P147" s="9" t="str">
        <f t="shared" si="23"/>
        <v>PERCENTAGE</v>
      </c>
    </row>
    <row r="148" spans="1:16" s="6" customFormat="1" x14ac:dyDescent="0.25">
      <c r="A148" s="7" t="str">
        <f t="shared" si="21"/>
        <v>2024 ALL D75</v>
      </c>
      <c r="B148" s="8">
        <f t="shared" si="22"/>
        <v>46104</v>
      </c>
      <c r="C148" s="8">
        <f t="shared" si="24"/>
        <v>46113</v>
      </c>
      <c r="D148" s="7">
        <v>3272</v>
      </c>
      <c r="E148" s="7">
        <v>336</v>
      </c>
      <c r="F148" s="7">
        <v>4</v>
      </c>
      <c r="G148" s="7">
        <v>1</v>
      </c>
      <c r="H148" s="7">
        <v>81676</v>
      </c>
      <c r="I148" s="7" t="s">
        <v>16</v>
      </c>
      <c r="J148" s="7">
        <v>15499286</v>
      </c>
      <c r="K148" s="7" t="s">
        <v>192</v>
      </c>
      <c r="L148" s="7" t="s">
        <v>194</v>
      </c>
      <c r="M148" s="9">
        <v>149900</v>
      </c>
      <c r="N148" s="10">
        <f t="shared" si="19"/>
        <v>0.75</v>
      </c>
      <c r="O148" s="9">
        <f t="shared" si="20"/>
        <v>37475</v>
      </c>
      <c r="P148" s="9" t="str">
        <f t="shared" si="23"/>
        <v>PERCENTAGE</v>
      </c>
    </row>
    <row r="149" spans="1:16" s="6" customFormat="1" x14ac:dyDescent="0.25">
      <c r="A149" s="7" t="str">
        <f t="shared" si="21"/>
        <v>2024 ALL D75</v>
      </c>
      <c r="B149" s="8">
        <f t="shared" si="22"/>
        <v>46104</v>
      </c>
      <c r="C149" s="8">
        <f t="shared" si="24"/>
        <v>46113</v>
      </c>
      <c r="D149" s="7">
        <v>3272</v>
      </c>
      <c r="E149" s="7">
        <v>336</v>
      </c>
      <c r="F149" s="7">
        <v>4</v>
      </c>
      <c r="G149" s="7">
        <v>1</v>
      </c>
      <c r="H149" s="7">
        <v>81676</v>
      </c>
      <c r="I149" s="7" t="s">
        <v>16</v>
      </c>
      <c r="J149" s="7">
        <v>15499295</v>
      </c>
      <c r="K149" s="7" t="s">
        <v>192</v>
      </c>
      <c r="L149" s="7" t="s">
        <v>195</v>
      </c>
      <c r="M149" s="9">
        <v>149900</v>
      </c>
      <c r="N149" s="10">
        <f t="shared" si="19"/>
        <v>0.75</v>
      </c>
      <c r="O149" s="9">
        <f t="shared" si="20"/>
        <v>37475</v>
      </c>
      <c r="P149" s="9" t="str">
        <f t="shared" si="23"/>
        <v>PERCENTAGE</v>
      </c>
    </row>
    <row r="150" spans="1:16" s="6" customFormat="1" x14ac:dyDescent="0.25">
      <c r="A150" s="7" t="str">
        <f t="shared" si="21"/>
        <v>2024 ALL D75</v>
      </c>
      <c r="B150" s="8">
        <f t="shared" si="22"/>
        <v>46104</v>
      </c>
      <c r="C150" s="8">
        <f t="shared" si="24"/>
        <v>46113</v>
      </c>
      <c r="D150" s="7">
        <v>3272</v>
      </c>
      <c r="E150" s="7">
        <v>336</v>
      </c>
      <c r="F150" s="7">
        <v>4</v>
      </c>
      <c r="G150" s="7">
        <v>1</v>
      </c>
      <c r="H150" s="7">
        <v>81676</v>
      </c>
      <c r="I150" s="7" t="s">
        <v>16</v>
      </c>
      <c r="J150" s="7">
        <v>15499302</v>
      </c>
      <c r="K150" s="7" t="s">
        <v>192</v>
      </c>
      <c r="L150" s="7" t="s">
        <v>196</v>
      </c>
      <c r="M150" s="9">
        <v>149900</v>
      </c>
      <c r="N150" s="10">
        <f t="shared" si="19"/>
        <v>0.75</v>
      </c>
      <c r="O150" s="9">
        <f t="shared" si="20"/>
        <v>37475</v>
      </c>
      <c r="P150" s="9" t="str">
        <f t="shared" si="23"/>
        <v>PERCENTAGE</v>
      </c>
    </row>
    <row r="151" spans="1:16" s="6" customFormat="1" x14ac:dyDescent="0.25">
      <c r="A151" s="7" t="str">
        <f t="shared" si="21"/>
        <v>2024 ALL D75</v>
      </c>
      <c r="B151" s="8">
        <f t="shared" si="22"/>
        <v>46104</v>
      </c>
      <c r="C151" s="8">
        <f t="shared" si="24"/>
        <v>46113</v>
      </c>
      <c r="D151" s="7">
        <v>3272</v>
      </c>
      <c r="E151" s="7">
        <v>336</v>
      </c>
      <c r="F151" s="7">
        <v>4</v>
      </c>
      <c r="G151" s="7">
        <v>1</v>
      </c>
      <c r="H151" s="7">
        <v>81676</v>
      </c>
      <c r="I151" s="7" t="s">
        <v>16</v>
      </c>
      <c r="J151" s="7">
        <v>15499311</v>
      </c>
      <c r="K151" s="7" t="s">
        <v>192</v>
      </c>
      <c r="L151" s="7" t="s">
        <v>197</v>
      </c>
      <c r="M151" s="9">
        <v>149900</v>
      </c>
      <c r="N151" s="10">
        <f t="shared" si="19"/>
        <v>0.75</v>
      </c>
      <c r="O151" s="9">
        <f t="shared" si="20"/>
        <v>37475</v>
      </c>
      <c r="P151" s="9" t="str">
        <f t="shared" si="23"/>
        <v>PERCENTAGE</v>
      </c>
    </row>
    <row r="152" spans="1:16" s="6" customFormat="1" x14ac:dyDescent="0.25">
      <c r="A152" s="7" t="str">
        <f t="shared" si="21"/>
        <v>2024 ALL D75</v>
      </c>
      <c r="B152" s="8">
        <f t="shared" si="22"/>
        <v>46104</v>
      </c>
      <c r="C152" s="8">
        <f t="shared" si="24"/>
        <v>46113</v>
      </c>
      <c r="D152" s="7">
        <v>3272</v>
      </c>
      <c r="E152" s="7">
        <v>336</v>
      </c>
      <c r="F152" s="7">
        <v>4</v>
      </c>
      <c r="G152" s="7">
        <v>1</v>
      </c>
      <c r="H152" s="7">
        <v>81676</v>
      </c>
      <c r="I152" s="7" t="s">
        <v>16</v>
      </c>
      <c r="J152" s="7">
        <v>15499320</v>
      </c>
      <c r="K152" s="7" t="s">
        <v>198</v>
      </c>
      <c r="L152" s="7" t="s">
        <v>199</v>
      </c>
      <c r="M152" s="9">
        <v>129900</v>
      </c>
      <c r="N152" s="10">
        <f t="shared" si="19"/>
        <v>0.75</v>
      </c>
      <c r="O152" s="9">
        <f t="shared" si="20"/>
        <v>32475</v>
      </c>
      <c r="P152" s="9" t="str">
        <f t="shared" si="23"/>
        <v>PERCENTAGE</v>
      </c>
    </row>
    <row r="153" spans="1:16" s="6" customFormat="1" x14ac:dyDescent="0.25">
      <c r="A153" s="7" t="str">
        <f t="shared" si="21"/>
        <v>2024 ALL D75</v>
      </c>
      <c r="B153" s="8">
        <f t="shared" si="22"/>
        <v>46104</v>
      </c>
      <c r="C153" s="8">
        <f t="shared" si="24"/>
        <v>46113</v>
      </c>
      <c r="D153" s="7">
        <v>3272</v>
      </c>
      <c r="E153" s="7">
        <v>336</v>
      </c>
      <c r="F153" s="7">
        <v>4</v>
      </c>
      <c r="G153" s="7">
        <v>1</v>
      </c>
      <c r="H153" s="7">
        <v>81676</v>
      </c>
      <c r="I153" s="7" t="s">
        <v>16</v>
      </c>
      <c r="J153" s="7">
        <v>15499339</v>
      </c>
      <c r="K153" s="7" t="s">
        <v>198</v>
      </c>
      <c r="L153" s="7" t="s">
        <v>200</v>
      </c>
      <c r="M153" s="9">
        <v>129900</v>
      </c>
      <c r="N153" s="10">
        <f t="shared" si="19"/>
        <v>0.75</v>
      </c>
      <c r="O153" s="9">
        <f t="shared" si="20"/>
        <v>32475</v>
      </c>
      <c r="P153" s="9" t="str">
        <f t="shared" si="23"/>
        <v>PERCENTAGE</v>
      </c>
    </row>
    <row r="154" spans="1:16" s="6" customFormat="1" x14ac:dyDescent="0.25">
      <c r="A154" s="7" t="str">
        <f t="shared" si="21"/>
        <v>2024 ALL D75</v>
      </c>
      <c r="B154" s="8">
        <f t="shared" si="22"/>
        <v>46104</v>
      </c>
      <c r="C154" s="8">
        <f t="shared" si="24"/>
        <v>46113</v>
      </c>
      <c r="D154" s="7">
        <v>3272</v>
      </c>
      <c r="E154" s="7">
        <v>336</v>
      </c>
      <c r="F154" s="7">
        <v>4</v>
      </c>
      <c r="G154" s="7">
        <v>1</v>
      </c>
      <c r="H154" s="7">
        <v>81676</v>
      </c>
      <c r="I154" s="7" t="s">
        <v>16</v>
      </c>
      <c r="J154" s="7">
        <v>15499348</v>
      </c>
      <c r="K154" s="7" t="s">
        <v>198</v>
      </c>
      <c r="L154" s="7" t="s">
        <v>201</v>
      </c>
      <c r="M154" s="9">
        <v>129900</v>
      </c>
      <c r="N154" s="10">
        <f t="shared" si="19"/>
        <v>0.75</v>
      </c>
      <c r="O154" s="9">
        <f t="shared" si="20"/>
        <v>32475</v>
      </c>
      <c r="P154" s="9" t="str">
        <f t="shared" si="23"/>
        <v>PERCENTAGE</v>
      </c>
    </row>
    <row r="155" spans="1:16" s="6" customFormat="1" x14ac:dyDescent="0.25">
      <c r="A155" s="7" t="str">
        <f t="shared" si="21"/>
        <v>2024 ALL D75</v>
      </c>
      <c r="B155" s="8">
        <f t="shared" si="22"/>
        <v>46104</v>
      </c>
      <c r="C155" s="8">
        <f t="shared" si="24"/>
        <v>46113</v>
      </c>
      <c r="D155" s="7">
        <v>3272</v>
      </c>
      <c r="E155" s="7">
        <v>336</v>
      </c>
      <c r="F155" s="7">
        <v>4</v>
      </c>
      <c r="G155" s="7">
        <v>1</v>
      </c>
      <c r="H155" s="7">
        <v>81676</v>
      </c>
      <c r="I155" s="7" t="s">
        <v>16</v>
      </c>
      <c r="J155" s="7">
        <v>15499357</v>
      </c>
      <c r="K155" s="7" t="s">
        <v>198</v>
      </c>
      <c r="L155" s="7" t="s">
        <v>202</v>
      </c>
      <c r="M155" s="9">
        <v>129900</v>
      </c>
      <c r="N155" s="10">
        <f t="shared" si="19"/>
        <v>0.75</v>
      </c>
      <c r="O155" s="9">
        <f t="shared" si="20"/>
        <v>32475</v>
      </c>
      <c r="P155" s="9" t="str">
        <f t="shared" si="23"/>
        <v>PERCENTAGE</v>
      </c>
    </row>
    <row r="156" spans="1:16" s="6" customFormat="1" x14ac:dyDescent="0.25">
      <c r="A156" s="7" t="str">
        <f t="shared" si="21"/>
        <v>2024 ALL D75</v>
      </c>
      <c r="B156" s="8">
        <f t="shared" si="22"/>
        <v>46104</v>
      </c>
      <c r="C156" s="8">
        <f t="shared" si="24"/>
        <v>46113</v>
      </c>
      <c r="D156" s="7">
        <v>3272</v>
      </c>
      <c r="E156" s="7">
        <v>336</v>
      </c>
      <c r="F156" s="7">
        <v>4</v>
      </c>
      <c r="G156" s="7">
        <v>1</v>
      </c>
      <c r="H156" s="7">
        <v>81676</v>
      </c>
      <c r="I156" s="7" t="s">
        <v>16</v>
      </c>
      <c r="J156" s="7">
        <v>15499366</v>
      </c>
      <c r="K156" s="7" t="s">
        <v>198</v>
      </c>
      <c r="L156" s="7" t="s">
        <v>203</v>
      </c>
      <c r="M156" s="9">
        <v>129900</v>
      </c>
      <c r="N156" s="10">
        <f t="shared" si="19"/>
        <v>0.75</v>
      </c>
      <c r="O156" s="9">
        <f t="shared" si="20"/>
        <v>32475</v>
      </c>
      <c r="P156" s="9" t="str">
        <f t="shared" si="23"/>
        <v>PERCENTAGE</v>
      </c>
    </row>
    <row r="157" spans="1:16" s="6" customFormat="1" x14ac:dyDescent="0.25">
      <c r="A157" s="7" t="str">
        <f t="shared" si="21"/>
        <v>2024 ALL D75</v>
      </c>
      <c r="B157" s="8">
        <f t="shared" si="22"/>
        <v>46104</v>
      </c>
      <c r="C157" s="8">
        <f t="shared" si="24"/>
        <v>46113</v>
      </c>
      <c r="D157" s="7">
        <v>3272</v>
      </c>
      <c r="E157" s="7">
        <v>336</v>
      </c>
      <c r="F157" s="7">
        <v>4</v>
      </c>
      <c r="G157" s="7">
        <v>1</v>
      </c>
      <c r="H157" s="7">
        <v>81379</v>
      </c>
      <c r="I157" s="7" t="s">
        <v>16</v>
      </c>
      <c r="J157" s="7">
        <v>15498723</v>
      </c>
      <c r="K157" s="7" t="s">
        <v>204</v>
      </c>
      <c r="L157" s="7" t="s">
        <v>205</v>
      </c>
      <c r="M157" s="9">
        <v>149900</v>
      </c>
      <c r="N157" s="10">
        <f t="shared" si="19"/>
        <v>0.75</v>
      </c>
      <c r="O157" s="9">
        <f t="shared" si="20"/>
        <v>37475</v>
      </c>
      <c r="P157" s="9" t="str">
        <f t="shared" si="23"/>
        <v>PERCENTAGE</v>
      </c>
    </row>
    <row r="158" spans="1:16" s="6" customFormat="1" x14ac:dyDescent="0.25">
      <c r="A158" s="7" t="str">
        <f t="shared" si="21"/>
        <v>2024 ALL D75</v>
      </c>
      <c r="B158" s="8">
        <f t="shared" si="22"/>
        <v>46104</v>
      </c>
      <c r="C158" s="8">
        <f t="shared" si="24"/>
        <v>46113</v>
      </c>
      <c r="D158" s="7">
        <v>3272</v>
      </c>
      <c r="E158" s="7">
        <v>336</v>
      </c>
      <c r="F158" s="7">
        <v>4</v>
      </c>
      <c r="G158" s="7">
        <v>1</v>
      </c>
      <c r="H158" s="7">
        <v>81379</v>
      </c>
      <c r="I158" s="7" t="s">
        <v>16</v>
      </c>
      <c r="J158" s="7">
        <v>15498732</v>
      </c>
      <c r="K158" s="7" t="s">
        <v>204</v>
      </c>
      <c r="L158" s="7" t="s">
        <v>206</v>
      </c>
      <c r="M158" s="9">
        <v>149900</v>
      </c>
      <c r="N158" s="10">
        <f t="shared" si="19"/>
        <v>0.75</v>
      </c>
      <c r="O158" s="9">
        <f t="shared" si="20"/>
        <v>37475</v>
      </c>
      <c r="P158" s="9" t="str">
        <f t="shared" si="23"/>
        <v>PERCENTAGE</v>
      </c>
    </row>
    <row r="159" spans="1:16" s="6" customFormat="1" x14ac:dyDescent="0.25">
      <c r="A159" s="7" t="str">
        <f t="shared" si="21"/>
        <v>2024 ALL D75</v>
      </c>
      <c r="B159" s="8">
        <f t="shared" si="22"/>
        <v>46104</v>
      </c>
      <c r="C159" s="8">
        <f t="shared" si="24"/>
        <v>46113</v>
      </c>
      <c r="D159" s="7">
        <v>3272</v>
      </c>
      <c r="E159" s="7">
        <v>336</v>
      </c>
      <c r="F159" s="7">
        <v>4</v>
      </c>
      <c r="G159" s="7">
        <v>1</v>
      </c>
      <c r="H159" s="7">
        <v>81379</v>
      </c>
      <c r="I159" s="7" t="s">
        <v>16</v>
      </c>
      <c r="J159" s="7">
        <v>15498741</v>
      </c>
      <c r="K159" s="7" t="s">
        <v>204</v>
      </c>
      <c r="L159" s="7" t="s">
        <v>207</v>
      </c>
      <c r="M159" s="9">
        <v>149900</v>
      </c>
      <c r="N159" s="10">
        <f t="shared" si="19"/>
        <v>0.75</v>
      </c>
      <c r="O159" s="9">
        <f t="shared" si="20"/>
        <v>37475</v>
      </c>
      <c r="P159" s="9" t="str">
        <f t="shared" si="23"/>
        <v>PERCENTAGE</v>
      </c>
    </row>
    <row r="160" spans="1:16" s="6" customFormat="1" x14ac:dyDescent="0.25">
      <c r="A160" s="7" t="str">
        <f t="shared" si="21"/>
        <v>2024 ALL D75</v>
      </c>
      <c r="B160" s="8">
        <f t="shared" si="22"/>
        <v>46104</v>
      </c>
      <c r="C160" s="8">
        <f t="shared" si="24"/>
        <v>46113</v>
      </c>
      <c r="D160" s="7">
        <v>3272</v>
      </c>
      <c r="E160" s="7">
        <v>336</v>
      </c>
      <c r="F160" s="7">
        <v>4</v>
      </c>
      <c r="G160" s="7">
        <v>1</v>
      </c>
      <c r="H160" s="7">
        <v>81379</v>
      </c>
      <c r="I160" s="7" t="s">
        <v>16</v>
      </c>
      <c r="J160" s="7">
        <v>15498750</v>
      </c>
      <c r="K160" s="7" t="s">
        <v>204</v>
      </c>
      <c r="L160" s="7" t="s">
        <v>208</v>
      </c>
      <c r="M160" s="9">
        <v>149900</v>
      </c>
      <c r="N160" s="10">
        <f t="shared" si="19"/>
        <v>0.75</v>
      </c>
      <c r="O160" s="9">
        <f t="shared" si="20"/>
        <v>37475</v>
      </c>
      <c r="P160" s="9" t="str">
        <f t="shared" si="23"/>
        <v>PERCENTAGE</v>
      </c>
    </row>
    <row r="161" spans="1:16" s="6" customFormat="1" x14ac:dyDescent="0.25">
      <c r="A161" s="7" t="str">
        <f t="shared" si="21"/>
        <v>2024 ALL D75</v>
      </c>
      <c r="B161" s="8">
        <f t="shared" si="22"/>
        <v>46104</v>
      </c>
      <c r="C161" s="8">
        <f t="shared" si="24"/>
        <v>46113</v>
      </c>
      <c r="D161" s="7">
        <v>3272</v>
      </c>
      <c r="E161" s="7">
        <v>336</v>
      </c>
      <c r="F161" s="7">
        <v>4</v>
      </c>
      <c r="G161" s="7">
        <v>1</v>
      </c>
      <c r="H161" s="7">
        <v>81379</v>
      </c>
      <c r="I161" s="7" t="s">
        <v>16</v>
      </c>
      <c r="J161" s="7">
        <v>15498769</v>
      </c>
      <c r="K161" s="7" t="s">
        <v>204</v>
      </c>
      <c r="L161" s="7" t="s">
        <v>209</v>
      </c>
      <c r="M161" s="9">
        <v>149900</v>
      </c>
      <c r="N161" s="10">
        <f t="shared" si="19"/>
        <v>0.75</v>
      </c>
      <c r="O161" s="9">
        <f t="shared" si="20"/>
        <v>37475</v>
      </c>
      <c r="P161" s="9" t="str">
        <f t="shared" si="23"/>
        <v>PERCENTAGE</v>
      </c>
    </row>
    <row r="162" spans="1:16" s="6" customFormat="1" x14ac:dyDescent="0.25">
      <c r="A162" s="7" t="str">
        <f t="shared" si="21"/>
        <v>2024 ALL D75</v>
      </c>
      <c r="B162" s="8">
        <f t="shared" si="22"/>
        <v>46104</v>
      </c>
      <c r="C162" s="8">
        <f t="shared" si="24"/>
        <v>46113</v>
      </c>
      <c r="D162" s="7">
        <v>3272</v>
      </c>
      <c r="E162" s="7">
        <v>336</v>
      </c>
      <c r="F162" s="7">
        <v>4</v>
      </c>
      <c r="G162" s="7">
        <v>1</v>
      </c>
      <c r="H162" s="7">
        <v>81379</v>
      </c>
      <c r="I162" s="7" t="s">
        <v>16</v>
      </c>
      <c r="J162" s="7">
        <v>15498778</v>
      </c>
      <c r="K162" s="7" t="s">
        <v>210</v>
      </c>
      <c r="L162" s="7" t="s">
        <v>211</v>
      </c>
      <c r="M162" s="9">
        <v>149900</v>
      </c>
      <c r="N162" s="10">
        <f t="shared" si="19"/>
        <v>0.75</v>
      </c>
      <c r="O162" s="9">
        <f t="shared" si="20"/>
        <v>37475</v>
      </c>
      <c r="P162" s="9" t="str">
        <f t="shared" si="23"/>
        <v>PERCENTAGE</v>
      </c>
    </row>
    <row r="163" spans="1:16" s="6" customFormat="1" x14ac:dyDescent="0.25">
      <c r="A163" s="7" t="str">
        <f t="shared" si="21"/>
        <v>2024 ALL D75</v>
      </c>
      <c r="B163" s="8">
        <f t="shared" si="22"/>
        <v>46104</v>
      </c>
      <c r="C163" s="8">
        <f t="shared" ref="C163:C178" si="25">C162</f>
        <v>46113</v>
      </c>
      <c r="D163" s="7">
        <v>3272</v>
      </c>
      <c r="E163" s="7">
        <v>336</v>
      </c>
      <c r="F163" s="7">
        <v>4</v>
      </c>
      <c r="G163" s="7">
        <v>1</v>
      </c>
      <c r="H163" s="7">
        <v>81379</v>
      </c>
      <c r="I163" s="7" t="s">
        <v>16</v>
      </c>
      <c r="J163" s="7">
        <v>15498787</v>
      </c>
      <c r="K163" s="7" t="s">
        <v>210</v>
      </c>
      <c r="L163" s="7" t="s">
        <v>212</v>
      </c>
      <c r="M163" s="9">
        <v>149900</v>
      </c>
      <c r="N163" s="10">
        <f t="shared" si="19"/>
        <v>0.75</v>
      </c>
      <c r="O163" s="9">
        <f t="shared" si="20"/>
        <v>37475</v>
      </c>
      <c r="P163" s="9" t="str">
        <f t="shared" si="23"/>
        <v>PERCENTAGE</v>
      </c>
    </row>
    <row r="164" spans="1:16" s="6" customFormat="1" x14ac:dyDescent="0.25">
      <c r="A164" s="7" t="str">
        <f t="shared" si="21"/>
        <v>2024 ALL D75</v>
      </c>
      <c r="B164" s="8">
        <f t="shared" si="22"/>
        <v>46104</v>
      </c>
      <c r="C164" s="8">
        <f t="shared" si="25"/>
        <v>46113</v>
      </c>
      <c r="D164" s="7">
        <v>3272</v>
      </c>
      <c r="E164" s="7">
        <v>336</v>
      </c>
      <c r="F164" s="7">
        <v>4</v>
      </c>
      <c r="G164" s="7">
        <v>1</v>
      </c>
      <c r="H164" s="7">
        <v>81379</v>
      </c>
      <c r="I164" s="7" t="s">
        <v>16</v>
      </c>
      <c r="J164" s="7">
        <v>15498796</v>
      </c>
      <c r="K164" s="7" t="s">
        <v>210</v>
      </c>
      <c r="L164" s="7" t="s">
        <v>213</v>
      </c>
      <c r="M164" s="9">
        <v>149900</v>
      </c>
      <c r="N164" s="10">
        <f t="shared" si="19"/>
        <v>0.75</v>
      </c>
      <c r="O164" s="9">
        <f t="shared" si="20"/>
        <v>37475</v>
      </c>
      <c r="P164" s="9" t="str">
        <f t="shared" si="23"/>
        <v>PERCENTAGE</v>
      </c>
    </row>
    <row r="165" spans="1:16" s="6" customFormat="1" x14ac:dyDescent="0.25">
      <c r="A165" s="7" t="str">
        <f t="shared" si="21"/>
        <v>2024 ALL D75</v>
      </c>
      <c r="B165" s="8">
        <f t="shared" si="22"/>
        <v>46104</v>
      </c>
      <c r="C165" s="8">
        <f t="shared" si="25"/>
        <v>46113</v>
      </c>
      <c r="D165" s="7">
        <v>3272</v>
      </c>
      <c r="E165" s="7">
        <v>336</v>
      </c>
      <c r="F165" s="7">
        <v>4</v>
      </c>
      <c r="G165" s="7">
        <v>1</v>
      </c>
      <c r="H165" s="7">
        <v>81379</v>
      </c>
      <c r="I165" s="7" t="s">
        <v>16</v>
      </c>
      <c r="J165" s="7">
        <v>15498803</v>
      </c>
      <c r="K165" s="7" t="s">
        <v>210</v>
      </c>
      <c r="L165" s="7" t="s">
        <v>214</v>
      </c>
      <c r="M165" s="9">
        <v>149900</v>
      </c>
      <c r="N165" s="10">
        <f t="shared" si="19"/>
        <v>0.75</v>
      </c>
      <c r="O165" s="9">
        <f t="shared" si="20"/>
        <v>37475</v>
      </c>
      <c r="P165" s="9" t="str">
        <f t="shared" si="23"/>
        <v>PERCENTAGE</v>
      </c>
    </row>
    <row r="166" spans="1:16" s="6" customFormat="1" x14ac:dyDescent="0.25">
      <c r="A166" s="7" t="str">
        <f t="shared" si="21"/>
        <v>2024 ALL D75</v>
      </c>
      <c r="B166" s="8">
        <f t="shared" si="22"/>
        <v>46104</v>
      </c>
      <c r="C166" s="8">
        <f t="shared" si="25"/>
        <v>46113</v>
      </c>
      <c r="D166" s="7">
        <v>3272</v>
      </c>
      <c r="E166" s="7">
        <v>336</v>
      </c>
      <c r="F166" s="7">
        <v>4</v>
      </c>
      <c r="G166" s="7">
        <v>1</v>
      </c>
      <c r="H166" s="7">
        <v>81379</v>
      </c>
      <c r="I166" s="7" t="s">
        <v>16</v>
      </c>
      <c r="J166" s="7">
        <v>15498812</v>
      </c>
      <c r="K166" s="7" t="s">
        <v>210</v>
      </c>
      <c r="L166" s="7" t="s">
        <v>215</v>
      </c>
      <c r="M166" s="9">
        <v>149900</v>
      </c>
      <c r="N166" s="10">
        <f t="shared" si="19"/>
        <v>0.75</v>
      </c>
      <c r="O166" s="9">
        <f t="shared" si="20"/>
        <v>37475</v>
      </c>
      <c r="P166" s="9" t="str">
        <f t="shared" si="23"/>
        <v>PERCENTAGE</v>
      </c>
    </row>
    <row r="167" spans="1:16" s="6" customFormat="1" x14ac:dyDescent="0.25">
      <c r="A167" s="7" t="str">
        <f t="shared" si="21"/>
        <v>2024 ALL D75</v>
      </c>
      <c r="B167" s="8">
        <f t="shared" si="22"/>
        <v>46104</v>
      </c>
      <c r="C167" s="8">
        <f t="shared" si="25"/>
        <v>46113</v>
      </c>
      <c r="D167" s="7">
        <v>3272</v>
      </c>
      <c r="E167" s="7">
        <v>336</v>
      </c>
      <c r="F167" s="7">
        <v>4</v>
      </c>
      <c r="G167" s="7">
        <v>3</v>
      </c>
      <c r="H167" s="7">
        <v>81379</v>
      </c>
      <c r="I167" s="7" t="s">
        <v>16</v>
      </c>
      <c r="J167" s="7">
        <v>15500120</v>
      </c>
      <c r="K167" s="7" t="s">
        <v>216</v>
      </c>
      <c r="L167" s="7" t="s">
        <v>217</v>
      </c>
      <c r="M167" s="9">
        <v>239900</v>
      </c>
      <c r="N167" s="10">
        <f t="shared" si="19"/>
        <v>0.75</v>
      </c>
      <c r="O167" s="9">
        <f t="shared" si="20"/>
        <v>59975</v>
      </c>
      <c r="P167" s="9" t="str">
        <f t="shared" si="23"/>
        <v>PERCENTAGE</v>
      </c>
    </row>
    <row r="168" spans="1:16" s="6" customFormat="1" x14ac:dyDescent="0.25">
      <c r="A168" s="7" t="str">
        <f t="shared" si="21"/>
        <v>2024 ALL D75</v>
      </c>
      <c r="B168" s="8">
        <f t="shared" si="22"/>
        <v>46104</v>
      </c>
      <c r="C168" s="8">
        <f t="shared" si="25"/>
        <v>46113</v>
      </c>
      <c r="D168" s="7">
        <v>3272</v>
      </c>
      <c r="E168" s="7">
        <v>336</v>
      </c>
      <c r="F168" s="7">
        <v>4</v>
      </c>
      <c r="G168" s="7">
        <v>3</v>
      </c>
      <c r="H168" s="7">
        <v>81379</v>
      </c>
      <c r="I168" s="7" t="s">
        <v>16</v>
      </c>
      <c r="J168" s="7">
        <v>15500139</v>
      </c>
      <c r="K168" s="7" t="s">
        <v>216</v>
      </c>
      <c r="L168" s="7" t="s">
        <v>218</v>
      </c>
      <c r="M168" s="9">
        <v>239900</v>
      </c>
      <c r="N168" s="10">
        <f t="shared" si="19"/>
        <v>0.75</v>
      </c>
      <c r="O168" s="9">
        <f t="shared" si="20"/>
        <v>59975</v>
      </c>
      <c r="P168" s="9" t="str">
        <f t="shared" si="23"/>
        <v>PERCENTAGE</v>
      </c>
    </row>
    <row r="169" spans="1:16" s="6" customFormat="1" x14ac:dyDescent="0.25">
      <c r="A169" s="7" t="str">
        <f t="shared" si="21"/>
        <v>2024 ALL D75</v>
      </c>
      <c r="B169" s="8">
        <f t="shared" si="22"/>
        <v>46104</v>
      </c>
      <c r="C169" s="8">
        <f t="shared" si="25"/>
        <v>46113</v>
      </c>
      <c r="D169" s="7">
        <v>3272</v>
      </c>
      <c r="E169" s="7">
        <v>336</v>
      </c>
      <c r="F169" s="7">
        <v>4</v>
      </c>
      <c r="G169" s="7">
        <v>3</v>
      </c>
      <c r="H169" s="7">
        <v>81379</v>
      </c>
      <c r="I169" s="7" t="s">
        <v>16</v>
      </c>
      <c r="J169" s="7">
        <v>15500148</v>
      </c>
      <c r="K169" s="7" t="s">
        <v>216</v>
      </c>
      <c r="L169" s="7" t="s">
        <v>219</v>
      </c>
      <c r="M169" s="9">
        <v>239900</v>
      </c>
      <c r="N169" s="10">
        <f t="shared" si="19"/>
        <v>0.75</v>
      </c>
      <c r="O169" s="9">
        <f t="shared" si="20"/>
        <v>59975</v>
      </c>
      <c r="P169" s="9" t="str">
        <f t="shared" si="23"/>
        <v>PERCENTAGE</v>
      </c>
    </row>
    <row r="170" spans="1:16" s="6" customFormat="1" x14ac:dyDescent="0.25">
      <c r="A170" s="7" t="str">
        <f t="shared" si="21"/>
        <v>2024 ALL D75</v>
      </c>
      <c r="B170" s="8">
        <f t="shared" si="22"/>
        <v>46104</v>
      </c>
      <c r="C170" s="8">
        <f t="shared" si="25"/>
        <v>46113</v>
      </c>
      <c r="D170" s="7">
        <v>3272</v>
      </c>
      <c r="E170" s="7">
        <v>336</v>
      </c>
      <c r="F170" s="7">
        <v>4</v>
      </c>
      <c r="G170" s="7">
        <v>3</v>
      </c>
      <c r="H170" s="7">
        <v>81379</v>
      </c>
      <c r="I170" s="7" t="s">
        <v>16</v>
      </c>
      <c r="J170" s="7">
        <v>15500157</v>
      </c>
      <c r="K170" s="7" t="s">
        <v>216</v>
      </c>
      <c r="L170" s="7" t="s">
        <v>220</v>
      </c>
      <c r="M170" s="9">
        <v>239900</v>
      </c>
      <c r="N170" s="10">
        <f t="shared" si="19"/>
        <v>0.75</v>
      </c>
      <c r="O170" s="9">
        <f t="shared" si="20"/>
        <v>59975</v>
      </c>
      <c r="P170" s="9" t="str">
        <f t="shared" si="23"/>
        <v>PERCENTAGE</v>
      </c>
    </row>
    <row r="171" spans="1:16" s="6" customFormat="1" x14ac:dyDescent="0.25">
      <c r="A171" s="7" t="str">
        <f t="shared" si="21"/>
        <v>2024 ALL D75</v>
      </c>
      <c r="B171" s="8">
        <f t="shared" si="22"/>
        <v>46104</v>
      </c>
      <c r="C171" s="8">
        <f t="shared" si="25"/>
        <v>46113</v>
      </c>
      <c r="D171" s="7">
        <v>3272</v>
      </c>
      <c r="E171" s="7">
        <v>336</v>
      </c>
      <c r="F171" s="7">
        <v>4</v>
      </c>
      <c r="G171" s="7">
        <v>3</v>
      </c>
      <c r="H171" s="7">
        <v>81379</v>
      </c>
      <c r="I171" s="7" t="s">
        <v>16</v>
      </c>
      <c r="J171" s="7">
        <v>15500166</v>
      </c>
      <c r="K171" s="7" t="s">
        <v>216</v>
      </c>
      <c r="L171" s="7" t="s">
        <v>221</v>
      </c>
      <c r="M171" s="9">
        <v>239900</v>
      </c>
      <c r="N171" s="10">
        <f t="shared" si="19"/>
        <v>0.75</v>
      </c>
      <c r="O171" s="9">
        <f t="shared" si="20"/>
        <v>59975</v>
      </c>
      <c r="P171" s="9" t="str">
        <f t="shared" si="23"/>
        <v>PERCENTAGE</v>
      </c>
    </row>
    <row r="172" spans="1:16" s="6" customFormat="1" x14ac:dyDescent="0.25">
      <c r="A172" s="7" t="str">
        <f t="shared" si="21"/>
        <v>2024 ALL D75</v>
      </c>
      <c r="B172" s="8">
        <f t="shared" si="22"/>
        <v>46104</v>
      </c>
      <c r="C172" s="8">
        <f t="shared" si="25"/>
        <v>46113</v>
      </c>
      <c r="D172" s="7">
        <v>3272</v>
      </c>
      <c r="E172" s="7">
        <v>336</v>
      </c>
      <c r="F172" s="7">
        <v>4</v>
      </c>
      <c r="G172" s="7">
        <v>3</v>
      </c>
      <c r="H172" s="7">
        <v>81379</v>
      </c>
      <c r="I172" s="7" t="s">
        <v>16</v>
      </c>
      <c r="J172" s="7">
        <v>15498821</v>
      </c>
      <c r="K172" s="7" t="s">
        <v>222</v>
      </c>
      <c r="L172" s="7" t="s">
        <v>223</v>
      </c>
      <c r="M172" s="9">
        <v>239900</v>
      </c>
      <c r="N172" s="10">
        <f t="shared" si="19"/>
        <v>0.75</v>
      </c>
      <c r="O172" s="9">
        <f t="shared" si="20"/>
        <v>59975</v>
      </c>
      <c r="P172" s="9" t="str">
        <f t="shared" si="23"/>
        <v>PERCENTAGE</v>
      </c>
    </row>
    <row r="173" spans="1:16" s="6" customFormat="1" x14ac:dyDescent="0.25">
      <c r="A173" s="7" t="str">
        <f t="shared" si="21"/>
        <v>2024 ALL D75</v>
      </c>
      <c r="B173" s="8">
        <f t="shared" si="22"/>
        <v>46104</v>
      </c>
      <c r="C173" s="8">
        <f t="shared" si="25"/>
        <v>46113</v>
      </c>
      <c r="D173" s="7">
        <v>3272</v>
      </c>
      <c r="E173" s="7">
        <v>336</v>
      </c>
      <c r="F173" s="7">
        <v>4</v>
      </c>
      <c r="G173" s="7">
        <v>3</v>
      </c>
      <c r="H173" s="7">
        <v>81379</v>
      </c>
      <c r="I173" s="7" t="s">
        <v>16</v>
      </c>
      <c r="J173" s="7">
        <v>15498830</v>
      </c>
      <c r="K173" s="7" t="s">
        <v>222</v>
      </c>
      <c r="L173" s="7" t="s">
        <v>224</v>
      </c>
      <c r="M173" s="9">
        <v>239900</v>
      </c>
      <c r="N173" s="10">
        <f t="shared" si="19"/>
        <v>0.75</v>
      </c>
      <c r="O173" s="9">
        <f t="shared" si="20"/>
        <v>59975</v>
      </c>
      <c r="P173" s="9" t="str">
        <f t="shared" si="23"/>
        <v>PERCENTAGE</v>
      </c>
    </row>
    <row r="174" spans="1:16" s="6" customFormat="1" x14ac:dyDescent="0.25">
      <c r="A174" s="7" t="str">
        <f t="shared" si="21"/>
        <v>2024 ALL D75</v>
      </c>
      <c r="B174" s="8">
        <f t="shared" si="22"/>
        <v>46104</v>
      </c>
      <c r="C174" s="8">
        <f t="shared" si="25"/>
        <v>46113</v>
      </c>
      <c r="D174" s="7">
        <v>3272</v>
      </c>
      <c r="E174" s="7">
        <v>336</v>
      </c>
      <c r="F174" s="7">
        <v>4</v>
      </c>
      <c r="G174" s="7">
        <v>3</v>
      </c>
      <c r="H174" s="7">
        <v>81379</v>
      </c>
      <c r="I174" s="7" t="s">
        <v>16</v>
      </c>
      <c r="J174" s="7">
        <v>15498858</v>
      </c>
      <c r="K174" s="7" t="s">
        <v>222</v>
      </c>
      <c r="L174" s="7" t="s">
        <v>225</v>
      </c>
      <c r="M174" s="9">
        <v>239900</v>
      </c>
      <c r="N174" s="10">
        <f t="shared" si="19"/>
        <v>0.75</v>
      </c>
      <c r="O174" s="9">
        <f t="shared" si="20"/>
        <v>59975</v>
      </c>
      <c r="P174" s="9" t="str">
        <f t="shared" si="23"/>
        <v>PERCENTAGE</v>
      </c>
    </row>
    <row r="175" spans="1:16" s="6" customFormat="1" x14ac:dyDescent="0.25">
      <c r="A175" s="7" t="str">
        <f t="shared" si="21"/>
        <v>2024 ALL D75</v>
      </c>
      <c r="B175" s="8">
        <f t="shared" si="22"/>
        <v>46104</v>
      </c>
      <c r="C175" s="8">
        <f t="shared" si="25"/>
        <v>46113</v>
      </c>
      <c r="D175" s="7">
        <v>3272</v>
      </c>
      <c r="E175" s="7">
        <v>336</v>
      </c>
      <c r="F175" s="7">
        <v>4</v>
      </c>
      <c r="G175" s="7">
        <v>3</v>
      </c>
      <c r="H175" s="7">
        <v>81379</v>
      </c>
      <c r="I175" s="7" t="s">
        <v>16</v>
      </c>
      <c r="J175" s="7">
        <v>15498867</v>
      </c>
      <c r="K175" s="7" t="s">
        <v>222</v>
      </c>
      <c r="L175" s="7" t="s">
        <v>226</v>
      </c>
      <c r="M175" s="9">
        <v>239900</v>
      </c>
      <c r="N175" s="10">
        <f t="shared" si="19"/>
        <v>0.75</v>
      </c>
      <c r="O175" s="9">
        <f t="shared" si="20"/>
        <v>59975</v>
      </c>
      <c r="P175" s="9" t="str">
        <f t="shared" si="23"/>
        <v>PERCENTAGE</v>
      </c>
    </row>
    <row r="176" spans="1:16" s="6" customFormat="1" x14ac:dyDescent="0.25">
      <c r="A176" s="7" t="str">
        <f t="shared" si="21"/>
        <v>2024 ALL D75</v>
      </c>
      <c r="B176" s="8">
        <f t="shared" si="22"/>
        <v>46104</v>
      </c>
      <c r="C176" s="8">
        <f t="shared" si="25"/>
        <v>46113</v>
      </c>
      <c r="D176" s="7">
        <v>3272</v>
      </c>
      <c r="E176" s="7">
        <v>336</v>
      </c>
      <c r="F176" s="7">
        <v>4</v>
      </c>
      <c r="G176" s="7">
        <v>4</v>
      </c>
      <c r="H176" s="7">
        <v>81379</v>
      </c>
      <c r="I176" s="7" t="s">
        <v>16</v>
      </c>
      <c r="J176" s="7">
        <v>15500228</v>
      </c>
      <c r="K176" s="7" t="s">
        <v>227</v>
      </c>
      <c r="L176" s="7" t="s">
        <v>228</v>
      </c>
      <c r="M176" s="9">
        <v>159900</v>
      </c>
      <c r="N176" s="10">
        <f t="shared" si="19"/>
        <v>0.75</v>
      </c>
      <c r="O176" s="9">
        <f t="shared" si="20"/>
        <v>39975</v>
      </c>
      <c r="P176" s="9" t="str">
        <f t="shared" si="23"/>
        <v>PERCENTAGE</v>
      </c>
    </row>
    <row r="177" spans="1:16" s="6" customFormat="1" x14ac:dyDescent="0.25">
      <c r="A177" s="7" t="str">
        <f t="shared" si="21"/>
        <v>2024 ALL D75</v>
      </c>
      <c r="B177" s="8">
        <f t="shared" si="22"/>
        <v>46104</v>
      </c>
      <c r="C177" s="8">
        <f t="shared" si="25"/>
        <v>46113</v>
      </c>
      <c r="D177" s="7">
        <v>3272</v>
      </c>
      <c r="E177" s="7">
        <v>336</v>
      </c>
      <c r="F177" s="7">
        <v>4</v>
      </c>
      <c r="G177" s="7">
        <v>4</v>
      </c>
      <c r="H177" s="7">
        <v>81379</v>
      </c>
      <c r="I177" s="7" t="s">
        <v>16</v>
      </c>
      <c r="J177" s="7">
        <v>15500237</v>
      </c>
      <c r="K177" s="7" t="s">
        <v>227</v>
      </c>
      <c r="L177" s="7" t="s">
        <v>229</v>
      </c>
      <c r="M177" s="9">
        <v>159900</v>
      </c>
      <c r="N177" s="10">
        <f t="shared" si="19"/>
        <v>0.75</v>
      </c>
      <c r="O177" s="9">
        <f t="shared" si="20"/>
        <v>39975</v>
      </c>
      <c r="P177" s="9" t="str">
        <f t="shared" si="23"/>
        <v>PERCENTAGE</v>
      </c>
    </row>
    <row r="178" spans="1:16" s="6" customFormat="1" x14ac:dyDescent="0.25">
      <c r="A178" s="7" t="str">
        <f t="shared" si="21"/>
        <v>2024 ALL D75</v>
      </c>
      <c r="B178" s="8">
        <f t="shared" si="22"/>
        <v>46104</v>
      </c>
      <c r="C178" s="8">
        <f t="shared" si="25"/>
        <v>46113</v>
      </c>
      <c r="D178" s="7">
        <v>3272</v>
      </c>
      <c r="E178" s="7">
        <v>336</v>
      </c>
      <c r="F178" s="7">
        <v>4</v>
      </c>
      <c r="G178" s="7">
        <v>4</v>
      </c>
      <c r="H178" s="7">
        <v>81379</v>
      </c>
      <c r="I178" s="7" t="s">
        <v>16</v>
      </c>
      <c r="J178" s="7">
        <v>15500246</v>
      </c>
      <c r="K178" s="7" t="s">
        <v>227</v>
      </c>
      <c r="L178" s="7" t="s">
        <v>230</v>
      </c>
      <c r="M178" s="9">
        <v>159900</v>
      </c>
      <c r="N178" s="10">
        <f t="shared" si="19"/>
        <v>0.75</v>
      </c>
      <c r="O178" s="9">
        <f t="shared" si="20"/>
        <v>39975</v>
      </c>
      <c r="P178" s="9" t="str">
        <f t="shared" si="23"/>
        <v>PERCENTAGE</v>
      </c>
    </row>
    <row r="179" spans="1:16" s="6" customFormat="1" x14ac:dyDescent="0.25">
      <c r="A179" s="7" t="str">
        <f t="shared" si="21"/>
        <v>2024 ALL D75</v>
      </c>
      <c r="B179" s="8">
        <f t="shared" si="22"/>
        <v>46104</v>
      </c>
      <c r="C179" s="8">
        <f t="shared" ref="C179:C194" si="26">C178</f>
        <v>46113</v>
      </c>
      <c r="D179" s="7">
        <v>3272</v>
      </c>
      <c r="E179" s="7">
        <v>336</v>
      </c>
      <c r="F179" s="7">
        <v>4</v>
      </c>
      <c r="G179" s="7">
        <v>4</v>
      </c>
      <c r="H179" s="7">
        <v>81379</v>
      </c>
      <c r="I179" s="7" t="s">
        <v>16</v>
      </c>
      <c r="J179" s="7">
        <v>15500255</v>
      </c>
      <c r="K179" s="7" t="s">
        <v>227</v>
      </c>
      <c r="L179" s="7" t="s">
        <v>231</v>
      </c>
      <c r="M179" s="9">
        <v>159900</v>
      </c>
      <c r="N179" s="10">
        <f t="shared" si="19"/>
        <v>0.75</v>
      </c>
      <c r="O179" s="9">
        <f t="shared" si="20"/>
        <v>39975</v>
      </c>
      <c r="P179" s="9" t="str">
        <f t="shared" si="23"/>
        <v>PERCENTAGE</v>
      </c>
    </row>
    <row r="180" spans="1:16" s="6" customFormat="1" x14ac:dyDescent="0.25">
      <c r="A180" s="7" t="str">
        <f t="shared" si="21"/>
        <v>2024 ALL D75</v>
      </c>
      <c r="B180" s="8">
        <f t="shared" si="22"/>
        <v>46104</v>
      </c>
      <c r="C180" s="8">
        <f t="shared" si="26"/>
        <v>46113</v>
      </c>
      <c r="D180" s="7">
        <v>3272</v>
      </c>
      <c r="E180" s="7">
        <v>336</v>
      </c>
      <c r="F180" s="7">
        <v>4</v>
      </c>
      <c r="G180" s="7">
        <v>4</v>
      </c>
      <c r="H180" s="7">
        <v>81379</v>
      </c>
      <c r="I180" s="7" t="s">
        <v>16</v>
      </c>
      <c r="J180" s="7">
        <v>15500264</v>
      </c>
      <c r="K180" s="7" t="s">
        <v>227</v>
      </c>
      <c r="L180" s="7" t="s">
        <v>232</v>
      </c>
      <c r="M180" s="9">
        <v>159900</v>
      </c>
      <c r="N180" s="10">
        <f t="shared" si="19"/>
        <v>0.75</v>
      </c>
      <c r="O180" s="9">
        <f t="shared" si="20"/>
        <v>39975</v>
      </c>
      <c r="P180" s="9" t="str">
        <f t="shared" si="23"/>
        <v>PERCENTAGE</v>
      </c>
    </row>
    <row r="181" spans="1:16" s="6" customFormat="1" x14ac:dyDescent="0.25">
      <c r="A181" s="7" t="str">
        <f t="shared" si="21"/>
        <v>2024 ALL D75</v>
      </c>
      <c r="B181" s="8">
        <f t="shared" si="22"/>
        <v>46104</v>
      </c>
      <c r="C181" s="8">
        <f t="shared" si="26"/>
        <v>46113</v>
      </c>
      <c r="D181" s="7">
        <v>3272</v>
      </c>
      <c r="E181" s="7">
        <v>336</v>
      </c>
      <c r="F181" s="7">
        <v>4</v>
      </c>
      <c r="G181" s="7">
        <v>4</v>
      </c>
      <c r="H181" s="7">
        <v>81379</v>
      </c>
      <c r="I181" s="7" t="s">
        <v>16</v>
      </c>
      <c r="J181" s="7">
        <v>15498929</v>
      </c>
      <c r="K181" s="7" t="s">
        <v>233</v>
      </c>
      <c r="L181" s="7" t="s">
        <v>234</v>
      </c>
      <c r="M181" s="9">
        <v>159900</v>
      </c>
      <c r="N181" s="10">
        <f t="shared" si="19"/>
        <v>0.75</v>
      </c>
      <c r="O181" s="9">
        <f t="shared" si="20"/>
        <v>39975</v>
      </c>
      <c r="P181" s="9" t="str">
        <f t="shared" si="23"/>
        <v>PERCENTAGE</v>
      </c>
    </row>
    <row r="182" spans="1:16" s="6" customFormat="1" x14ac:dyDescent="0.25">
      <c r="A182" s="7" t="str">
        <f t="shared" si="21"/>
        <v>2024 ALL D75</v>
      </c>
      <c r="B182" s="8">
        <f t="shared" si="22"/>
        <v>46104</v>
      </c>
      <c r="C182" s="8">
        <f t="shared" si="26"/>
        <v>46113</v>
      </c>
      <c r="D182" s="7">
        <v>3272</v>
      </c>
      <c r="E182" s="7">
        <v>336</v>
      </c>
      <c r="F182" s="7">
        <v>4</v>
      </c>
      <c r="G182" s="7">
        <v>4</v>
      </c>
      <c r="H182" s="7">
        <v>81379</v>
      </c>
      <c r="I182" s="7" t="s">
        <v>16</v>
      </c>
      <c r="J182" s="7">
        <v>15498938</v>
      </c>
      <c r="K182" s="7" t="s">
        <v>233</v>
      </c>
      <c r="L182" s="7" t="s">
        <v>235</v>
      </c>
      <c r="M182" s="9">
        <v>159900</v>
      </c>
      <c r="N182" s="10">
        <f t="shared" si="19"/>
        <v>0.75</v>
      </c>
      <c r="O182" s="9">
        <f t="shared" si="20"/>
        <v>39975</v>
      </c>
      <c r="P182" s="9" t="str">
        <f t="shared" si="23"/>
        <v>PERCENTAGE</v>
      </c>
    </row>
    <row r="183" spans="1:16" s="6" customFormat="1" x14ac:dyDescent="0.25">
      <c r="A183" s="7" t="str">
        <f t="shared" si="21"/>
        <v>2024 ALL D75</v>
      </c>
      <c r="B183" s="8">
        <f t="shared" si="22"/>
        <v>46104</v>
      </c>
      <c r="C183" s="8">
        <f t="shared" si="26"/>
        <v>46113</v>
      </c>
      <c r="D183" s="7">
        <v>3272</v>
      </c>
      <c r="E183" s="7">
        <v>336</v>
      </c>
      <c r="F183" s="7">
        <v>4</v>
      </c>
      <c r="G183" s="7">
        <v>4</v>
      </c>
      <c r="H183" s="7">
        <v>81379</v>
      </c>
      <c r="I183" s="7" t="s">
        <v>16</v>
      </c>
      <c r="J183" s="7">
        <v>15498947</v>
      </c>
      <c r="K183" s="7" t="s">
        <v>233</v>
      </c>
      <c r="L183" s="7" t="s">
        <v>236</v>
      </c>
      <c r="M183" s="9">
        <v>159900</v>
      </c>
      <c r="N183" s="10">
        <f t="shared" si="19"/>
        <v>0.75</v>
      </c>
      <c r="O183" s="9">
        <f t="shared" si="20"/>
        <v>39975</v>
      </c>
      <c r="P183" s="9" t="str">
        <f t="shared" si="23"/>
        <v>PERCENTAGE</v>
      </c>
    </row>
    <row r="184" spans="1:16" s="6" customFormat="1" x14ac:dyDescent="0.25">
      <c r="A184" s="7" t="str">
        <f t="shared" si="21"/>
        <v>2024 ALL D75</v>
      </c>
      <c r="B184" s="8">
        <f t="shared" si="22"/>
        <v>46104</v>
      </c>
      <c r="C184" s="8">
        <f t="shared" si="26"/>
        <v>46113</v>
      </c>
      <c r="D184" s="7">
        <v>3272</v>
      </c>
      <c r="E184" s="7">
        <v>336</v>
      </c>
      <c r="F184" s="7">
        <v>4</v>
      </c>
      <c r="G184" s="7">
        <v>4</v>
      </c>
      <c r="H184" s="7">
        <v>81379</v>
      </c>
      <c r="I184" s="7" t="s">
        <v>16</v>
      </c>
      <c r="J184" s="7">
        <v>15498956</v>
      </c>
      <c r="K184" s="7" t="s">
        <v>233</v>
      </c>
      <c r="L184" s="7" t="s">
        <v>237</v>
      </c>
      <c r="M184" s="9">
        <v>159900</v>
      </c>
      <c r="N184" s="10">
        <f t="shared" si="19"/>
        <v>0.75</v>
      </c>
      <c r="O184" s="9">
        <f t="shared" si="20"/>
        <v>39975</v>
      </c>
      <c r="P184" s="9" t="str">
        <f t="shared" si="23"/>
        <v>PERCENTAGE</v>
      </c>
    </row>
    <row r="185" spans="1:16" s="6" customFormat="1" x14ac:dyDescent="0.25">
      <c r="A185" s="7" t="str">
        <f t="shared" si="21"/>
        <v>2024 ALL D75</v>
      </c>
      <c r="B185" s="8">
        <f t="shared" si="22"/>
        <v>46104</v>
      </c>
      <c r="C185" s="8">
        <f t="shared" si="26"/>
        <v>46113</v>
      </c>
      <c r="D185" s="7">
        <v>3272</v>
      </c>
      <c r="E185" s="7">
        <v>336</v>
      </c>
      <c r="F185" s="7">
        <v>4</v>
      </c>
      <c r="G185" s="7">
        <v>4</v>
      </c>
      <c r="H185" s="7">
        <v>81379</v>
      </c>
      <c r="I185" s="7" t="s">
        <v>16</v>
      </c>
      <c r="J185" s="7">
        <v>15498965</v>
      </c>
      <c r="K185" s="7" t="s">
        <v>233</v>
      </c>
      <c r="L185" s="7" t="s">
        <v>238</v>
      </c>
      <c r="M185" s="9">
        <v>159900</v>
      </c>
      <c r="N185" s="10">
        <f t="shared" si="19"/>
        <v>0.75</v>
      </c>
      <c r="O185" s="9">
        <f t="shared" si="20"/>
        <v>39975</v>
      </c>
      <c r="P185" s="9" t="str">
        <f t="shared" si="23"/>
        <v>PERCENTAGE</v>
      </c>
    </row>
    <row r="186" spans="1:16" s="6" customFormat="1" x14ac:dyDescent="0.25">
      <c r="A186" s="7" t="str">
        <f t="shared" si="21"/>
        <v>2024 ALL D75</v>
      </c>
      <c r="B186" s="8">
        <f t="shared" si="22"/>
        <v>46104</v>
      </c>
      <c r="C186" s="8">
        <f t="shared" si="26"/>
        <v>46113</v>
      </c>
      <c r="D186" s="7">
        <v>3272</v>
      </c>
      <c r="E186" s="7">
        <v>336</v>
      </c>
      <c r="F186" s="7">
        <v>4</v>
      </c>
      <c r="G186" s="7">
        <v>5</v>
      </c>
      <c r="H186" s="7">
        <v>81379</v>
      </c>
      <c r="I186" s="7" t="s">
        <v>16</v>
      </c>
      <c r="J186" s="7">
        <v>15500175</v>
      </c>
      <c r="K186" s="7" t="s">
        <v>239</v>
      </c>
      <c r="L186" s="7" t="s">
        <v>240</v>
      </c>
      <c r="M186" s="9">
        <v>239900</v>
      </c>
      <c r="N186" s="10">
        <f t="shared" si="19"/>
        <v>0.75</v>
      </c>
      <c r="O186" s="9">
        <f t="shared" si="20"/>
        <v>59975</v>
      </c>
      <c r="P186" s="9" t="str">
        <f t="shared" si="23"/>
        <v>PERCENTAGE</v>
      </c>
    </row>
    <row r="187" spans="1:16" s="6" customFormat="1" x14ac:dyDescent="0.25">
      <c r="A187" s="7" t="str">
        <f t="shared" si="21"/>
        <v>2024 ALL D75</v>
      </c>
      <c r="B187" s="8">
        <f t="shared" si="22"/>
        <v>46104</v>
      </c>
      <c r="C187" s="8">
        <f t="shared" si="26"/>
        <v>46113</v>
      </c>
      <c r="D187" s="7">
        <v>3272</v>
      </c>
      <c r="E187" s="7">
        <v>336</v>
      </c>
      <c r="F187" s="7">
        <v>4</v>
      </c>
      <c r="G187" s="7">
        <v>5</v>
      </c>
      <c r="H187" s="7">
        <v>81379</v>
      </c>
      <c r="I187" s="7" t="s">
        <v>16</v>
      </c>
      <c r="J187" s="7">
        <v>15500184</v>
      </c>
      <c r="K187" s="7" t="s">
        <v>239</v>
      </c>
      <c r="L187" s="7" t="s">
        <v>241</v>
      </c>
      <c r="M187" s="9">
        <v>239900</v>
      </c>
      <c r="N187" s="10">
        <f t="shared" si="19"/>
        <v>0.75</v>
      </c>
      <c r="O187" s="9">
        <f t="shared" si="20"/>
        <v>59975</v>
      </c>
      <c r="P187" s="9" t="str">
        <f t="shared" si="23"/>
        <v>PERCENTAGE</v>
      </c>
    </row>
    <row r="188" spans="1:16" s="6" customFormat="1" x14ac:dyDescent="0.25">
      <c r="A188" s="7" t="str">
        <f t="shared" si="21"/>
        <v>2024 ALL D75</v>
      </c>
      <c r="B188" s="8">
        <f t="shared" si="22"/>
        <v>46104</v>
      </c>
      <c r="C188" s="8">
        <f t="shared" si="26"/>
        <v>46113</v>
      </c>
      <c r="D188" s="7">
        <v>3272</v>
      </c>
      <c r="E188" s="7">
        <v>336</v>
      </c>
      <c r="F188" s="7">
        <v>4</v>
      </c>
      <c r="G188" s="7">
        <v>5</v>
      </c>
      <c r="H188" s="7">
        <v>81379</v>
      </c>
      <c r="I188" s="7" t="s">
        <v>16</v>
      </c>
      <c r="J188" s="7">
        <v>15500193</v>
      </c>
      <c r="K188" s="7" t="s">
        <v>239</v>
      </c>
      <c r="L188" s="7" t="s">
        <v>242</v>
      </c>
      <c r="M188" s="9">
        <v>239900</v>
      </c>
      <c r="N188" s="10">
        <f t="shared" si="19"/>
        <v>0.75</v>
      </c>
      <c r="O188" s="9">
        <f t="shared" si="20"/>
        <v>59975</v>
      </c>
      <c r="P188" s="9" t="str">
        <f t="shared" si="23"/>
        <v>PERCENTAGE</v>
      </c>
    </row>
    <row r="189" spans="1:16" s="6" customFormat="1" x14ac:dyDescent="0.25">
      <c r="A189" s="7" t="str">
        <f t="shared" si="21"/>
        <v>2024 ALL D75</v>
      </c>
      <c r="B189" s="8">
        <f t="shared" si="22"/>
        <v>46104</v>
      </c>
      <c r="C189" s="8">
        <f t="shared" si="26"/>
        <v>46113</v>
      </c>
      <c r="D189" s="7">
        <v>3272</v>
      </c>
      <c r="E189" s="7">
        <v>336</v>
      </c>
      <c r="F189" s="7">
        <v>4</v>
      </c>
      <c r="G189" s="7">
        <v>5</v>
      </c>
      <c r="H189" s="7">
        <v>81379</v>
      </c>
      <c r="I189" s="7" t="s">
        <v>16</v>
      </c>
      <c r="J189" s="7">
        <v>15500200</v>
      </c>
      <c r="K189" s="7" t="s">
        <v>239</v>
      </c>
      <c r="L189" s="7" t="s">
        <v>243</v>
      </c>
      <c r="M189" s="9">
        <v>239900</v>
      </c>
      <c r="N189" s="10">
        <f t="shared" si="19"/>
        <v>0.75</v>
      </c>
      <c r="O189" s="9">
        <f t="shared" si="20"/>
        <v>59975</v>
      </c>
      <c r="P189" s="9" t="str">
        <f t="shared" si="23"/>
        <v>PERCENTAGE</v>
      </c>
    </row>
    <row r="190" spans="1:16" s="6" customFormat="1" x14ac:dyDescent="0.25">
      <c r="A190" s="7" t="str">
        <f t="shared" si="21"/>
        <v>2024 ALL D75</v>
      </c>
      <c r="B190" s="8">
        <f t="shared" si="22"/>
        <v>46104</v>
      </c>
      <c r="C190" s="8">
        <f t="shared" si="26"/>
        <v>46113</v>
      </c>
      <c r="D190" s="7">
        <v>3272</v>
      </c>
      <c r="E190" s="7">
        <v>336</v>
      </c>
      <c r="F190" s="7">
        <v>4</v>
      </c>
      <c r="G190" s="7">
        <v>5</v>
      </c>
      <c r="H190" s="7">
        <v>81379</v>
      </c>
      <c r="I190" s="7" t="s">
        <v>16</v>
      </c>
      <c r="J190" s="7">
        <v>15500219</v>
      </c>
      <c r="K190" s="7" t="s">
        <v>239</v>
      </c>
      <c r="L190" s="7" t="s">
        <v>244</v>
      </c>
      <c r="M190" s="9">
        <v>239900</v>
      </c>
      <c r="N190" s="10">
        <f t="shared" si="19"/>
        <v>0.75</v>
      </c>
      <c r="O190" s="9">
        <f t="shared" si="20"/>
        <v>59975</v>
      </c>
      <c r="P190" s="9" t="str">
        <f t="shared" si="23"/>
        <v>PERCENTAGE</v>
      </c>
    </row>
    <row r="191" spans="1:16" s="6" customFormat="1" x14ac:dyDescent="0.25">
      <c r="A191" s="7" t="str">
        <f t="shared" si="21"/>
        <v>2024 ALL D75</v>
      </c>
      <c r="B191" s="8">
        <f t="shared" si="22"/>
        <v>46104</v>
      </c>
      <c r="C191" s="8">
        <f t="shared" si="26"/>
        <v>46113</v>
      </c>
      <c r="D191" s="7">
        <v>3272</v>
      </c>
      <c r="E191" s="7">
        <v>336</v>
      </c>
      <c r="F191" s="7">
        <v>4</v>
      </c>
      <c r="G191" s="7">
        <v>5</v>
      </c>
      <c r="H191" s="7">
        <v>81379</v>
      </c>
      <c r="I191" s="7" t="s">
        <v>16</v>
      </c>
      <c r="J191" s="7">
        <v>15498876</v>
      </c>
      <c r="K191" s="7" t="s">
        <v>245</v>
      </c>
      <c r="L191" s="7" t="s">
        <v>246</v>
      </c>
      <c r="M191" s="9">
        <v>239900</v>
      </c>
      <c r="N191" s="10">
        <f t="shared" si="19"/>
        <v>0.75</v>
      </c>
      <c r="O191" s="9">
        <f t="shared" si="20"/>
        <v>59975</v>
      </c>
      <c r="P191" s="9" t="str">
        <f t="shared" si="23"/>
        <v>PERCENTAGE</v>
      </c>
    </row>
    <row r="192" spans="1:16" s="6" customFormat="1" x14ac:dyDescent="0.25">
      <c r="A192" s="7" t="str">
        <f t="shared" si="21"/>
        <v>2024 ALL D75</v>
      </c>
      <c r="B192" s="8">
        <f t="shared" si="22"/>
        <v>46104</v>
      </c>
      <c r="C192" s="8">
        <f t="shared" si="26"/>
        <v>46113</v>
      </c>
      <c r="D192" s="7">
        <v>3272</v>
      </c>
      <c r="E192" s="7">
        <v>336</v>
      </c>
      <c r="F192" s="7">
        <v>4</v>
      </c>
      <c r="G192" s="7">
        <v>5</v>
      </c>
      <c r="H192" s="7">
        <v>81379</v>
      </c>
      <c r="I192" s="7" t="s">
        <v>16</v>
      </c>
      <c r="J192" s="7">
        <v>15498885</v>
      </c>
      <c r="K192" s="7" t="s">
        <v>245</v>
      </c>
      <c r="L192" s="7" t="s">
        <v>247</v>
      </c>
      <c r="M192" s="9">
        <v>239900</v>
      </c>
      <c r="N192" s="10">
        <f t="shared" si="19"/>
        <v>0.75</v>
      </c>
      <c r="O192" s="9">
        <f t="shared" si="20"/>
        <v>59975</v>
      </c>
      <c r="P192" s="9" t="str">
        <f t="shared" si="23"/>
        <v>PERCENTAGE</v>
      </c>
    </row>
    <row r="193" spans="1:16" s="6" customFormat="1" x14ac:dyDescent="0.25">
      <c r="A193" s="7" t="str">
        <f t="shared" si="21"/>
        <v>2024 ALL D75</v>
      </c>
      <c r="B193" s="8">
        <f t="shared" si="22"/>
        <v>46104</v>
      </c>
      <c r="C193" s="8">
        <f t="shared" si="26"/>
        <v>46113</v>
      </c>
      <c r="D193" s="7">
        <v>3272</v>
      </c>
      <c r="E193" s="7">
        <v>336</v>
      </c>
      <c r="F193" s="7">
        <v>4</v>
      </c>
      <c r="G193" s="7">
        <v>5</v>
      </c>
      <c r="H193" s="7">
        <v>81379</v>
      </c>
      <c r="I193" s="7" t="s">
        <v>16</v>
      </c>
      <c r="J193" s="7">
        <v>15498894</v>
      </c>
      <c r="K193" s="7" t="s">
        <v>245</v>
      </c>
      <c r="L193" s="7" t="s">
        <v>248</v>
      </c>
      <c r="M193" s="9">
        <v>239900</v>
      </c>
      <c r="N193" s="10">
        <f t="shared" si="19"/>
        <v>0.75</v>
      </c>
      <c r="O193" s="9">
        <f t="shared" si="20"/>
        <v>59975</v>
      </c>
      <c r="P193" s="9" t="str">
        <f t="shared" si="23"/>
        <v>PERCENTAGE</v>
      </c>
    </row>
    <row r="194" spans="1:16" s="6" customFormat="1" x14ac:dyDescent="0.25">
      <c r="A194" s="7" t="str">
        <f t="shared" si="21"/>
        <v>2024 ALL D75</v>
      </c>
      <c r="B194" s="8">
        <f t="shared" si="22"/>
        <v>46104</v>
      </c>
      <c r="C194" s="8">
        <f t="shared" si="26"/>
        <v>46113</v>
      </c>
      <c r="D194" s="7">
        <v>3272</v>
      </c>
      <c r="E194" s="7">
        <v>336</v>
      </c>
      <c r="F194" s="7">
        <v>4</v>
      </c>
      <c r="G194" s="7">
        <v>5</v>
      </c>
      <c r="H194" s="7">
        <v>81379</v>
      </c>
      <c r="I194" s="7" t="s">
        <v>16</v>
      </c>
      <c r="J194" s="7">
        <v>15498901</v>
      </c>
      <c r="K194" s="7" t="s">
        <v>245</v>
      </c>
      <c r="L194" s="7" t="s">
        <v>249</v>
      </c>
      <c r="M194" s="9">
        <v>239900</v>
      </c>
      <c r="N194" s="10">
        <f t="shared" si="19"/>
        <v>0.75</v>
      </c>
      <c r="O194" s="9">
        <f t="shared" si="20"/>
        <v>59975</v>
      </c>
      <c r="P194" s="9" t="str">
        <f t="shared" si="23"/>
        <v>PERCENTAGE</v>
      </c>
    </row>
    <row r="195" spans="1:16" s="6" customFormat="1" x14ac:dyDescent="0.25">
      <c r="A195" s="7" t="str">
        <f t="shared" si="21"/>
        <v>2024 ALL D75</v>
      </c>
      <c r="B195" s="8">
        <f t="shared" si="22"/>
        <v>46104</v>
      </c>
      <c r="C195" s="8">
        <f t="shared" ref="C195:C210" si="27">C194</f>
        <v>46113</v>
      </c>
      <c r="D195" s="7">
        <v>3272</v>
      </c>
      <c r="E195" s="7">
        <v>336</v>
      </c>
      <c r="F195" s="7">
        <v>4</v>
      </c>
      <c r="G195" s="7">
        <v>5</v>
      </c>
      <c r="H195" s="7">
        <v>81379</v>
      </c>
      <c r="I195" s="7" t="s">
        <v>16</v>
      </c>
      <c r="J195" s="7">
        <v>15498910</v>
      </c>
      <c r="K195" s="7" t="s">
        <v>245</v>
      </c>
      <c r="L195" s="7" t="s">
        <v>250</v>
      </c>
      <c r="M195" s="9">
        <v>239900</v>
      </c>
      <c r="N195" s="10">
        <f t="shared" ref="N195:N258" si="28">N194</f>
        <v>0.75</v>
      </c>
      <c r="O195" s="9">
        <f t="shared" ref="O195:O258" si="29">M195-((75*M195))/100</f>
        <v>59975</v>
      </c>
      <c r="P195" s="9" t="str">
        <f t="shared" si="23"/>
        <v>PERCENTAGE</v>
      </c>
    </row>
    <row r="196" spans="1:16" s="6" customFormat="1" x14ac:dyDescent="0.25">
      <c r="A196" s="7" t="str">
        <f t="shared" ref="A196:A259" si="30">A195</f>
        <v>2024 ALL D75</v>
      </c>
      <c r="B196" s="8">
        <f t="shared" ref="B196:B259" si="31">B195</f>
        <v>46104</v>
      </c>
      <c r="C196" s="8">
        <f t="shared" si="27"/>
        <v>46113</v>
      </c>
      <c r="D196" s="7">
        <v>3272</v>
      </c>
      <c r="E196" s="7">
        <v>336</v>
      </c>
      <c r="F196" s="7">
        <v>4</v>
      </c>
      <c r="G196" s="7">
        <v>1</v>
      </c>
      <c r="H196" s="7">
        <v>81379</v>
      </c>
      <c r="I196" s="7" t="s">
        <v>16</v>
      </c>
      <c r="J196" s="7">
        <v>15499473</v>
      </c>
      <c r="K196" s="7" t="s">
        <v>251</v>
      </c>
      <c r="L196" s="7" t="s">
        <v>252</v>
      </c>
      <c r="M196" s="9">
        <v>139900</v>
      </c>
      <c r="N196" s="10">
        <f t="shared" si="28"/>
        <v>0.75</v>
      </c>
      <c r="O196" s="9">
        <f t="shared" si="29"/>
        <v>34975</v>
      </c>
      <c r="P196" s="9" t="str">
        <f t="shared" ref="P196:P259" si="32">P195</f>
        <v>PERCENTAGE</v>
      </c>
    </row>
    <row r="197" spans="1:16" s="6" customFormat="1" x14ac:dyDescent="0.25">
      <c r="A197" s="7" t="str">
        <f t="shared" si="30"/>
        <v>2024 ALL D75</v>
      </c>
      <c r="B197" s="8">
        <f t="shared" si="31"/>
        <v>46104</v>
      </c>
      <c r="C197" s="8">
        <f t="shared" si="27"/>
        <v>46113</v>
      </c>
      <c r="D197" s="7">
        <v>3272</v>
      </c>
      <c r="E197" s="7">
        <v>336</v>
      </c>
      <c r="F197" s="7">
        <v>4</v>
      </c>
      <c r="G197" s="7">
        <v>1</v>
      </c>
      <c r="H197" s="7">
        <v>81379</v>
      </c>
      <c r="I197" s="7" t="s">
        <v>16</v>
      </c>
      <c r="J197" s="7">
        <v>15499482</v>
      </c>
      <c r="K197" s="7" t="s">
        <v>251</v>
      </c>
      <c r="L197" s="7" t="s">
        <v>253</v>
      </c>
      <c r="M197" s="9">
        <v>139900</v>
      </c>
      <c r="N197" s="10">
        <f t="shared" si="28"/>
        <v>0.75</v>
      </c>
      <c r="O197" s="9">
        <f t="shared" si="29"/>
        <v>34975</v>
      </c>
      <c r="P197" s="9" t="str">
        <f t="shared" si="32"/>
        <v>PERCENTAGE</v>
      </c>
    </row>
    <row r="198" spans="1:16" s="6" customFormat="1" x14ac:dyDescent="0.25">
      <c r="A198" s="7" t="str">
        <f t="shared" si="30"/>
        <v>2024 ALL D75</v>
      </c>
      <c r="B198" s="8">
        <f t="shared" si="31"/>
        <v>46104</v>
      </c>
      <c r="C198" s="8">
        <f t="shared" si="27"/>
        <v>46113</v>
      </c>
      <c r="D198" s="7">
        <v>3272</v>
      </c>
      <c r="E198" s="7">
        <v>336</v>
      </c>
      <c r="F198" s="7">
        <v>4</v>
      </c>
      <c r="G198" s="7">
        <v>1</v>
      </c>
      <c r="H198" s="7">
        <v>81379</v>
      </c>
      <c r="I198" s="7" t="s">
        <v>16</v>
      </c>
      <c r="J198" s="7">
        <v>15499491</v>
      </c>
      <c r="K198" s="7" t="s">
        <v>251</v>
      </c>
      <c r="L198" s="7" t="s">
        <v>254</v>
      </c>
      <c r="M198" s="9">
        <v>139900</v>
      </c>
      <c r="N198" s="10">
        <f t="shared" si="28"/>
        <v>0.75</v>
      </c>
      <c r="O198" s="9">
        <f t="shared" si="29"/>
        <v>34975</v>
      </c>
      <c r="P198" s="9" t="str">
        <f t="shared" si="32"/>
        <v>PERCENTAGE</v>
      </c>
    </row>
    <row r="199" spans="1:16" s="6" customFormat="1" x14ac:dyDescent="0.25">
      <c r="A199" s="7" t="str">
        <f t="shared" si="30"/>
        <v>2024 ALL D75</v>
      </c>
      <c r="B199" s="8">
        <f t="shared" si="31"/>
        <v>46104</v>
      </c>
      <c r="C199" s="8">
        <f t="shared" si="27"/>
        <v>46113</v>
      </c>
      <c r="D199" s="7">
        <v>3272</v>
      </c>
      <c r="E199" s="7">
        <v>336</v>
      </c>
      <c r="F199" s="7">
        <v>4</v>
      </c>
      <c r="G199" s="7">
        <v>1</v>
      </c>
      <c r="H199" s="7">
        <v>81379</v>
      </c>
      <c r="I199" s="7" t="s">
        <v>16</v>
      </c>
      <c r="J199" s="7">
        <v>15499508</v>
      </c>
      <c r="K199" s="7" t="s">
        <v>251</v>
      </c>
      <c r="L199" s="7" t="s">
        <v>255</v>
      </c>
      <c r="M199" s="9">
        <v>139900</v>
      </c>
      <c r="N199" s="10">
        <f t="shared" si="28"/>
        <v>0.75</v>
      </c>
      <c r="O199" s="9">
        <f t="shared" si="29"/>
        <v>34975</v>
      </c>
      <c r="P199" s="9" t="str">
        <f t="shared" si="32"/>
        <v>PERCENTAGE</v>
      </c>
    </row>
    <row r="200" spans="1:16" s="6" customFormat="1" x14ac:dyDescent="0.25">
      <c r="A200" s="7" t="str">
        <f t="shared" si="30"/>
        <v>2024 ALL D75</v>
      </c>
      <c r="B200" s="8">
        <f t="shared" si="31"/>
        <v>46104</v>
      </c>
      <c r="C200" s="8">
        <f t="shared" si="27"/>
        <v>46113</v>
      </c>
      <c r="D200" s="7">
        <v>3272</v>
      </c>
      <c r="E200" s="7">
        <v>336</v>
      </c>
      <c r="F200" s="7">
        <v>4</v>
      </c>
      <c r="G200" s="7">
        <v>1</v>
      </c>
      <c r="H200" s="7">
        <v>81379</v>
      </c>
      <c r="I200" s="7" t="s">
        <v>16</v>
      </c>
      <c r="J200" s="7">
        <v>15499517</v>
      </c>
      <c r="K200" s="7" t="s">
        <v>251</v>
      </c>
      <c r="L200" s="7" t="s">
        <v>256</v>
      </c>
      <c r="M200" s="9">
        <v>139900</v>
      </c>
      <c r="N200" s="10">
        <f t="shared" si="28"/>
        <v>0.75</v>
      </c>
      <c r="O200" s="9">
        <f t="shared" si="29"/>
        <v>34975</v>
      </c>
      <c r="P200" s="9" t="str">
        <f t="shared" si="32"/>
        <v>PERCENTAGE</v>
      </c>
    </row>
    <row r="201" spans="1:16" s="6" customFormat="1" x14ac:dyDescent="0.25">
      <c r="A201" s="7" t="str">
        <f t="shared" si="30"/>
        <v>2024 ALL D75</v>
      </c>
      <c r="B201" s="8">
        <f t="shared" si="31"/>
        <v>46104</v>
      </c>
      <c r="C201" s="8">
        <f t="shared" si="27"/>
        <v>46113</v>
      </c>
      <c r="D201" s="7">
        <v>3272</v>
      </c>
      <c r="E201" s="7">
        <v>336</v>
      </c>
      <c r="F201" s="7">
        <v>4</v>
      </c>
      <c r="G201" s="7">
        <v>1</v>
      </c>
      <c r="H201" s="7">
        <v>81379</v>
      </c>
      <c r="I201" s="7" t="s">
        <v>16</v>
      </c>
      <c r="J201" s="7">
        <v>15499526</v>
      </c>
      <c r="K201" s="7" t="s">
        <v>257</v>
      </c>
      <c r="L201" s="7" t="s">
        <v>258</v>
      </c>
      <c r="M201" s="9">
        <v>139900</v>
      </c>
      <c r="N201" s="10">
        <f t="shared" si="28"/>
        <v>0.75</v>
      </c>
      <c r="O201" s="9">
        <f t="shared" si="29"/>
        <v>34975</v>
      </c>
      <c r="P201" s="9" t="str">
        <f t="shared" si="32"/>
        <v>PERCENTAGE</v>
      </c>
    </row>
    <row r="202" spans="1:16" s="6" customFormat="1" x14ac:dyDescent="0.25">
      <c r="A202" s="7" t="str">
        <f t="shared" si="30"/>
        <v>2024 ALL D75</v>
      </c>
      <c r="B202" s="8">
        <f t="shared" si="31"/>
        <v>46104</v>
      </c>
      <c r="C202" s="8">
        <f t="shared" si="27"/>
        <v>46113</v>
      </c>
      <c r="D202" s="7">
        <v>3272</v>
      </c>
      <c r="E202" s="7">
        <v>336</v>
      </c>
      <c r="F202" s="7">
        <v>4</v>
      </c>
      <c r="G202" s="7">
        <v>1</v>
      </c>
      <c r="H202" s="7">
        <v>81379</v>
      </c>
      <c r="I202" s="7" t="s">
        <v>16</v>
      </c>
      <c r="J202" s="7">
        <v>15499535</v>
      </c>
      <c r="K202" s="7" t="s">
        <v>257</v>
      </c>
      <c r="L202" s="7" t="s">
        <v>259</v>
      </c>
      <c r="M202" s="9">
        <v>139900</v>
      </c>
      <c r="N202" s="10">
        <f t="shared" si="28"/>
        <v>0.75</v>
      </c>
      <c r="O202" s="9">
        <f t="shared" si="29"/>
        <v>34975</v>
      </c>
      <c r="P202" s="9" t="str">
        <f t="shared" si="32"/>
        <v>PERCENTAGE</v>
      </c>
    </row>
    <row r="203" spans="1:16" s="6" customFormat="1" x14ac:dyDescent="0.25">
      <c r="A203" s="7" t="str">
        <f t="shared" si="30"/>
        <v>2024 ALL D75</v>
      </c>
      <c r="B203" s="8">
        <f t="shared" si="31"/>
        <v>46104</v>
      </c>
      <c r="C203" s="8">
        <f t="shared" si="27"/>
        <v>46113</v>
      </c>
      <c r="D203" s="7">
        <v>3272</v>
      </c>
      <c r="E203" s="7">
        <v>336</v>
      </c>
      <c r="F203" s="7">
        <v>4</v>
      </c>
      <c r="G203" s="7">
        <v>1</v>
      </c>
      <c r="H203" s="7">
        <v>81379</v>
      </c>
      <c r="I203" s="7" t="s">
        <v>16</v>
      </c>
      <c r="J203" s="7">
        <v>15499544</v>
      </c>
      <c r="K203" s="7" t="s">
        <v>257</v>
      </c>
      <c r="L203" s="7" t="s">
        <v>260</v>
      </c>
      <c r="M203" s="9">
        <v>139900</v>
      </c>
      <c r="N203" s="10">
        <f t="shared" si="28"/>
        <v>0.75</v>
      </c>
      <c r="O203" s="9">
        <f t="shared" si="29"/>
        <v>34975</v>
      </c>
      <c r="P203" s="9" t="str">
        <f t="shared" si="32"/>
        <v>PERCENTAGE</v>
      </c>
    </row>
    <row r="204" spans="1:16" s="6" customFormat="1" x14ac:dyDescent="0.25">
      <c r="A204" s="7" t="str">
        <f t="shared" si="30"/>
        <v>2024 ALL D75</v>
      </c>
      <c r="B204" s="8">
        <f t="shared" si="31"/>
        <v>46104</v>
      </c>
      <c r="C204" s="8">
        <f t="shared" si="27"/>
        <v>46113</v>
      </c>
      <c r="D204" s="7">
        <v>3272</v>
      </c>
      <c r="E204" s="7">
        <v>336</v>
      </c>
      <c r="F204" s="7">
        <v>4</v>
      </c>
      <c r="G204" s="7">
        <v>1</v>
      </c>
      <c r="H204" s="7">
        <v>81379</v>
      </c>
      <c r="I204" s="7" t="s">
        <v>16</v>
      </c>
      <c r="J204" s="7">
        <v>15499553</v>
      </c>
      <c r="K204" s="7" t="s">
        <v>257</v>
      </c>
      <c r="L204" s="7" t="s">
        <v>261</v>
      </c>
      <c r="M204" s="9">
        <v>139900</v>
      </c>
      <c r="N204" s="10">
        <f t="shared" si="28"/>
        <v>0.75</v>
      </c>
      <c r="O204" s="9">
        <f t="shared" si="29"/>
        <v>34975</v>
      </c>
      <c r="P204" s="9" t="str">
        <f t="shared" si="32"/>
        <v>PERCENTAGE</v>
      </c>
    </row>
    <row r="205" spans="1:16" s="6" customFormat="1" x14ac:dyDescent="0.25">
      <c r="A205" s="7" t="str">
        <f t="shared" si="30"/>
        <v>2024 ALL D75</v>
      </c>
      <c r="B205" s="8">
        <f t="shared" si="31"/>
        <v>46104</v>
      </c>
      <c r="C205" s="8">
        <f t="shared" si="27"/>
        <v>46113</v>
      </c>
      <c r="D205" s="7">
        <v>3272</v>
      </c>
      <c r="E205" s="7">
        <v>336</v>
      </c>
      <c r="F205" s="7">
        <v>4</v>
      </c>
      <c r="G205" s="7">
        <v>1</v>
      </c>
      <c r="H205" s="7">
        <v>81379</v>
      </c>
      <c r="I205" s="7" t="s">
        <v>16</v>
      </c>
      <c r="J205" s="7">
        <v>15499562</v>
      </c>
      <c r="K205" s="7" t="s">
        <v>257</v>
      </c>
      <c r="L205" s="7" t="s">
        <v>262</v>
      </c>
      <c r="M205" s="9">
        <v>139900</v>
      </c>
      <c r="N205" s="10">
        <f t="shared" si="28"/>
        <v>0.75</v>
      </c>
      <c r="O205" s="9">
        <f t="shared" si="29"/>
        <v>34975</v>
      </c>
      <c r="P205" s="9" t="str">
        <f t="shared" si="32"/>
        <v>PERCENTAGE</v>
      </c>
    </row>
    <row r="206" spans="1:16" s="6" customFormat="1" x14ac:dyDescent="0.25">
      <c r="A206" s="7" t="str">
        <f t="shared" si="30"/>
        <v>2024 ALL D75</v>
      </c>
      <c r="B206" s="8">
        <f t="shared" si="31"/>
        <v>46104</v>
      </c>
      <c r="C206" s="8">
        <f t="shared" si="27"/>
        <v>46113</v>
      </c>
      <c r="D206" s="7">
        <v>3272</v>
      </c>
      <c r="E206" s="7">
        <v>336</v>
      </c>
      <c r="F206" s="7">
        <v>4</v>
      </c>
      <c r="G206" s="7">
        <v>1</v>
      </c>
      <c r="H206" s="7">
        <v>81676</v>
      </c>
      <c r="I206" s="7" t="s">
        <v>16</v>
      </c>
      <c r="J206" s="7">
        <v>15499026</v>
      </c>
      <c r="K206" s="7" t="s">
        <v>263</v>
      </c>
      <c r="L206" s="7" t="s">
        <v>264</v>
      </c>
      <c r="M206" s="9">
        <v>139900</v>
      </c>
      <c r="N206" s="10">
        <f t="shared" si="28"/>
        <v>0.75</v>
      </c>
      <c r="O206" s="9">
        <f t="shared" si="29"/>
        <v>34975</v>
      </c>
      <c r="P206" s="9" t="str">
        <f t="shared" si="32"/>
        <v>PERCENTAGE</v>
      </c>
    </row>
    <row r="207" spans="1:16" s="6" customFormat="1" x14ac:dyDescent="0.25">
      <c r="A207" s="7" t="str">
        <f t="shared" si="30"/>
        <v>2024 ALL D75</v>
      </c>
      <c r="B207" s="8">
        <f t="shared" si="31"/>
        <v>46104</v>
      </c>
      <c r="C207" s="8">
        <f t="shared" si="27"/>
        <v>46113</v>
      </c>
      <c r="D207" s="7">
        <v>3272</v>
      </c>
      <c r="E207" s="7">
        <v>336</v>
      </c>
      <c r="F207" s="7">
        <v>4</v>
      </c>
      <c r="G207" s="7">
        <v>1</v>
      </c>
      <c r="H207" s="7">
        <v>81676</v>
      </c>
      <c r="I207" s="7" t="s">
        <v>16</v>
      </c>
      <c r="J207" s="7">
        <v>15499035</v>
      </c>
      <c r="K207" s="7" t="s">
        <v>263</v>
      </c>
      <c r="L207" s="7" t="s">
        <v>265</v>
      </c>
      <c r="M207" s="9">
        <v>139900</v>
      </c>
      <c r="N207" s="10">
        <f t="shared" si="28"/>
        <v>0.75</v>
      </c>
      <c r="O207" s="9">
        <f t="shared" si="29"/>
        <v>34975</v>
      </c>
      <c r="P207" s="9" t="str">
        <f t="shared" si="32"/>
        <v>PERCENTAGE</v>
      </c>
    </row>
    <row r="208" spans="1:16" s="6" customFormat="1" x14ac:dyDescent="0.25">
      <c r="A208" s="7" t="str">
        <f t="shared" si="30"/>
        <v>2024 ALL D75</v>
      </c>
      <c r="B208" s="8">
        <f t="shared" si="31"/>
        <v>46104</v>
      </c>
      <c r="C208" s="8">
        <f t="shared" si="27"/>
        <v>46113</v>
      </c>
      <c r="D208" s="7">
        <v>3272</v>
      </c>
      <c r="E208" s="7">
        <v>336</v>
      </c>
      <c r="F208" s="7">
        <v>4</v>
      </c>
      <c r="G208" s="7">
        <v>1</v>
      </c>
      <c r="H208" s="7">
        <v>81676</v>
      </c>
      <c r="I208" s="7" t="s">
        <v>16</v>
      </c>
      <c r="J208" s="7">
        <v>15499044</v>
      </c>
      <c r="K208" s="7" t="s">
        <v>263</v>
      </c>
      <c r="L208" s="7" t="s">
        <v>266</v>
      </c>
      <c r="M208" s="9">
        <v>139900</v>
      </c>
      <c r="N208" s="10">
        <f t="shared" si="28"/>
        <v>0.75</v>
      </c>
      <c r="O208" s="9">
        <f t="shared" si="29"/>
        <v>34975</v>
      </c>
      <c r="P208" s="9" t="str">
        <f t="shared" si="32"/>
        <v>PERCENTAGE</v>
      </c>
    </row>
    <row r="209" spans="1:16" s="6" customFormat="1" x14ac:dyDescent="0.25">
      <c r="A209" s="7" t="str">
        <f t="shared" si="30"/>
        <v>2024 ALL D75</v>
      </c>
      <c r="B209" s="8">
        <f t="shared" si="31"/>
        <v>46104</v>
      </c>
      <c r="C209" s="8">
        <f t="shared" si="27"/>
        <v>46113</v>
      </c>
      <c r="D209" s="7">
        <v>3272</v>
      </c>
      <c r="E209" s="7">
        <v>336</v>
      </c>
      <c r="F209" s="7">
        <v>4</v>
      </c>
      <c r="G209" s="7">
        <v>1</v>
      </c>
      <c r="H209" s="7">
        <v>81676</v>
      </c>
      <c r="I209" s="7" t="s">
        <v>16</v>
      </c>
      <c r="J209" s="7">
        <v>15499053</v>
      </c>
      <c r="K209" s="7" t="s">
        <v>263</v>
      </c>
      <c r="L209" s="7" t="s">
        <v>267</v>
      </c>
      <c r="M209" s="9">
        <v>139900</v>
      </c>
      <c r="N209" s="10">
        <f t="shared" si="28"/>
        <v>0.75</v>
      </c>
      <c r="O209" s="9">
        <f t="shared" si="29"/>
        <v>34975</v>
      </c>
      <c r="P209" s="9" t="str">
        <f t="shared" si="32"/>
        <v>PERCENTAGE</v>
      </c>
    </row>
    <row r="210" spans="1:16" s="6" customFormat="1" x14ac:dyDescent="0.25">
      <c r="A210" s="7" t="str">
        <f t="shared" si="30"/>
        <v>2024 ALL D75</v>
      </c>
      <c r="B210" s="8">
        <f t="shared" si="31"/>
        <v>46104</v>
      </c>
      <c r="C210" s="8">
        <f t="shared" si="27"/>
        <v>46113</v>
      </c>
      <c r="D210" s="7">
        <v>3272</v>
      </c>
      <c r="E210" s="7">
        <v>336</v>
      </c>
      <c r="F210" s="7">
        <v>4</v>
      </c>
      <c r="G210" s="7">
        <v>1</v>
      </c>
      <c r="H210" s="7">
        <v>81676</v>
      </c>
      <c r="I210" s="7" t="s">
        <v>16</v>
      </c>
      <c r="J210" s="7">
        <v>15499062</v>
      </c>
      <c r="K210" s="7" t="s">
        <v>263</v>
      </c>
      <c r="L210" s="7" t="s">
        <v>268</v>
      </c>
      <c r="M210" s="9">
        <v>139900</v>
      </c>
      <c r="N210" s="10">
        <f t="shared" si="28"/>
        <v>0.75</v>
      </c>
      <c r="O210" s="9">
        <f t="shared" si="29"/>
        <v>34975</v>
      </c>
      <c r="P210" s="9" t="str">
        <f t="shared" si="32"/>
        <v>PERCENTAGE</v>
      </c>
    </row>
    <row r="211" spans="1:16" s="6" customFormat="1" x14ac:dyDescent="0.25">
      <c r="A211" s="7" t="str">
        <f t="shared" si="30"/>
        <v>2024 ALL D75</v>
      </c>
      <c r="B211" s="8">
        <f t="shared" si="31"/>
        <v>46104</v>
      </c>
      <c r="C211" s="8">
        <f t="shared" ref="C211:C226" si="33">C210</f>
        <v>46113</v>
      </c>
      <c r="D211" s="7">
        <v>3272</v>
      </c>
      <c r="E211" s="7">
        <v>336</v>
      </c>
      <c r="F211" s="7">
        <v>4</v>
      </c>
      <c r="G211" s="7">
        <v>1</v>
      </c>
      <c r="H211" s="7">
        <v>81676</v>
      </c>
      <c r="I211" s="7" t="s">
        <v>16</v>
      </c>
      <c r="J211" s="7">
        <v>15499179</v>
      </c>
      <c r="K211" s="7" t="s">
        <v>269</v>
      </c>
      <c r="L211" s="7" t="s">
        <v>270</v>
      </c>
      <c r="M211" s="9">
        <v>139900</v>
      </c>
      <c r="N211" s="10">
        <f t="shared" si="28"/>
        <v>0.75</v>
      </c>
      <c r="O211" s="9">
        <f t="shared" si="29"/>
        <v>34975</v>
      </c>
      <c r="P211" s="9" t="str">
        <f t="shared" si="32"/>
        <v>PERCENTAGE</v>
      </c>
    </row>
    <row r="212" spans="1:16" s="6" customFormat="1" x14ac:dyDescent="0.25">
      <c r="A212" s="7" t="str">
        <f t="shared" si="30"/>
        <v>2024 ALL D75</v>
      </c>
      <c r="B212" s="8">
        <f t="shared" si="31"/>
        <v>46104</v>
      </c>
      <c r="C212" s="8">
        <f t="shared" si="33"/>
        <v>46113</v>
      </c>
      <c r="D212" s="7">
        <v>3272</v>
      </c>
      <c r="E212" s="7">
        <v>336</v>
      </c>
      <c r="F212" s="7">
        <v>4</v>
      </c>
      <c r="G212" s="7">
        <v>1</v>
      </c>
      <c r="H212" s="7">
        <v>81676</v>
      </c>
      <c r="I212" s="7" t="s">
        <v>16</v>
      </c>
      <c r="J212" s="7">
        <v>15499188</v>
      </c>
      <c r="K212" s="7" t="s">
        <v>269</v>
      </c>
      <c r="L212" s="7" t="s">
        <v>271</v>
      </c>
      <c r="M212" s="9">
        <v>139900</v>
      </c>
      <c r="N212" s="10">
        <f t="shared" si="28"/>
        <v>0.75</v>
      </c>
      <c r="O212" s="9">
        <f t="shared" si="29"/>
        <v>34975</v>
      </c>
      <c r="P212" s="9" t="str">
        <f t="shared" si="32"/>
        <v>PERCENTAGE</v>
      </c>
    </row>
    <row r="213" spans="1:16" s="6" customFormat="1" x14ac:dyDescent="0.25">
      <c r="A213" s="7" t="str">
        <f t="shared" si="30"/>
        <v>2024 ALL D75</v>
      </c>
      <c r="B213" s="8">
        <f t="shared" si="31"/>
        <v>46104</v>
      </c>
      <c r="C213" s="8">
        <f t="shared" si="33"/>
        <v>46113</v>
      </c>
      <c r="D213" s="7">
        <v>3272</v>
      </c>
      <c r="E213" s="7">
        <v>336</v>
      </c>
      <c r="F213" s="7">
        <v>4</v>
      </c>
      <c r="G213" s="7">
        <v>1</v>
      </c>
      <c r="H213" s="7">
        <v>81676</v>
      </c>
      <c r="I213" s="7" t="s">
        <v>16</v>
      </c>
      <c r="J213" s="7">
        <v>15499197</v>
      </c>
      <c r="K213" s="7" t="s">
        <v>269</v>
      </c>
      <c r="L213" s="7" t="s">
        <v>272</v>
      </c>
      <c r="M213" s="9">
        <v>139900</v>
      </c>
      <c r="N213" s="10">
        <f t="shared" si="28"/>
        <v>0.75</v>
      </c>
      <c r="O213" s="9">
        <f t="shared" si="29"/>
        <v>34975</v>
      </c>
      <c r="P213" s="9" t="str">
        <f t="shared" si="32"/>
        <v>PERCENTAGE</v>
      </c>
    </row>
    <row r="214" spans="1:16" s="6" customFormat="1" x14ac:dyDescent="0.25">
      <c r="A214" s="7" t="str">
        <f t="shared" si="30"/>
        <v>2024 ALL D75</v>
      </c>
      <c r="B214" s="8">
        <f t="shared" si="31"/>
        <v>46104</v>
      </c>
      <c r="C214" s="8">
        <f t="shared" si="33"/>
        <v>46113</v>
      </c>
      <c r="D214" s="7">
        <v>3272</v>
      </c>
      <c r="E214" s="7">
        <v>336</v>
      </c>
      <c r="F214" s="7">
        <v>4</v>
      </c>
      <c r="G214" s="7">
        <v>1</v>
      </c>
      <c r="H214" s="7">
        <v>81676</v>
      </c>
      <c r="I214" s="7" t="s">
        <v>16</v>
      </c>
      <c r="J214" s="7">
        <v>15499204</v>
      </c>
      <c r="K214" s="7" t="s">
        <v>269</v>
      </c>
      <c r="L214" s="7" t="s">
        <v>273</v>
      </c>
      <c r="M214" s="9">
        <v>139900</v>
      </c>
      <c r="N214" s="10">
        <f t="shared" si="28"/>
        <v>0.75</v>
      </c>
      <c r="O214" s="9">
        <f t="shared" si="29"/>
        <v>34975</v>
      </c>
      <c r="P214" s="9" t="str">
        <f t="shared" si="32"/>
        <v>PERCENTAGE</v>
      </c>
    </row>
    <row r="215" spans="1:16" s="6" customFormat="1" x14ac:dyDescent="0.25">
      <c r="A215" s="7" t="str">
        <f t="shared" si="30"/>
        <v>2024 ALL D75</v>
      </c>
      <c r="B215" s="8">
        <f t="shared" si="31"/>
        <v>46104</v>
      </c>
      <c r="C215" s="8">
        <f t="shared" si="33"/>
        <v>46113</v>
      </c>
      <c r="D215" s="7">
        <v>3272</v>
      </c>
      <c r="E215" s="7">
        <v>336</v>
      </c>
      <c r="F215" s="7">
        <v>4</v>
      </c>
      <c r="G215" s="7">
        <v>1</v>
      </c>
      <c r="H215" s="7">
        <v>81676</v>
      </c>
      <c r="I215" s="7" t="s">
        <v>16</v>
      </c>
      <c r="J215" s="7">
        <v>15499213</v>
      </c>
      <c r="K215" s="7" t="s">
        <v>269</v>
      </c>
      <c r="L215" s="7" t="s">
        <v>274</v>
      </c>
      <c r="M215" s="9">
        <v>139900</v>
      </c>
      <c r="N215" s="10">
        <f t="shared" si="28"/>
        <v>0.75</v>
      </c>
      <c r="O215" s="9">
        <f t="shared" si="29"/>
        <v>34975</v>
      </c>
      <c r="P215" s="9" t="str">
        <f t="shared" si="32"/>
        <v>PERCENTAGE</v>
      </c>
    </row>
    <row r="216" spans="1:16" s="6" customFormat="1" x14ac:dyDescent="0.25">
      <c r="A216" s="7" t="str">
        <f t="shared" si="30"/>
        <v>2024 ALL D75</v>
      </c>
      <c r="B216" s="8">
        <f t="shared" si="31"/>
        <v>46104</v>
      </c>
      <c r="C216" s="8">
        <f t="shared" si="33"/>
        <v>46113</v>
      </c>
      <c r="D216" s="7">
        <v>3272</v>
      </c>
      <c r="E216" s="7">
        <v>336</v>
      </c>
      <c r="F216" s="7">
        <v>4</v>
      </c>
      <c r="G216" s="7">
        <v>1</v>
      </c>
      <c r="H216" s="7">
        <v>81676</v>
      </c>
      <c r="I216" s="7" t="s">
        <v>16</v>
      </c>
      <c r="J216" s="7">
        <v>15499222</v>
      </c>
      <c r="K216" s="7" t="s">
        <v>275</v>
      </c>
      <c r="L216" s="7" t="s">
        <v>276</v>
      </c>
      <c r="M216" s="9">
        <v>139900</v>
      </c>
      <c r="N216" s="10">
        <f t="shared" si="28"/>
        <v>0.75</v>
      </c>
      <c r="O216" s="9">
        <f t="shared" si="29"/>
        <v>34975</v>
      </c>
      <c r="P216" s="9" t="str">
        <f t="shared" si="32"/>
        <v>PERCENTAGE</v>
      </c>
    </row>
    <row r="217" spans="1:16" s="6" customFormat="1" x14ac:dyDescent="0.25">
      <c r="A217" s="7" t="str">
        <f t="shared" si="30"/>
        <v>2024 ALL D75</v>
      </c>
      <c r="B217" s="8">
        <f t="shared" si="31"/>
        <v>46104</v>
      </c>
      <c r="C217" s="8">
        <f t="shared" si="33"/>
        <v>46113</v>
      </c>
      <c r="D217" s="7">
        <v>3272</v>
      </c>
      <c r="E217" s="7">
        <v>336</v>
      </c>
      <c r="F217" s="7">
        <v>4</v>
      </c>
      <c r="G217" s="7">
        <v>1</v>
      </c>
      <c r="H217" s="7">
        <v>81676</v>
      </c>
      <c r="I217" s="7" t="s">
        <v>16</v>
      </c>
      <c r="J217" s="7">
        <v>15499231</v>
      </c>
      <c r="K217" s="7" t="s">
        <v>275</v>
      </c>
      <c r="L217" s="7" t="s">
        <v>277</v>
      </c>
      <c r="M217" s="9">
        <v>139900</v>
      </c>
      <c r="N217" s="10">
        <f t="shared" si="28"/>
        <v>0.75</v>
      </c>
      <c r="O217" s="9">
        <f t="shared" si="29"/>
        <v>34975</v>
      </c>
      <c r="P217" s="9" t="str">
        <f t="shared" si="32"/>
        <v>PERCENTAGE</v>
      </c>
    </row>
    <row r="218" spans="1:16" s="6" customFormat="1" x14ac:dyDescent="0.25">
      <c r="A218" s="7" t="str">
        <f t="shared" si="30"/>
        <v>2024 ALL D75</v>
      </c>
      <c r="B218" s="8">
        <f t="shared" si="31"/>
        <v>46104</v>
      </c>
      <c r="C218" s="8">
        <f t="shared" si="33"/>
        <v>46113</v>
      </c>
      <c r="D218" s="7">
        <v>3272</v>
      </c>
      <c r="E218" s="7">
        <v>336</v>
      </c>
      <c r="F218" s="7">
        <v>4</v>
      </c>
      <c r="G218" s="7">
        <v>1</v>
      </c>
      <c r="H218" s="7">
        <v>81676</v>
      </c>
      <c r="I218" s="7" t="s">
        <v>16</v>
      </c>
      <c r="J218" s="7">
        <v>15499240</v>
      </c>
      <c r="K218" s="7" t="s">
        <v>275</v>
      </c>
      <c r="L218" s="7" t="s">
        <v>278</v>
      </c>
      <c r="M218" s="9">
        <v>139900</v>
      </c>
      <c r="N218" s="10">
        <f t="shared" si="28"/>
        <v>0.75</v>
      </c>
      <c r="O218" s="9">
        <f t="shared" si="29"/>
        <v>34975</v>
      </c>
      <c r="P218" s="9" t="str">
        <f t="shared" si="32"/>
        <v>PERCENTAGE</v>
      </c>
    </row>
    <row r="219" spans="1:16" s="6" customFormat="1" x14ac:dyDescent="0.25">
      <c r="A219" s="7" t="str">
        <f t="shared" si="30"/>
        <v>2024 ALL D75</v>
      </c>
      <c r="B219" s="8">
        <f t="shared" si="31"/>
        <v>46104</v>
      </c>
      <c r="C219" s="8">
        <f t="shared" si="33"/>
        <v>46113</v>
      </c>
      <c r="D219" s="7">
        <v>3272</v>
      </c>
      <c r="E219" s="7">
        <v>336</v>
      </c>
      <c r="F219" s="7">
        <v>4</v>
      </c>
      <c r="G219" s="7">
        <v>1</v>
      </c>
      <c r="H219" s="7">
        <v>81676</v>
      </c>
      <c r="I219" s="7" t="s">
        <v>16</v>
      </c>
      <c r="J219" s="7">
        <v>15499259</v>
      </c>
      <c r="K219" s="7" t="s">
        <v>275</v>
      </c>
      <c r="L219" s="7" t="s">
        <v>279</v>
      </c>
      <c r="M219" s="9">
        <v>139900</v>
      </c>
      <c r="N219" s="10">
        <f t="shared" si="28"/>
        <v>0.75</v>
      </c>
      <c r="O219" s="9">
        <f t="shared" si="29"/>
        <v>34975</v>
      </c>
      <c r="P219" s="9" t="str">
        <f t="shared" si="32"/>
        <v>PERCENTAGE</v>
      </c>
    </row>
    <row r="220" spans="1:16" s="6" customFormat="1" x14ac:dyDescent="0.25">
      <c r="A220" s="7" t="str">
        <f t="shared" si="30"/>
        <v>2024 ALL D75</v>
      </c>
      <c r="B220" s="8">
        <f t="shared" si="31"/>
        <v>46104</v>
      </c>
      <c r="C220" s="8">
        <f t="shared" si="33"/>
        <v>46113</v>
      </c>
      <c r="D220" s="7">
        <v>3272</v>
      </c>
      <c r="E220" s="7">
        <v>336</v>
      </c>
      <c r="F220" s="7">
        <v>4</v>
      </c>
      <c r="G220" s="7">
        <v>1</v>
      </c>
      <c r="H220" s="7">
        <v>81676</v>
      </c>
      <c r="I220" s="7" t="s">
        <v>16</v>
      </c>
      <c r="J220" s="7">
        <v>15499268</v>
      </c>
      <c r="K220" s="7" t="s">
        <v>275</v>
      </c>
      <c r="L220" s="7" t="s">
        <v>280</v>
      </c>
      <c r="M220" s="9">
        <v>139900</v>
      </c>
      <c r="N220" s="10">
        <f t="shared" si="28"/>
        <v>0.75</v>
      </c>
      <c r="O220" s="9">
        <f t="shared" si="29"/>
        <v>34975</v>
      </c>
      <c r="P220" s="9" t="str">
        <f t="shared" si="32"/>
        <v>PERCENTAGE</v>
      </c>
    </row>
    <row r="221" spans="1:16" s="6" customFormat="1" x14ac:dyDescent="0.25">
      <c r="A221" s="7" t="str">
        <f t="shared" si="30"/>
        <v>2024 ALL D75</v>
      </c>
      <c r="B221" s="8">
        <f t="shared" si="31"/>
        <v>46104</v>
      </c>
      <c r="C221" s="8">
        <f t="shared" si="33"/>
        <v>46113</v>
      </c>
      <c r="D221" s="7">
        <v>3272</v>
      </c>
      <c r="E221" s="7">
        <v>336</v>
      </c>
      <c r="F221" s="7">
        <v>4</v>
      </c>
      <c r="G221" s="7">
        <v>1</v>
      </c>
      <c r="H221" s="7">
        <v>81379</v>
      </c>
      <c r="I221" s="7" t="s">
        <v>16</v>
      </c>
      <c r="J221" s="7">
        <v>15499722</v>
      </c>
      <c r="K221" s="7" t="s">
        <v>281</v>
      </c>
      <c r="L221" s="7" t="s">
        <v>282</v>
      </c>
      <c r="M221" s="9">
        <v>149900</v>
      </c>
      <c r="N221" s="10">
        <f t="shared" si="28"/>
        <v>0.75</v>
      </c>
      <c r="O221" s="9">
        <f t="shared" si="29"/>
        <v>37475</v>
      </c>
      <c r="P221" s="9" t="str">
        <f t="shared" si="32"/>
        <v>PERCENTAGE</v>
      </c>
    </row>
    <row r="222" spans="1:16" s="6" customFormat="1" x14ac:dyDescent="0.25">
      <c r="A222" s="7" t="str">
        <f t="shared" si="30"/>
        <v>2024 ALL D75</v>
      </c>
      <c r="B222" s="8">
        <f t="shared" si="31"/>
        <v>46104</v>
      </c>
      <c r="C222" s="8">
        <f t="shared" si="33"/>
        <v>46113</v>
      </c>
      <c r="D222" s="7">
        <v>3272</v>
      </c>
      <c r="E222" s="7">
        <v>336</v>
      </c>
      <c r="F222" s="7">
        <v>4</v>
      </c>
      <c r="G222" s="7">
        <v>1</v>
      </c>
      <c r="H222" s="7">
        <v>81379</v>
      </c>
      <c r="I222" s="7" t="s">
        <v>16</v>
      </c>
      <c r="J222" s="7">
        <v>15499731</v>
      </c>
      <c r="K222" s="7" t="s">
        <v>281</v>
      </c>
      <c r="L222" s="7" t="s">
        <v>283</v>
      </c>
      <c r="M222" s="9">
        <v>149900</v>
      </c>
      <c r="N222" s="10">
        <f t="shared" si="28"/>
        <v>0.75</v>
      </c>
      <c r="O222" s="9">
        <f t="shared" si="29"/>
        <v>37475</v>
      </c>
      <c r="P222" s="9" t="str">
        <f t="shared" si="32"/>
        <v>PERCENTAGE</v>
      </c>
    </row>
    <row r="223" spans="1:16" s="6" customFormat="1" x14ac:dyDescent="0.25">
      <c r="A223" s="7" t="str">
        <f t="shared" si="30"/>
        <v>2024 ALL D75</v>
      </c>
      <c r="B223" s="8">
        <f t="shared" si="31"/>
        <v>46104</v>
      </c>
      <c r="C223" s="8">
        <f t="shared" si="33"/>
        <v>46113</v>
      </c>
      <c r="D223" s="7">
        <v>3272</v>
      </c>
      <c r="E223" s="7">
        <v>336</v>
      </c>
      <c r="F223" s="7">
        <v>4</v>
      </c>
      <c r="G223" s="7">
        <v>1</v>
      </c>
      <c r="H223" s="7">
        <v>81379</v>
      </c>
      <c r="I223" s="7" t="s">
        <v>16</v>
      </c>
      <c r="J223" s="7">
        <v>15499740</v>
      </c>
      <c r="K223" s="7" t="s">
        <v>281</v>
      </c>
      <c r="L223" s="7" t="s">
        <v>284</v>
      </c>
      <c r="M223" s="9">
        <v>149900</v>
      </c>
      <c r="N223" s="10">
        <f t="shared" si="28"/>
        <v>0.75</v>
      </c>
      <c r="O223" s="9">
        <f t="shared" si="29"/>
        <v>37475</v>
      </c>
      <c r="P223" s="9" t="str">
        <f t="shared" si="32"/>
        <v>PERCENTAGE</v>
      </c>
    </row>
    <row r="224" spans="1:16" s="6" customFormat="1" x14ac:dyDescent="0.25">
      <c r="A224" s="7" t="str">
        <f t="shared" si="30"/>
        <v>2024 ALL D75</v>
      </c>
      <c r="B224" s="8">
        <f t="shared" si="31"/>
        <v>46104</v>
      </c>
      <c r="C224" s="8">
        <f t="shared" si="33"/>
        <v>46113</v>
      </c>
      <c r="D224" s="7">
        <v>3272</v>
      </c>
      <c r="E224" s="7">
        <v>336</v>
      </c>
      <c r="F224" s="7">
        <v>4</v>
      </c>
      <c r="G224" s="7">
        <v>1</v>
      </c>
      <c r="H224" s="7">
        <v>81379</v>
      </c>
      <c r="I224" s="7" t="s">
        <v>16</v>
      </c>
      <c r="J224" s="7">
        <v>15499759</v>
      </c>
      <c r="K224" s="7" t="s">
        <v>281</v>
      </c>
      <c r="L224" s="7" t="s">
        <v>285</v>
      </c>
      <c r="M224" s="9">
        <v>149900</v>
      </c>
      <c r="N224" s="10">
        <f t="shared" si="28"/>
        <v>0.75</v>
      </c>
      <c r="O224" s="9">
        <f t="shared" si="29"/>
        <v>37475</v>
      </c>
      <c r="P224" s="9" t="str">
        <f t="shared" si="32"/>
        <v>PERCENTAGE</v>
      </c>
    </row>
    <row r="225" spans="1:16" s="6" customFormat="1" x14ac:dyDescent="0.25">
      <c r="A225" s="7" t="str">
        <f t="shared" si="30"/>
        <v>2024 ALL D75</v>
      </c>
      <c r="B225" s="8">
        <f t="shared" si="31"/>
        <v>46104</v>
      </c>
      <c r="C225" s="8">
        <f t="shared" si="33"/>
        <v>46113</v>
      </c>
      <c r="D225" s="7">
        <v>3272</v>
      </c>
      <c r="E225" s="7">
        <v>336</v>
      </c>
      <c r="F225" s="7">
        <v>4</v>
      </c>
      <c r="G225" s="7">
        <v>1</v>
      </c>
      <c r="H225" s="7">
        <v>81379</v>
      </c>
      <c r="I225" s="7" t="s">
        <v>16</v>
      </c>
      <c r="J225" s="7">
        <v>15499768</v>
      </c>
      <c r="K225" s="7" t="s">
        <v>281</v>
      </c>
      <c r="L225" s="7" t="s">
        <v>286</v>
      </c>
      <c r="M225" s="9">
        <v>149900</v>
      </c>
      <c r="N225" s="10">
        <f t="shared" si="28"/>
        <v>0.75</v>
      </c>
      <c r="O225" s="9">
        <f t="shared" si="29"/>
        <v>37475</v>
      </c>
      <c r="P225" s="9" t="str">
        <f t="shared" si="32"/>
        <v>PERCENTAGE</v>
      </c>
    </row>
    <row r="226" spans="1:16" s="6" customFormat="1" x14ac:dyDescent="0.25">
      <c r="A226" s="7" t="str">
        <f t="shared" si="30"/>
        <v>2024 ALL D75</v>
      </c>
      <c r="B226" s="8">
        <f t="shared" si="31"/>
        <v>46104</v>
      </c>
      <c r="C226" s="8">
        <f t="shared" si="33"/>
        <v>46113</v>
      </c>
      <c r="D226" s="7">
        <v>3272</v>
      </c>
      <c r="E226" s="7">
        <v>336</v>
      </c>
      <c r="F226" s="7">
        <v>4</v>
      </c>
      <c r="G226" s="7">
        <v>1</v>
      </c>
      <c r="H226" s="7">
        <v>81379</v>
      </c>
      <c r="I226" s="7" t="s">
        <v>16</v>
      </c>
      <c r="J226" s="7">
        <v>16623095</v>
      </c>
      <c r="K226" s="7" t="s">
        <v>287</v>
      </c>
      <c r="L226" s="7" t="s">
        <v>288</v>
      </c>
      <c r="M226" s="9">
        <v>139900</v>
      </c>
      <c r="N226" s="10">
        <f t="shared" si="28"/>
        <v>0.75</v>
      </c>
      <c r="O226" s="9">
        <f t="shared" si="29"/>
        <v>34975</v>
      </c>
      <c r="P226" s="9" t="str">
        <f t="shared" si="32"/>
        <v>PERCENTAGE</v>
      </c>
    </row>
    <row r="227" spans="1:16" s="6" customFormat="1" x14ac:dyDescent="0.25">
      <c r="A227" s="7" t="str">
        <f t="shared" si="30"/>
        <v>2024 ALL D75</v>
      </c>
      <c r="B227" s="8">
        <f t="shared" si="31"/>
        <v>46104</v>
      </c>
      <c r="C227" s="8">
        <f t="shared" ref="C227:C233" si="34">C226</f>
        <v>46113</v>
      </c>
      <c r="D227" s="7">
        <v>3272</v>
      </c>
      <c r="E227" s="7">
        <v>336</v>
      </c>
      <c r="F227" s="7">
        <v>4</v>
      </c>
      <c r="G227" s="7">
        <v>1</v>
      </c>
      <c r="H227" s="7">
        <v>81379</v>
      </c>
      <c r="I227" s="7" t="s">
        <v>16</v>
      </c>
      <c r="J227" s="7">
        <v>16623102</v>
      </c>
      <c r="K227" s="7" t="s">
        <v>287</v>
      </c>
      <c r="L227" s="7" t="s">
        <v>289</v>
      </c>
      <c r="M227" s="9">
        <v>139900</v>
      </c>
      <c r="N227" s="10">
        <f t="shared" si="28"/>
        <v>0.75</v>
      </c>
      <c r="O227" s="9">
        <f t="shared" si="29"/>
        <v>34975</v>
      </c>
      <c r="P227" s="9" t="str">
        <f t="shared" si="32"/>
        <v>PERCENTAGE</v>
      </c>
    </row>
    <row r="228" spans="1:16" s="6" customFormat="1" x14ac:dyDescent="0.25">
      <c r="A228" s="7" t="str">
        <f t="shared" si="30"/>
        <v>2024 ALL D75</v>
      </c>
      <c r="B228" s="8">
        <f t="shared" si="31"/>
        <v>46104</v>
      </c>
      <c r="C228" s="8">
        <f t="shared" si="34"/>
        <v>46113</v>
      </c>
      <c r="D228" s="7">
        <v>3272</v>
      </c>
      <c r="E228" s="7">
        <v>336</v>
      </c>
      <c r="F228" s="7">
        <v>4</v>
      </c>
      <c r="G228" s="7">
        <v>1</v>
      </c>
      <c r="H228" s="7">
        <v>81379</v>
      </c>
      <c r="I228" s="7" t="s">
        <v>16</v>
      </c>
      <c r="J228" s="7">
        <v>16623111</v>
      </c>
      <c r="K228" s="7" t="s">
        <v>287</v>
      </c>
      <c r="L228" s="7" t="s">
        <v>290</v>
      </c>
      <c r="M228" s="9">
        <v>139900</v>
      </c>
      <c r="N228" s="10">
        <f t="shared" si="28"/>
        <v>0.75</v>
      </c>
      <c r="O228" s="9">
        <f t="shared" si="29"/>
        <v>34975</v>
      </c>
      <c r="P228" s="9" t="str">
        <f t="shared" si="32"/>
        <v>PERCENTAGE</v>
      </c>
    </row>
    <row r="229" spans="1:16" s="6" customFormat="1" x14ac:dyDescent="0.25">
      <c r="A229" s="7" t="str">
        <f t="shared" si="30"/>
        <v>2024 ALL D75</v>
      </c>
      <c r="B229" s="8">
        <f t="shared" si="31"/>
        <v>46104</v>
      </c>
      <c r="C229" s="8">
        <f t="shared" si="34"/>
        <v>46113</v>
      </c>
      <c r="D229" s="7">
        <v>3272</v>
      </c>
      <c r="E229" s="7">
        <v>336</v>
      </c>
      <c r="F229" s="7">
        <v>4</v>
      </c>
      <c r="G229" s="7">
        <v>1</v>
      </c>
      <c r="H229" s="7">
        <v>81379</v>
      </c>
      <c r="I229" s="7" t="s">
        <v>16</v>
      </c>
      <c r="J229" s="7">
        <v>16623120</v>
      </c>
      <c r="K229" s="7" t="s">
        <v>287</v>
      </c>
      <c r="L229" s="7" t="s">
        <v>291</v>
      </c>
      <c r="M229" s="9">
        <v>139900</v>
      </c>
      <c r="N229" s="10">
        <f t="shared" si="28"/>
        <v>0.75</v>
      </c>
      <c r="O229" s="9">
        <f t="shared" si="29"/>
        <v>34975</v>
      </c>
      <c r="P229" s="9" t="str">
        <f t="shared" si="32"/>
        <v>PERCENTAGE</v>
      </c>
    </row>
    <row r="230" spans="1:16" s="6" customFormat="1" x14ac:dyDescent="0.25">
      <c r="A230" s="7" t="str">
        <f t="shared" si="30"/>
        <v>2024 ALL D75</v>
      </c>
      <c r="B230" s="8">
        <f t="shared" si="31"/>
        <v>46104</v>
      </c>
      <c r="C230" s="8">
        <f t="shared" si="34"/>
        <v>46113</v>
      </c>
      <c r="D230" s="7">
        <v>3272</v>
      </c>
      <c r="E230" s="7">
        <v>336</v>
      </c>
      <c r="F230" s="7">
        <v>4</v>
      </c>
      <c r="G230" s="7">
        <v>1</v>
      </c>
      <c r="H230" s="7">
        <v>81379</v>
      </c>
      <c r="I230" s="7" t="s">
        <v>16</v>
      </c>
      <c r="J230" s="7">
        <v>16623139</v>
      </c>
      <c r="K230" s="7" t="s">
        <v>287</v>
      </c>
      <c r="L230" s="7" t="s">
        <v>292</v>
      </c>
      <c r="M230" s="9">
        <v>139900</v>
      </c>
      <c r="N230" s="10">
        <f t="shared" si="28"/>
        <v>0.75</v>
      </c>
      <c r="O230" s="9">
        <f t="shared" si="29"/>
        <v>34975</v>
      </c>
      <c r="P230" s="9" t="str">
        <f t="shared" si="32"/>
        <v>PERCENTAGE</v>
      </c>
    </row>
    <row r="231" spans="1:16" s="6" customFormat="1" x14ac:dyDescent="0.25">
      <c r="A231" s="7" t="str">
        <f t="shared" si="30"/>
        <v>2024 ALL D75</v>
      </c>
      <c r="B231" s="8">
        <f t="shared" si="31"/>
        <v>46104</v>
      </c>
      <c r="C231" s="8">
        <f t="shared" si="34"/>
        <v>46113</v>
      </c>
      <c r="D231" s="7">
        <v>3272</v>
      </c>
      <c r="E231" s="7">
        <v>336</v>
      </c>
      <c r="F231" s="7">
        <v>4</v>
      </c>
      <c r="G231" s="7">
        <v>1</v>
      </c>
      <c r="H231" s="7">
        <v>81379</v>
      </c>
      <c r="I231" s="7" t="s">
        <v>16</v>
      </c>
      <c r="J231" s="7">
        <v>16623148</v>
      </c>
      <c r="K231" s="7" t="s">
        <v>287</v>
      </c>
      <c r="L231" s="7" t="s">
        <v>293</v>
      </c>
      <c r="M231" s="9">
        <v>139900</v>
      </c>
      <c r="N231" s="10">
        <f t="shared" si="28"/>
        <v>0.75</v>
      </c>
      <c r="O231" s="9">
        <f t="shared" si="29"/>
        <v>34975</v>
      </c>
      <c r="P231" s="9" t="str">
        <f t="shared" si="32"/>
        <v>PERCENTAGE</v>
      </c>
    </row>
    <row r="232" spans="1:16" s="6" customFormat="1" x14ac:dyDescent="0.25">
      <c r="A232" s="7" t="str">
        <f t="shared" si="30"/>
        <v>2024 ALL D75</v>
      </c>
      <c r="B232" s="8">
        <f t="shared" si="31"/>
        <v>46104</v>
      </c>
      <c r="C232" s="8">
        <f t="shared" si="34"/>
        <v>46113</v>
      </c>
      <c r="D232" s="7">
        <v>3272</v>
      </c>
      <c r="E232" s="7">
        <v>336</v>
      </c>
      <c r="F232" s="7">
        <v>4</v>
      </c>
      <c r="G232" s="7">
        <v>1</v>
      </c>
      <c r="H232" s="7">
        <v>81379</v>
      </c>
      <c r="I232" s="7" t="s">
        <v>16</v>
      </c>
      <c r="J232" s="7">
        <v>16623157</v>
      </c>
      <c r="K232" s="7" t="s">
        <v>287</v>
      </c>
      <c r="L232" s="7" t="s">
        <v>294</v>
      </c>
      <c r="M232" s="9">
        <v>139900</v>
      </c>
      <c r="N232" s="10">
        <f t="shared" si="28"/>
        <v>0.75</v>
      </c>
      <c r="O232" s="9">
        <f t="shared" si="29"/>
        <v>34975</v>
      </c>
      <c r="P232" s="9" t="str">
        <f t="shared" si="32"/>
        <v>PERCENTAGE</v>
      </c>
    </row>
    <row r="233" spans="1:16" s="6" customFormat="1" x14ac:dyDescent="0.25">
      <c r="A233" s="7" t="str">
        <f t="shared" si="30"/>
        <v>2024 ALL D75</v>
      </c>
      <c r="B233" s="8">
        <f t="shared" si="31"/>
        <v>46104</v>
      </c>
      <c r="C233" s="8">
        <f t="shared" si="34"/>
        <v>46113</v>
      </c>
      <c r="D233" s="7">
        <v>3272</v>
      </c>
      <c r="E233" s="7">
        <v>336</v>
      </c>
      <c r="F233" s="7">
        <v>4</v>
      </c>
      <c r="G233" s="7">
        <v>1</v>
      </c>
      <c r="H233" s="7">
        <v>81379</v>
      </c>
      <c r="I233" s="7" t="s">
        <v>16</v>
      </c>
      <c r="J233" s="7">
        <v>16623166</v>
      </c>
      <c r="K233" s="7" t="s">
        <v>287</v>
      </c>
      <c r="L233" s="7" t="s">
        <v>295</v>
      </c>
      <c r="M233" s="9">
        <v>139900</v>
      </c>
      <c r="N233" s="10">
        <f t="shared" si="28"/>
        <v>0.75</v>
      </c>
      <c r="O233" s="9">
        <f t="shared" si="29"/>
        <v>34975</v>
      </c>
      <c r="P233" s="9" t="str">
        <f t="shared" si="32"/>
        <v>PERCENTAGE</v>
      </c>
    </row>
    <row r="234" spans="1:16" s="6" customFormat="1" x14ac:dyDescent="0.25">
      <c r="A234" s="7" t="str">
        <f t="shared" si="30"/>
        <v>2024 ALL D75</v>
      </c>
      <c r="B234" s="8">
        <f t="shared" si="31"/>
        <v>46104</v>
      </c>
      <c r="C234" s="8">
        <f>C232</f>
        <v>46113</v>
      </c>
      <c r="D234" s="7">
        <v>3272</v>
      </c>
      <c r="E234" s="7">
        <v>336</v>
      </c>
      <c r="F234" s="7">
        <v>4</v>
      </c>
      <c r="G234" s="7">
        <v>1</v>
      </c>
      <c r="H234" s="7">
        <v>81379</v>
      </c>
      <c r="I234" s="7" t="s">
        <v>16</v>
      </c>
      <c r="J234" s="7">
        <v>16623175</v>
      </c>
      <c r="K234" s="7" t="s">
        <v>296</v>
      </c>
      <c r="L234" s="7" t="s">
        <v>297</v>
      </c>
      <c r="M234" s="9">
        <v>149900</v>
      </c>
      <c r="N234" s="10">
        <f t="shared" si="28"/>
        <v>0.75</v>
      </c>
      <c r="O234" s="9">
        <f t="shared" si="29"/>
        <v>37475</v>
      </c>
      <c r="P234" s="9" t="str">
        <f t="shared" si="32"/>
        <v>PERCENTAGE</v>
      </c>
    </row>
    <row r="235" spans="1:16" s="6" customFormat="1" x14ac:dyDescent="0.25">
      <c r="A235" s="7" t="str">
        <f t="shared" si="30"/>
        <v>2024 ALL D75</v>
      </c>
      <c r="B235" s="8">
        <f t="shared" si="31"/>
        <v>46104</v>
      </c>
      <c r="C235" s="8">
        <f t="shared" ref="C235:C250" si="35">C234</f>
        <v>46113</v>
      </c>
      <c r="D235" s="7">
        <v>3272</v>
      </c>
      <c r="E235" s="7">
        <v>336</v>
      </c>
      <c r="F235" s="7">
        <v>4</v>
      </c>
      <c r="G235" s="7">
        <v>1</v>
      </c>
      <c r="H235" s="7">
        <v>81379</v>
      </c>
      <c r="I235" s="7" t="s">
        <v>16</v>
      </c>
      <c r="J235" s="7">
        <v>16623184</v>
      </c>
      <c r="K235" s="7" t="s">
        <v>296</v>
      </c>
      <c r="L235" s="7" t="s">
        <v>298</v>
      </c>
      <c r="M235" s="9">
        <v>149900</v>
      </c>
      <c r="N235" s="10">
        <f t="shared" si="28"/>
        <v>0.75</v>
      </c>
      <c r="O235" s="9">
        <f t="shared" si="29"/>
        <v>37475</v>
      </c>
      <c r="P235" s="9" t="str">
        <f t="shared" si="32"/>
        <v>PERCENTAGE</v>
      </c>
    </row>
    <row r="236" spans="1:16" s="6" customFormat="1" x14ac:dyDescent="0.25">
      <c r="A236" s="7" t="str">
        <f t="shared" si="30"/>
        <v>2024 ALL D75</v>
      </c>
      <c r="B236" s="8">
        <f t="shared" si="31"/>
        <v>46104</v>
      </c>
      <c r="C236" s="8">
        <f t="shared" si="35"/>
        <v>46113</v>
      </c>
      <c r="D236" s="7">
        <v>3272</v>
      </c>
      <c r="E236" s="7">
        <v>336</v>
      </c>
      <c r="F236" s="7">
        <v>4</v>
      </c>
      <c r="G236" s="7">
        <v>1</v>
      </c>
      <c r="H236" s="7">
        <v>81379</v>
      </c>
      <c r="I236" s="7" t="s">
        <v>16</v>
      </c>
      <c r="J236" s="7">
        <v>16623193</v>
      </c>
      <c r="K236" s="7" t="s">
        <v>296</v>
      </c>
      <c r="L236" s="7" t="s">
        <v>299</v>
      </c>
      <c r="M236" s="9">
        <v>149900</v>
      </c>
      <c r="N236" s="10">
        <f t="shared" si="28"/>
        <v>0.75</v>
      </c>
      <c r="O236" s="9">
        <f t="shared" si="29"/>
        <v>37475</v>
      </c>
      <c r="P236" s="9" t="str">
        <f t="shared" si="32"/>
        <v>PERCENTAGE</v>
      </c>
    </row>
    <row r="237" spans="1:16" s="6" customFormat="1" x14ac:dyDescent="0.25">
      <c r="A237" s="7" t="str">
        <f t="shared" si="30"/>
        <v>2024 ALL D75</v>
      </c>
      <c r="B237" s="8">
        <f t="shared" si="31"/>
        <v>46104</v>
      </c>
      <c r="C237" s="8">
        <f t="shared" si="35"/>
        <v>46113</v>
      </c>
      <c r="D237" s="7">
        <v>3272</v>
      </c>
      <c r="E237" s="7">
        <v>336</v>
      </c>
      <c r="F237" s="7">
        <v>4</v>
      </c>
      <c r="G237" s="7">
        <v>1</v>
      </c>
      <c r="H237" s="7">
        <v>81379</v>
      </c>
      <c r="I237" s="7" t="s">
        <v>16</v>
      </c>
      <c r="J237" s="7">
        <v>16623200</v>
      </c>
      <c r="K237" s="7" t="s">
        <v>296</v>
      </c>
      <c r="L237" s="7" t="s">
        <v>300</v>
      </c>
      <c r="M237" s="9">
        <v>149900</v>
      </c>
      <c r="N237" s="10">
        <f t="shared" si="28"/>
        <v>0.75</v>
      </c>
      <c r="O237" s="9">
        <f t="shared" si="29"/>
        <v>37475</v>
      </c>
      <c r="P237" s="9" t="str">
        <f t="shared" si="32"/>
        <v>PERCENTAGE</v>
      </c>
    </row>
    <row r="238" spans="1:16" s="6" customFormat="1" x14ac:dyDescent="0.25">
      <c r="A238" s="7" t="str">
        <f t="shared" si="30"/>
        <v>2024 ALL D75</v>
      </c>
      <c r="B238" s="8">
        <f t="shared" si="31"/>
        <v>46104</v>
      </c>
      <c r="C238" s="8">
        <f t="shared" si="35"/>
        <v>46113</v>
      </c>
      <c r="D238" s="7">
        <v>3272</v>
      </c>
      <c r="E238" s="7">
        <v>336</v>
      </c>
      <c r="F238" s="7">
        <v>4</v>
      </c>
      <c r="G238" s="7">
        <v>1</v>
      </c>
      <c r="H238" s="7">
        <v>81379</v>
      </c>
      <c r="I238" s="7" t="s">
        <v>16</v>
      </c>
      <c r="J238" s="7">
        <v>16623237</v>
      </c>
      <c r="K238" s="7" t="s">
        <v>296</v>
      </c>
      <c r="L238" s="7" t="s">
        <v>301</v>
      </c>
      <c r="M238" s="9">
        <v>149900</v>
      </c>
      <c r="N238" s="10">
        <f t="shared" si="28"/>
        <v>0.75</v>
      </c>
      <c r="O238" s="9">
        <f t="shared" si="29"/>
        <v>37475</v>
      </c>
      <c r="P238" s="9" t="str">
        <f t="shared" si="32"/>
        <v>PERCENTAGE</v>
      </c>
    </row>
    <row r="239" spans="1:16" s="6" customFormat="1" x14ac:dyDescent="0.25">
      <c r="A239" s="7" t="str">
        <f t="shared" si="30"/>
        <v>2024 ALL D75</v>
      </c>
      <c r="B239" s="8">
        <f t="shared" si="31"/>
        <v>46104</v>
      </c>
      <c r="C239" s="8">
        <f t="shared" si="35"/>
        <v>46113</v>
      </c>
      <c r="D239" s="7">
        <v>3272</v>
      </c>
      <c r="E239" s="7">
        <v>336</v>
      </c>
      <c r="F239" s="7">
        <v>4</v>
      </c>
      <c r="G239" s="7">
        <v>1</v>
      </c>
      <c r="H239" s="7">
        <v>81379</v>
      </c>
      <c r="I239" s="7" t="s">
        <v>16</v>
      </c>
      <c r="J239" s="7">
        <v>16623246</v>
      </c>
      <c r="K239" s="7" t="s">
        <v>296</v>
      </c>
      <c r="L239" s="7" t="s">
        <v>302</v>
      </c>
      <c r="M239" s="9">
        <v>149900</v>
      </c>
      <c r="N239" s="10">
        <f t="shared" si="28"/>
        <v>0.75</v>
      </c>
      <c r="O239" s="9">
        <f t="shared" si="29"/>
        <v>37475</v>
      </c>
      <c r="P239" s="9" t="str">
        <f t="shared" si="32"/>
        <v>PERCENTAGE</v>
      </c>
    </row>
    <row r="240" spans="1:16" s="6" customFormat="1" x14ac:dyDescent="0.25">
      <c r="A240" s="7" t="str">
        <f t="shared" si="30"/>
        <v>2024 ALL D75</v>
      </c>
      <c r="B240" s="8">
        <f t="shared" si="31"/>
        <v>46104</v>
      </c>
      <c r="C240" s="8">
        <f t="shared" si="35"/>
        <v>46113</v>
      </c>
      <c r="D240" s="7">
        <v>3272</v>
      </c>
      <c r="E240" s="7">
        <v>336</v>
      </c>
      <c r="F240" s="7">
        <v>4</v>
      </c>
      <c r="G240" s="7">
        <v>1</v>
      </c>
      <c r="H240" s="7">
        <v>81379</v>
      </c>
      <c r="I240" s="7" t="s">
        <v>16</v>
      </c>
      <c r="J240" s="7">
        <v>16623273</v>
      </c>
      <c r="K240" s="7" t="s">
        <v>303</v>
      </c>
      <c r="L240" s="7" t="s">
        <v>304</v>
      </c>
      <c r="M240" s="9">
        <v>139900</v>
      </c>
      <c r="N240" s="10">
        <f t="shared" si="28"/>
        <v>0.75</v>
      </c>
      <c r="O240" s="9">
        <f t="shared" si="29"/>
        <v>34975</v>
      </c>
      <c r="P240" s="9" t="str">
        <f t="shared" si="32"/>
        <v>PERCENTAGE</v>
      </c>
    </row>
    <row r="241" spans="1:16" s="6" customFormat="1" x14ac:dyDescent="0.25">
      <c r="A241" s="7" t="str">
        <f t="shared" si="30"/>
        <v>2024 ALL D75</v>
      </c>
      <c r="B241" s="8">
        <f t="shared" si="31"/>
        <v>46104</v>
      </c>
      <c r="C241" s="8">
        <f t="shared" si="35"/>
        <v>46113</v>
      </c>
      <c r="D241" s="7">
        <v>3272</v>
      </c>
      <c r="E241" s="7">
        <v>336</v>
      </c>
      <c r="F241" s="7">
        <v>4</v>
      </c>
      <c r="G241" s="7">
        <v>1</v>
      </c>
      <c r="H241" s="7">
        <v>81379</v>
      </c>
      <c r="I241" s="7" t="s">
        <v>16</v>
      </c>
      <c r="J241" s="7">
        <v>16623282</v>
      </c>
      <c r="K241" s="7" t="s">
        <v>303</v>
      </c>
      <c r="L241" s="7" t="s">
        <v>305</v>
      </c>
      <c r="M241" s="9">
        <v>139900</v>
      </c>
      <c r="N241" s="10">
        <f t="shared" si="28"/>
        <v>0.75</v>
      </c>
      <c r="O241" s="9">
        <f t="shared" si="29"/>
        <v>34975</v>
      </c>
      <c r="P241" s="9" t="str">
        <f t="shared" si="32"/>
        <v>PERCENTAGE</v>
      </c>
    </row>
    <row r="242" spans="1:16" s="6" customFormat="1" x14ac:dyDescent="0.25">
      <c r="A242" s="7" t="str">
        <f t="shared" si="30"/>
        <v>2024 ALL D75</v>
      </c>
      <c r="B242" s="8">
        <f t="shared" si="31"/>
        <v>46104</v>
      </c>
      <c r="C242" s="8">
        <f t="shared" si="35"/>
        <v>46113</v>
      </c>
      <c r="D242" s="7">
        <v>3272</v>
      </c>
      <c r="E242" s="7">
        <v>336</v>
      </c>
      <c r="F242" s="7">
        <v>4</v>
      </c>
      <c r="G242" s="7">
        <v>1</v>
      </c>
      <c r="H242" s="7">
        <v>81379</v>
      </c>
      <c r="I242" s="7" t="s">
        <v>16</v>
      </c>
      <c r="J242" s="7">
        <v>16623291</v>
      </c>
      <c r="K242" s="7" t="s">
        <v>303</v>
      </c>
      <c r="L242" s="7" t="s">
        <v>306</v>
      </c>
      <c r="M242" s="9">
        <v>139900</v>
      </c>
      <c r="N242" s="10">
        <f t="shared" si="28"/>
        <v>0.75</v>
      </c>
      <c r="O242" s="9">
        <f t="shared" si="29"/>
        <v>34975</v>
      </c>
      <c r="P242" s="9" t="str">
        <f t="shared" si="32"/>
        <v>PERCENTAGE</v>
      </c>
    </row>
    <row r="243" spans="1:16" s="6" customFormat="1" x14ac:dyDescent="0.25">
      <c r="A243" s="7" t="str">
        <f t="shared" si="30"/>
        <v>2024 ALL D75</v>
      </c>
      <c r="B243" s="8">
        <f t="shared" si="31"/>
        <v>46104</v>
      </c>
      <c r="C243" s="8">
        <f t="shared" si="35"/>
        <v>46113</v>
      </c>
      <c r="D243" s="7">
        <v>3272</v>
      </c>
      <c r="E243" s="7">
        <v>336</v>
      </c>
      <c r="F243" s="7">
        <v>4</v>
      </c>
      <c r="G243" s="7">
        <v>1</v>
      </c>
      <c r="H243" s="7">
        <v>81379</v>
      </c>
      <c r="I243" s="7" t="s">
        <v>16</v>
      </c>
      <c r="J243" s="7">
        <v>16623308</v>
      </c>
      <c r="K243" s="7" t="s">
        <v>303</v>
      </c>
      <c r="L243" s="7" t="s">
        <v>307</v>
      </c>
      <c r="M243" s="9">
        <v>139900</v>
      </c>
      <c r="N243" s="10">
        <f t="shared" si="28"/>
        <v>0.75</v>
      </c>
      <c r="O243" s="9">
        <f t="shared" si="29"/>
        <v>34975</v>
      </c>
      <c r="P243" s="9" t="str">
        <f t="shared" si="32"/>
        <v>PERCENTAGE</v>
      </c>
    </row>
    <row r="244" spans="1:16" s="6" customFormat="1" x14ac:dyDescent="0.25">
      <c r="A244" s="7" t="str">
        <f t="shared" si="30"/>
        <v>2024 ALL D75</v>
      </c>
      <c r="B244" s="8">
        <f t="shared" si="31"/>
        <v>46104</v>
      </c>
      <c r="C244" s="8">
        <f t="shared" si="35"/>
        <v>46113</v>
      </c>
      <c r="D244" s="7">
        <v>3272</v>
      </c>
      <c r="E244" s="7">
        <v>336</v>
      </c>
      <c r="F244" s="7">
        <v>4</v>
      </c>
      <c r="G244" s="7">
        <v>1</v>
      </c>
      <c r="H244" s="7">
        <v>81379</v>
      </c>
      <c r="I244" s="7" t="s">
        <v>16</v>
      </c>
      <c r="J244" s="7">
        <v>16623317</v>
      </c>
      <c r="K244" s="7" t="s">
        <v>303</v>
      </c>
      <c r="L244" s="7" t="s">
        <v>308</v>
      </c>
      <c r="M244" s="9">
        <v>139900</v>
      </c>
      <c r="N244" s="10">
        <f t="shared" si="28"/>
        <v>0.75</v>
      </c>
      <c r="O244" s="9">
        <f t="shared" si="29"/>
        <v>34975</v>
      </c>
      <c r="P244" s="9" t="str">
        <f t="shared" si="32"/>
        <v>PERCENTAGE</v>
      </c>
    </row>
    <row r="245" spans="1:16" s="6" customFormat="1" x14ac:dyDescent="0.25">
      <c r="A245" s="7" t="str">
        <f t="shared" si="30"/>
        <v>2024 ALL D75</v>
      </c>
      <c r="B245" s="8">
        <f t="shared" si="31"/>
        <v>46104</v>
      </c>
      <c r="C245" s="8">
        <f t="shared" si="35"/>
        <v>46113</v>
      </c>
      <c r="D245" s="7">
        <v>3272</v>
      </c>
      <c r="E245" s="7">
        <v>336</v>
      </c>
      <c r="F245" s="7">
        <v>4</v>
      </c>
      <c r="G245" s="7">
        <v>1</v>
      </c>
      <c r="H245" s="7">
        <v>81379</v>
      </c>
      <c r="I245" s="7" t="s">
        <v>16</v>
      </c>
      <c r="J245" s="7">
        <v>16623326</v>
      </c>
      <c r="K245" s="7" t="s">
        <v>303</v>
      </c>
      <c r="L245" s="7" t="s">
        <v>309</v>
      </c>
      <c r="M245" s="9">
        <v>139900</v>
      </c>
      <c r="N245" s="10">
        <f t="shared" si="28"/>
        <v>0.75</v>
      </c>
      <c r="O245" s="9">
        <f t="shared" si="29"/>
        <v>34975</v>
      </c>
      <c r="P245" s="9" t="str">
        <f t="shared" si="32"/>
        <v>PERCENTAGE</v>
      </c>
    </row>
    <row r="246" spans="1:16" s="6" customFormat="1" x14ac:dyDescent="0.25">
      <c r="A246" s="7" t="str">
        <f t="shared" si="30"/>
        <v>2024 ALL D75</v>
      </c>
      <c r="B246" s="8">
        <f t="shared" si="31"/>
        <v>46104</v>
      </c>
      <c r="C246" s="8">
        <f t="shared" si="35"/>
        <v>46113</v>
      </c>
      <c r="D246" s="7">
        <v>3272</v>
      </c>
      <c r="E246" s="7">
        <v>336</v>
      </c>
      <c r="F246" s="7">
        <v>4</v>
      </c>
      <c r="G246" s="7">
        <v>1</v>
      </c>
      <c r="H246" s="7">
        <v>81379</v>
      </c>
      <c r="I246" s="7" t="s">
        <v>16</v>
      </c>
      <c r="J246" s="7">
        <v>16623335</v>
      </c>
      <c r="K246" s="7" t="s">
        <v>303</v>
      </c>
      <c r="L246" s="7" t="s">
        <v>310</v>
      </c>
      <c r="M246" s="9">
        <v>139900</v>
      </c>
      <c r="N246" s="10">
        <f t="shared" si="28"/>
        <v>0.75</v>
      </c>
      <c r="O246" s="9">
        <f t="shared" si="29"/>
        <v>34975</v>
      </c>
      <c r="P246" s="9" t="str">
        <f t="shared" si="32"/>
        <v>PERCENTAGE</v>
      </c>
    </row>
    <row r="247" spans="1:16" s="6" customFormat="1" x14ac:dyDescent="0.25">
      <c r="A247" s="7" t="str">
        <f t="shared" si="30"/>
        <v>2024 ALL D75</v>
      </c>
      <c r="B247" s="8">
        <f t="shared" si="31"/>
        <v>46104</v>
      </c>
      <c r="C247" s="8">
        <f t="shared" si="35"/>
        <v>46113</v>
      </c>
      <c r="D247" s="7">
        <v>3272</v>
      </c>
      <c r="E247" s="7">
        <v>336</v>
      </c>
      <c r="F247" s="7">
        <v>4</v>
      </c>
      <c r="G247" s="7">
        <v>1</v>
      </c>
      <c r="H247" s="7">
        <v>81379</v>
      </c>
      <c r="I247" s="7" t="s">
        <v>16</v>
      </c>
      <c r="J247" s="7">
        <v>16623344</v>
      </c>
      <c r="K247" s="7" t="s">
        <v>303</v>
      </c>
      <c r="L247" s="7" t="s">
        <v>311</v>
      </c>
      <c r="M247" s="9">
        <v>139900</v>
      </c>
      <c r="N247" s="10">
        <f t="shared" si="28"/>
        <v>0.75</v>
      </c>
      <c r="O247" s="9">
        <f t="shared" si="29"/>
        <v>34975</v>
      </c>
      <c r="P247" s="9" t="str">
        <f t="shared" si="32"/>
        <v>PERCENTAGE</v>
      </c>
    </row>
    <row r="248" spans="1:16" s="6" customFormat="1" x14ac:dyDescent="0.25">
      <c r="A248" s="7" t="str">
        <f t="shared" si="30"/>
        <v>2024 ALL D75</v>
      </c>
      <c r="B248" s="8">
        <f t="shared" si="31"/>
        <v>46104</v>
      </c>
      <c r="C248" s="8">
        <f t="shared" si="35"/>
        <v>46113</v>
      </c>
      <c r="D248" s="7">
        <v>3272</v>
      </c>
      <c r="E248" s="7">
        <v>336</v>
      </c>
      <c r="F248" s="7">
        <v>4</v>
      </c>
      <c r="G248" s="7">
        <v>1</v>
      </c>
      <c r="H248" s="7">
        <v>81379</v>
      </c>
      <c r="I248" s="7" t="s">
        <v>16</v>
      </c>
      <c r="J248" s="7">
        <v>16623353</v>
      </c>
      <c r="K248" s="7" t="s">
        <v>312</v>
      </c>
      <c r="L248" s="7" t="s">
        <v>313</v>
      </c>
      <c r="M248" s="9">
        <v>149900</v>
      </c>
      <c r="N248" s="10">
        <f t="shared" si="28"/>
        <v>0.75</v>
      </c>
      <c r="O248" s="9">
        <f t="shared" si="29"/>
        <v>37475</v>
      </c>
      <c r="P248" s="9" t="str">
        <f t="shared" si="32"/>
        <v>PERCENTAGE</v>
      </c>
    </row>
    <row r="249" spans="1:16" s="6" customFormat="1" x14ac:dyDescent="0.25">
      <c r="A249" s="7" t="str">
        <f t="shared" si="30"/>
        <v>2024 ALL D75</v>
      </c>
      <c r="B249" s="8">
        <f t="shared" si="31"/>
        <v>46104</v>
      </c>
      <c r="C249" s="8">
        <f t="shared" si="35"/>
        <v>46113</v>
      </c>
      <c r="D249" s="7">
        <v>3272</v>
      </c>
      <c r="E249" s="7">
        <v>336</v>
      </c>
      <c r="F249" s="7">
        <v>4</v>
      </c>
      <c r="G249" s="7">
        <v>1</v>
      </c>
      <c r="H249" s="7">
        <v>81379</v>
      </c>
      <c r="I249" s="7" t="s">
        <v>16</v>
      </c>
      <c r="J249" s="7">
        <v>16623362</v>
      </c>
      <c r="K249" s="7" t="s">
        <v>312</v>
      </c>
      <c r="L249" s="7" t="s">
        <v>314</v>
      </c>
      <c r="M249" s="9">
        <v>149900</v>
      </c>
      <c r="N249" s="10">
        <f t="shared" si="28"/>
        <v>0.75</v>
      </c>
      <c r="O249" s="9">
        <f t="shared" si="29"/>
        <v>37475</v>
      </c>
      <c r="P249" s="9" t="str">
        <f t="shared" si="32"/>
        <v>PERCENTAGE</v>
      </c>
    </row>
    <row r="250" spans="1:16" s="6" customFormat="1" x14ac:dyDescent="0.25">
      <c r="A250" s="7" t="str">
        <f t="shared" si="30"/>
        <v>2024 ALL D75</v>
      </c>
      <c r="B250" s="8">
        <f t="shared" si="31"/>
        <v>46104</v>
      </c>
      <c r="C250" s="8">
        <f t="shared" si="35"/>
        <v>46113</v>
      </c>
      <c r="D250" s="7">
        <v>3272</v>
      </c>
      <c r="E250" s="7">
        <v>336</v>
      </c>
      <c r="F250" s="7">
        <v>4</v>
      </c>
      <c r="G250" s="7">
        <v>1</v>
      </c>
      <c r="H250" s="7">
        <v>81379</v>
      </c>
      <c r="I250" s="7" t="s">
        <v>16</v>
      </c>
      <c r="J250" s="7">
        <v>16623371</v>
      </c>
      <c r="K250" s="7" t="s">
        <v>312</v>
      </c>
      <c r="L250" s="7" t="s">
        <v>315</v>
      </c>
      <c r="M250" s="9">
        <v>149900</v>
      </c>
      <c r="N250" s="10">
        <f t="shared" si="28"/>
        <v>0.75</v>
      </c>
      <c r="O250" s="9">
        <f t="shared" si="29"/>
        <v>37475</v>
      </c>
      <c r="P250" s="9" t="str">
        <f t="shared" si="32"/>
        <v>PERCENTAGE</v>
      </c>
    </row>
    <row r="251" spans="1:16" s="6" customFormat="1" x14ac:dyDescent="0.25">
      <c r="A251" s="7" t="str">
        <f t="shared" si="30"/>
        <v>2024 ALL D75</v>
      </c>
      <c r="B251" s="8">
        <f t="shared" si="31"/>
        <v>46104</v>
      </c>
      <c r="C251" s="8">
        <f t="shared" ref="C251:C266" si="36">C250</f>
        <v>46113</v>
      </c>
      <c r="D251" s="7">
        <v>3272</v>
      </c>
      <c r="E251" s="7">
        <v>336</v>
      </c>
      <c r="F251" s="7">
        <v>4</v>
      </c>
      <c r="G251" s="7">
        <v>1</v>
      </c>
      <c r="H251" s="7">
        <v>81379</v>
      </c>
      <c r="I251" s="7" t="s">
        <v>16</v>
      </c>
      <c r="J251" s="7">
        <v>16623380</v>
      </c>
      <c r="K251" s="7" t="s">
        <v>312</v>
      </c>
      <c r="L251" s="7" t="s">
        <v>316</v>
      </c>
      <c r="M251" s="9">
        <v>149900</v>
      </c>
      <c r="N251" s="10">
        <f t="shared" si="28"/>
        <v>0.75</v>
      </c>
      <c r="O251" s="9">
        <f t="shared" si="29"/>
        <v>37475</v>
      </c>
      <c r="P251" s="9" t="str">
        <f t="shared" si="32"/>
        <v>PERCENTAGE</v>
      </c>
    </row>
    <row r="252" spans="1:16" s="6" customFormat="1" x14ac:dyDescent="0.25">
      <c r="A252" s="7" t="str">
        <f t="shared" si="30"/>
        <v>2024 ALL D75</v>
      </c>
      <c r="B252" s="8">
        <f t="shared" si="31"/>
        <v>46104</v>
      </c>
      <c r="C252" s="8">
        <f t="shared" si="36"/>
        <v>46113</v>
      </c>
      <c r="D252" s="7">
        <v>3272</v>
      </c>
      <c r="E252" s="7">
        <v>336</v>
      </c>
      <c r="F252" s="7">
        <v>4</v>
      </c>
      <c r="G252" s="7">
        <v>1</v>
      </c>
      <c r="H252" s="7">
        <v>81379</v>
      </c>
      <c r="I252" s="7" t="s">
        <v>16</v>
      </c>
      <c r="J252" s="7">
        <v>16623399</v>
      </c>
      <c r="K252" s="7" t="s">
        <v>312</v>
      </c>
      <c r="L252" s="7" t="s">
        <v>317</v>
      </c>
      <c r="M252" s="9">
        <v>149900</v>
      </c>
      <c r="N252" s="10">
        <f t="shared" si="28"/>
        <v>0.75</v>
      </c>
      <c r="O252" s="9">
        <f t="shared" si="29"/>
        <v>37475</v>
      </c>
      <c r="P252" s="9" t="str">
        <f t="shared" si="32"/>
        <v>PERCENTAGE</v>
      </c>
    </row>
    <row r="253" spans="1:16" s="6" customFormat="1" x14ac:dyDescent="0.25">
      <c r="A253" s="7" t="str">
        <f t="shared" si="30"/>
        <v>2024 ALL D75</v>
      </c>
      <c r="B253" s="8">
        <f t="shared" si="31"/>
        <v>46104</v>
      </c>
      <c r="C253" s="8">
        <f t="shared" si="36"/>
        <v>46113</v>
      </c>
      <c r="D253" s="7">
        <v>3272</v>
      </c>
      <c r="E253" s="7">
        <v>336</v>
      </c>
      <c r="F253" s="7">
        <v>4</v>
      </c>
      <c r="G253" s="7">
        <v>1</v>
      </c>
      <c r="H253" s="7">
        <v>81379</v>
      </c>
      <c r="I253" s="7" t="s">
        <v>16</v>
      </c>
      <c r="J253" s="7">
        <v>16623406</v>
      </c>
      <c r="K253" s="7" t="s">
        <v>312</v>
      </c>
      <c r="L253" s="7" t="s">
        <v>318</v>
      </c>
      <c r="M253" s="9">
        <v>149900</v>
      </c>
      <c r="N253" s="10">
        <f t="shared" si="28"/>
        <v>0.75</v>
      </c>
      <c r="O253" s="9">
        <f t="shared" si="29"/>
        <v>37475</v>
      </c>
      <c r="P253" s="9" t="str">
        <f t="shared" si="32"/>
        <v>PERCENTAGE</v>
      </c>
    </row>
    <row r="254" spans="1:16" s="6" customFormat="1" x14ac:dyDescent="0.25">
      <c r="A254" s="7" t="str">
        <f t="shared" si="30"/>
        <v>2024 ALL D75</v>
      </c>
      <c r="B254" s="8">
        <f t="shared" si="31"/>
        <v>46104</v>
      </c>
      <c r="C254" s="8">
        <f t="shared" si="36"/>
        <v>46113</v>
      </c>
      <c r="D254" s="7">
        <v>3272</v>
      </c>
      <c r="E254" s="7">
        <v>336</v>
      </c>
      <c r="F254" s="7">
        <v>4</v>
      </c>
      <c r="G254" s="7">
        <v>1</v>
      </c>
      <c r="H254" s="7">
        <v>81379</v>
      </c>
      <c r="I254" s="7" t="s">
        <v>16</v>
      </c>
      <c r="J254" s="7">
        <v>16623415</v>
      </c>
      <c r="K254" s="7" t="s">
        <v>312</v>
      </c>
      <c r="L254" s="7" t="s">
        <v>319</v>
      </c>
      <c r="M254" s="9">
        <v>149900</v>
      </c>
      <c r="N254" s="10">
        <f t="shared" si="28"/>
        <v>0.75</v>
      </c>
      <c r="O254" s="9">
        <f t="shared" si="29"/>
        <v>37475</v>
      </c>
      <c r="P254" s="9" t="str">
        <f t="shared" si="32"/>
        <v>PERCENTAGE</v>
      </c>
    </row>
    <row r="255" spans="1:16" s="6" customFormat="1" x14ac:dyDescent="0.25">
      <c r="A255" s="7" t="str">
        <f t="shared" si="30"/>
        <v>2024 ALL D75</v>
      </c>
      <c r="B255" s="8">
        <f t="shared" si="31"/>
        <v>46104</v>
      </c>
      <c r="C255" s="8">
        <f t="shared" si="36"/>
        <v>46113</v>
      </c>
      <c r="D255" s="7">
        <v>3272</v>
      </c>
      <c r="E255" s="7">
        <v>336</v>
      </c>
      <c r="F255" s="7">
        <v>4</v>
      </c>
      <c r="G255" s="7">
        <v>1</v>
      </c>
      <c r="H255" s="7">
        <v>81379</v>
      </c>
      <c r="I255" s="7" t="s">
        <v>16</v>
      </c>
      <c r="J255" s="7">
        <v>16623433</v>
      </c>
      <c r="K255" s="7" t="s">
        <v>312</v>
      </c>
      <c r="L255" s="7" t="s">
        <v>320</v>
      </c>
      <c r="M255" s="9">
        <v>149900</v>
      </c>
      <c r="N255" s="10">
        <f t="shared" si="28"/>
        <v>0.75</v>
      </c>
      <c r="O255" s="9">
        <f t="shared" si="29"/>
        <v>37475</v>
      </c>
      <c r="P255" s="9" t="str">
        <f t="shared" si="32"/>
        <v>PERCENTAGE</v>
      </c>
    </row>
    <row r="256" spans="1:16" s="6" customFormat="1" x14ac:dyDescent="0.25">
      <c r="A256" s="7" t="str">
        <f t="shared" si="30"/>
        <v>2024 ALL D75</v>
      </c>
      <c r="B256" s="8">
        <f t="shared" si="31"/>
        <v>46104</v>
      </c>
      <c r="C256" s="8">
        <f t="shared" si="36"/>
        <v>46113</v>
      </c>
      <c r="D256" s="7">
        <v>3272</v>
      </c>
      <c r="E256" s="7">
        <v>336</v>
      </c>
      <c r="F256" s="7">
        <v>4</v>
      </c>
      <c r="G256" s="7">
        <v>1</v>
      </c>
      <c r="H256" s="7">
        <v>81379</v>
      </c>
      <c r="I256" s="7" t="s">
        <v>16</v>
      </c>
      <c r="J256" s="7">
        <v>16623442</v>
      </c>
      <c r="K256" s="7" t="s">
        <v>321</v>
      </c>
      <c r="L256" s="7" t="s">
        <v>322</v>
      </c>
      <c r="M256" s="9">
        <v>149900</v>
      </c>
      <c r="N256" s="10">
        <f t="shared" si="28"/>
        <v>0.75</v>
      </c>
      <c r="O256" s="9">
        <f t="shared" si="29"/>
        <v>37475</v>
      </c>
      <c r="P256" s="9" t="str">
        <f t="shared" si="32"/>
        <v>PERCENTAGE</v>
      </c>
    </row>
    <row r="257" spans="1:16" s="6" customFormat="1" x14ac:dyDescent="0.25">
      <c r="A257" s="7" t="str">
        <f t="shared" si="30"/>
        <v>2024 ALL D75</v>
      </c>
      <c r="B257" s="8">
        <f t="shared" si="31"/>
        <v>46104</v>
      </c>
      <c r="C257" s="8">
        <f t="shared" si="36"/>
        <v>46113</v>
      </c>
      <c r="D257" s="7">
        <v>3272</v>
      </c>
      <c r="E257" s="7">
        <v>336</v>
      </c>
      <c r="F257" s="7">
        <v>4</v>
      </c>
      <c r="G257" s="7">
        <v>1</v>
      </c>
      <c r="H257" s="7">
        <v>81379</v>
      </c>
      <c r="I257" s="7" t="s">
        <v>16</v>
      </c>
      <c r="J257" s="7">
        <v>16623451</v>
      </c>
      <c r="K257" s="7" t="s">
        <v>321</v>
      </c>
      <c r="L257" s="7" t="s">
        <v>323</v>
      </c>
      <c r="M257" s="9">
        <v>149900</v>
      </c>
      <c r="N257" s="10">
        <f t="shared" si="28"/>
        <v>0.75</v>
      </c>
      <c r="O257" s="9">
        <f t="shared" si="29"/>
        <v>37475</v>
      </c>
      <c r="P257" s="9" t="str">
        <f t="shared" si="32"/>
        <v>PERCENTAGE</v>
      </c>
    </row>
    <row r="258" spans="1:16" s="6" customFormat="1" x14ac:dyDescent="0.25">
      <c r="A258" s="7" t="str">
        <f t="shared" si="30"/>
        <v>2024 ALL D75</v>
      </c>
      <c r="B258" s="8">
        <f t="shared" si="31"/>
        <v>46104</v>
      </c>
      <c r="C258" s="8">
        <f t="shared" si="36"/>
        <v>46113</v>
      </c>
      <c r="D258" s="7">
        <v>3272</v>
      </c>
      <c r="E258" s="7">
        <v>336</v>
      </c>
      <c r="F258" s="7">
        <v>4</v>
      </c>
      <c r="G258" s="7">
        <v>1</v>
      </c>
      <c r="H258" s="7">
        <v>81379</v>
      </c>
      <c r="I258" s="7" t="s">
        <v>16</v>
      </c>
      <c r="J258" s="7">
        <v>16623460</v>
      </c>
      <c r="K258" s="7" t="s">
        <v>321</v>
      </c>
      <c r="L258" s="7" t="s">
        <v>324</v>
      </c>
      <c r="M258" s="9">
        <v>149900</v>
      </c>
      <c r="N258" s="10">
        <f t="shared" si="28"/>
        <v>0.75</v>
      </c>
      <c r="O258" s="9">
        <f t="shared" si="29"/>
        <v>37475</v>
      </c>
      <c r="P258" s="9" t="str">
        <f t="shared" si="32"/>
        <v>PERCENTAGE</v>
      </c>
    </row>
    <row r="259" spans="1:16" s="6" customFormat="1" x14ac:dyDescent="0.25">
      <c r="A259" s="7" t="str">
        <f t="shared" si="30"/>
        <v>2024 ALL D75</v>
      </c>
      <c r="B259" s="8">
        <f t="shared" si="31"/>
        <v>46104</v>
      </c>
      <c r="C259" s="8">
        <f t="shared" si="36"/>
        <v>46113</v>
      </c>
      <c r="D259" s="7">
        <v>3272</v>
      </c>
      <c r="E259" s="7">
        <v>336</v>
      </c>
      <c r="F259" s="7">
        <v>4</v>
      </c>
      <c r="G259" s="7">
        <v>1</v>
      </c>
      <c r="H259" s="7">
        <v>81379</v>
      </c>
      <c r="I259" s="7" t="s">
        <v>16</v>
      </c>
      <c r="J259" s="7">
        <v>16623479</v>
      </c>
      <c r="K259" s="7" t="s">
        <v>321</v>
      </c>
      <c r="L259" s="7" t="s">
        <v>325</v>
      </c>
      <c r="M259" s="9">
        <v>149900</v>
      </c>
      <c r="N259" s="10">
        <f t="shared" ref="N259:N322" si="37">N258</f>
        <v>0.75</v>
      </c>
      <c r="O259" s="9">
        <f t="shared" ref="O259:O322" si="38">M259-((75*M259))/100</f>
        <v>37475</v>
      </c>
      <c r="P259" s="9" t="str">
        <f t="shared" si="32"/>
        <v>PERCENTAGE</v>
      </c>
    </row>
    <row r="260" spans="1:16" s="6" customFormat="1" x14ac:dyDescent="0.25">
      <c r="A260" s="7" t="str">
        <f t="shared" ref="A260:A323" si="39">A259</f>
        <v>2024 ALL D75</v>
      </c>
      <c r="B260" s="8">
        <f t="shared" ref="B260:B323" si="40">B259</f>
        <v>46104</v>
      </c>
      <c r="C260" s="8">
        <f t="shared" si="36"/>
        <v>46113</v>
      </c>
      <c r="D260" s="7">
        <v>3272</v>
      </c>
      <c r="E260" s="7">
        <v>336</v>
      </c>
      <c r="F260" s="7">
        <v>4</v>
      </c>
      <c r="G260" s="7">
        <v>1</v>
      </c>
      <c r="H260" s="7">
        <v>81379</v>
      </c>
      <c r="I260" s="7" t="s">
        <v>16</v>
      </c>
      <c r="J260" s="7">
        <v>16623488</v>
      </c>
      <c r="K260" s="7" t="s">
        <v>321</v>
      </c>
      <c r="L260" s="7" t="s">
        <v>326</v>
      </c>
      <c r="M260" s="9">
        <v>149900</v>
      </c>
      <c r="N260" s="10">
        <f t="shared" si="37"/>
        <v>0.75</v>
      </c>
      <c r="O260" s="9">
        <f t="shared" si="38"/>
        <v>37475</v>
      </c>
      <c r="P260" s="9" t="str">
        <f t="shared" ref="P260:P323" si="41">P259</f>
        <v>PERCENTAGE</v>
      </c>
    </row>
    <row r="261" spans="1:16" s="6" customFormat="1" x14ac:dyDescent="0.25">
      <c r="A261" s="7" t="str">
        <f t="shared" si="39"/>
        <v>2024 ALL D75</v>
      </c>
      <c r="B261" s="8">
        <f t="shared" si="40"/>
        <v>46104</v>
      </c>
      <c r="C261" s="8">
        <f t="shared" si="36"/>
        <v>46113</v>
      </c>
      <c r="D261" s="7">
        <v>3272</v>
      </c>
      <c r="E261" s="7">
        <v>336</v>
      </c>
      <c r="F261" s="7">
        <v>4</v>
      </c>
      <c r="G261" s="7">
        <v>1</v>
      </c>
      <c r="H261" s="7">
        <v>81379</v>
      </c>
      <c r="I261" s="7" t="s">
        <v>16</v>
      </c>
      <c r="J261" s="7">
        <v>16623497</v>
      </c>
      <c r="K261" s="7" t="s">
        <v>321</v>
      </c>
      <c r="L261" s="7" t="s">
        <v>327</v>
      </c>
      <c r="M261" s="9">
        <v>149900</v>
      </c>
      <c r="N261" s="10">
        <f t="shared" si="37"/>
        <v>0.75</v>
      </c>
      <c r="O261" s="9">
        <f t="shared" si="38"/>
        <v>37475</v>
      </c>
      <c r="P261" s="9" t="str">
        <f t="shared" si="41"/>
        <v>PERCENTAGE</v>
      </c>
    </row>
    <row r="262" spans="1:16" s="6" customFormat="1" x14ac:dyDescent="0.25">
      <c r="A262" s="7" t="str">
        <f t="shared" si="39"/>
        <v>2024 ALL D75</v>
      </c>
      <c r="B262" s="8">
        <f t="shared" si="40"/>
        <v>46104</v>
      </c>
      <c r="C262" s="8">
        <f t="shared" si="36"/>
        <v>46113</v>
      </c>
      <c r="D262" s="7">
        <v>3272</v>
      </c>
      <c r="E262" s="7">
        <v>336</v>
      </c>
      <c r="F262" s="7">
        <v>4</v>
      </c>
      <c r="G262" s="7">
        <v>1</v>
      </c>
      <c r="H262" s="7">
        <v>81379</v>
      </c>
      <c r="I262" s="7" t="s">
        <v>16</v>
      </c>
      <c r="J262" s="7">
        <v>16623504</v>
      </c>
      <c r="K262" s="7" t="s">
        <v>321</v>
      </c>
      <c r="L262" s="7" t="s">
        <v>328</v>
      </c>
      <c r="M262" s="9">
        <v>149900</v>
      </c>
      <c r="N262" s="10">
        <f t="shared" si="37"/>
        <v>0.75</v>
      </c>
      <c r="O262" s="9">
        <f t="shared" si="38"/>
        <v>37475</v>
      </c>
      <c r="P262" s="9" t="str">
        <f t="shared" si="41"/>
        <v>PERCENTAGE</v>
      </c>
    </row>
    <row r="263" spans="1:16" s="6" customFormat="1" x14ac:dyDescent="0.25">
      <c r="A263" s="7" t="str">
        <f t="shared" si="39"/>
        <v>2024 ALL D75</v>
      </c>
      <c r="B263" s="8">
        <f t="shared" si="40"/>
        <v>46104</v>
      </c>
      <c r="C263" s="8">
        <f t="shared" si="36"/>
        <v>46113</v>
      </c>
      <c r="D263" s="7">
        <v>3272</v>
      </c>
      <c r="E263" s="7">
        <v>336</v>
      </c>
      <c r="F263" s="7">
        <v>4</v>
      </c>
      <c r="G263" s="7">
        <v>1</v>
      </c>
      <c r="H263" s="7">
        <v>81379</v>
      </c>
      <c r="I263" s="7" t="s">
        <v>16</v>
      </c>
      <c r="J263" s="7">
        <v>16623513</v>
      </c>
      <c r="K263" s="7" t="s">
        <v>321</v>
      </c>
      <c r="L263" s="7" t="s">
        <v>329</v>
      </c>
      <c r="M263" s="9">
        <v>149900</v>
      </c>
      <c r="N263" s="10">
        <f t="shared" si="37"/>
        <v>0.75</v>
      </c>
      <c r="O263" s="9">
        <f t="shared" si="38"/>
        <v>37475</v>
      </c>
      <c r="P263" s="9" t="str">
        <f t="shared" si="41"/>
        <v>PERCENTAGE</v>
      </c>
    </row>
    <row r="264" spans="1:16" s="6" customFormat="1" x14ac:dyDescent="0.25">
      <c r="A264" s="7" t="str">
        <f t="shared" si="39"/>
        <v>2024 ALL D75</v>
      </c>
      <c r="B264" s="8">
        <f t="shared" si="40"/>
        <v>46104</v>
      </c>
      <c r="C264" s="8">
        <f t="shared" si="36"/>
        <v>46113</v>
      </c>
      <c r="D264" s="7">
        <v>3272</v>
      </c>
      <c r="E264" s="7">
        <v>336</v>
      </c>
      <c r="F264" s="7">
        <v>4</v>
      </c>
      <c r="G264" s="7">
        <v>1</v>
      </c>
      <c r="H264" s="7">
        <v>81379</v>
      </c>
      <c r="I264" s="7" t="s">
        <v>16</v>
      </c>
      <c r="J264" s="7">
        <v>16623522</v>
      </c>
      <c r="K264" s="7" t="s">
        <v>330</v>
      </c>
      <c r="L264" s="7" t="s">
        <v>331</v>
      </c>
      <c r="M264" s="9">
        <v>149900</v>
      </c>
      <c r="N264" s="10">
        <f t="shared" si="37"/>
        <v>0.75</v>
      </c>
      <c r="O264" s="9">
        <f t="shared" si="38"/>
        <v>37475</v>
      </c>
      <c r="P264" s="9" t="str">
        <f t="shared" si="41"/>
        <v>PERCENTAGE</v>
      </c>
    </row>
    <row r="265" spans="1:16" s="6" customFormat="1" x14ac:dyDescent="0.25">
      <c r="A265" s="7" t="str">
        <f t="shared" si="39"/>
        <v>2024 ALL D75</v>
      </c>
      <c r="B265" s="8">
        <f t="shared" si="40"/>
        <v>46104</v>
      </c>
      <c r="C265" s="8">
        <f t="shared" si="36"/>
        <v>46113</v>
      </c>
      <c r="D265" s="7">
        <v>3272</v>
      </c>
      <c r="E265" s="7">
        <v>336</v>
      </c>
      <c r="F265" s="7">
        <v>4</v>
      </c>
      <c r="G265" s="7">
        <v>1</v>
      </c>
      <c r="H265" s="7">
        <v>81379</v>
      </c>
      <c r="I265" s="7" t="s">
        <v>16</v>
      </c>
      <c r="J265" s="7">
        <v>16623531</v>
      </c>
      <c r="K265" s="7" t="s">
        <v>330</v>
      </c>
      <c r="L265" s="7" t="s">
        <v>332</v>
      </c>
      <c r="M265" s="9">
        <v>149900</v>
      </c>
      <c r="N265" s="10">
        <f t="shared" si="37"/>
        <v>0.75</v>
      </c>
      <c r="O265" s="9">
        <f t="shared" si="38"/>
        <v>37475</v>
      </c>
      <c r="P265" s="9" t="str">
        <f t="shared" si="41"/>
        <v>PERCENTAGE</v>
      </c>
    </row>
    <row r="266" spans="1:16" s="6" customFormat="1" x14ac:dyDescent="0.25">
      <c r="A266" s="7" t="str">
        <f t="shared" si="39"/>
        <v>2024 ALL D75</v>
      </c>
      <c r="B266" s="8">
        <f t="shared" si="40"/>
        <v>46104</v>
      </c>
      <c r="C266" s="8">
        <f t="shared" si="36"/>
        <v>46113</v>
      </c>
      <c r="D266" s="7">
        <v>3272</v>
      </c>
      <c r="E266" s="7">
        <v>336</v>
      </c>
      <c r="F266" s="7">
        <v>4</v>
      </c>
      <c r="G266" s="7">
        <v>1</v>
      </c>
      <c r="H266" s="7">
        <v>81379</v>
      </c>
      <c r="I266" s="7" t="s">
        <v>16</v>
      </c>
      <c r="J266" s="7">
        <v>16623540</v>
      </c>
      <c r="K266" s="7" t="s">
        <v>330</v>
      </c>
      <c r="L266" s="7" t="s">
        <v>333</v>
      </c>
      <c r="M266" s="9">
        <v>149900</v>
      </c>
      <c r="N266" s="10">
        <f t="shared" si="37"/>
        <v>0.75</v>
      </c>
      <c r="O266" s="9">
        <f t="shared" si="38"/>
        <v>37475</v>
      </c>
      <c r="P266" s="9" t="str">
        <f t="shared" si="41"/>
        <v>PERCENTAGE</v>
      </c>
    </row>
    <row r="267" spans="1:16" s="6" customFormat="1" x14ac:dyDescent="0.25">
      <c r="A267" s="7" t="str">
        <f t="shared" si="39"/>
        <v>2024 ALL D75</v>
      </c>
      <c r="B267" s="8">
        <f t="shared" si="40"/>
        <v>46104</v>
      </c>
      <c r="C267" s="8">
        <f t="shared" ref="C267:C282" si="42">C266</f>
        <v>46113</v>
      </c>
      <c r="D267" s="7">
        <v>3272</v>
      </c>
      <c r="E267" s="7">
        <v>336</v>
      </c>
      <c r="F267" s="7">
        <v>4</v>
      </c>
      <c r="G267" s="7">
        <v>1</v>
      </c>
      <c r="H267" s="7">
        <v>81379</v>
      </c>
      <c r="I267" s="7" t="s">
        <v>16</v>
      </c>
      <c r="J267" s="7">
        <v>16623559</v>
      </c>
      <c r="K267" s="7" t="s">
        <v>330</v>
      </c>
      <c r="L267" s="7" t="s">
        <v>334</v>
      </c>
      <c r="M267" s="9">
        <v>149900</v>
      </c>
      <c r="N267" s="10">
        <f t="shared" si="37"/>
        <v>0.75</v>
      </c>
      <c r="O267" s="9">
        <f t="shared" si="38"/>
        <v>37475</v>
      </c>
      <c r="P267" s="9" t="str">
        <f t="shared" si="41"/>
        <v>PERCENTAGE</v>
      </c>
    </row>
    <row r="268" spans="1:16" s="6" customFormat="1" x14ac:dyDescent="0.25">
      <c r="A268" s="7" t="str">
        <f t="shared" si="39"/>
        <v>2024 ALL D75</v>
      </c>
      <c r="B268" s="8">
        <f t="shared" si="40"/>
        <v>46104</v>
      </c>
      <c r="C268" s="8">
        <f t="shared" si="42"/>
        <v>46113</v>
      </c>
      <c r="D268" s="7">
        <v>3272</v>
      </c>
      <c r="E268" s="7">
        <v>336</v>
      </c>
      <c r="F268" s="7">
        <v>4</v>
      </c>
      <c r="G268" s="7">
        <v>1</v>
      </c>
      <c r="H268" s="7">
        <v>81379</v>
      </c>
      <c r="I268" s="7" t="s">
        <v>16</v>
      </c>
      <c r="J268" s="7">
        <v>16623568</v>
      </c>
      <c r="K268" s="7" t="s">
        <v>330</v>
      </c>
      <c r="L268" s="7" t="s">
        <v>335</v>
      </c>
      <c r="M268" s="9">
        <v>149900</v>
      </c>
      <c r="N268" s="10">
        <f t="shared" si="37"/>
        <v>0.75</v>
      </c>
      <c r="O268" s="9">
        <f t="shared" si="38"/>
        <v>37475</v>
      </c>
      <c r="P268" s="9" t="str">
        <f t="shared" si="41"/>
        <v>PERCENTAGE</v>
      </c>
    </row>
    <row r="269" spans="1:16" s="6" customFormat="1" x14ac:dyDescent="0.25">
      <c r="A269" s="7" t="str">
        <f t="shared" si="39"/>
        <v>2024 ALL D75</v>
      </c>
      <c r="B269" s="8">
        <f t="shared" si="40"/>
        <v>46104</v>
      </c>
      <c r="C269" s="8">
        <f t="shared" si="42"/>
        <v>46113</v>
      </c>
      <c r="D269" s="7">
        <v>3272</v>
      </c>
      <c r="E269" s="7">
        <v>336</v>
      </c>
      <c r="F269" s="7">
        <v>4</v>
      </c>
      <c r="G269" s="7">
        <v>1</v>
      </c>
      <c r="H269" s="7">
        <v>81379</v>
      </c>
      <c r="I269" s="7" t="s">
        <v>16</v>
      </c>
      <c r="J269" s="7">
        <v>16623577</v>
      </c>
      <c r="K269" s="7" t="s">
        <v>330</v>
      </c>
      <c r="L269" s="7" t="s">
        <v>336</v>
      </c>
      <c r="M269" s="9">
        <v>149900</v>
      </c>
      <c r="N269" s="10">
        <f t="shared" si="37"/>
        <v>0.75</v>
      </c>
      <c r="O269" s="9">
        <f t="shared" si="38"/>
        <v>37475</v>
      </c>
      <c r="P269" s="9" t="str">
        <f t="shared" si="41"/>
        <v>PERCENTAGE</v>
      </c>
    </row>
    <row r="270" spans="1:16" s="6" customFormat="1" x14ac:dyDescent="0.25">
      <c r="A270" s="7" t="str">
        <f t="shared" si="39"/>
        <v>2024 ALL D75</v>
      </c>
      <c r="B270" s="8">
        <f t="shared" si="40"/>
        <v>46104</v>
      </c>
      <c r="C270" s="8">
        <f t="shared" si="42"/>
        <v>46113</v>
      </c>
      <c r="D270" s="7">
        <v>3272</v>
      </c>
      <c r="E270" s="7">
        <v>336</v>
      </c>
      <c r="F270" s="7">
        <v>4</v>
      </c>
      <c r="G270" s="7">
        <v>1</v>
      </c>
      <c r="H270" s="7">
        <v>81379</v>
      </c>
      <c r="I270" s="7" t="s">
        <v>16</v>
      </c>
      <c r="J270" s="7">
        <v>16623586</v>
      </c>
      <c r="K270" s="7" t="s">
        <v>330</v>
      </c>
      <c r="L270" s="7" t="s">
        <v>337</v>
      </c>
      <c r="M270" s="9">
        <v>149900</v>
      </c>
      <c r="N270" s="10">
        <f t="shared" si="37"/>
        <v>0.75</v>
      </c>
      <c r="O270" s="9">
        <f t="shared" si="38"/>
        <v>37475</v>
      </c>
      <c r="P270" s="9" t="str">
        <f t="shared" si="41"/>
        <v>PERCENTAGE</v>
      </c>
    </row>
    <row r="271" spans="1:16" s="6" customFormat="1" x14ac:dyDescent="0.25">
      <c r="A271" s="7" t="str">
        <f t="shared" si="39"/>
        <v>2024 ALL D75</v>
      </c>
      <c r="B271" s="8">
        <f t="shared" si="40"/>
        <v>46104</v>
      </c>
      <c r="C271" s="8">
        <f t="shared" si="42"/>
        <v>46113</v>
      </c>
      <c r="D271" s="7">
        <v>3272</v>
      </c>
      <c r="E271" s="7">
        <v>336</v>
      </c>
      <c r="F271" s="7">
        <v>4</v>
      </c>
      <c r="G271" s="7">
        <v>1</v>
      </c>
      <c r="H271" s="7">
        <v>81379</v>
      </c>
      <c r="I271" s="7" t="s">
        <v>16</v>
      </c>
      <c r="J271" s="7">
        <v>16623595</v>
      </c>
      <c r="K271" s="7" t="s">
        <v>330</v>
      </c>
      <c r="L271" s="7" t="s">
        <v>338</v>
      </c>
      <c r="M271" s="9">
        <v>149900</v>
      </c>
      <c r="N271" s="10">
        <f t="shared" si="37"/>
        <v>0.75</v>
      </c>
      <c r="O271" s="9">
        <f t="shared" si="38"/>
        <v>37475</v>
      </c>
      <c r="P271" s="9" t="str">
        <f t="shared" si="41"/>
        <v>PERCENTAGE</v>
      </c>
    </row>
    <row r="272" spans="1:16" s="6" customFormat="1" x14ac:dyDescent="0.25">
      <c r="A272" s="7" t="str">
        <f t="shared" si="39"/>
        <v>2024 ALL D75</v>
      </c>
      <c r="B272" s="8">
        <f t="shared" si="40"/>
        <v>46104</v>
      </c>
      <c r="C272" s="8">
        <f t="shared" si="42"/>
        <v>46113</v>
      </c>
      <c r="D272" s="7">
        <v>3272</v>
      </c>
      <c r="E272" s="7">
        <v>336</v>
      </c>
      <c r="F272" s="7">
        <v>4</v>
      </c>
      <c r="G272" s="7">
        <v>1</v>
      </c>
      <c r="H272" s="7">
        <v>81379</v>
      </c>
      <c r="I272" s="7" t="s">
        <v>16</v>
      </c>
      <c r="J272" s="7">
        <v>16656318</v>
      </c>
      <c r="K272" s="7" t="s">
        <v>339</v>
      </c>
      <c r="L272" s="7" t="s">
        <v>340</v>
      </c>
      <c r="M272" s="9">
        <v>139900</v>
      </c>
      <c r="N272" s="10">
        <f t="shared" si="37"/>
        <v>0.75</v>
      </c>
      <c r="O272" s="9">
        <f t="shared" si="38"/>
        <v>34975</v>
      </c>
      <c r="P272" s="9" t="str">
        <f t="shared" si="41"/>
        <v>PERCENTAGE</v>
      </c>
    </row>
    <row r="273" spans="1:16" s="6" customFormat="1" x14ac:dyDescent="0.25">
      <c r="A273" s="7" t="str">
        <f t="shared" si="39"/>
        <v>2024 ALL D75</v>
      </c>
      <c r="B273" s="8">
        <f t="shared" si="40"/>
        <v>46104</v>
      </c>
      <c r="C273" s="8">
        <f t="shared" si="42"/>
        <v>46113</v>
      </c>
      <c r="D273" s="7">
        <v>3272</v>
      </c>
      <c r="E273" s="7">
        <v>336</v>
      </c>
      <c r="F273" s="7">
        <v>4</v>
      </c>
      <c r="G273" s="7">
        <v>1</v>
      </c>
      <c r="H273" s="7">
        <v>81379</v>
      </c>
      <c r="I273" s="7" t="s">
        <v>16</v>
      </c>
      <c r="J273" s="7">
        <v>16656327</v>
      </c>
      <c r="K273" s="7" t="s">
        <v>339</v>
      </c>
      <c r="L273" s="7" t="s">
        <v>341</v>
      </c>
      <c r="M273" s="9">
        <v>139900</v>
      </c>
      <c r="N273" s="10">
        <f t="shared" si="37"/>
        <v>0.75</v>
      </c>
      <c r="O273" s="9">
        <f t="shared" si="38"/>
        <v>34975</v>
      </c>
      <c r="P273" s="9" t="str">
        <f t="shared" si="41"/>
        <v>PERCENTAGE</v>
      </c>
    </row>
    <row r="274" spans="1:16" s="6" customFormat="1" x14ac:dyDescent="0.25">
      <c r="A274" s="7" t="str">
        <f t="shared" si="39"/>
        <v>2024 ALL D75</v>
      </c>
      <c r="B274" s="8">
        <f t="shared" si="40"/>
        <v>46104</v>
      </c>
      <c r="C274" s="8">
        <f t="shared" si="42"/>
        <v>46113</v>
      </c>
      <c r="D274" s="7">
        <v>3272</v>
      </c>
      <c r="E274" s="7">
        <v>336</v>
      </c>
      <c r="F274" s="7">
        <v>4</v>
      </c>
      <c r="G274" s="7">
        <v>1</v>
      </c>
      <c r="H274" s="7">
        <v>81379</v>
      </c>
      <c r="I274" s="7" t="s">
        <v>16</v>
      </c>
      <c r="J274" s="7">
        <v>16656336</v>
      </c>
      <c r="K274" s="7" t="s">
        <v>339</v>
      </c>
      <c r="L274" s="7" t="s">
        <v>342</v>
      </c>
      <c r="M274" s="9">
        <v>139900</v>
      </c>
      <c r="N274" s="10">
        <f t="shared" si="37"/>
        <v>0.75</v>
      </c>
      <c r="O274" s="9">
        <f t="shared" si="38"/>
        <v>34975</v>
      </c>
      <c r="P274" s="9" t="str">
        <f t="shared" si="41"/>
        <v>PERCENTAGE</v>
      </c>
    </row>
    <row r="275" spans="1:16" s="6" customFormat="1" x14ac:dyDescent="0.25">
      <c r="A275" s="7" t="str">
        <f t="shared" si="39"/>
        <v>2024 ALL D75</v>
      </c>
      <c r="B275" s="8">
        <f t="shared" si="40"/>
        <v>46104</v>
      </c>
      <c r="C275" s="8">
        <f t="shared" si="42"/>
        <v>46113</v>
      </c>
      <c r="D275" s="7">
        <v>3272</v>
      </c>
      <c r="E275" s="7">
        <v>336</v>
      </c>
      <c r="F275" s="7">
        <v>4</v>
      </c>
      <c r="G275" s="7">
        <v>1</v>
      </c>
      <c r="H275" s="7">
        <v>81379</v>
      </c>
      <c r="I275" s="7" t="s">
        <v>16</v>
      </c>
      <c r="J275" s="7">
        <v>16656345</v>
      </c>
      <c r="K275" s="7" t="s">
        <v>339</v>
      </c>
      <c r="L275" s="7" t="s">
        <v>343</v>
      </c>
      <c r="M275" s="9">
        <v>139900</v>
      </c>
      <c r="N275" s="10">
        <f t="shared" si="37"/>
        <v>0.75</v>
      </c>
      <c r="O275" s="9">
        <f t="shared" si="38"/>
        <v>34975</v>
      </c>
      <c r="P275" s="9" t="str">
        <f t="shared" si="41"/>
        <v>PERCENTAGE</v>
      </c>
    </row>
    <row r="276" spans="1:16" s="6" customFormat="1" x14ac:dyDescent="0.25">
      <c r="A276" s="7" t="str">
        <f t="shared" si="39"/>
        <v>2024 ALL D75</v>
      </c>
      <c r="B276" s="8">
        <f t="shared" si="40"/>
        <v>46104</v>
      </c>
      <c r="C276" s="8">
        <f t="shared" si="42"/>
        <v>46113</v>
      </c>
      <c r="D276" s="7">
        <v>3272</v>
      </c>
      <c r="E276" s="7">
        <v>336</v>
      </c>
      <c r="F276" s="7">
        <v>4</v>
      </c>
      <c r="G276" s="7">
        <v>1</v>
      </c>
      <c r="H276" s="7">
        <v>81379</v>
      </c>
      <c r="I276" s="7" t="s">
        <v>16</v>
      </c>
      <c r="J276" s="7">
        <v>16656354</v>
      </c>
      <c r="K276" s="7" t="s">
        <v>339</v>
      </c>
      <c r="L276" s="7" t="s">
        <v>344</v>
      </c>
      <c r="M276" s="9">
        <v>139900</v>
      </c>
      <c r="N276" s="10">
        <f t="shared" si="37"/>
        <v>0.75</v>
      </c>
      <c r="O276" s="9">
        <f t="shared" si="38"/>
        <v>34975</v>
      </c>
      <c r="P276" s="9" t="str">
        <f t="shared" si="41"/>
        <v>PERCENTAGE</v>
      </c>
    </row>
    <row r="277" spans="1:16" s="6" customFormat="1" x14ac:dyDescent="0.25">
      <c r="A277" s="7" t="str">
        <f t="shared" si="39"/>
        <v>2024 ALL D75</v>
      </c>
      <c r="B277" s="8">
        <f t="shared" si="40"/>
        <v>46104</v>
      </c>
      <c r="C277" s="8">
        <f t="shared" si="42"/>
        <v>46113</v>
      </c>
      <c r="D277" s="7">
        <v>3272</v>
      </c>
      <c r="E277" s="7">
        <v>336</v>
      </c>
      <c r="F277" s="7">
        <v>4</v>
      </c>
      <c r="G277" s="7">
        <v>1</v>
      </c>
      <c r="H277" s="7">
        <v>81379</v>
      </c>
      <c r="I277" s="7" t="s">
        <v>16</v>
      </c>
      <c r="J277" s="7">
        <v>16656363</v>
      </c>
      <c r="K277" s="7" t="s">
        <v>339</v>
      </c>
      <c r="L277" s="7" t="s">
        <v>345</v>
      </c>
      <c r="M277" s="9">
        <v>139900</v>
      </c>
      <c r="N277" s="10">
        <f t="shared" si="37"/>
        <v>0.75</v>
      </c>
      <c r="O277" s="9">
        <f t="shared" si="38"/>
        <v>34975</v>
      </c>
      <c r="P277" s="9" t="str">
        <f t="shared" si="41"/>
        <v>PERCENTAGE</v>
      </c>
    </row>
    <row r="278" spans="1:16" s="6" customFormat="1" x14ac:dyDescent="0.25">
      <c r="A278" s="7" t="str">
        <f t="shared" si="39"/>
        <v>2024 ALL D75</v>
      </c>
      <c r="B278" s="8">
        <f t="shared" si="40"/>
        <v>46104</v>
      </c>
      <c r="C278" s="8">
        <f t="shared" si="42"/>
        <v>46113</v>
      </c>
      <c r="D278" s="7">
        <v>3272</v>
      </c>
      <c r="E278" s="7">
        <v>336</v>
      </c>
      <c r="F278" s="7">
        <v>4</v>
      </c>
      <c r="G278" s="7">
        <v>1</v>
      </c>
      <c r="H278" s="7">
        <v>81379</v>
      </c>
      <c r="I278" s="7" t="s">
        <v>16</v>
      </c>
      <c r="J278" s="7">
        <v>16656372</v>
      </c>
      <c r="K278" s="7" t="s">
        <v>339</v>
      </c>
      <c r="L278" s="7" t="s">
        <v>346</v>
      </c>
      <c r="M278" s="9">
        <v>139900</v>
      </c>
      <c r="N278" s="10">
        <f t="shared" si="37"/>
        <v>0.75</v>
      </c>
      <c r="O278" s="9">
        <f t="shared" si="38"/>
        <v>34975</v>
      </c>
      <c r="P278" s="9" t="str">
        <f t="shared" si="41"/>
        <v>PERCENTAGE</v>
      </c>
    </row>
    <row r="279" spans="1:16" s="6" customFormat="1" x14ac:dyDescent="0.25">
      <c r="A279" s="7" t="str">
        <f t="shared" si="39"/>
        <v>2024 ALL D75</v>
      </c>
      <c r="B279" s="8">
        <f t="shared" si="40"/>
        <v>46104</v>
      </c>
      <c r="C279" s="8">
        <f t="shared" si="42"/>
        <v>46113</v>
      </c>
      <c r="D279" s="7">
        <v>3272</v>
      </c>
      <c r="E279" s="7">
        <v>336</v>
      </c>
      <c r="F279" s="7">
        <v>4</v>
      </c>
      <c r="G279" s="7">
        <v>1</v>
      </c>
      <c r="H279" s="7">
        <v>81379</v>
      </c>
      <c r="I279" s="7" t="s">
        <v>16</v>
      </c>
      <c r="J279" s="7">
        <v>16656381</v>
      </c>
      <c r="K279" s="7" t="s">
        <v>339</v>
      </c>
      <c r="L279" s="7" t="s">
        <v>347</v>
      </c>
      <c r="M279" s="9">
        <v>139900</v>
      </c>
      <c r="N279" s="10">
        <f t="shared" si="37"/>
        <v>0.75</v>
      </c>
      <c r="O279" s="9">
        <f t="shared" si="38"/>
        <v>34975</v>
      </c>
      <c r="P279" s="9" t="str">
        <f t="shared" si="41"/>
        <v>PERCENTAGE</v>
      </c>
    </row>
    <row r="280" spans="1:16" s="6" customFormat="1" x14ac:dyDescent="0.25">
      <c r="A280" s="7" t="str">
        <f t="shared" si="39"/>
        <v>2024 ALL D75</v>
      </c>
      <c r="B280" s="8">
        <f t="shared" si="40"/>
        <v>46104</v>
      </c>
      <c r="C280" s="8">
        <f t="shared" si="42"/>
        <v>46113</v>
      </c>
      <c r="D280" s="7">
        <v>3272</v>
      </c>
      <c r="E280" s="7">
        <v>336</v>
      </c>
      <c r="F280" s="7">
        <v>4</v>
      </c>
      <c r="G280" s="7">
        <v>1</v>
      </c>
      <c r="H280" s="7">
        <v>81379</v>
      </c>
      <c r="I280" s="7" t="s">
        <v>16</v>
      </c>
      <c r="J280" s="7">
        <v>13990239</v>
      </c>
      <c r="K280" s="7" t="s">
        <v>348</v>
      </c>
      <c r="L280" s="7" t="s">
        <v>349</v>
      </c>
      <c r="M280" s="9">
        <v>149900</v>
      </c>
      <c r="N280" s="10">
        <f t="shared" si="37"/>
        <v>0.75</v>
      </c>
      <c r="O280" s="9">
        <f t="shared" si="38"/>
        <v>37475</v>
      </c>
      <c r="P280" s="9" t="str">
        <f t="shared" si="41"/>
        <v>PERCENTAGE</v>
      </c>
    </row>
    <row r="281" spans="1:16" s="6" customFormat="1" x14ac:dyDescent="0.25">
      <c r="A281" s="7" t="str">
        <f t="shared" si="39"/>
        <v>2024 ALL D75</v>
      </c>
      <c r="B281" s="8">
        <f t="shared" si="40"/>
        <v>46104</v>
      </c>
      <c r="C281" s="8">
        <f t="shared" si="42"/>
        <v>46113</v>
      </c>
      <c r="D281" s="7">
        <v>3272</v>
      </c>
      <c r="E281" s="7">
        <v>336</v>
      </c>
      <c r="F281" s="7">
        <v>4</v>
      </c>
      <c r="G281" s="7">
        <v>1</v>
      </c>
      <c r="H281" s="7">
        <v>81379</v>
      </c>
      <c r="I281" s="7" t="s">
        <v>16</v>
      </c>
      <c r="J281" s="7">
        <v>13990248</v>
      </c>
      <c r="K281" s="7" t="s">
        <v>348</v>
      </c>
      <c r="L281" s="7" t="s">
        <v>350</v>
      </c>
      <c r="M281" s="9">
        <v>149900</v>
      </c>
      <c r="N281" s="10">
        <f t="shared" si="37"/>
        <v>0.75</v>
      </c>
      <c r="O281" s="9">
        <f t="shared" si="38"/>
        <v>37475</v>
      </c>
      <c r="P281" s="9" t="str">
        <f t="shared" si="41"/>
        <v>PERCENTAGE</v>
      </c>
    </row>
    <row r="282" spans="1:16" s="6" customFormat="1" x14ac:dyDescent="0.25">
      <c r="A282" s="7" t="str">
        <f t="shared" si="39"/>
        <v>2024 ALL D75</v>
      </c>
      <c r="B282" s="8">
        <f t="shared" si="40"/>
        <v>46104</v>
      </c>
      <c r="C282" s="8">
        <f t="shared" si="42"/>
        <v>46113</v>
      </c>
      <c r="D282" s="7">
        <v>3272</v>
      </c>
      <c r="E282" s="7">
        <v>336</v>
      </c>
      <c r="F282" s="7">
        <v>4</v>
      </c>
      <c r="G282" s="7">
        <v>1</v>
      </c>
      <c r="H282" s="7">
        <v>81379</v>
      </c>
      <c r="I282" s="7" t="s">
        <v>16</v>
      </c>
      <c r="J282" s="7">
        <v>13990257</v>
      </c>
      <c r="K282" s="7" t="s">
        <v>348</v>
      </c>
      <c r="L282" s="7" t="s">
        <v>351</v>
      </c>
      <c r="M282" s="9">
        <v>149900</v>
      </c>
      <c r="N282" s="10">
        <f t="shared" si="37"/>
        <v>0.75</v>
      </c>
      <c r="O282" s="9">
        <f t="shared" si="38"/>
        <v>37475</v>
      </c>
      <c r="P282" s="9" t="str">
        <f t="shared" si="41"/>
        <v>PERCENTAGE</v>
      </c>
    </row>
    <row r="283" spans="1:16" s="6" customFormat="1" x14ac:dyDescent="0.25">
      <c r="A283" s="7" t="str">
        <f t="shared" si="39"/>
        <v>2024 ALL D75</v>
      </c>
      <c r="B283" s="8">
        <f t="shared" si="40"/>
        <v>46104</v>
      </c>
      <c r="C283" s="8">
        <f t="shared" ref="C283:C298" si="43">C282</f>
        <v>46113</v>
      </c>
      <c r="D283" s="7">
        <v>3272</v>
      </c>
      <c r="E283" s="7">
        <v>336</v>
      </c>
      <c r="F283" s="7">
        <v>4</v>
      </c>
      <c r="G283" s="7">
        <v>1</v>
      </c>
      <c r="H283" s="7">
        <v>81379</v>
      </c>
      <c r="I283" s="7" t="s">
        <v>16</v>
      </c>
      <c r="J283" s="7">
        <v>13990266</v>
      </c>
      <c r="K283" s="7" t="s">
        <v>348</v>
      </c>
      <c r="L283" s="7" t="s">
        <v>352</v>
      </c>
      <c r="M283" s="9">
        <v>149900</v>
      </c>
      <c r="N283" s="10">
        <f t="shared" si="37"/>
        <v>0.75</v>
      </c>
      <c r="O283" s="9">
        <f t="shared" si="38"/>
        <v>37475</v>
      </c>
      <c r="P283" s="9" t="str">
        <f t="shared" si="41"/>
        <v>PERCENTAGE</v>
      </c>
    </row>
    <row r="284" spans="1:16" s="6" customFormat="1" x14ac:dyDescent="0.25">
      <c r="A284" s="7" t="str">
        <f t="shared" si="39"/>
        <v>2024 ALL D75</v>
      </c>
      <c r="B284" s="8">
        <f t="shared" si="40"/>
        <v>46104</v>
      </c>
      <c r="C284" s="8">
        <f t="shared" si="43"/>
        <v>46113</v>
      </c>
      <c r="D284" s="7">
        <v>3272</v>
      </c>
      <c r="E284" s="7">
        <v>336</v>
      </c>
      <c r="F284" s="7">
        <v>4</v>
      </c>
      <c r="G284" s="7">
        <v>1</v>
      </c>
      <c r="H284" s="7">
        <v>81379</v>
      </c>
      <c r="I284" s="7" t="s">
        <v>16</v>
      </c>
      <c r="J284" s="7">
        <v>13990275</v>
      </c>
      <c r="K284" s="7" t="s">
        <v>348</v>
      </c>
      <c r="L284" s="7" t="s">
        <v>353</v>
      </c>
      <c r="M284" s="9">
        <v>149900</v>
      </c>
      <c r="N284" s="10">
        <f t="shared" si="37"/>
        <v>0.75</v>
      </c>
      <c r="O284" s="9">
        <f t="shared" si="38"/>
        <v>37475</v>
      </c>
      <c r="P284" s="9" t="str">
        <f t="shared" si="41"/>
        <v>PERCENTAGE</v>
      </c>
    </row>
    <row r="285" spans="1:16" s="6" customFormat="1" x14ac:dyDescent="0.25">
      <c r="A285" s="7" t="str">
        <f t="shared" si="39"/>
        <v>2024 ALL D75</v>
      </c>
      <c r="B285" s="8">
        <f t="shared" si="40"/>
        <v>46104</v>
      </c>
      <c r="C285" s="8">
        <f t="shared" si="43"/>
        <v>46113</v>
      </c>
      <c r="D285" s="7">
        <v>3272</v>
      </c>
      <c r="E285" s="7">
        <v>336</v>
      </c>
      <c r="F285" s="7">
        <v>4</v>
      </c>
      <c r="G285" s="7">
        <v>1</v>
      </c>
      <c r="H285" s="7">
        <v>81379</v>
      </c>
      <c r="I285" s="7" t="s">
        <v>16</v>
      </c>
      <c r="J285" s="7">
        <v>15498670</v>
      </c>
      <c r="K285" s="7" t="s">
        <v>354</v>
      </c>
      <c r="L285" s="7" t="s">
        <v>355</v>
      </c>
      <c r="M285" s="9">
        <v>149900</v>
      </c>
      <c r="N285" s="10">
        <f t="shared" si="37"/>
        <v>0.75</v>
      </c>
      <c r="O285" s="9">
        <f t="shared" si="38"/>
        <v>37475</v>
      </c>
      <c r="P285" s="9" t="str">
        <f t="shared" si="41"/>
        <v>PERCENTAGE</v>
      </c>
    </row>
    <row r="286" spans="1:16" s="6" customFormat="1" x14ac:dyDescent="0.25">
      <c r="A286" s="7" t="str">
        <f t="shared" si="39"/>
        <v>2024 ALL D75</v>
      </c>
      <c r="B286" s="8">
        <f t="shared" si="40"/>
        <v>46104</v>
      </c>
      <c r="C286" s="8">
        <f t="shared" si="43"/>
        <v>46113</v>
      </c>
      <c r="D286" s="7">
        <v>3272</v>
      </c>
      <c r="E286" s="7">
        <v>336</v>
      </c>
      <c r="F286" s="7">
        <v>4</v>
      </c>
      <c r="G286" s="7">
        <v>1</v>
      </c>
      <c r="H286" s="7">
        <v>81379</v>
      </c>
      <c r="I286" s="7" t="s">
        <v>16</v>
      </c>
      <c r="J286" s="7">
        <v>15498689</v>
      </c>
      <c r="K286" s="7" t="s">
        <v>354</v>
      </c>
      <c r="L286" s="7" t="s">
        <v>356</v>
      </c>
      <c r="M286" s="9">
        <v>149900</v>
      </c>
      <c r="N286" s="10">
        <f t="shared" si="37"/>
        <v>0.75</v>
      </c>
      <c r="O286" s="9">
        <f t="shared" si="38"/>
        <v>37475</v>
      </c>
      <c r="P286" s="9" t="str">
        <f t="shared" si="41"/>
        <v>PERCENTAGE</v>
      </c>
    </row>
    <row r="287" spans="1:16" s="6" customFormat="1" x14ac:dyDescent="0.25">
      <c r="A287" s="7" t="str">
        <f t="shared" si="39"/>
        <v>2024 ALL D75</v>
      </c>
      <c r="B287" s="8">
        <f t="shared" si="40"/>
        <v>46104</v>
      </c>
      <c r="C287" s="8">
        <f t="shared" si="43"/>
        <v>46113</v>
      </c>
      <c r="D287" s="7">
        <v>3272</v>
      </c>
      <c r="E287" s="7">
        <v>336</v>
      </c>
      <c r="F287" s="7">
        <v>4</v>
      </c>
      <c r="G287" s="7">
        <v>1</v>
      </c>
      <c r="H287" s="7">
        <v>81379</v>
      </c>
      <c r="I287" s="7" t="s">
        <v>16</v>
      </c>
      <c r="J287" s="7">
        <v>15498698</v>
      </c>
      <c r="K287" s="7" t="s">
        <v>354</v>
      </c>
      <c r="L287" s="7" t="s">
        <v>357</v>
      </c>
      <c r="M287" s="9">
        <v>149900</v>
      </c>
      <c r="N287" s="10">
        <f t="shared" si="37"/>
        <v>0.75</v>
      </c>
      <c r="O287" s="9">
        <f t="shared" si="38"/>
        <v>37475</v>
      </c>
      <c r="P287" s="9" t="str">
        <f t="shared" si="41"/>
        <v>PERCENTAGE</v>
      </c>
    </row>
    <row r="288" spans="1:16" s="6" customFormat="1" x14ac:dyDescent="0.25">
      <c r="A288" s="7" t="str">
        <f t="shared" si="39"/>
        <v>2024 ALL D75</v>
      </c>
      <c r="B288" s="8">
        <f t="shared" si="40"/>
        <v>46104</v>
      </c>
      <c r="C288" s="8">
        <f t="shared" si="43"/>
        <v>46113</v>
      </c>
      <c r="D288" s="7">
        <v>3272</v>
      </c>
      <c r="E288" s="7">
        <v>336</v>
      </c>
      <c r="F288" s="7">
        <v>4</v>
      </c>
      <c r="G288" s="7">
        <v>1</v>
      </c>
      <c r="H288" s="7">
        <v>81379</v>
      </c>
      <c r="I288" s="7" t="s">
        <v>16</v>
      </c>
      <c r="J288" s="7">
        <v>15498705</v>
      </c>
      <c r="K288" s="7" t="s">
        <v>354</v>
      </c>
      <c r="L288" s="7" t="s">
        <v>358</v>
      </c>
      <c r="M288" s="9">
        <v>149900</v>
      </c>
      <c r="N288" s="10">
        <f t="shared" si="37"/>
        <v>0.75</v>
      </c>
      <c r="O288" s="9">
        <f t="shared" si="38"/>
        <v>37475</v>
      </c>
      <c r="P288" s="9" t="str">
        <f t="shared" si="41"/>
        <v>PERCENTAGE</v>
      </c>
    </row>
    <row r="289" spans="1:16" s="6" customFormat="1" x14ac:dyDescent="0.25">
      <c r="A289" s="7" t="str">
        <f t="shared" si="39"/>
        <v>2024 ALL D75</v>
      </c>
      <c r="B289" s="8">
        <f t="shared" si="40"/>
        <v>46104</v>
      </c>
      <c r="C289" s="8">
        <f t="shared" si="43"/>
        <v>46113</v>
      </c>
      <c r="D289" s="7">
        <v>3272</v>
      </c>
      <c r="E289" s="7">
        <v>336</v>
      </c>
      <c r="F289" s="7">
        <v>4</v>
      </c>
      <c r="G289" s="7">
        <v>1</v>
      </c>
      <c r="H289" s="7">
        <v>81379</v>
      </c>
      <c r="I289" s="7" t="s">
        <v>16</v>
      </c>
      <c r="J289" s="7">
        <v>15498714</v>
      </c>
      <c r="K289" s="7" t="s">
        <v>354</v>
      </c>
      <c r="L289" s="7" t="s">
        <v>359</v>
      </c>
      <c r="M289" s="9">
        <v>149900</v>
      </c>
      <c r="N289" s="10">
        <f t="shared" si="37"/>
        <v>0.75</v>
      </c>
      <c r="O289" s="9">
        <f t="shared" si="38"/>
        <v>37475</v>
      </c>
      <c r="P289" s="9" t="str">
        <f t="shared" si="41"/>
        <v>PERCENTAGE</v>
      </c>
    </row>
    <row r="290" spans="1:16" s="6" customFormat="1" x14ac:dyDescent="0.25">
      <c r="A290" s="7" t="str">
        <f t="shared" si="39"/>
        <v>2024 ALL D75</v>
      </c>
      <c r="B290" s="8">
        <f t="shared" si="40"/>
        <v>46104</v>
      </c>
      <c r="C290" s="8">
        <f t="shared" si="43"/>
        <v>46113</v>
      </c>
      <c r="D290" s="7">
        <v>3272</v>
      </c>
      <c r="E290" s="7">
        <v>336</v>
      </c>
      <c r="F290" s="7">
        <v>4</v>
      </c>
      <c r="G290" s="7">
        <v>1</v>
      </c>
      <c r="H290" s="7">
        <v>81379</v>
      </c>
      <c r="I290" s="7" t="s">
        <v>16</v>
      </c>
      <c r="J290" s="7">
        <v>13990435</v>
      </c>
      <c r="K290" s="7" t="s">
        <v>360</v>
      </c>
      <c r="L290" s="7" t="s">
        <v>361</v>
      </c>
      <c r="M290" s="9">
        <v>149900</v>
      </c>
      <c r="N290" s="10">
        <f t="shared" si="37"/>
        <v>0.75</v>
      </c>
      <c r="O290" s="9">
        <f t="shared" si="38"/>
        <v>37475</v>
      </c>
      <c r="P290" s="9" t="str">
        <f t="shared" si="41"/>
        <v>PERCENTAGE</v>
      </c>
    </row>
    <row r="291" spans="1:16" s="6" customFormat="1" x14ac:dyDescent="0.25">
      <c r="A291" s="7" t="str">
        <f t="shared" si="39"/>
        <v>2024 ALL D75</v>
      </c>
      <c r="B291" s="8">
        <f t="shared" si="40"/>
        <v>46104</v>
      </c>
      <c r="C291" s="8">
        <f t="shared" si="43"/>
        <v>46113</v>
      </c>
      <c r="D291" s="7">
        <v>3272</v>
      </c>
      <c r="E291" s="7">
        <v>336</v>
      </c>
      <c r="F291" s="7">
        <v>4</v>
      </c>
      <c r="G291" s="7">
        <v>1</v>
      </c>
      <c r="H291" s="7">
        <v>81379</v>
      </c>
      <c r="I291" s="7" t="s">
        <v>16</v>
      </c>
      <c r="J291" s="7">
        <v>13990444</v>
      </c>
      <c r="K291" s="7" t="s">
        <v>360</v>
      </c>
      <c r="L291" s="7" t="s">
        <v>362</v>
      </c>
      <c r="M291" s="9">
        <v>149900</v>
      </c>
      <c r="N291" s="10">
        <f t="shared" si="37"/>
        <v>0.75</v>
      </c>
      <c r="O291" s="9">
        <f t="shared" si="38"/>
        <v>37475</v>
      </c>
      <c r="P291" s="9" t="str">
        <f t="shared" si="41"/>
        <v>PERCENTAGE</v>
      </c>
    </row>
    <row r="292" spans="1:16" s="6" customFormat="1" x14ac:dyDescent="0.25">
      <c r="A292" s="7" t="str">
        <f t="shared" si="39"/>
        <v>2024 ALL D75</v>
      </c>
      <c r="B292" s="8">
        <f t="shared" si="40"/>
        <v>46104</v>
      </c>
      <c r="C292" s="8">
        <f t="shared" si="43"/>
        <v>46113</v>
      </c>
      <c r="D292" s="7">
        <v>3272</v>
      </c>
      <c r="E292" s="7">
        <v>336</v>
      </c>
      <c r="F292" s="7">
        <v>4</v>
      </c>
      <c r="G292" s="7">
        <v>1</v>
      </c>
      <c r="H292" s="7">
        <v>81379</v>
      </c>
      <c r="I292" s="7" t="s">
        <v>16</v>
      </c>
      <c r="J292" s="7">
        <v>13990453</v>
      </c>
      <c r="K292" s="7" t="s">
        <v>360</v>
      </c>
      <c r="L292" s="7" t="s">
        <v>363</v>
      </c>
      <c r="M292" s="9">
        <v>149900</v>
      </c>
      <c r="N292" s="10">
        <f t="shared" si="37"/>
        <v>0.75</v>
      </c>
      <c r="O292" s="9">
        <f t="shared" si="38"/>
        <v>37475</v>
      </c>
      <c r="P292" s="9" t="str">
        <f t="shared" si="41"/>
        <v>PERCENTAGE</v>
      </c>
    </row>
    <row r="293" spans="1:16" s="6" customFormat="1" x14ac:dyDescent="0.25">
      <c r="A293" s="7" t="str">
        <f t="shared" si="39"/>
        <v>2024 ALL D75</v>
      </c>
      <c r="B293" s="8">
        <f t="shared" si="40"/>
        <v>46104</v>
      </c>
      <c r="C293" s="8">
        <f t="shared" si="43"/>
        <v>46113</v>
      </c>
      <c r="D293" s="7">
        <v>3272</v>
      </c>
      <c r="E293" s="7">
        <v>336</v>
      </c>
      <c r="F293" s="7">
        <v>4</v>
      </c>
      <c r="G293" s="7">
        <v>1</v>
      </c>
      <c r="H293" s="7">
        <v>81379</v>
      </c>
      <c r="I293" s="7" t="s">
        <v>16</v>
      </c>
      <c r="J293" s="7">
        <v>13990462</v>
      </c>
      <c r="K293" s="7" t="s">
        <v>360</v>
      </c>
      <c r="L293" s="7" t="s">
        <v>364</v>
      </c>
      <c r="M293" s="9">
        <v>149900</v>
      </c>
      <c r="N293" s="10">
        <f t="shared" si="37"/>
        <v>0.75</v>
      </c>
      <c r="O293" s="9">
        <f t="shared" si="38"/>
        <v>37475</v>
      </c>
      <c r="P293" s="9" t="str">
        <f t="shared" si="41"/>
        <v>PERCENTAGE</v>
      </c>
    </row>
    <row r="294" spans="1:16" s="6" customFormat="1" x14ac:dyDescent="0.25">
      <c r="A294" s="7" t="str">
        <f t="shared" si="39"/>
        <v>2024 ALL D75</v>
      </c>
      <c r="B294" s="8">
        <f t="shared" si="40"/>
        <v>46104</v>
      </c>
      <c r="C294" s="8">
        <f t="shared" si="43"/>
        <v>46113</v>
      </c>
      <c r="D294" s="7">
        <v>3272</v>
      </c>
      <c r="E294" s="7">
        <v>336</v>
      </c>
      <c r="F294" s="7">
        <v>4</v>
      </c>
      <c r="G294" s="7">
        <v>1</v>
      </c>
      <c r="H294" s="7">
        <v>81379</v>
      </c>
      <c r="I294" s="7" t="s">
        <v>16</v>
      </c>
      <c r="J294" s="7">
        <v>13990471</v>
      </c>
      <c r="K294" s="7" t="s">
        <v>360</v>
      </c>
      <c r="L294" s="7" t="s">
        <v>365</v>
      </c>
      <c r="M294" s="9">
        <v>149900</v>
      </c>
      <c r="N294" s="10">
        <f t="shared" si="37"/>
        <v>0.75</v>
      </c>
      <c r="O294" s="9">
        <f t="shared" si="38"/>
        <v>37475</v>
      </c>
      <c r="P294" s="9" t="str">
        <f t="shared" si="41"/>
        <v>PERCENTAGE</v>
      </c>
    </row>
    <row r="295" spans="1:16" s="6" customFormat="1" x14ac:dyDescent="0.25">
      <c r="A295" s="7" t="str">
        <f t="shared" si="39"/>
        <v>2024 ALL D75</v>
      </c>
      <c r="B295" s="8">
        <f t="shared" si="40"/>
        <v>46104</v>
      </c>
      <c r="C295" s="8">
        <f t="shared" si="43"/>
        <v>46113</v>
      </c>
      <c r="D295" s="7">
        <v>3272</v>
      </c>
      <c r="E295" s="7">
        <v>336</v>
      </c>
      <c r="F295" s="7">
        <v>4</v>
      </c>
      <c r="G295" s="7">
        <v>1</v>
      </c>
      <c r="H295" s="7">
        <v>81379</v>
      </c>
      <c r="I295" s="7" t="s">
        <v>16</v>
      </c>
      <c r="J295" s="7">
        <v>16623602</v>
      </c>
      <c r="K295" s="7" t="s">
        <v>366</v>
      </c>
      <c r="L295" s="7" t="s">
        <v>367</v>
      </c>
      <c r="M295" s="9">
        <v>149900</v>
      </c>
      <c r="N295" s="10">
        <f t="shared" si="37"/>
        <v>0.75</v>
      </c>
      <c r="O295" s="9">
        <f t="shared" si="38"/>
        <v>37475</v>
      </c>
      <c r="P295" s="9" t="str">
        <f t="shared" si="41"/>
        <v>PERCENTAGE</v>
      </c>
    </row>
    <row r="296" spans="1:16" s="6" customFormat="1" x14ac:dyDescent="0.25">
      <c r="A296" s="7" t="str">
        <f t="shared" si="39"/>
        <v>2024 ALL D75</v>
      </c>
      <c r="B296" s="8">
        <f t="shared" si="40"/>
        <v>46104</v>
      </c>
      <c r="C296" s="8">
        <f t="shared" si="43"/>
        <v>46113</v>
      </c>
      <c r="D296" s="7">
        <v>3272</v>
      </c>
      <c r="E296" s="7">
        <v>336</v>
      </c>
      <c r="F296" s="7">
        <v>4</v>
      </c>
      <c r="G296" s="7">
        <v>1</v>
      </c>
      <c r="H296" s="7">
        <v>81379</v>
      </c>
      <c r="I296" s="7" t="s">
        <v>16</v>
      </c>
      <c r="J296" s="7">
        <v>16623611</v>
      </c>
      <c r="K296" s="7" t="s">
        <v>366</v>
      </c>
      <c r="L296" s="7" t="s">
        <v>368</v>
      </c>
      <c r="M296" s="9">
        <v>149900</v>
      </c>
      <c r="N296" s="10">
        <f t="shared" si="37"/>
        <v>0.75</v>
      </c>
      <c r="O296" s="9">
        <f t="shared" si="38"/>
        <v>37475</v>
      </c>
      <c r="P296" s="9" t="str">
        <f t="shared" si="41"/>
        <v>PERCENTAGE</v>
      </c>
    </row>
    <row r="297" spans="1:16" s="6" customFormat="1" x14ac:dyDescent="0.25">
      <c r="A297" s="7" t="str">
        <f t="shared" si="39"/>
        <v>2024 ALL D75</v>
      </c>
      <c r="B297" s="8">
        <f t="shared" si="40"/>
        <v>46104</v>
      </c>
      <c r="C297" s="8">
        <f t="shared" si="43"/>
        <v>46113</v>
      </c>
      <c r="D297" s="7">
        <v>3272</v>
      </c>
      <c r="E297" s="7">
        <v>336</v>
      </c>
      <c r="F297" s="7">
        <v>4</v>
      </c>
      <c r="G297" s="7">
        <v>1</v>
      </c>
      <c r="H297" s="7">
        <v>81379</v>
      </c>
      <c r="I297" s="7" t="s">
        <v>16</v>
      </c>
      <c r="J297" s="7">
        <v>16623620</v>
      </c>
      <c r="K297" s="7" t="s">
        <v>366</v>
      </c>
      <c r="L297" s="7" t="s">
        <v>369</v>
      </c>
      <c r="M297" s="9">
        <v>149900</v>
      </c>
      <c r="N297" s="10">
        <f t="shared" si="37"/>
        <v>0.75</v>
      </c>
      <c r="O297" s="9">
        <f t="shared" si="38"/>
        <v>37475</v>
      </c>
      <c r="P297" s="9" t="str">
        <f t="shared" si="41"/>
        <v>PERCENTAGE</v>
      </c>
    </row>
    <row r="298" spans="1:16" s="6" customFormat="1" x14ac:dyDescent="0.25">
      <c r="A298" s="7" t="str">
        <f t="shared" si="39"/>
        <v>2024 ALL D75</v>
      </c>
      <c r="B298" s="8">
        <f t="shared" si="40"/>
        <v>46104</v>
      </c>
      <c r="C298" s="8">
        <f t="shared" si="43"/>
        <v>46113</v>
      </c>
      <c r="D298" s="7">
        <v>3272</v>
      </c>
      <c r="E298" s="7">
        <v>336</v>
      </c>
      <c r="F298" s="7">
        <v>4</v>
      </c>
      <c r="G298" s="7">
        <v>1</v>
      </c>
      <c r="H298" s="7">
        <v>81379</v>
      </c>
      <c r="I298" s="7" t="s">
        <v>16</v>
      </c>
      <c r="J298" s="7">
        <v>16623639</v>
      </c>
      <c r="K298" s="7" t="s">
        <v>366</v>
      </c>
      <c r="L298" s="7" t="s">
        <v>370</v>
      </c>
      <c r="M298" s="9">
        <v>149900</v>
      </c>
      <c r="N298" s="10">
        <f t="shared" si="37"/>
        <v>0.75</v>
      </c>
      <c r="O298" s="9">
        <f t="shared" si="38"/>
        <v>37475</v>
      </c>
      <c r="P298" s="9" t="str">
        <f t="shared" si="41"/>
        <v>PERCENTAGE</v>
      </c>
    </row>
    <row r="299" spans="1:16" s="6" customFormat="1" x14ac:dyDescent="0.25">
      <c r="A299" s="7" t="str">
        <f t="shared" si="39"/>
        <v>2024 ALL D75</v>
      </c>
      <c r="B299" s="8">
        <f t="shared" si="40"/>
        <v>46104</v>
      </c>
      <c r="C299" s="8">
        <f t="shared" ref="C299:C314" si="44">C298</f>
        <v>46113</v>
      </c>
      <c r="D299" s="7">
        <v>3272</v>
      </c>
      <c r="E299" s="7">
        <v>336</v>
      </c>
      <c r="F299" s="7">
        <v>4</v>
      </c>
      <c r="G299" s="7">
        <v>1</v>
      </c>
      <c r="H299" s="7">
        <v>81379</v>
      </c>
      <c r="I299" s="7" t="s">
        <v>16</v>
      </c>
      <c r="J299" s="7">
        <v>16623648</v>
      </c>
      <c r="K299" s="7" t="s">
        <v>366</v>
      </c>
      <c r="L299" s="7" t="s">
        <v>371</v>
      </c>
      <c r="M299" s="9">
        <v>149900</v>
      </c>
      <c r="N299" s="10">
        <f t="shared" si="37"/>
        <v>0.75</v>
      </c>
      <c r="O299" s="9">
        <f t="shared" si="38"/>
        <v>37475</v>
      </c>
      <c r="P299" s="9" t="str">
        <f t="shared" si="41"/>
        <v>PERCENTAGE</v>
      </c>
    </row>
    <row r="300" spans="1:16" s="6" customFormat="1" x14ac:dyDescent="0.25">
      <c r="A300" s="7" t="str">
        <f t="shared" si="39"/>
        <v>2024 ALL D75</v>
      </c>
      <c r="B300" s="8">
        <f t="shared" si="40"/>
        <v>46104</v>
      </c>
      <c r="C300" s="8">
        <f t="shared" si="44"/>
        <v>46113</v>
      </c>
      <c r="D300" s="7">
        <v>3272</v>
      </c>
      <c r="E300" s="7">
        <v>336</v>
      </c>
      <c r="F300" s="7">
        <v>4</v>
      </c>
      <c r="G300" s="7">
        <v>1</v>
      </c>
      <c r="H300" s="7">
        <v>81379</v>
      </c>
      <c r="I300" s="7" t="s">
        <v>16</v>
      </c>
      <c r="J300" s="7">
        <v>16623657</v>
      </c>
      <c r="K300" s="7" t="s">
        <v>366</v>
      </c>
      <c r="L300" s="7" t="s">
        <v>372</v>
      </c>
      <c r="M300" s="9">
        <v>149900</v>
      </c>
      <c r="N300" s="10">
        <f t="shared" si="37"/>
        <v>0.75</v>
      </c>
      <c r="O300" s="9">
        <f t="shared" si="38"/>
        <v>37475</v>
      </c>
      <c r="P300" s="9" t="str">
        <f t="shared" si="41"/>
        <v>PERCENTAGE</v>
      </c>
    </row>
    <row r="301" spans="1:16" s="6" customFormat="1" x14ac:dyDescent="0.25">
      <c r="A301" s="7" t="str">
        <f t="shared" si="39"/>
        <v>2024 ALL D75</v>
      </c>
      <c r="B301" s="8">
        <f t="shared" si="40"/>
        <v>46104</v>
      </c>
      <c r="C301" s="8">
        <f t="shared" si="44"/>
        <v>46113</v>
      </c>
      <c r="D301" s="7">
        <v>3272</v>
      </c>
      <c r="E301" s="7">
        <v>336</v>
      </c>
      <c r="F301" s="7">
        <v>4</v>
      </c>
      <c r="G301" s="7">
        <v>1</v>
      </c>
      <c r="H301" s="7">
        <v>81379</v>
      </c>
      <c r="I301" s="7" t="s">
        <v>16</v>
      </c>
      <c r="J301" s="7">
        <v>16623666</v>
      </c>
      <c r="K301" s="7" t="s">
        <v>366</v>
      </c>
      <c r="L301" s="7" t="s">
        <v>373</v>
      </c>
      <c r="M301" s="9">
        <v>149900</v>
      </c>
      <c r="N301" s="10">
        <f t="shared" si="37"/>
        <v>0.75</v>
      </c>
      <c r="O301" s="9">
        <f t="shared" si="38"/>
        <v>37475</v>
      </c>
      <c r="P301" s="9" t="str">
        <f t="shared" si="41"/>
        <v>PERCENTAGE</v>
      </c>
    </row>
    <row r="302" spans="1:16" s="6" customFormat="1" x14ac:dyDescent="0.25">
      <c r="A302" s="7" t="str">
        <f t="shared" si="39"/>
        <v>2024 ALL D75</v>
      </c>
      <c r="B302" s="8">
        <f t="shared" si="40"/>
        <v>46104</v>
      </c>
      <c r="C302" s="8">
        <f t="shared" si="44"/>
        <v>46113</v>
      </c>
      <c r="D302" s="7">
        <v>3272</v>
      </c>
      <c r="E302" s="7">
        <v>336</v>
      </c>
      <c r="F302" s="7">
        <v>4</v>
      </c>
      <c r="G302" s="7">
        <v>1</v>
      </c>
      <c r="H302" s="7">
        <v>81379</v>
      </c>
      <c r="I302" s="7" t="s">
        <v>16</v>
      </c>
      <c r="J302" s="7">
        <v>16623675</v>
      </c>
      <c r="K302" s="7" t="s">
        <v>366</v>
      </c>
      <c r="L302" s="7" t="s">
        <v>374</v>
      </c>
      <c r="M302" s="9">
        <v>149900</v>
      </c>
      <c r="N302" s="10">
        <f t="shared" si="37"/>
        <v>0.75</v>
      </c>
      <c r="O302" s="9">
        <f t="shared" si="38"/>
        <v>37475</v>
      </c>
      <c r="P302" s="9" t="str">
        <f t="shared" si="41"/>
        <v>PERCENTAGE</v>
      </c>
    </row>
    <row r="303" spans="1:16" s="6" customFormat="1" x14ac:dyDescent="0.25">
      <c r="A303" s="7" t="str">
        <f t="shared" si="39"/>
        <v>2024 ALL D75</v>
      </c>
      <c r="B303" s="8">
        <f t="shared" si="40"/>
        <v>46104</v>
      </c>
      <c r="C303" s="8">
        <f t="shared" si="44"/>
        <v>46113</v>
      </c>
      <c r="D303" s="7">
        <v>3272</v>
      </c>
      <c r="E303" s="7">
        <v>336</v>
      </c>
      <c r="F303" s="7">
        <v>4</v>
      </c>
      <c r="G303" s="7">
        <v>1</v>
      </c>
      <c r="H303" s="7">
        <v>81379</v>
      </c>
      <c r="I303" s="7" t="s">
        <v>16</v>
      </c>
      <c r="J303" s="7">
        <v>16623684</v>
      </c>
      <c r="K303" s="7" t="s">
        <v>375</v>
      </c>
      <c r="L303" s="7" t="s">
        <v>376</v>
      </c>
      <c r="M303" s="9">
        <v>149900</v>
      </c>
      <c r="N303" s="10">
        <f t="shared" si="37"/>
        <v>0.75</v>
      </c>
      <c r="O303" s="9">
        <f t="shared" si="38"/>
        <v>37475</v>
      </c>
      <c r="P303" s="9" t="str">
        <f t="shared" si="41"/>
        <v>PERCENTAGE</v>
      </c>
    </row>
    <row r="304" spans="1:16" s="6" customFormat="1" x14ac:dyDescent="0.25">
      <c r="A304" s="7" t="str">
        <f t="shared" si="39"/>
        <v>2024 ALL D75</v>
      </c>
      <c r="B304" s="8">
        <f t="shared" si="40"/>
        <v>46104</v>
      </c>
      <c r="C304" s="8">
        <f t="shared" si="44"/>
        <v>46113</v>
      </c>
      <c r="D304" s="7">
        <v>3272</v>
      </c>
      <c r="E304" s="7">
        <v>336</v>
      </c>
      <c r="F304" s="7">
        <v>4</v>
      </c>
      <c r="G304" s="7">
        <v>1</v>
      </c>
      <c r="H304" s="7">
        <v>81379</v>
      </c>
      <c r="I304" s="7" t="s">
        <v>16</v>
      </c>
      <c r="J304" s="7">
        <v>16623693</v>
      </c>
      <c r="K304" s="7" t="s">
        <v>375</v>
      </c>
      <c r="L304" s="7" t="s">
        <v>377</v>
      </c>
      <c r="M304" s="9">
        <v>149900</v>
      </c>
      <c r="N304" s="10">
        <f t="shared" si="37"/>
        <v>0.75</v>
      </c>
      <c r="O304" s="9">
        <f t="shared" si="38"/>
        <v>37475</v>
      </c>
      <c r="P304" s="9" t="str">
        <f t="shared" si="41"/>
        <v>PERCENTAGE</v>
      </c>
    </row>
    <row r="305" spans="1:16" s="6" customFormat="1" x14ac:dyDescent="0.25">
      <c r="A305" s="7" t="str">
        <f t="shared" si="39"/>
        <v>2024 ALL D75</v>
      </c>
      <c r="B305" s="8">
        <f t="shared" si="40"/>
        <v>46104</v>
      </c>
      <c r="C305" s="8">
        <f t="shared" si="44"/>
        <v>46113</v>
      </c>
      <c r="D305" s="7">
        <v>3272</v>
      </c>
      <c r="E305" s="7">
        <v>336</v>
      </c>
      <c r="F305" s="7">
        <v>4</v>
      </c>
      <c r="G305" s="7">
        <v>1</v>
      </c>
      <c r="H305" s="7">
        <v>81379</v>
      </c>
      <c r="I305" s="7" t="s">
        <v>16</v>
      </c>
      <c r="J305" s="7">
        <v>16623700</v>
      </c>
      <c r="K305" s="7" t="s">
        <v>375</v>
      </c>
      <c r="L305" s="7" t="s">
        <v>378</v>
      </c>
      <c r="M305" s="9">
        <v>149900</v>
      </c>
      <c r="N305" s="10">
        <f t="shared" si="37"/>
        <v>0.75</v>
      </c>
      <c r="O305" s="9">
        <f t="shared" si="38"/>
        <v>37475</v>
      </c>
      <c r="P305" s="9" t="str">
        <f t="shared" si="41"/>
        <v>PERCENTAGE</v>
      </c>
    </row>
    <row r="306" spans="1:16" s="6" customFormat="1" x14ac:dyDescent="0.25">
      <c r="A306" s="7" t="str">
        <f t="shared" si="39"/>
        <v>2024 ALL D75</v>
      </c>
      <c r="B306" s="8">
        <f t="shared" si="40"/>
        <v>46104</v>
      </c>
      <c r="C306" s="8">
        <f t="shared" si="44"/>
        <v>46113</v>
      </c>
      <c r="D306" s="7">
        <v>3272</v>
      </c>
      <c r="E306" s="7">
        <v>336</v>
      </c>
      <c r="F306" s="7">
        <v>4</v>
      </c>
      <c r="G306" s="7">
        <v>1</v>
      </c>
      <c r="H306" s="7">
        <v>81379</v>
      </c>
      <c r="I306" s="7" t="s">
        <v>16</v>
      </c>
      <c r="J306" s="7">
        <v>16623719</v>
      </c>
      <c r="K306" s="7" t="s">
        <v>375</v>
      </c>
      <c r="L306" s="7" t="s">
        <v>379</v>
      </c>
      <c r="M306" s="9">
        <v>149900</v>
      </c>
      <c r="N306" s="10">
        <f t="shared" si="37"/>
        <v>0.75</v>
      </c>
      <c r="O306" s="9">
        <f t="shared" si="38"/>
        <v>37475</v>
      </c>
      <c r="P306" s="9" t="str">
        <f t="shared" si="41"/>
        <v>PERCENTAGE</v>
      </c>
    </row>
    <row r="307" spans="1:16" s="6" customFormat="1" x14ac:dyDescent="0.25">
      <c r="A307" s="7" t="str">
        <f t="shared" si="39"/>
        <v>2024 ALL D75</v>
      </c>
      <c r="B307" s="8">
        <f t="shared" si="40"/>
        <v>46104</v>
      </c>
      <c r="C307" s="8">
        <f t="shared" si="44"/>
        <v>46113</v>
      </c>
      <c r="D307" s="7">
        <v>3272</v>
      </c>
      <c r="E307" s="7">
        <v>336</v>
      </c>
      <c r="F307" s="7">
        <v>4</v>
      </c>
      <c r="G307" s="7">
        <v>1</v>
      </c>
      <c r="H307" s="7">
        <v>81379</v>
      </c>
      <c r="I307" s="7" t="s">
        <v>16</v>
      </c>
      <c r="J307" s="7">
        <v>16623728</v>
      </c>
      <c r="K307" s="7" t="s">
        <v>375</v>
      </c>
      <c r="L307" s="7" t="s">
        <v>380</v>
      </c>
      <c r="M307" s="9">
        <v>149900</v>
      </c>
      <c r="N307" s="10">
        <f t="shared" si="37"/>
        <v>0.75</v>
      </c>
      <c r="O307" s="9">
        <f t="shared" si="38"/>
        <v>37475</v>
      </c>
      <c r="P307" s="9" t="str">
        <f t="shared" si="41"/>
        <v>PERCENTAGE</v>
      </c>
    </row>
    <row r="308" spans="1:16" s="6" customFormat="1" x14ac:dyDescent="0.25">
      <c r="A308" s="7" t="str">
        <f t="shared" si="39"/>
        <v>2024 ALL D75</v>
      </c>
      <c r="B308" s="8">
        <f t="shared" si="40"/>
        <v>46104</v>
      </c>
      <c r="C308" s="8">
        <f t="shared" si="44"/>
        <v>46113</v>
      </c>
      <c r="D308" s="7">
        <v>3272</v>
      </c>
      <c r="E308" s="7">
        <v>336</v>
      </c>
      <c r="F308" s="7">
        <v>4</v>
      </c>
      <c r="G308" s="7">
        <v>1</v>
      </c>
      <c r="H308" s="7">
        <v>81379</v>
      </c>
      <c r="I308" s="7" t="s">
        <v>16</v>
      </c>
      <c r="J308" s="7">
        <v>16623737</v>
      </c>
      <c r="K308" s="7" t="s">
        <v>375</v>
      </c>
      <c r="L308" s="7" t="s">
        <v>381</v>
      </c>
      <c r="M308" s="9">
        <v>149900</v>
      </c>
      <c r="N308" s="10">
        <f t="shared" si="37"/>
        <v>0.75</v>
      </c>
      <c r="O308" s="9">
        <f t="shared" si="38"/>
        <v>37475</v>
      </c>
      <c r="P308" s="9" t="str">
        <f t="shared" si="41"/>
        <v>PERCENTAGE</v>
      </c>
    </row>
    <row r="309" spans="1:16" s="6" customFormat="1" x14ac:dyDescent="0.25">
      <c r="A309" s="7" t="str">
        <f t="shared" si="39"/>
        <v>2024 ALL D75</v>
      </c>
      <c r="B309" s="8">
        <f t="shared" si="40"/>
        <v>46104</v>
      </c>
      <c r="C309" s="8">
        <f t="shared" si="44"/>
        <v>46113</v>
      </c>
      <c r="D309" s="7">
        <v>3272</v>
      </c>
      <c r="E309" s="7">
        <v>336</v>
      </c>
      <c r="F309" s="7">
        <v>4</v>
      </c>
      <c r="G309" s="7">
        <v>1</v>
      </c>
      <c r="H309" s="7">
        <v>81379</v>
      </c>
      <c r="I309" s="7" t="s">
        <v>16</v>
      </c>
      <c r="J309" s="7">
        <v>16623746</v>
      </c>
      <c r="K309" s="7" t="s">
        <v>375</v>
      </c>
      <c r="L309" s="7" t="s">
        <v>382</v>
      </c>
      <c r="M309" s="9">
        <v>149900</v>
      </c>
      <c r="N309" s="10">
        <f t="shared" si="37"/>
        <v>0.75</v>
      </c>
      <c r="O309" s="9">
        <f t="shared" si="38"/>
        <v>37475</v>
      </c>
      <c r="P309" s="9" t="str">
        <f t="shared" si="41"/>
        <v>PERCENTAGE</v>
      </c>
    </row>
    <row r="310" spans="1:16" s="6" customFormat="1" x14ac:dyDescent="0.25">
      <c r="A310" s="7" t="str">
        <f t="shared" si="39"/>
        <v>2024 ALL D75</v>
      </c>
      <c r="B310" s="8">
        <f t="shared" si="40"/>
        <v>46104</v>
      </c>
      <c r="C310" s="8">
        <f t="shared" si="44"/>
        <v>46113</v>
      </c>
      <c r="D310" s="7">
        <v>3272</v>
      </c>
      <c r="E310" s="7">
        <v>336</v>
      </c>
      <c r="F310" s="7">
        <v>4</v>
      </c>
      <c r="G310" s="7">
        <v>1</v>
      </c>
      <c r="H310" s="7">
        <v>81379</v>
      </c>
      <c r="I310" s="7" t="s">
        <v>16</v>
      </c>
      <c r="J310" s="7">
        <v>16623755</v>
      </c>
      <c r="K310" s="7" t="s">
        <v>375</v>
      </c>
      <c r="L310" s="7" t="s">
        <v>383</v>
      </c>
      <c r="M310" s="9">
        <v>149900</v>
      </c>
      <c r="N310" s="10">
        <f t="shared" si="37"/>
        <v>0.75</v>
      </c>
      <c r="O310" s="9">
        <f t="shared" si="38"/>
        <v>37475</v>
      </c>
      <c r="P310" s="9" t="str">
        <f t="shared" si="41"/>
        <v>PERCENTAGE</v>
      </c>
    </row>
    <row r="311" spans="1:16" s="6" customFormat="1" x14ac:dyDescent="0.25">
      <c r="A311" s="7" t="str">
        <f t="shared" si="39"/>
        <v>2024 ALL D75</v>
      </c>
      <c r="B311" s="8">
        <f t="shared" si="40"/>
        <v>46104</v>
      </c>
      <c r="C311" s="8">
        <f t="shared" si="44"/>
        <v>46113</v>
      </c>
      <c r="D311" s="7">
        <v>3272</v>
      </c>
      <c r="E311" s="7">
        <v>336</v>
      </c>
      <c r="F311" s="7">
        <v>4</v>
      </c>
      <c r="G311" s="7">
        <v>1</v>
      </c>
      <c r="H311" s="7">
        <v>81379</v>
      </c>
      <c r="I311" s="7" t="s">
        <v>16</v>
      </c>
      <c r="J311" s="7">
        <v>16623764</v>
      </c>
      <c r="K311" s="7" t="s">
        <v>384</v>
      </c>
      <c r="L311" s="7" t="s">
        <v>385</v>
      </c>
      <c r="M311" s="9">
        <v>149900</v>
      </c>
      <c r="N311" s="10">
        <f t="shared" si="37"/>
        <v>0.75</v>
      </c>
      <c r="O311" s="9">
        <f t="shared" si="38"/>
        <v>37475</v>
      </c>
      <c r="P311" s="9" t="str">
        <f t="shared" si="41"/>
        <v>PERCENTAGE</v>
      </c>
    </row>
    <row r="312" spans="1:16" s="6" customFormat="1" x14ac:dyDescent="0.25">
      <c r="A312" s="7" t="str">
        <f t="shared" si="39"/>
        <v>2024 ALL D75</v>
      </c>
      <c r="B312" s="8">
        <f t="shared" si="40"/>
        <v>46104</v>
      </c>
      <c r="C312" s="8">
        <f t="shared" si="44"/>
        <v>46113</v>
      </c>
      <c r="D312" s="7">
        <v>3272</v>
      </c>
      <c r="E312" s="7">
        <v>336</v>
      </c>
      <c r="F312" s="7">
        <v>4</v>
      </c>
      <c r="G312" s="7">
        <v>1</v>
      </c>
      <c r="H312" s="7">
        <v>81379</v>
      </c>
      <c r="I312" s="7" t="s">
        <v>16</v>
      </c>
      <c r="J312" s="7">
        <v>16623773</v>
      </c>
      <c r="K312" s="7" t="s">
        <v>384</v>
      </c>
      <c r="L312" s="7" t="s">
        <v>386</v>
      </c>
      <c r="M312" s="9">
        <v>149900</v>
      </c>
      <c r="N312" s="10">
        <f t="shared" si="37"/>
        <v>0.75</v>
      </c>
      <c r="O312" s="9">
        <f t="shared" si="38"/>
        <v>37475</v>
      </c>
      <c r="P312" s="9" t="str">
        <f t="shared" si="41"/>
        <v>PERCENTAGE</v>
      </c>
    </row>
    <row r="313" spans="1:16" s="6" customFormat="1" x14ac:dyDescent="0.25">
      <c r="A313" s="7" t="str">
        <f t="shared" si="39"/>
        <v>2024 ALL D75</v>
      </c>
      <c r="B313" s="8">
        <f t="shared" si="40"/>
        <v>46104</v>
      </c>
      <c r="C313" s="8">
        <f t="shared" si="44"/>
        <v>46113</v>
      </c>
      <c r="D313" s="7">
        <v>3272</v>
      </c>
      <c r="E313" s="7">
        <v>336</v>
      </c>
      <c r="F313" s="7">
        <v>4</v>
      </c>
      <c r="G313" s="7">
        <v>1</v>
      </c>
      <c r="H313" s="7">
        <v>81379</v>
      </c>
      <c r="I313" s="7" t="s">
        <v>16</v>
      </c>
      <c r="J313" s="7">
        <v>16623782</v>
      </c>
      <c r="K313" s="7" t="s">
        <v>384</v>
      </c>
      <c r="L313" s="7" t="s">
        <v>387</v>
      </c>
      <c r="M313" s="9">
        <v>149900</v>
      </c>
      <c r="N313" s="10">
        <f t="shared" si="37"/>
        <v>0.75</v>
      </c>
      <c r="O313" s="9">
        <f t="shared" si="38"/>
        <v>37475</v>
      </c>
      <c r="P313" s="9" t="str">
        <f t="shared" si="41"/>
        <v>PERCENTAGE</v>
      </c>
    </row>
    <row r="314" spans="1:16" s="6" customFormat="1" x14ac:dyDescent="0.25">
      <c r="A314" s="7" t="str">
        <f t="shared" si="39"/>
        <v>2024 ALL D75</v>
      </c>
      <c r="B314" s="8">
        <f t="shared" si="40"/>
        <v>46104</v>
      </c>
      <c r="C314" s="8">
        <f t="shared" si="44"/>
        <v>46113</v>
      </c>
      <c r="D314" s="7">
        <v>3272</v>
      </c>
      <c r="E314" s="7">
        <v>336</v>
      </c>
      <c r="F314" s="7">
        <v>4</v>
      </c>
      <c r="G314" s="7">
        <v>1</v>
      </c>
      <c r="H314" s="7">
        <v>81379</v>
      </c>
      <c r="I314" s="7" t="s">
        <v>16</v>
      </c>
      <c r="J314" s="7">
        <v>16623791</v>
      </c>
      <c r="K314" s="7" t="s">
        <v>384</v>
      </c>
      <c r="L314" s="7" t="s">
        <v>388</v>
      </c>
      <c r="M314" s="9">
        <v>149900</v>
      </c>
      <c r="N314" s="10">
        <f t="shared" si="37"/>
        <v>0.75</v>
      </c>
      <c r="O314" s="9">
        <f t="shared" si="38"/>
        <v>37475</v>
      </c>
      <c r="P314" s="9" t="str">
        <f t="shared" si="41"/>
        <v>PERCENTAGE</v>
      </c>
    </row>
    <row r="315" spans="1:16" s="6" customFormat="1" x14ac:dyDescent="0.25">
      <c r="A315" s="7" t="str">
        <f t="shared" si="39"/>
        <v>2024 ALL D75</v>
      </c>
      <c r="B315" s="8">
        <f t="shared" si="40"/>
        <v>46104</v>
      </c>
      <c r="C315" s="8">
        <f t="shared" ref="C315:C330" si="45">C314</f>
        <v>46113</v>
      </c>
      <c r="D315" s="7">
        <v>3272</v>
      </c>
      <c r="E315" s="7">
        <v>336</v>
      </c>
      <c r="F315" s="7">
        <v>4</v>
      </c>
      <c r="G315" s="7">
        <v>1</v>
      </c>
      <c r="H315" s="7">
        <v>81379</v>
      </c>
      <c r="I315" s="7" t="s">
        <v>16</v>
      </c>
      <c r="J315" s="7">
        <v>16623808</v>
      </c>
      <c r="K315" s="7" t="s">
        <v>384</v>
      </c>
      <c r="L315" s="7" t="s">
        <v>389</v>
      </c>
      <c r="M315" s="9">
        <v>149900</v>
      </c>
      <c r="N315" s="10">
        <f t="shared" si="37"/>
        <v>0.75</v>
      </c>
      <c r="O315" s="9">
        <f t="shared" si="38"/>
        <v>37475</v>
      </c>
      <c r="P315" s="9" t="str">
        <f t="shared" si="41"/>
        <v>PERCENTAGE</v>
      </c>
    </row>
    <row r="316" spans="1:16" s="6" customFormat="1" x14ac:dyDescent="0.25">
      <c r="A316" s="7" t="str">
        <f t="shared" si="39"/>
        <v>2024 ALL D75</v>
      </c>
      <c r="B316" s="8">
        <f t="shared" si="40"/>
        <v>46104</v>
      </c>
      <c r="C316" s="8">
        <f t="shared" si="45"/>
        <v>46113</v>
      </c>
      <c r="D316" s="7">
        <v>3272</v>
      </c>
      <c r="E316" s="7">
        <v>336</v>
      </c>
      <c r="F316" s="7">
        <v>4</v>
      </c>
      <c r="G316" s="7">
        <v>1</v>
      </c>
      <c r="H316" s="7">
        <v>81379</v>
      </c>
      <c r="I316" s="7" t="s">
        <v>16</v>
      </c>
      <c r="J316" s="7">
        <v>16623817</v>
      </c>
      <c r="K316" s="7" t="s">
        <v>384</v>
      </c>
      <c r="L316" s="7" t="s">
        <v>390</v>
      </c>
      <c r="M316" s="9">
        <v>149900</v>
      </c>
      <c r="N316" s="10">
        <f t="shared" si="37"/>
        <v>0.75</v>
      </c>
      <c r="O316" s="9">
        <f t="shared" si="38"/>
        <v>37475</v>
      </c>
      <c r="P316" s="9" t="str">
        <f t="shared" si="41"/>
        <v>PERCENTAGE</v>
      </c>
    </row>
    <row r="317" spans="1:16" s="6" customFormat="1" x14ac:dyDescent="0.25">
      <c r="A317" s="7" t="str">
        <f t="shared" si="39"/>
        <v>2024 ALL D75</v>
      </c>
      <c r="B317" s="8">
        <f t="shared" si="40"/>
        <v>46104</v>
      </c>
      <c r="C317" s="8">
        <f t="shared" si="45"/>
        <v>46113</v>
      </c>
      <c r="D317" s="7">
        <v>3272</v>
      </c>
      <c r="E317" s="7">
        <v>336</v>
      </c>
      <c r="F317" s="7">
        <v>4</v>
      </c>
      <c r="G317" s="7">
        <v>1</v>
      </c>
      <c r="H317" s="7">
        <v>81379</v>
      </c>
      <c r="I317" s="7" t="s">
        <v>16</v>
      </c>
      <c r="J317" s="7">
        <v>16623826</v>
      </c>
      <c r="K317" s="7" t="s">
        <v>384</v>
      </c>
      <c r="L317" s="7" t="s">
        <v>391</v>
      </c>
      <c r="M317" s="9">
        <v>149900</v>
      </c>
      <c r="N317" s="10">
        <f t="shared" si="37"/>
        <v>0.75</v>
      </c>
      <c r="O317" s="9">
        <f t="shared" si="38"/>
        <v>37475</v>
      </c>
      <c r="P317" s="9" t="str">
        <f t="shared" si="41"/>
        <v>PERCENTAGE</v>
      </c>
    </row>
    <row r="318" spans="1:16" s="6" customFormat="1" x14ac:dyDescent="0.25">
      <c r="A318" s="7" t="str">
        <f t="shared" si="39"/>
        <v>2024 ALL D75</v>
      </c>
      <c r="B318" s="8">
        <f t="shared" si="40"/>
        <v>46104</v>
      </c>
      <c r="C318" s="8">
        <f t="shared" si="45"/>
        <v>46113</v>
      </c>
      <c r="D318" s="7">
        <v>3272</v>
      </c>
      <c r="E318" s="7">
        <v>336</v>
      </c>
      <c r="F318" s="7">
        <v>4</v>
      </c>
      <c r="G318" s="7">
        <v>1</v>
      </c>
      <c r="H318" s="7">
        <v>81379</v>
      </c>
      <c r="I318" s="7" t="s">
        <v>16</v>
      </c>
      <c r="J318" s="7">
        <v>16623835</v>
      </c>
      <c r="K318" s="7" t="s">
        <v>384</v>
      </c>
      <c r="L318" s="7" t="s">
        <v>392</v>
      </c>
      <c r="M318" s="9">
        <v>149900</v>
      </c>
      <c r="N318" s="10">
        <f t="shared" si="37"/>
        <v>0.75</v>
      </c>
      <c r="O318" s="9">
        <f t="shared" si="38"/>
        <v>37475</v>
      </c>
      <c r="P318" s="9" t="str">
        <f t="shared" si="41"/>
        <v>PERCENTAGE</v>
      </c>
    </row>
    <row r="319" spans="1:16" s="6" customFormat="1" x14ac:dyDescent="0.25">
      <c r="A319" s="7" t="str">
        <f t="shared" si="39"/>
        <v>2024 ALL D75</v>
      </c>
      <c r="B319" s="8">
        <f t="shared" si="40"/>
        <v>46104</v>
      </c>
      <c r="C319" s="8">
        <f t="shared" si="45"/>
        <v>46113</v>
      </c>
      <c r="D319" s="7">
        <v>3272</v>
      </c>
      <c r="E319" s="7">
        <v>336</v>
      </c>
      <c r="F319" s="7">
        <v>4</v>
      </c>
      <c r="G319" s="7">
        <v>4</v>
      </c>
      <c r="H319" s="7">
        <v>81379</v>
      </c>
      <c r="I319" s="7" t="s">
        <v>16</v>
      </c>
      <c r="J319" s="7">
        <v>15500326</v>
      </c>
      <c r="K319" s="7" t="s">
        <v>393</v>
      </c>
      <c r="L319" s="7" t="s">
        <v>394</v>
      </c>
      <c r="M319" s="9">
        <v>159900</v>
      </c>
      <c r="N319" s="10">
        <f t="shared" si="37"/>
        <v>0.75</v>
      </c>
      <c r="O319" s="9">
        <f t="shared" si="38"/>
        <v>39975</v>
      </c>
      <c r="P319" s="9" t="str">
        <f t="shared" si="41"/>
        <v>PERCENTAGE</v>
      </c>
    </row>
    <row r="320" spans="1:16" s="6" customFormat="1" x14ac:dyDescent="0.25">
      <c r="A320" s="7" t="str">
        <f t="shared" si="39"/>
        <v>2024 ALL D75</v>
      </c>
      <c r="B320" s="8">
        <f t="shared" si="40"/>
        <v>46104</v>
      </c>
      <c r="C320" s="8">
        <f t="shared" si="45"/>
        <v>46113</v>
      </c>
      <c r="D320" s="7">
        <v>3272</v>
      </c>
      <c r="E320" s="7">
        <v>336</v>
      </c>
      <c r="F320" s="7">
        <v>4</v>
      </c>
      <c r="G320" s="7">
        <v>4</v>
      </c>
      <c r="H320" s="7">
        <v>81379</v>
      </c>
      <c r="I320" s="7" t="s">
        <v>16</v>
      </c>
      <c r="J320" s="7">
        <v>15500335</v>
      </c>
      <c r="K320" s="7" t="s">
        <v>393</v>
      </c>
      <c r="L320" s="7" t="s">
        <v>395</v>
      </c>
      <c r="M320" s="9">
        <v>159900</v>
      </c>
      <c r="N320" s="10">
        <f t="shared" si="37"/>
        <v>0.75</v>
      </c>
      <c r="O320" s="9">
        <f t="shared" si="38"/>
        <v>39975</v>
      </c>
      <c r="P320" s="9" t="str">
        <f t="shared" si="41"/>
        <v>PERCENTAGE</v>
      </c>
    </row>
    <row r="321" spans="1:16" s="6" customFormat="1" x14ac:dyDescent="0.25">
      <c r="A321" s="7" t="str">
        <f t="shared" si="39"/>
        <v>2024 ALL D75</v>
      </c>
      <c r="B321" s="8">
        <f t="shared" si="40"/>
        <v>46104</v>
      </c>
      <c r="C321" s="8">
        <f t="shared" si="45"/>
        <v>46113</v>
      </c>
      <c r="D321" s="7">
        <v>3272</v>
      </c>
      <c r="E321" s="7">
        <v>336</v>
      </c>
      <c r="F321" s="7">
        <v>4</v>
      </c>
      <c r="G321" s="7">
        <v>4</v>
      </c>
      <c r="H321" s="7">
        <v>81379</v>
      </c>
      <c r="I321" s="7" t="s">
        <v>16</v>
      </c>
      <c r="J321" s="7">
        <v>15500344</v>
      </c>
      <c r="K321" s="7" t="s">
        <v>393</v>
      </c>
      <c r="L321" s="7" t="s">
        <v>396</v>
      </c>
      <c r="M321" s="9">
        <v>159900</v>
      </c>
      <c r="N321" s="10">
        <f t="shared" si="37"/>
        <v>0.75</v>
      </c>
      <c r="O321" s="9">
        <f t="shared" si="38"/>
        <v>39975</v>
      </c>
      <c r="P321" s="9" t="str">
        <f t="shared" si="41"/>
        <v>PERCENTAGE</v>
      </c>
    </row>
    <row r="322" spans="1:16" s="6" customFormat="1" x14ac:dyDescent="0.25">
      <c r="A322" s="7" t="str">
        <f t="shared" si="39"/>
        <v>2024 ALL D75</v>
      </c>
      <c r="B322" s="8">
        <f t="shared" si="40"/>
        <v>46104</v>
      </c>
      <c r="C322" s="8">
        <f t="shared" si="45"/>
        <v>46113</v>
      </c>
      <c r="D322" s="7">
        <v>3272</v>
      </c>
      <c r="E322" s="7">
        <v>336</v>
      </c>
      <c r="F322" s="7">
        <v>4</v>
      </c>
      <c r="G322" s="7">
        <v>4</v>
      </c>
      <c r="H322" s="7">
        <v>81379</v>
      </c>
      <c r="I322" s="7" t="s">
        <v>16</v>
      </c>
      <c r="J322" s="7">
        <v>15500353</v>
      </c>
      <c r="K322" s="7" t="s">
        <v>393</v>
      </c>
      <c r="L322" s="7" t="s">
        <v>397</v>
      </c>
      <c r="M322" s="9">
        <v>159900</v>
      </c>
      <c r="N322" s="10">
        <f t="shared" si="37"/>
        <v>0.75</v>
      </c>
      <c r="O322" s="9">
        <f t="shared" si="38"/>
        <v>39975</v>
      </c>
      <c r="P322" s="9" t="str">
        <f t="shared" si="41"/>
        <v>PERCENTAGE</v>
      </c>
    </row>
    <row r="323" spans="1:16" s="6" customFormat="1" x14ac:dyDescent="0.25">
      <c r="A323" s="7" t="str">
        <f t="shared" si="39"/>
        <v>2024 ALL D75</v>
      </c>
      <c r="B323" s="8">
        <f t="shared" si="40"/>
        <v>46104</v>
      </c>
      <c r="C323" s="8">
        <f t="shared" si="45"/>
        <v>46113</v>
      </c>
      <c r="D323" s="7">
        <v>3272</v>
      </c>
      <c r="E323" s="7">
        <v>336</v>
      </c>
      <c r="F323" s="7">
        <v>4</v>
      </c>
      <c r="G323" s="7">
        <v>4</v>
      </c>
      <c r="H323" s="7">
        <v>81379</v>
      </c>
      <c r="I323" s="7" t="s">
        <v>16</v>
      </c>
      <c r="J323" s="7">
        <v>15500362</v>
      </c>
      <c r="K323" s="7" t="s">
        <v>393</v>
      </c>
      <c r="L323" s="7" t="s">
        <v>398</v>
      </c>
      <c r="M323" s="9">
        <v>159900</v>
      </c>
      <c r="N323" s="10">
        <f t="shared" ref="N323:N386" si="46">N322</f>
        <v>0.75</v>
      </c>
      <c r="O323" s="9">
        <f t="shared" ref="O323:O386" si="47">M323-((75*M323))/100</f>
        <v>39975</v>
      </c>
      <c r="P323" s="9" t="str">
        <f t="shared" si="41"/>
        <v>PERCENTAGE</v>
      </c>
    </row>
    <row r="324" spans="1:16" s="6" customFormat="1" x14ac:dyDescent="0.25">
      <c r="A324" s="7" t="str">
        <f t="shared" ref="A324:A387" si="48">A323</f>
        <v>2024 ALL D75</v>
      </c>
      <c r="B324" s="8">
        <f t="shared" ref="B324:B387" si="49">B323</f>
        <v>46104</v>
      </c>
      <c r="C324" s="8">
        <f t="shared" si="45"/>
        <v>46113</v>
      </c>
      <c r="D324" s="7">
        <v>3272</v>
      </c>
      <c r="E324" s="7">
        <v>336</v>
      </c>
      <c r="F324" s="7">
        <v>4</v>
      </c>
      <c r="G324" s="7">
        <v>1</v>
      </c>
      <c r="H324" s="7">
        <v>81379</v>
      </c>
      <c r="I324" s="7" t="s">
        <v>16</v>
      </c>
      <c r="J324" s="7">
        <v>15501594</v>
      </c>
      <c r="K324" s="7" t="s">
        <v>399</v>
      </c>
      <c r="L324" s="7" t="s">
        <v>400</v>
      </c>
      <c r="M324" s="9">
        <v>149900</v>
      </c>
      <c r="N324" s="10">
        <f t="shared" si="46"/>
        <v>0.75</v>
      </c>
      <c r="O324" s="9">
        <f t="shared" si="47"/>
        <v>37475</v>
      </c>
      <c r="P324" s="9" t="str">
        <f t="shared" ref="P324:P387" si="50">P323</f>
        <v>PERCENTAGE</v>
      </c>
    </row>
    <row r="325" spans="1:16" s="6" customFormat="1" x14ac:dyDescent="0.25">
      <c r="A325" s="7" t="str">
        <f t="shared" si="48"/>
        <v>2024 ALL D75</v>
      </c>
      <c r="B325" s="8">
        <f t="shared" si="49"/>
        <v>46104</v>
      </c>
      <c r="C325" s="8">
        <f t="shared" si="45"/>
        <v>46113</v>
      </c>
      <c r="D325" s="7">
        <v>3272</v>
      </c>
      <c r="E325" s="7">
        <v>336</v>
      </c>
      <c r="F325" s="7">
        <v>4</v>
      </c>
      <c r="G325" s="7">
        <v>1</v>
      </c>
      <c r="H325" s="7">
        <v>81379</v>
      </c>
      <c r="I325" s="7" t="s">
        <v>16</v>
      </c>
      <c r="J325" s="7">
        <v>15501601</v>
      </c>
      <c r="K325" s="7" t="s">
        <v>399</v>
      </c>
      <c r="L325" s="7" t="s">
        <v>401</v>
      </c>
      <c r="M325" s="9">
        <v>149900</v>
      </c>
      <c r="N325" s="10">
        <f t="shared" si="46"/>
        <v>0.75</v>
      </c>
      <c r="O325" s="9">
        <f t="shared" si="47"/>
        <v>37475</v>
      </c>
      <c r="P325" s="9" t="str">
        <f t="shared" si="50"/>
        <v>PERCENTAGE</v>
      </c>
    </row>
    <row r="326" spans="1:16" s="6" customFormat="1" x14ac:dyDescent="0.25">
      <c r="A326" s="7" t="str">
        <f t="shared" si="48"/>
        <v>2024 ALL D75</v>
      </c>
      <c r="B326" s="8">
        <f t="shared" si="49"/>
        <v>46104</v>
      </c>
      <c r="C326" s="8">
        <f t="shared" si="45"/>
        <v>46113</v>
      </c>
      <c r="D326" s="7">
        <v>3272</v>
      </c>
      <c r="E326" s="7">
        <v>336</v>
      </c>
      <c r="F326" s="7">
        <v>4</v>
      </c>
      <c r="G326" s="7">
        <v>1</v>
      </c>
      <c r="H326" s="7">
        <v>81379</v>
      </c>
      <c r="I326" s="7" t="s">
        <v>16</v>
      </c>
      <c r="J326" s="7">
        <v>15501610</v>
      </c>
      <c r="K326" s="7" t="s">
        <v>399</v>
      </c>
      <c r="L326" s="7" t="s">
        <v>402</v>
      </c>
      <c r="M326" s="9">
        <v>149900</v>
      </c>
      <c r="N326" s="10">
        <f t="shared" si="46"/>
        <v>0.75</v>
      </c>
      <c r="O326" s="9">
        <f t="shared" si="47"/>
        <v>37475</v>
      </c>
      <c r="P326" s="9" t="str">
        <f t="shared" si="50"/>
        <v>PERCENTAGE</v>
      </c>
    </row>
    <row r="327" spans="1:16" s="6" customFormat="1" x14ac:dyDescent="0.25">
      <c r="A327" s="7" t="str">
        <f t="shared" si="48"/>
        <v>2024 ALL D75</v>
      </c>
      <c r="B327" s="8">
        <f t="shared" si="49"/>
        <v>46104</v>
      </c>
      <c r="C327" s="8">
        <f t="shared" si="45"/>
        <v>46113</v>
      </c>
      <c r="D327" s="7">
        <v>3272</v>
      </c>
      <c r="E327" s="7">
        <v>336</v>
      </c>
      <c r="F327" s="7">
        <v>4</v>
      </c>
      <c r="G327" s="7">
        <v>1</v>
      </c>
      <c r="H327" s="7">
        <v>81379</v>
      </c>
      <c r="I327" s="7" t="s">
        <v>16</v>
      </c>
      <c r="J327" s="7">
        <v>15501629</v>
      </c>
      <c r="K327" s="7" t="s">
        <v>399</v>
      </c>
      <c r="L327" s="7" t="s">
        <v>403</v>
      </c>
      <c r="M327" s="9">
        <v>149900</v>
      </c>
      <c r="N327" s="10">
        <f t="shared" si="46"/>
        <v>0.75</v>
      </c>
      <c r="O327" s="9">
        <f t="shared" si="47"/>
        <v>37475</v>
      </c>
      <c r="P327" s="9" t="str">
        <f t="shared" si="50"/>
        <v>PERCENTAGE</v>
      </c>
    </row>
    <row r="328" spans="1:16" s="6" customFormat="1" x14ac:dyDescent="0.25">
      <c r="A328" s="7" t="str">
        <f t="shared" si="48"/>
        <v>2024 ALL D75</v>
      </c>
      <c r="B328" s="8">
        <f t="shared" si="49"/>
        <v>46104</v>
      </c>
      <c r="C328" s="8">
        <f t="shared" si="45"/>
        <v>46113</v>
      </c>
      <c r="D328" s="7">
        <v>3272</v>
      </c>
      <c r="E328" s="7">
        <v>336</v>
      </c>
      <c r="F328" s="7">
        <v>4</v>
      </c>
      <c r="G328" s="7">
        <v>1</v>
      </c>
      <c r="H328" s="7">
        <v>81379</v>
      </c>
      <c r="I328" s="7" t="s">
        <v>16</v>
      </c>
      <c r="J328" s="7">
        <v>15501638</v>
      </c>
      <c r="K328" s="7" t="s">
        <v>399</v>
      </c>
      <c r="L328" s="7" t="s">
        <v>404</v>
      </c>
      <c r="M328" s="9">
        <v>149900</v>
      </c>
      <c r="N328" s="10">
        <f t="shared" si="46"/>
        <v>0.75</v>
      </c>
      <c r="O328" s="9">
        <f t="shared" si="47"/>
        <v>37475</v>
      </c>
      <c r="P328" s="9" t="str">
        <f t="shared" si="50"/>
        <v>PERCENTAGE</v>
      </c>
    </row>
    <row r="329" spans="1:16" s="6" customFormat="1" x14ac:dyDescent="0.25">
      <c r="A329" s="7" t="str">
        <f t="shared" si="48"/>
        <v>2024 ALL D75</v>
      </c>
      <c r="B329" s="8">
        <f t="shared" si="49"/>
        <v>46104</v>
      </c>
      <c r="C329" s="8">
        <f t="shared" si="45"/>
        <v>46113</v>
      </c>
      <c r="D329" s="7">
        <v>3272</v>
      </c>
      <c r="E329" s="7">
        <v>336</v>
      </c>
      <c r="F329" s="7">
        <v>4</v>
      </c>
      <c r="G329" s="7">
        <v>1</v>
      </c>
      <c r="H329" s="7">
        <v>81379</v>
      </c>
      <c r="I329" s="7" t="s">
        <v>16</v>
      </c>
      <c r="J329" s="7">
        <v>15501941</v>
      </c>
      <c r="K329" s="7" t="s">
        <v>405</v>
      </c>
      <c r="L329" s="7" t="s">
        <v>406</v>
      </c>
      <c r="M329" s="9">
        <v>149900</v>
      </c>
      <c r="N329" s="10">
        <f t="shared" si="46"/>
        <v>0.75</v>
      </c>
      <c r="O329" s="9">
        <f t="shared" si="47"/>
        <v>37475</v>
      </c>
      <c r="P329" s="9" t="str">
        <f t="shared" si="50"/>
        <v>PERCENTAGE</v>
      </c>
    </row>
    <row r="330" spans="1:16" s="6" customFormat="1" x14ac:dyDescent="0.25">
      <c r="A330" s="7" t="str">
        <f t="shared" si="48"/>
        <v>2024 ALL D75</v>
      </c>
      <c r="B330" s="8">
        <f t="shared" si="49"/>
        <v>46104</v>
      </c>
      <c r="C330" s="8">
        <f t="shared" si="45"/>
        <v>46113</v>
      </c>
      <c r="D330" s="7">
        <v>3272</v>
      </c>
      <c r="E330" s="7">
        <v>336</v>
      </c>
      <c r="F330" s="7">
        <v>4</v>
      </c>
      <c r="G330" s="7">
        <v>1</v>
      </c>
      <c r="H330" s="7">
        <v>81379</v>
      </c>
      <c r="I330" s="7" t="s">
        <v>16</v>
      </c>
      <c r="J330" s="7">
        <v>15501950</v>
      </c>
      <c r="K330" s="7" t="s">
        <v>405</v>
      </c>
      <c r="L330" s="7" t="s">
        <v>407</v>
      </c>
      <c r="M330" s="9">
        <v>149900</v>
      </c>
      <c r="N330" s="10">
        <f t="shared" si="46"/>
        <v>0.75</v>
      </c>
      <c r="O330" s="9">
        <f t="shared" si="47"/>
        <v>37475</v>
      </c>
      <c r="P330" s="9" t="str">
        <f t="shared" si="50"/>
        <v>PERCENTAGE</v>
      </c>
    </row>
    <row r="331" spans="1:16" s="6" customFormat="1" x14ac:dyDescent="0.25">
      <c r="A331" s="7" t="str">
        <f t="shared" si="48"/>
        <v>2024 ALL D75</v>
      </c>
      <c r="B331" s="8">
        <f t="shared" si="49"/>
        <v>46104</v>
      </c>
      <c r="C331" s="8">
        <f t="shared" ref="C331:C346" si="51">C330</f>
        <v>46113</v>
      </c>
      <c r="D331" s="7">
        <v>3272</v>
      </c>
      <c r="E331" s="7">
        <v>336</v>
      </c>
      <c r="F331" s="7">
        <v>4</v>
      </c>
      <c r="G331" s="7">
        <v>1</v>
      </c>
      <c r="H331" s="7">
        <v>81379</v>
      </c>
      <c r="I331" s="7" t="s">
        <v>16</v>
      </c>
      <c r="J331" s="7">
        <v>15501969</v>
      </c>
      <c r="K331" s="7" t="s">
        <v>405</v>
      </c>
      <c r="L331" s="7" t="s">
        <v>408</v>
      </c>
      <c r="M331" s="9">
        <v>149900</v>
      </c>
      <c r="N331" s="10">
        <f t="shared" si="46"/>
        <v>0.75</v>
      </c>
      <c r="O331" s="9">
        <f t="shared" si="47"/>
        <v>37475</v>
      </c>
      <c r="P331" s="9" t="str">
        <f t="shared" si="50"/>
        <v>PERCENTAGE</v>
      </c>
    </row>
    <row r="332" spans="1:16" s="6" customFormat="1" x14ac:dyDescent="0.25">
      <c r="A332" s="7" t="str">
        <f t="shared" si="48"/>
        <v>2024 ALL D75</v>
      </c>
      <c r="B332" s="8">
        <f t="shared" si="49"/>
        <v>46104</v>
      </c>
      <c r="C332" s="8">
        <f t="shared" si="51"/>
        <v>46113</v>
      </c>
      <c r="D332" s="7">
        <v>3272</v>
      </c>
      <c r="E332" s="7">
        <v>336</v>
      </c>
      <c r="F332" s="7">
        <v>4</v>
      </c>
      <c r="G332" s="7">
        <v>1</v>
      </c>
      <c r="H332" s="7">
        <v>81379</v>
      </c>
      <c r="I332" s="7" t="s">
        <v>16</v>
      </c>
      <c r="J332" s="7">
        <v>15501978</v>
      </c>
      <c r="K332" s="7" t="s">
        <v>405</v>
      </c>
      <c r="L332" s="7" t="s">
        <v>409</v>
      </c>
      <c r="M332" s="9">
        <v>149900</v>
      </c>
      <c r="N332" s="10">
        <f t="shared" si="46"/>
        <v>0.75</v>
      </c>
      <c r="O332" s="9">
        <f t="shared" si="47"/>
        <v>37475</v>
      </c>
      <c r="P332" s="9" t="str">
        <f t="shared" si="50"/>
        <v>PERCENTAGE</v>
      </c>
    </row>
    <row r="333" spans="1:16" s="6" customFormat="1" x14ac:dyDescent="0.25">
      <c r="A333" s="7" t="str">
        <f t="shared" si="48"/>
        <v>2024 ALL D75</v>
      </c>
      <c r="B333" s="8">
        <f t="shared" si="49"/>
        <v>46104</v>
      </c>
      <c r="C333" s="8">
        <f t="shared" si="51"/>
        <v>46113</v>
      </c>
      <c r="D333" s="7">
        <v>3272</v>
      </c>
      <c r="E333" s="7">
        <v>336</v>
      </c>
      <c r="F333" s="7">
        <v>4</v>
      </c>
      <c r="G333" s="7">
        <v>1</v>
      </c>
      <c r="H333" s="7">
        <v>81379</v>
      </c>
      <c r="I333" s="7" t="s">
        <v>16</v>
      </c>
      <c r="J333" s="7">
        <v>15501987</v>
      </c>
      <c r="K333" s="7" t="s">
        <v>405</v>
      </c>
      <c r="L333" s="7" t="s">
        <v>410</v>
      </c>
      <c r="M333" s="9">
        <v>149900</v>
      </c>
      <c r="N333" s="10">
        <f t="shared" si="46"/>
        <v>0.75</v>
      </c>
      <c r="O333" s="9">
        <f t="shared" si="47"/>
        <v>37475</v>
      </c>
      <c r="P333" s="9" t="str">
        <f t="shared" si="50"/>
        <v>PERCENTAGE</v>
      </c>
    </row>
    <row r="334" spans="1:16" s="6" customFormat="1" x14ac:dyDescent="0.25">
      <c r="A334" s="7" t="str">
        <f t="shared" si="48"/>
        <v>2024 ALL D75</v>
      </c>
      <c r="B334" s="8">
        <f t="shared" si="49"/>
        <v>46104</v>
      </c>
      <c r="C334" s="8">
        <f t="shared" si="51"/>
        <v>46113</v>
      </c>
      <c r="D334" s="7">
        <v>3272</v>
      </c>
      <c r="E334" s="7">
        <v>336</v>
      </c>
      <c r="F334" s="7">
        <v>4</v>
      </c>
      <c r="G334" s="7">
        <v>1</v>
      </c>
      <c r="H334" s="7">
        <v>81379</v>
      </c>
      <c r="I334" s="7" t="s">
        <v>16</v>
      </c>
      <c r="J334" s="7">
        <v>15502093</v>
      </c>
      <c r="K334" s="7" t="s">
        <v>411</v>
      </c>
      <c r="L334" s="7" t="s">
        <v>412</v>
      </c>
      <c r="M334" s="9">
        <v>149900</v>
      </c>
      <c r="N334" s="10">
        <f t="shared" si="46"/>
        <v>0.75</v>
      </c>
      <c r="O334" s="9">
        <f t="shared" si="47"/>
        <v>37475</v>
      </c>
      <c r="P334" s="9" t="str">
        <f t="shared" si="50"/>
        <v>PERCENTAGE</v>
      </c>
    </row>
    <row r="335" spans="1:16" s="6" customFormat="1" x14ac:dyDescent="0.25">
      <c r="A335" s="7" t="str">
        <f t="shared" si="48"/>
        <v>2024 ALL D75</v>
      </c>
      <c r="B335" s="8">
        <f t="shared" si="49"/>
        <v>46104</v>
      </c>
      <c r="C335" s="8">
        <f t="shared" si="51"/>
        <v>46113</v>
      </c>
      <c r="D335" s="7">
        <v>3272</v>
      </c>
      <c r="E335" s="7">
        <v>336</v>
      </c>
      <c r="F335" s="7">
        <v>4</v>
      </c>
      <c r="G335" s="7">
        <v>1</v>
      </c>
      <c r="H335" s="7">
        <v>81379</v>
      </c>
      <c r="I335" s="7" t="s">
        <v>16</v>
      </c>
      <c r="J335" s="7">
        <v>15502100</v>
      </c>
      <c r="K335" s="7" t="s">
        <v>411</v>
      </c>
      <c r="L335" s="7" t="s">
        <v>413</v>
      </c>
      <c r="M335" s="9">
        <v>149900</v>
      </c>
      <c r="N335" s="10">
        <f t="shared" si="46"/>
        <v>0.75</v>
      </c>
      <c r="O335" s="9">
        <f t="shared" si="47"/>
        <v>37475</v>
      </c>
      <c r="P335" s="9" t="str">
        <f t="shared" si="50"/>
        <v>PERCENTAGE</v>
      </c>
    </row>
    <row r="336" spans="1:16" s="6" customFormat="1" x14ac:dyDescent="0.25">
      <c r="A336" s="7" t="str">
        <f t="shared" si="48"/>
        <v>2024 ALL D75</v>
      </c>
      <c r="B336" s="8">
        <f t="shared" si="49"/>
        <v>46104</v>
      </c>
      <c r="C336" s="8">
        <f t="shared" si="51"/>
        <v>46113</v>
      </c>
      <c r="D336" s="7">
        <v>3272</v>
      </c>
      <c r="E336" s="7">
        <v>336</v>
      </c>
      <c r="F336" s="7">
        <v>4</v>
      </c>
      <c r="G336" s="7">
        <v>1</v>
      </c>
      <c r="H336" s="7">
        <v>81379</v>
      </c>
      <c r="I336" s="7" t="s">
        <v>16</v>
      </c>
      <c r="J336" s="7">
        <v>15502119</v>
      </c>
      <c r="K336" s="7" t="s">
        <v>411</v>
      </c>
      <c r="L336" s="7" t="s">
        <v>414</v>
      </c>
      <c r="M336" s="9">
        <v>149900</v>
      </c>
      <c r="N336" s="10">
        <f t="shared" si="46"/>
        <v>0.75</v>
      </c>
      <c r="O336" s="9">
        <f t="shared" si="47"/>
        <v>37475</v>
      </c>
      <c r="P336" s="9" t="str">
        <f t="shared" si="50"/>
        <v>PERCENTAGE</v>
      </c>
    </row>
    <row r="337" spans="1:16" s="6" customFormat="1" x14ac:dyDescent="0.25">
      <c r="A337" s="7" t="str">
        <f t="shared" si="48"/>
        <v>2024 ALL D75</v>
      </c>
      <c r="B337" s="8">
        <f t="shared" si="49"/>
        <v>46104</v>
      </c>
      <c r="C337" s="8">
        <f t="shared" si="51"/>
        <v>46113</v>
      </c>
      <c r="D337" s="7">
        <v>3272</v>
      </c>
      <c r="E337" s="7">
        <v>336</v>
      </c>
      <c r="F337" s="7">
        <v>4</v>
      </c>
      <c r="G337" s="7">
        <v>1</v>
      </c>
      <c r="H337" s="7">
        <v>81379</v>
      </c>
      <c r="I337" s="7" t="s">
        <v>16</v>
      </c>
      <c r="J337" s="7">
        <v>15502128</v>
      </c>
      <c r="K337" s="7" t="s">
        <v>411</v>
      </c>
      <c r="L337" s="7" t="s">
        <v>415</v>
      </c>
      <c r="M337" s="9">
        <v>149900</v>
      </c>
      <c r="N337" s="10">
        <f t="shared" si="46"/>
        <v>0.75</v>
      </c>
      <c r="O337" s="9">
        <f t="shared" si="47"/>
        <v>37475</v>
      </c>
      <c r="P337" s="9" t="str">
        <f t="shared" si="50"/>
        <v>PERCENTAGE</v>
      </c>
    </row>
    <row r="338" spans="1:16" s="6" customFormat="1" x14ac:dyDescent="0.25">
      <c r="A338" s="7" t="str">
        <f t="shared" si="48"/>
        <v>2024 ALL D75</v>
      </c>
      <c r="B338" s="8">
        <f t="shared" si="49"/>
        <v>46104</v>
      </c>
      <c r="C338" s="8">
        <f t="shared" si="51"/>
        <v>46113</v>
      </c>
      <c r="D338" s="7">
        <v>3272</v>
      </c>
      <c r="E338" s="7">
        <v>336</v>
      </c>
      <c r="F338" s="7">
        <v>4</v>
      </c>
      <c r="G338" s="7">
        <v>1</v>
      </c>
      <c r="H338" s="7">
        <v>81379</v>
      </c>
      <c r="I338" s="7" t="s">
        <v>16</v>
      </c>
      <c r="J338" s="7">
        <v>15502137</v>
      </c>
      <c r="K338" s="7" t="s">
        <v>411</v>
      </c>
      <c r="L338" s="7" t="s">
        <v>416</v>
      </c>
      <c r="M338" s="9">
        <v>149900</v>
      </c>
      <c r="N338" s="10">
        <f t="shared" si="46"/>
        <v>0.75</v>
      </c>
      <c r="O338" s="9">
        <f t="shared" si="47"/>
        <v>37475</v>
      </c>
      <c r="P338" s="9" t="str">
        <f t="shared" si="50"/>
        <v>PERCENTAGE</v>
      </c>
    </row>
    <row r="339" spans="1:16" s="6" customFormat="1" x14ac:dyDescent="0.25">
      <c r="A339" s="7" t="str">
        <f t="shared" si="48"/>
        <v>2024 ALL D75</v>
      </c>
      <c r="B339" s="8">
        <f t="shared" si="49"/>
        <v>46104</v>
      </c>
      <c r="C339" s="8">
        <f t="shared" si="51"/>
        <v>46113</v>
      </c>
      <c r="D339" s="7">
        <v>3272</v>
      </c>
      <c r="E339" s="7">
        <v>336</v>
      </c>
      <c r="F339" s="7">
        <v>4</v>
      </c>
      <c r="G339" s="7">
        <v>1</v>
      </c>
      <c r="H339" s="7">
        <v>81379</v>
      </c>
      <c r="I339" s="7" t="s">
        <v>16</v>
      </c>
      <c r="J339" s="7">
        <v>15502244</v>
      </c>
      <c r="K339" s="7" t="s">
        <v>417</v>
      </c>
      <c r="L339" s="7" t="s">
        <v>418</v>
      </c>
      <c r="M339" s="9">
        <v>149900</v>
      </c>
      <c r="N339" s="10">
        <f t="shared" si="46"/>
        <v>0.75</v>
      </c>
      <c r="O339" s="9">
        <f t="shared" si="47"/>
        <v>37475</v>
      </c>
      <c r="P339" s="9" t="str">
        <f t="shared" si="50"/>
        <v>PERCENTAGE</v>
      </c>
    </row>
    <row r="340" spans="1:16" s="6" customFormat="1" x14ac:dyDescent="0.25">
      <c r="A340" s="7" t="str">
        <f t="shared" si="48"/>
        <v>2024 ALL D75</v>
      </c>
      <c r="B340" s="8">
        <f t="shared" si="49"/>
        <v>46104</v>
      </c>
      <c r="C340" s="8">
        <f t="shared" si="51"/>
        <v>46113</v>
      </c>
      <c r="D340" s="7">
        <v>3272</v>
      </c>
      <c r="E340" s="7">
        <v>336</v>
      </c>
      <c r="F340" s="7">
        <v>4</v>
      </c>
      <c r="G340" s="7">
        <v>1</v>
      </c>
      <c r="H340" s="7">
        <v>81379</v>
      </c>
      <c r="I340" s="7" t="s">
        <v>16</v>
      </c>
      <c r="J340" s="7">
        <v>15502253</v>
      </c>
      <c r="K340" s="7" t="s">
        <v>417</v>
      </c>
      <c r="L340" s="7" t="s">
        <v>419</v>
      </c>
      <c r="M340" s="9">
        <v>149900</v>
      </c>
      <c r="N340" s="10">
        <f t="shared" si="46"/>
        <v>0.75</v>
      </c>
      <c r="O340" s="9">
        <f t="shared" si="47"/>
        <v>37475</v>
      </c>
      <c r="P340" s="9" t="str">
        <f t="shared" si="50"/>
        <v>PERCENTAGE</v>
      </c>
    </row>
    <row r="341" spans="1:16" s="6" customFormat="1" x14ac:dyDescent="0.25">
      <c r="A341" s="7" t="str">
        <f t="shared" si="48"/>
        <v>2024 ALL D75</v>
      </c>
      <c r="B341" s="8">
        <f t="shared" si="49"/>
        <v>46104</v>
      </c>
      <c r="C341" s="8">
        <f t="shared" si="51"/>
        <v>46113</v>
      </c>
      <c r="D341" s="7">
        <v>3272</v>
      </c>
      <c r="E341" s="7">
        <v>336</v>
      </c>
      <c r="F341" s="7">
        <v>4</v>
      </c>
      <c r="G341" s="7">
        <v>1</v>
      </c>
      <c r="H341" s="7">
        <v>81379</v>
      </c>
      <c r="I341" s="7" t="s">
        <v>16</v>
      </c>
      <c r="J341" s="7">
        <v>15502262</v>
      </c>
      <c r="K341" s="7" t="s">
        <v>417</v>
      </c>
      <c r="L341" s="7" t="s">
        <v>420</v>
      </c>
      <c r="M341" s="9">
        <v>149900</v>
      </c>
      <c r="N341" s="10">
        <f t="shared" si="46"/>
        <v>0.75</v>
      </c>
      <c r="O341" s="9">
        <f t="shared" si="47"/>
        <v>37475</v>
      </c>
      <c r="P341" s="9" t="str">
        <f t="shared" si="50"/>
        <v>PERCENTAGE</v>
      </c>
    </row>
    <row r="342" spans="1:16" s="6" customFormat="1" x14ac:dyDescent="0.25">
      <c r="A342" s="7" t="str">
        <f t="shared" si="48"/>
        <v>2024 ALL D75</v>
      </c>
      <c r="B342" s="8">
        <f t="shared" si="49"/>
        <v>46104</v>
      </c>
      <c r="C342" s="8">
        <f t="shared" si="51"/>
        <v>46113</v>
      </c>
      <c r="D342" s="7">
        <v>3272</v>
      </c>
      <c r="E342" s="7">
        <v>336</v>
      </c>
      <c r="F342" s="7">
        <v>4</v>
      </c>
      <c r="G342" s="7">
        <v>1</v>
      </c>
      <c r="H342" s="7">
        <v>81379</v>
      </c>
      <c r="I342" s="7" t="s">
        <v>16</v>
      </c>
      <c r="J342" s="7">
        <v>15502271</v>
      </c>
      <c r="K342" s="7" t="s">
        <v>417</v>
      </c>
      <c r="L342" s="7" t="s">
        <v>421</v>
      </c>
      <c r="M342" s="9">
        <v>149900</v>
      </c>
      <c r="N342" s="10">
        <f t="shared" si="46"/>
        <v>0.75</v>
      </c>
      <c r="O342" s="9">
        <f t="shared" si="47"/>
        <v>37475</v>
      </c>
      <c r="P342" s="9" t="str">
        <f t="shared" si="50"/>
        <v>PERCENTAGE</v>
      </c>
    </row>
    <row r="343" spans="1:16" s="6" customFormat="1" x14ac:dyDescent="0.25">
      <c r="A343" s="7" t="str">
        <f t="shared" si="48"/>
        <v>2024 ALL D75</v>
      </c>
      <c r="B343" s="8">
        <f t="shared" si="49"/>
        <v>46104</v>
      </c>
      <c r="C343" s="8">
        <f t="shared" si="51"/>
        <v>46113</v>
      </c>
      <c r="D343" s="7">
        <v>3272</v>
      </c>
      <c r="E343" s="7">
        <v>336</v>
      </c>
      <c r="F343" s="7">
        <v>4</v>
      </c>
      <c r="G343" s="7">
        <v>1</v>
      </c>
      <c r="H343" s="7">
        <v>81379</v>
      </c>
      <c r="I343" s="7" t="s">
        <v>16</v>
      </c>
      <c r="J343" s="7">
        <v>15502280</v>
      </c>
      <c r="K343" s="7" t="s">
        <v>417</v>
      </c>
      <c r="L343" s="7" t="s">
        <v>422</v>
      </c>
      <c r="M343" s="9">
        <v>149900</v>
      </c>
      <c r="N343" s="10">
        <f t="shared" si="46"/>
        <v>0.75</v>
      </c>
      <c r="O343" s="9">
        <f t="shared" si="47"/>
        <v>37475</v>
      </c>
      <c r="P343" s="9" t="str">
        <f t="shared" si="50"/>
        <v>PERCENTAGE</v>
      </c>
    </row>
    <row r="344" spans="1:16" s="6" customFormat="1" x14ac:dyDescent="0.25">
      <c r="A344" s="7" t="str">
        <f t="shared" si="48"/>
        <v>2024 ALL D75</v>
      </c>
      <c r="B344" s="8">
        <f t="shared" si="49"/>
        <v>46104</v>
      </c>
      <c r="C344" s="8">
        <f t="shared" si="51"/>
        <v>46113</v>
      </c>
      <c r="D344" s="7">
        <v>3272</v>
      </c>
      <c r="E344" s="7">
        <v>336</v>
      </c>
      <c r="F344" s="7">
        <v>4</v>
      </c>
      <c r="G344" s="7">
        <v>1</v>
      </c>
      <c r="H344" s="7">
        <v>81379</v>
      </c>
      <c r="I344" s="7" t="s">
        <v>16</v>
      </c>
      <c r="J344" s="7">
        <v>16034749</v>
      </c>
      <c r="K344" s="7" t="s">
        <v>423</v>
      </c>
      <c r="L344" s="7" t="s">
        <v>424</v>
      </c>
      <c r="M344" s="9">
        <v>149900</v>
      </c>
      <c r="N344" s="10">
        <f t="shared" si="46"/>
        <v>0.75</v>
      </c>
      <c r="O344" s="9">
        <f t="shared" si="47"/>
        <v>37475</v>
      </c>
      <c r="P344" s="9" t="str">
        <f t="shared" si="50"/>
        <v>PERCENTAGE</v>
      </c>
    </row>
    <row r="345" spans="1:16" s="6" customFormat="1" x14ac:dyDescent="0.25">
      <c r="A345" s="7" t="str">
        <f t="shared" si="48"/>
        <v>2024 ALL D75</v>
      </c>
      <c r="B345" s="8">
        <f t="shared" si="49"/>
        <v>46104</v>
      </c>
      <c r="C345" s="8">
        <f t="shared" si="51"/>
        <v>46113</v>
      </c>
      <c r="D345" s="7">
        <v>3272</v>
      </c>
      <c r="E345" s="7">
        <v>336</v>
      </c>
      <c r="F345" s="7">
        <v>4</v>
      </c>
      <c r="G345" s="7">
        <v>1</v>
      </c>
      <c r="H345" s="7">
        <v>81379</v>
      </c>
      <c r="I345" s="7" t="s">
        <v>16</v>
      </c>
      <c r="J345" s="7">
        <v>16034758</v>
      </c>
      <c r="K345" s="7" t="s">
        <v>423</v>
      </c>
      <c r="L345" s="7" t="s">
        <v>425</v>
      </c>
      <c r="M345" s="9">
        <v>149900</v>
      </c>
      <c r="N345" s="10">
        <f t="shared" si="46"/>
        <v>0.75</v>
      </c>
      <c r="O345" s="9">
        <f t="shared" si="47"/>
        <v>37475</v>
      </c>
      <c r="P345" s="9" t="str">
        <f t="shared" si="50"/>
        <v>PERCENTAGE</v>
      </c>
    </row>
    <row r="346" spans="1:16" s="6" customFormat="1" x14ac:dyDescent="0.25">
      <c r="A346" s="7" t="str">
        <f t="shared" si="48"/>
        <v>2024 ALL D75</v>
      </c>
      <c r="B346" s="8">
        <f t="shared" si="49"/>
        <v>46104</v>
      </c>
      <c r="C346" s="8">
        <f t="shared" si="51"/>
        <v>46113</v>
      </c>
      <c r="D346" s="7">
        <v>3272</v>
      </c>
      <c r="E346" s="7">
        <v>336</v>
      </c>
      <c r="F346" s="7">
        <v>4</v>
      </c>
      <c r="G346" s="7">
        <v>1</v>
      </c>
      <c r="H346" s="7">
        <v>81379</v>
      </c>
      <c r="I346" s="7" t="s">
        <v>16</v>
      </c>
      <c r="J346" s="7">
        <v>16034767</v>
      </c>
      <c r="K346" s="7" t="s">
        <v>423</v>
      </c>
      <c r="L346" s="7" t="s">
        <v>426</v>
      </c>
      <c r="M346" s="9">
        <v>149900</v>
      </c>
      <c r="N346" s="10">
        <f t="shared" si="46"/>
        <v>0.75</v>
      </c>
      <c r="O346" s="9">
        <f t="shared" si="47"/>
        <v>37475</v>
      </c>
      <c r="P346" s="9" t="str">
        <f t="shared" si="50"/>
        <v>PERCENTAGE</v>
      </c>
    </row>
    <row r="347" spans="1:16" s="6" customFormat="1" x14ac:dyDescent="0.25">
      <c r="A347" s="7" t="str">
        <f t="shared" si="48"/>
        <v>2024 ALL D75</v>
      </c>
      <c r="B347" s="8">
        <f t="shared" si="49"/>
        <v>46104</v>
      </c>
      <c r="C347" s="8">
        <f t="shared" ref="C347:C362" si="52">C346</f>
        <v>46113</v>
      </c>
      <c r="D347" s="7">
        <v>3272</v>
      </c>
      <c r="E347" s="7">
        <v>336</v>
      </c>
      <c r="F347" s="7">
        <v>4</v>
      </c>
      <c r="G347" s="7">
        <v>1</v>
      </c>
      <c r="H347" s="7">
        <v>81379</v>
      </c>
      <c r="I347" s="7" t="s">
        <v>16</v>
      </c>
      <c r="J347" s="7">
        <v>16034776</v>
      </c>
      <c r="K347" s="7" t="s">
        <v>423</v>
      </c>
      <c r="L347" s="7" t="s">
        <v>427</v>
      </c>
      <c r="M347" s="9">
        <v>149900</v>
      </c>
      <c r="N347" s="10">
        <f t="shared" si="46"/>
        <v>0.75</v>
      </c>
      <c r="O347" s="9">
        <f t="shared" si="47"/>
        <v>37475</v>
      </c>
      <c r="P347" s="9" t="str">
        <f t="shared" si="50"/>
        <v>PERCENTAGE</v>
      </c>
    </row>
    <row r="348" spans="1:16" s="6" customFormat="1" x14ac:dyDescent="0.25">
      <c r="A348" s="7" t="str">
        <f t="shared" si="48"/>
        <v>2024 ALL D75</v>
      </c>
      <c r="B348" s="8">
        <f t="shared" si="49"/>
        <v>46104</v>
      </c>
      <c r="C348" s="8">
        <f t="shared" si="52"/>
        <v>46113</v>
      </c>
      <c r="D348" s="7">
        <v>3272</v>
      </c>
      <c r="E348" s="7">
        <v>336</v>
      </c>
      <c r="F348" s="7">
        <v>4</v>
      </c>
      <c r="G348" s="7">
        <v>1</v>
      </c>
      <c r="H348" s="7">
        <v>81379</v>
      </c>
      <c r="I348" s="7" t="s">
        <v>16</v>
      </c>
      <c r="J348" s="7">
        <v>16034785</v>
      </c>
      <c r="K348" s="7" t="s">
        <v>423</v>
      </c>
      <c r="L348" s="7" t="s">
        <v>428</v>
      </c>
      <c r="M348" s="9">
        <v>149900</v>
      </c>
      <c r="N348" s="10">
        <f t="shared" si="46"/>
        <v>0.75</v>
      </c>
      <c r="O348" s="9">
        <f t="shared" si="47"/>
        <v>37475</v>
      </c>
      <c r="P348" s="9" t="str">
        <f t="shared" si="50"/>
        <v>PERCENTAGE</v>
      </c>
    </row>
    <row r="349" spans="1:16" s="6" customFormat="1" x14ac:dyDescent="0.25">
      <c r="A349" s="7" t="str">
        <f t="shared" si="48"/>
        <v>2024 ALL D75</v>
      </c>
      <c r="B349" s="8">
        <f t="shared" si="49"/>
        <v>46104</v>
      </c>
      <c r="C349" s="8">
        <f t="shared" si="52"/>
        <v>46113</v>
      </c>
      <c r="D349" s="7">
        <v>3272</v>
      </c>
      <c r="E349" s="7">
        <v>336</v>
      </c>
      <c r="F349" s="7">
        <v>4</v>
      </c>
      <c r="G349" s="7">
        <v>1</v>
      </c>
      <c r="H349" s="7">
        <v>81379</v>
      </c>
      <c r="I349" s="7" t="s">
        <v>16</v>
      </c>
      <c r="J349" s="7">
        <v>16624067</v>
      </c>
      <c r="K349" s="7" t="s">
        <v>429</v>
      </c>
      <c r="L349" s="7" t="s">
        <v>430</v>
      </c>
      <c r="M349" s="9">
        <v>149900</v>
      </c>
      <c r="N349" s="10">
        <f t="shared" si="46"/>
        <v>0.75</v>
      </c>
      <c r="O349" s="9">
        <f t="shared" si="47"/>
        <v>37475</v>
      </c>
      <c r="P349" s="9" t="str">
        <f t="shared" si="50"/>
        <v>PERCENTAGE</v>
      </c>
    </row>
    <row r="350" spans="1:16" s="6" customFormat="1" x14ac:dyDescent="0.25">
      <c r="A350" s="7" t="str">
        <f t="shared" si="48"/>
        <v>2024 ALL D75</v>
      </c>
      <c r="B350" s="8">
        <f t="shared" si="49"/>
        <v>46104</v>
      </c>
      <c r="C350" s="8">
        <f t="shared" si="52"/>
        <v>46113</v>
      </c>
      <c r="D350" s="7">
        <v>3272</v>
      </c>
      <c r="E350" s="7">
        <v>336</v>
      </c>
      <c r="F350" s="7">
        <v>4</v>
      </c>
      <c r="G350" s="7">
        <v>5</v>
      </c>
      <c r="H350" s="7">
        <v>81379</v>
      </c>
      <c r="I350" s="7" t="s">
        <v>16</v>
      </c>
      <c r="J350" s="7">
        <v>16624398</v>
      </c>
      <c r="K350" s="7" t="s">
        <v>431</v>
      </c>
      <c r="L350" s="7" t="s">
        <v>432</v>
      </c>
      <c r="M350" s="9">
        <v>239900</v>
      </c>
      <c r="N350" s="10">
        <f t="shared" si="46"/>
        <v>0.75</v>
      </c>
      <c r="O350" s="9">
        <f t="shared" si="47"/>
        <v>59975</v>
      </c>
      <c r="P350" s="9" t="str">
        <f t="shared" si="50"/>
        <v>PERCENTAGE</v>
      </c>
    </row>
    <row r="351" spans="1:16" s="6" customFormat="1" x14ac:dyDescent="0.25">
      <c r="A351" s="7" t="str">
        <f t="shared" si="48"/>
        <v>2024 ALL D75</v>
      </c>
      <c r="B351" s="8">
        <f t="shared" si="49"/>
        <v>46104</v>
      </c>
      <c r="C351" s="8">
        <f t="shared" si="52"/>
        <v>46113</v>
      </c>
      <c r="D351" s="7">
        <v>3272</v>
      </c>
      <c r="E351" s="7">
        <v>336</v>
      </c>
      <c r="F351" s="7">
        <v>4</v>
      </c>
      <c r="G351" s="7">
        <v>1</v>
      </c>
      <c r="H351" s="7">
        <v>81379</v>
      </c>
      <c r="I351" s="7" t="s">
        <v>16</v>
      </c>
      <c r="J351" s="7">
        <v>18659464</v>
      </c>
      <c r="K351" s="7" t="s">
        <v>433</v>
      </c>
      <c r="L351" s="7" t="s">
        <v>434</v>
      </c>
      <c r="M351" s="9">
        <v>139900</v>
      </c>
      <c r="N351" s="10">
        <f t="shared" si="46"/>
        <v>0.75</v>
      </c>
      <c r="O351" s="9">
        <f t="shared" si="47"/>
        <v>34975</v>
      </c>
      <c r="P351" s="9" t="str">
        <f t="shared" si="50"/>
        <v>PERCENTAGE</v>
      </c>
    </row>
    <row r="352" spans="1:16" s="6" customFormat="1" x14ac:dyDescent="0.25">
      <c r="A352" s="7" t="str">
        <f t="shared" si="48"/>
        <v>2024 ALL D75</v>
      </c>
      <c r="B352" s="8">
        <f t="shared" si="49"/>
        <v>46104</v>
      </c>
      <c r="C352" s="8">
        <f t="shared" si="52"/>
        <v>46113</v>
      </c>
      <c r="D352" s="7">
        <v>3272</v>
      </c>
      <c r="E352" s="7">
        <v>336</v>
      </c>
      <c r="F352" s="7">
        <v>4</v>
      </c>
      <c r="G352" s="7">
        <v>1</v>
      </c>
      <c r="H352" s="7">
        <v>81379</v>
      </c>
      <c r="I352" s="7" t="s">
        <v>16</v>
      </c>
      <c r="J352" s="7">
        <v>18659491</v>
      </c>
      <c r="K352" s="7" t="s">
        <v>433</v>
      </c>
      <c r="L352" s="7" t="s">
        <v>435</v>
      </c>
      <c r="M352" s="9">
        <v>139900</v>
      </c>
      <c r="N352" s="10">
        <f t="shared" si="46"/>
        <v>0.75</v>
      </c>
      <c r="O352" s="9">
        <f t="shared" si="47"/>
        <v>34975</v>
      </c>
      <c r="P352" s="9" t="str">
        <f t="shared" si="50"/>
        <v>PERCENTAGE</v>
      </c>
    </row>
    <row r="353" spans="1:16" s="6" customFormat="1" x14ac:dyDescent="0.25">
      <c r="A353" s="7" t="str">
        <f t="shared" si="48"/>
        <v>2024 ALL D75</v>
      </c>
      <c r="B353" s="8">
        <f t="shared" si="49"/>
        <v>46104</v>
      </c>
      <c r="C353" s="8">
        <f t="shared" si="52"/>
        <v>46113</v>
      </c>
      <c r="D353" s="7">
        <v>3272</v>
      </c>
      <c r="E353" s="7">
        <v>336</v>
      </c>
      <c r="F353" s="7">
        <v>4</v>
      </c>
      <c r="G353" s="7">
        <v>1</v>
      </c>
      <c r="H353" s="7">
        <v>81379</v>
      </c>
      <c r="I353" s="7" t="s">
        <v>16</v>
      </c>
      <c r="J353" s="7">
        <v>18659526</v>
      </c>
      <c r="K353" s="7" t="s">
        <v>433</v>
      </c>
      <c r="L353" s="7" t="s">
        <v>436</v>
      </c>
      <c r="M353" s="9">
        <v>139900</v>
      </c>
      <c r="N353" s="10">
        <f t="shared" si="46"/>
        <v>0.75</v>
      </c>
      <c r="O353" s="9">
        <f t="shared" si="47"/>
        <v>34975</v>
      </c>
      <c r="P353" s="9" t="str">
        <f t="shared" si="50"/>
        <v>PERCENTAGE</v>
      </c>
    </row>
    <row r="354" spans="1:16" s="6" customFormat="1" x14ac:dyDescent="0.25">
      <c r="A354" s="7" t="str">
        <f t="shared" si="48"/>
        <v>2024 ALL D75</v>
      </c>
      <c r="B354" s="8">
        <f t="shared" si="49"/>
        <v>46104</v>
      </c>
      <c r="C354" s="8">
        <f t="shared" si="52"/>
        <v>46113</v>
      </c>
      <c r="D354" s="7">
        <v>3272</v>
      </c>
      <c r="E354" s="7">
        <v>336</v>
      </c>
      <c r="F354" s="7">
        <v>4</v>
      </c>
      <c r="G354" s="7">
        <v>1</v>
      </c>
      <c r="H354" s="7">
        <v>81379</v>
      </c>
      <c r="I354" s="7" t="s">
        <v>16</v>
      </c>
      <c r="J354" s="7">
        <v>18659562</v>
      </c>
      <c r="K354" s="7" t="s">
        <v>437</v>
      </c>
      <c r="L354" s="7" t="s">
        <v>438</v>
      </c>
      <c r="M354" s="9">
        <v>139900</v>
      </c>
      <c r="N354" s="10">
        <f t="shared" si="46"/>
        <v>0.75</v>
      </c>
      <c r="O354" s="9">
        <f t="shared" si="47"/>
        <v>34975</v>
      </c>
      <c r="P354" s="9" t="str">
        <f t="shared" si="50"/>
        <v>PERCENTAGE</v>
      </c>
    </row>
    <row r="355" spans="1:16" s="6" customFormat="1" x14ac:dyDescent="0.25">
      <c r="A355" s="7" t="str">
        <f t="shared" si="48"/>
        <v>2024 ALL D75</v>
      </c>
      <c r="B355" s="8">
        <f t="shared" si="49"/>
        <v>46104</v>
      </c>
      <c r="C355" s="8">
        <f t="shared" si="52"/>
        <v>46113</v>
      </c>
      <c r="D355" s="7">
        <v>3272</v>
      </c>
      <c r="E355" s="7">
        <v>336</v>
      </c>
      <c r="F355" s="7">
        <v>4</v>
      </c>
      <c r="G355" s="7">
        <v>1</v>
      </c>
      <c r="H355" s="7">
        <v>81379</v>
      </c>
      <c r="I355" s="7" t="s">
        <v>16</v>
      </c>
      <c r="J355" s="7">
        <v>18659571</v>
      </c>
      <c r="K355" s="7" t="s">
        <v>437</v>
      </c>
      <c r="L355" s="7" t="s">
        <v>439</v>
      </c>
      <c r="M355" s="9">
        <v>139900</v>
      </c>
      <c r="N355" s="10">
        <f t="shared" si="46"/>
        <v>0.75</v>
      </c>
      <c r="O355" s="9">
        <f t="shared" si="47"/>
        <v>34975</v>
      </c>
      <c r="P355" s="9" t="str">
        <f t="shared" si="50"/>
        <v>PERCENTAGE</v>
      </c>
    </row>
    <row r="356" spans="1:16" s="6" customFormat="1" x14ac:dyDescent="0.25">
      <c r="A356" s="7" t="str">
        <f t="shared" si="48"/>
        <v>2024 ALL D75</v>
      </c>
      <c r="B356" s="8">
        <f t="shared" si="49"/>
        <v>46104</v>
      </c>
      <c r="C356" s="8">
        <f t="shared" si="52"/>
        <v>46113</v>
      </c>
      <c r="D356" s="7">
        <v>3272</v>
      </c>
      <c r="E356" s="7">
        <v>336</v>
      </c>
      <c r="F356" s="7">
        <v>4</v>
      </c>
      <c r="G356" s="7">
        <v>1</v>
      </c>
      <c r="H356" s="7">
        <v>81379</v>
      </c>
      <c r="I356" s="7" t="s">
        <v>16</v>
      </c>
      <c r="J356" s="7">
        <v>18659777</v>
      </c>
      <c r="K356" s="7" t="s">
        <v>440</v>
      </c>
      <c r="L356" s="7" t="s">
        <v>441</v>
      </c>
      <c r="M356" s="9">
        <v>149900</v>
      </c>
      <c r="N356" s="10">
        <f t="shared" si="46"/>
        <v>0.75</v>
      </c>
      <c r="O356" s="9">
        <f t="shared" si="47"/>
        <v>37475</v>
      </c>
      <c r="P356" s="9" t="str">
        <f t="shared" si="50"/>
        <v>PERCENTAGE</v>
      </c>
    </row>
    <row r="357" spans="1:16" s="6" customFormat="1" x14ac:dyDescent="0.25">
      <c r="A357" s="7" t="str">
        <f t="shared" si="48"/>
        <v>2024 ALL D75</v>
      </c>
      <c r="B357" s="8">
        <f t="shared" si="49"/>
        <v>46104</v>
      </c>
      <c r="C357" s="8">
        <f t="shared" si="52"/>
        <v>46113</v>
      </c>
      <c r="D357" s="7">
        <v>3272</v>
      </c>
      <c r="E357" s="7">
        <v>336</v>
      </c>
      <c r="F357" s="7">
        <v>4</v>
      </c>
      <c r="G357" s="7">
        <v>1</v>
      </c>
      <c r="H357" s="7">
        <v>81379</v>
      </c>
      <c r="I357" s="7" t="s">
        <v>16</v>
      </c>
      <c r="J357" s="7">
        <v>18659811</v>
      </c>
      <c r="K357" s="7" t="s">
        <v>440</v>
      </c>
      <c r="L357" s="7" t="s">
        <v>442</v>
      </c>
      <c r="M357" s="9">
        <v>149900</v>
      </c>
      <c r="N357" s="10">
        <f t="shared" si="46"/>
        <v>0.75</v>
      </c>
      <c r="O357" s="9">
        <f t="shared" si="47"/>
        <v>37475</v>
      </c>
      <c r="P357" s="9" t="str">
        <f t="shared" si="50"/>
        <v>PERCENTAGE</v>
      </c>
    </row>
    <row r="358" spans="1:16" s="6" customFormat="1" x14ac:dyDescent="0.25">
      <c r="A358" s="7" t="str">
        <f t="shared" si="48"/>
        <v>2024 ALL D75</v>
      </c>
      <c r="B358" s="8">
        <f t="shared" si="49"/>
        <v>46104</v>
      </c>
      <c r="C358" s="8">
        <f t="shared" si="52"/>
        <v>46113</v>
      </c>
      <c r="D358" s="7">
        <v>3272</v>
      </c>
      <c r="E358" s="7">
        <v>336</v>
      </c>
      <c r="F358" s="7">
        <v>4</v>
      </c>
      <c r="G358" s="7">
        <v>3</v>
      </c>
      <c r="H358" s="7">
        <v>81379</v>
      </c>
      <c r="I358" s="7" t="s">
        <v>16</v>
      </c>
      <c r="J358" s="7">
        <v>15498849</v>
      </c>
      <c r="K358" s="7" t="s">
        <v>222</v>
      </c>
      <c r="L358" s="7" t="s">
        <v>443</v>
      </c>
      <c r="M358" s="9">
        <v>239900</v>
      </c>
      <c r="N358" s="10">
        <f t="shared" si="46"/>
        <v>0.75</v>
      </c>
      <c r="O358" s="9">
        <f t="shared" si="47"/>
        <v>59975</v>
      </c>
      <c r="P358" s="9" t="str">
        <f t="shared" si="50"/>
        <v>PERCENTAGE</v>
      </c>
    </row>
    <row r="359" spans="1:16" s="6" customFormat="1" x14ac:dyDescent="0.25">
      <c r="A359" s="7" t="str">
        <f t="shared" si="48"/>
        <v>2024 ALL D75</v>
      </c>
      <c r="B359" s="8">
        <f t="shared" si="49"/>
        <v>46104</v>
      </c>
      <c r="C359" s="8">
        <f t="shared" si="52"/>
        <v>46113</v>
      </c>
      <c r="D359" s="7">
        <v>3272</v>
      </c>
      <c r="E359" s="7">
        <v>336</v>
      </c>
      <c r="F359" s="7">
        <v>4</v>
      </c>
      <c r="G359" s="7">
        <v>1</v>
      </c>
      <c r="H359" s="7">
        <v>81379</v>
      </c>
      <c r="I359" s="7" t="s">
        <v>16</v>
      </c>
      <c r="J359" s="7">
        <v>18756564</v>
      </c>
      <c r="K359" s="7" t="s">
        <v>444</v>
      </c>
      <c r="L359" s="7" t="s">
        <v>445</v>
      </c>
      <c r="M359" s="9">
        <v>139900</v>
      </c>
      <c r="N359" s="10">
        <f t="shared" si="46"/>
        <v>0.75</v>
      </c>
      <c r="O359" s="9">
        <f t="shared" si="47"/>
        <v>34975</v>
      </c>
      <c r="P359" s="9" t="str">
        <f t="shared" si="50"/>
        <v>PERCENTAGE</v>
      </c>
    </row>
    <row r="360" spans="1:16" s="6" customFormat="1" x14ac:dyDescent="0.25">
      <c r="A360" s="7" t="str">
        <f t="shared" si="48"/>
        <v>2024 ALL D75</v>
      </c>
      <c r="B360" s="8">
        <f t="shared" si="49"/>
        <v>46104</v>
      </c>
      <c r="C360" s="8">
        <f t="shared" si="52"/>
        <v>46113</v>
      </c>
      <c r="D360" s="7">
        <v>3272</v>
      </c>
      <c r="E360" s="7">
        <v>336</v>
      </c>
      <c r="F360" s="7">
        <v>4</v>
      </c>
      <c r="G360" s="7">
        <v>3</v>
      </c>
      <c r="H360" s="7">
        <v>81379</v>
      </c>
      <c r="I360" s="7" t="s">
        <v>16</v>
      </c>
      <c r="J360" s="7">
        <v>18659991</v>
      </c>
      <c r="K360" s="7" t="s">
        <v>446</v>
      </c>
      <c r="L360" s="7" t="s">
        <v>447</v>
      </c>
      <c r="M360" s="9">
        <v>239900</v>
      </c>
      <c r="N360" s="10">
        <f t="shared" si="46"/>
        <v>0.75</v>
      </c>
      <c r="O360" s="9">
        <f t="shared" si="47"/>
        <v>59975</v>
      </c>
      <c r="P360" s="9" t="str">
        <f t="shared" si="50"/>
        <v>PERCENTAGE</v>
      </c>
    </row>
    <row r="361" spans="1:16" s="6" customFormat="1" x14ac:dyDescent="0.25">
      <c r="A361" s="7" t="str">
        <f t="shared" si="48"/>
        <v>2024 ALL D75</v>
      </c>
      <c r="B361" s="8">
        <f t="shared" si="49"/>
        <v>46104</v>
      </c>
      <c r="C361" s="8">
        <f t="shared" si="52"/>
        <v>46113</v>
      </c>
      <c r="D361" s="7">
        <v>3272</v>
      </c>
      <c r="E361" s="7">
        <v>336</v>
      </c>
      <c r="F361" s="7">
        <v>4</v>
      </c>
      <c r="G361" s="7">
        <v>1</v>
      </c>
      <c r="H361" s="7">
        <v>81379</v>
      </c>
      <c r="I361" s="7" t="s">
        <v>16</v>
      </c>
      <c r="J361" s="7">
        <v>15499571</v>
      </c>
      <c r="K361" s="7" t="s">
        <v>448</v>
      </c>
      <c r="L361" s="7" t="s">
        <v>449</v>
      </c>
      <c r="M361" s="9">
        <v>149900</v>
      </c>
      <c r="N361" s="10">
        <f t="shared" si="46"/>
        <v>0.75</v>
      </c>
      <c r="O361" s="9">
        <f t="shared" si="47"/>
        <v>37475</v>
      </c>
      <c r="P361" s="9" t="str">
        <f t="shared" si="50"/>
        <v>PERCENTAGE</v>
      </c>
    </row>
    <row r="362" spans="1:16" s="6" customFormat="1" x14ac:dyDescent="0.25">
      <c r="A362" s="7" t="str">
        <f t="shared" si="48"/>
        <v>2024 ALL D75</v>
      </c>
      <c r="B362" s="8">
        <f t="shared" si="49"/>
        <v>46104</v>
      </c>
      <c r="C362" s="8">
        <f t="shared" si="52"/>
        <v>46113</v>
      </c>
      <c r="D362" s="7">
        <v>3272</v>
      </c>
      <c r="E362" s="7">
        <v>336</v>
      </c>
      <c r="F362" s="7">
        <v>4</v>
      </c>
      <c r="G362" s="7">
        <v>1</v>
      </c>
      <c r="H362" s="7">
        <v>81379</v>
      </c>
      <c r="I362" s="7" t="s">
        <v>16</v>
      </c>
      <c r="J362" s="7">
        <v>15499580</v>
      </c>
      <c r="K362" s="7" t="s">
        <v>448</v>
      </c>
      <c r="L362" s="7" t="s">
        <v>450</v>
      </c>
      <c r="M362" s="9">
        <v>149900</v>
      </c>
      <c r="N362" s="10">
        <f t="shared" si="46"/>
        <v>0.75</v>
      </c>
      <c r="O362" s="9">
        <f t="shared" si="47"/>
        <v>37475</v>
      </c>
      <c r="P362" s="9" t="str">
        <f t="shared" si="50"/>
        <v>PERCENTAGE</v>
      </c>
    </row>
    <row r="363" spans="1:16" s="6" customFormat="1" x14ac:dyDescent="0.25">
      <c r="A363" s="7" t="str">
        <f t="shared" si="48"/>
        <v>2024 ALL D75</v>
      </c>
      <c r="B363" s="8">
        <f t="shared" si="49"/>
        <v>46104</v>
      </c>
      <c r="C363" s="8">
        <f t="shared" ref="C363:C378" si="53">C362</f>
        <v>46113</v>
      </c>
      <c r="D363" s="7">
        <v>3272</v>
      </c>
      <c r="E363" s="7">
        <v>336</v>
      </c>
      <c r="F363" s="7">
        <v>4</v>
      </c>
      <c r="G363" s="7">
        <v>1</v>
      </c>
      <c r="H363" s="7">
        <v>81379</v>
      </c>
      <c r="I363" s="7" t="s">
        <v>16</v>
      </c>
      <c r="J363" s="7">
        <v>15499599</v>
      </c>
      <c r="K363" s="7" t="s">
        <v>448</v>
      </c>
      <c r="L363" s="7" t="s">
        <v>451</v>
      </c>
      <c r="M363" s="9">
        <v>149900</v>
      </c>
      <c r="N363" s="10">
        <f t="shared" si="46"/>
        <v>0.75</v>
      </c>
      <c r="O363" s="9">
        <f t="shared" si="47"/>
        <v>37475</v>
      </c>
      <c r="P363" s="9" t="str">
        <f t="shared" si="50"/>
        <v>PERCENTAGE</v>
      </c>
    </row>
    <row r="364" spans="1:16" s="6" customFormat="1" x14ac:dyDescent="0.25">
      <c r="A364" s="7" t="str">
        <f t="shared" si="48"/>
        <v>2024 ALL D75</v>
      </c>
      <c r="B364" s="8">
        <f t="shared" si="49"/>
        <v>46104</v>
      </c>
      <c r="C364" s="8">
        <f t="shared" si="53"/>
        <v>46113</v>
      </c>
      <c r="D364" s="7">
        <v>3272</v>
      </c>
      <c r="E364" s="7">
        <v>336</v>
      </c>
      <c r="F364" s="7">
        <v>4</v>
      </c>
      <c r="G364" s="7">
        <v>1</v>
      </c>
      <c r="H364" s="7">
        <v>81379</v>
      </c>
      <c r="I364" s="7" t="s">
        <v>16</v>
      </c>
      <c r="J364" s="7">
        <v>15499606</v>
      </c>
      <c r="K364" s="7" t="s">
        <v>448</v>
      </c>
      <c r="L364" s="7" t="s">
        <v>452</v>
      </c>
      <c r="M364" s="9">
        <v>149900</v>
      </c>
      <c r="N364" s="10">
        <f t="shared" si="46"/>
        <v>0.75</v>
      </c>
      <c r="O364" s="9">
        <f t="shared" si="47"/>
        <v>37475</v>
      </c>
      <c r="P364" s="9" t="str">
        <f t="shared" si="50"/>
        <v>PERCENTAGE</v>
      </c>
    </row>
    <row r="365" spans="1:16" s="6" customFormat="1" x14ac:dyDescent="0.25">
      <c r="A365" s="7" t="str">
        <f t="shared" si="48"/>
        <v>2024 ALL D75</v>
      </c>
      <c r="B365" s="8">
        <f t="shared" si="49"/>
        <v>46104</v>
      </c>
      <c r="C365" s="8">
        <f t="shared" si="53"/>
        <v>46113</v>
      </c>
      <c r="D365" s="7">
        <v>3272</v>
      </c>
      <c r="E365" s="7">
        <v>336</v>
      </c>
      <c r="F365" s="7">
        <v>4</v>
      </c>
      <c r="G365" s="7">
        <v>1</v>
      </c>
      <c r="H365" s="7">
        <v>81379</v>
      </c>
      <c r="I365" s="7" t="s">
        <v>16</v>
      </c>
      <c r="J365" s="7">
        <v>15499615</v>
      </c>
      <c r="K365" s="7" t="s">
        <v>448</v>
      </c>
      <c r="L365" s="7" t="s">
        <v>453</v>
      </c>
      <c r="M365" s="9">
        <v>149900</v>
      </c>
      <c r="N365" s="10">
        <f t="shared" si="46"/>
        <v>0.75</v>
      </c>
      <c r="O365" s="9">
        <f t="shared" si="47"/>
        <v>37475</v>
      </c>
      <c r="P365" s="9" t="str">
        <f t="shared" si="50"/>
        <v>PERCENTAGE</v>
      </c>
    </row>
    <row r="366" spans="1:16" s="6" customFormat="1" x14ac:dyDescent="0.25">
      <c r="A366" s="7" t="str">
        <f t="shared" si="48"/>
        <v>2024 ALL D75</v>
      </c>
      <c r="B366" s="8">
        <f t="shared" si="49"/>
        <v>46104</v>
      </c>
      <c r="C366" s="8">
        <f t="shared" si="53"/>
        <v>46113</v>
      </c>
      <c r="D366" s="7">
        <v>3272</v>
      </c>
      <c r="E366" s="7">
        <v>336</v>
      </c>
      <c r="F366" s="7">
        <v>4</v>
      </c>
      <c r="G366" s="7">
        <v>1</v>
      </c>
      <c r="H366" s="7">
        <v>81379</v>
      </c>
      <c r="I366" s="7" t="s">
        <v>16</v>
      </c>
      <c r="J366" s="7">
        <v>15499624</v>
      </c>
      <c r="K366" s="7" t="s">
        <v>454</v>
      </c>
      <c r="L366" s="7" t="s">
        <v>455</v>
      </c>
      <c r="M366" s="9">
        <v>149900</v>
      </c>
      <c r="N366" s="10">
        <f t="shared" si="46"/>
        <v>0.75</v>
      </c>
      <c r="O366" s="9">
        <f t="shared" si="47"/>
        <v>37475</v>
      </c>
      <c r="P366" s="9" t="str">
        <f t="shared" si="50"/>
        <v>PERCENTAGE</v>
      </c>
    </row>
    <row r="367" spans="1:16" s="6" customFormat="1" x14ac:dyDescent="0.25">
      <c r="A367" s="7" t="str">
        <f t="shared" si="48"/>
        <v>2024 ALL D75</v>
      </c>
      <c r="B367" s="8">
        <f t="shared" si="49"/>
        <v>46104</v>
      </c>
      <c r="C367" s="8">
        <f t="shared" si="53"/>
        <v>46113</v>
      </c>
      <c r="D367" s="7">
        <v>3272</v>
      </c>
      <c r="E367" s="7">
        <v>336</v>
      </c>
      <c r="F367" s="7">
        <v>4</v>
      </c>
      <c r="G367" s="7">
        <v>1</v>
      </c>
      <c r="H367" s="7">
        <v>81379</v>
      </c>
      <c r="I367" s="7" t="s">
        <v>16</v>
      </c>
      <c r="J367" s="7">
        <v>15499633</v>
      </c>
      <c r="K367" s="7" t="s">
        <v>454</v>
      </c>
      <c r="L367" s="7" t="s">
        <v>456</v>
      </c>
      <c r="M367" s="9">
        <v>149900</v>
      </c>
      <c r="N367" s="10">
        <f t="shared" si="46"/>
        <v>0.75</v>
      </c>
      <c r="O367" s="9">
        <f t="shared" si="47"/>
        <v>37475</v>
      </c>
      <c r="P367" s="9" t="str">
        <f t="shared" si="50"/>
        <v>PERCENTAGE</v>
      </c>
    </row>
    <row r="368" spans="1:16" s="6" customFormat="1" x14ac:dyDescent="0.25">
      <c r="A368" s="7" t="str">
        <f t="shared" si="48"/>
        <v>2024 ALL D75</v>
      </c>
      <c r="B368" s="8">
        <f t="shared" si="49"/>
        <v>46104</v>
      </c>
      <c r="C368" s="8">
        <f t="shared" si="53"/>
        <v>46113</v>
      </c>
      <c r="D368" s="7">
        <v>3272</v>
      </c>
      <c r="E368" s="7">
        <v>336</v>
      </c>
      <c r="F368" s="7">
        <v>4</v>
      </c>
      <c r="G368" s="7">
        <v>1</v>
      </c>
      <c r="H368" s="7">
        <v>81379</v>
      </c>
      <c r="I368" s="7" t="s">
        <v>16</v>
      </c>
      <c r="J368" s="7">
        <v>15499642</v>
      </c>
      <c r="K368" s="7" t="s">
        <v>454</v>
      </c>
      <c r="L368" s="7" t="s">
        <v>457</v>
      </c>
      <c r="M368" s="9">
        <v>149900</v>
      </c>
      <c r="N368" s="10">
        <f t="shared" si="46"/>
        <v>0.75</v>
      </c>
      <c r="O368" s="9">
        <f t="shared" si="47"/>
        <v>37475</v>
      </c>
      <c r="P368" s="9" t="str">
        <f t="shared" si="50"/>
        <v>PERCENTAGE</v>
      </c>
    </row>
    <row r="369" spans="1:16" s="6" customFormat="1" x14ac:dyDescent="0.25">
      <c r="A369" s="7" t="str">
        <f t="shared" si="48"/>
        <v>2024 ALL D75</v>
      </c>
      <c r="B369" s="8">
        <f t="shared" si="49"/>
        <v>46104</v>
      </c>
      <c r="C369" s="8">
        <f t="shared" si="53"/>
        <v>46113</v>
      </c>
      <c r="D369" s="7">
        <v>3272</v>
      </c>
      <c r="E369" s="7">
        <v>336</v>
      </c>
      <c r="F369" s="7">
        <v>4</v>
      </c>
      <c r="G369" s="7">
        <v>1</v>
      </c>
      <c r="H369" s="7">
        <v>81379</v>
      </c>
      <c r="I369" s="7" t="s">
        <v>16</v>
      </c>
      <c r="J369" s="7">
        <v>15499651</v>
      </c>
      <c r="K369" s="7" t="s">
        <v>454</v>
      </c>
      <c r="L369" s="7" t="s">
        <v>458</v>
      </c>
      <c r="M369" s="9">
        <v>149900</v>
      </c>
      <c r="N369" s="10">
        <f t="shared" si="46"/>
        <v>0.75</v>
      </c>
      <c r="O369" s="9">
        <f t="shared" si="47"/>
        <v>37475</v>
      </c>
      <c r="P369" s="9" t="str">
        <f t="shared" si="50"/>
        <v>PERCENTAGE</v>
      </c>
    </row>
    <row r="370" spans="1:16" s="6" customFormat="1" x14ac:dyDescent="0.25">
      <c r="A370" s="7" t="str">
        <f t="shared" si="48"/>
        <v>2024 ALL D75</v>
      </c>
      <c r="B370" s="8">
        <f t="shared" si="49"/>
        <v>46104</v>
      </c>
      <c r="C370" s="8">
        <f t="shared" si="53"/>
        <v>46113</v>
      </c>
      <c r="D370" s="7">
        <v>3272</v>
      </c>
      <c r="E370" s="7">
        <v>336</v>
      </c>
      <c r="F370" s="7">
        <v>4</v>
      </c>
      <c r="G370" s="7">
        <v>1</v>
      </c>
      <c r="H370" s="7">
        <v>81379</v>
      </c>
      <c r="I370" s="7" t="s">
        <v>16</v>
      </c>
      <c r="J370" s="7">
        <v>15499660</v>
      </c>
      <c r="K370" s="7" t="s">
        <v>454</v>
      </c>
      <c r="L370" s="7" t="s">
        <v>459</v>
      </c>
      <c r="M370" s="9">
        <v>149900</v>
      </c>
      <c r="N370" s="10">
        <f t="shared" si="46"/>
        <v>0.75</v>
      </c>
      <c r="O370" s="9">
        <f t="shared" si="47"/>
        <v>37475</v>
      </c>
      <c r="P370" s="9" t="str">
        <f t="shared" si="50"/>
        <v>PERCENTAGE</v>
      </c>
    </row>
    <row r="371" spans="1:16" s="6" customFormat="1" x14ac:dyDescent="0.25">
      <c r="A371" s="7" t="str">
        <f t="shared" si="48"/>
        <v>2024 ALL D75</v>
      </c>
      <c r="B371" s="8">
        <f t="shared" si="49"/>
        <v>46104</v>
      </c>
      <c r="C371" s="8">
        <f t="shared" si="53"/>
        <v>46113</v>
      </c>
      <c r="D371" s="7">
        <v>3272</v>
      </c>
      <c r="E371" s="7">
        <v>336</v>
      </c>
      <c r="F371" s="7">
        <v>4</v>
      </c>
      <c r="G371" s="7">
        <v>1</v>
      </c>
      <c r="H371" s="7">
        <v>81379</v>
      </c>
      <c r="I371" s="7" t="s">
        <v>16</v>
      </c>
      <c r="J371" s="7">
        <v>19119803</v>
      </c>
      <c r="K371" s="7" t="s">
        <v>460</v>
      </c>
      <c r="L371" s="7" t="s">
        <v>461</v>
      </c>
      <c r="M371" s="9">
        <v>149900</v>
      </c>
      <c r="N371" s="10">
        <f t="shared" si="46"/>
        <v>0.75</v>
      </c>
      <c r="O371" s="9">
        <f t="shared" si="47"/>
        <v>37475</v>
      </c>
      <c r="P371" s="9" t="str">
        <f t="shared" si="50"/>
        <v>PERCENTAGE</v>
      </c>
    </row>
    <row r="372" spans="1:16" s="6" customFormat="1" x14ac:dyDescent="0.25">
      <c r="A372" s="7" t="str">
        <f t="shared" si="48"/>
        <v>2024 ALL D75</v>
      </c>
      <c r="B372" s="8">
        <f t="shared" si="49"/>
        <v>46104</v>
      </c>
      <c r="C372" s="8">
        <f t="shared" si="53"/>
        <v>46113</v>
      </c>
      <c r="D372" s="7">
        <v>3272</v>
      </c>
      <c r="E372" s="7">
        <v>336</v>
      </c>
      <c r="F372" s="7">
        <v>4</v>
      </c>
      <c r="G372" s="7">
        <v>1</v>
      </c>
      <c r="H372" s="7">
        <v>81379</v>
      </c>
      <c r="I372" s="7" t="s">
        <v>16</v>
      </c>
      <c r="J372" s="7">
        <v>19119812</v>
      </c>
      <c r="K372" s="7" t="s">
        <v>460</v>
      </c>
      <c r="L372" s="7" t="s">
        <v>462</v>
      </c>
      <c r="M372" s="9">
        <v>149900</v>
      </c>
      <c r="N372" s="10">
        <f t="shared" si="46"/>
        <v>0.75</v>
      </c>
      <c r="O372" s="9">
        <f t="shared" si="47"/>
        <v>37475</v>
      </c>
      <c r="P372" s="9" t="str">
        <f t="shared" si="50"/>
        <v>PERCENTAGE</v>
      </c>
    </row>
    <row r="373" spans="1:16" s="6" customFormat="1" x14ac:dyDescent="0.25">
      <c r="A373" s="7" t="str">
        <f t="shared" si="48"/>
        <v>2024 ALL D75</v>
      </c>
      <c r="B373" s="8">
        <f t="shared" si="49"/>
        <v>46104</v>
      </c>
      <c r="C373" s="8">
        <f t="shared" si="53"/>
        <v>46113</v>
      </c>
      <c r="D373" s="7">
        <v>3272</v>
      </c>
      <c r="E373" s="7">
        <v>336</v>
      </c>
      <c r="F373" s="7">
        <v>4</v>
      </c>
      <c r="G373" s="7">
        <v>1</v>
      </c>
      <c r="H373" s="7">
        <v>81379</v>
      </c>
      <c r="I373" s="7" t="s">
        <v>16</v>
      </c>
      <c r="J373" s="7">
        <v>19119821</v>
      </c>
      <c r="K373" s="7" t="s">
        <v>460</v>
      </c>
      <c r="L373" s="7" t="s">
        <v>463</v>
      </c>
      <c r="M373" s="9">
        <v>149900</v>
      </c>
      <c r="N373" s="10">
        <f t="shared" si="46"/>
        <v>0.75</v>
      </c>
      <c r="O373" s="9">
        <f t="shared" si="47"/>
        <v>37475</v>
      </c>
      <c r="P373" s="9" t="str">
        <f t="shared" si="50"/>
        <v>PERCENTAGE</v>
      </c>
    </row>
    <row r="374" spans="1:16" s="6" customFormat="1" x14ac:dyDescent="0.25">
      <c r="A374" s="7" t="str">
        <f t="shared" si="48"/>
        <v>2024 ALL D75</v>
      </c>
      <c r="B374" s="8">
        <f t="shared" si="49"/>
        <v>46104</v>
      </c>
      <c r="C374" s="8">
        <f t="shared" si="53"/>
        <v>46113</v>
      </c>
      <c r="D374" s="7">
        <v>3272</v>
      </c>
      <c r="E374" s="7">
        <v>336</v>
      </c>
      <c r="F374" s="7">
        <v>4</v>
      </c>
      <c r="G374" s="7">
        <v>1</v>
      </c>
      <c r="H374" s="7">
        <v>81379</v>
      </c>
      <c r="I374" s="7" t="s">
        <v>16</v>
      </c>
      <c r="J374" s="7">
        <v>19119830</v>
      </c>
      <c r="K374" s="7" t="s">
        <v>460</v>
      </c>
      <c r="L374" s="7" t="s">
        <v>464</v>
      </c>
      <c r="M374" s="9">
        <v>149900</v>
      </c>
      <c r="N374" s="10">
        <f t="shared" si="46"/>
        <v>0.75</v>
      </c>
      <c r="O374" s="9">
        <f t="shared" si="47"/>
        <v>37475</v>
      </c>
      <c r="P374" s="9" t="str">
        <f t="shared" si="50"/>
        <v>PERCENTAGE</v>
      </c>
    </row>
    <row r="375" spans="1:16" s="6" customFormat="1" x14ac:dyDescent="0.25">
      <c r="A375" s="7" t="str">
        <f t="shared" si="48"/>
        <v>2024 ALL D75</v>
      </c>
      <c r="B375" s="8">
        <f t="shared" si="49"/>
        <v>46104</v>
      </c>
      <c r="C375" s="8">
        <f t="shared" si="53"/>
        <v>46113</v>
      </c>
      <c r="D375" s="7">
        <v>3272</v>
      </c>
      <c r="E375" s="7">
        <v>336</v>
      </c>
      <c r="F375" s="7">
        <v>4</v>
      </c>
      <c r="G375" s="7">
        <v>1</v>
      </c>
      <c r="H375" s="7">
        <v>81379</v>
      </c>
      <c r="I375" s="7" t="s">
        <v>16</v>
      </c>
      <c r="J375" s="7">
        <v>19119849</v>
      </c>
      <c r="K375" s="7" t="s">
        <v>460</v>
      </c>
      <c r="L375" s="7" t="s">
        <v>465</v>
      </c>
      <c r="M375" s="9">
        <v>149900</v>
      </c>
      <c r="N375" s="10">
        <f t="shared" si="46"/>
        <v>0.75</v>
      </c>
      <c r="O375" s="9">
        <f t="shared" si="47"/>
        <v>37475</v>
      </c>
      <c r="P375" s="9" t="str">
        <f t="shared" si="50"/>
        <v>PERCENTAGE</v>
      </c>
    </row>
    <row r="376" spans="1:16" s="6" customFormat="1" x14ac:dyDescent="0.25">
      <c r="A376" s="7" t="str">
        <f t="shared" si="48"/>
        <v>2024 ALL D75</v>
      </c>
      <c r="B376" s="8">
        <f t="shared" si="49"/>
        <v>46104</v>
      </c>
      <c r="C376" s="8">
        <f t="shared" si="53"/>
        <v>46113</v>
      </c>
      <c r="D376" s="7">
        <v>3272</v>
      </c>
      <c r="E376" s="7">
        <v>336</v>
      </c>
      <c r="F376" s="7">
        <v>4</v>
      </c>
      <c r="G376" s="7">
        <v>1</v>
      </c>
      <c r="H376" s="7">
        <v>81379</v>
      </c>
      <c r="I376" s="7" t="s">
        <v>16</v>
      </c>
      <c r="J376" s="7">
        <v>18967498</v>
      </c>
      <c r="K376" s="7" t="s">
        <v>466</v>
      </c>
      <c r="L376" s="7" t="s">
        <v>467</v>
      </c>
      <c r="M376" s="9">
        <v>139900</v>
      </c>
      <c r="N376" s="10">
        <f t="shared" si="46"/>
        <v>0.75</v>
      </c>
      <c r="O376" s="9">
        <f t="shared" si="47"/>
        <v>34975</v>
      </c>
      <c r="P376" s="9" t="str">
        <f t="shared" si="50"/>
        <v>PERCENTAGE</v>
      </c>
    </row>
    <row r="377" spans="1:16" s="6" customFormat="1" x14ac:dyDescent="0.25">
      <c r="A377" s="7" t="str">
        <f t="shared" si="48"/>
        <v>2024 ALL D75</v>
      </c>
      <c r="B377" s="8">
        <f t="shared" si="49"/>
        <v>46104</v>
      </c>
      <c r="C377" s="8">
        <f t="shared" si="53"/>
        <v>46113</v>
      </c>
      <c r="D377" s="7">
        <v>3272</v>
      </c>
      <c r="E377" s="7">
        <v>336</v>
      </c>
      <c r="F377" s="7">
        <v>4</v>
      </c>
      <c r="G377" s="7">
        <v>1</v>
      </c>
      <c r="H377" s="7">
        <v>81379</v>
      </c>
      <c r="I377" s="7" t="s">
        <v>16</v>
      </c>
      <c r="J377" s="7">
        <v>18967505</v>
      </c>
      <c r="K377" s="7" t="s">
        <v>466</v>
      </c>
      <c r="L377" s="7" t="s">
        <v>468</v>
      </c>
      <c r="M377" s="9">
        <v>139900</v>
      </c>
      <c r="N377" s="10">
        <f t="shared" si="46"/>
        <v>0.75</v>
      </c>
      <c r="O377" s="9">
        <f t="shared" si="47"/>
        <v>34975</v>
      </c>
      <c r="P377" s="9" t="str">
        <f t="shared" si="50"/>
        <v>PERCENTAGE</v>
      </c>
    </row>
    <row r="378" spans="1:16" s="6" customFormat="1" x14ac:dyDescent="0.25">
      <c r="A378" s="7" t="str">
        <f t="shared" si="48"/>
        <v>2024 ALL D75</v>
      </c>
      <c r="B378" s="8">
        <f t="shared" si="49"/>
        <v>46104</v>
      </c>
      <c r="C378" s="8">
        <f t="shared" si="53"/>
        <v>46113</v>
      </c>
      <c r="D378" s="7">
        <v>3272</v>
      </c>
      <c r="E378" s="7">
        <v>336</v>
      </c>
      <c r="F378" s="7">
        <v>4</v>
      </c>
      <c r="G378" s="7">
        <v>1</v>
      </c>
      <c r="H378" s="7">
        <v>81379</v>
      </c>
      <c r="I378" s="7" t="s">
        <v>16</v>
      </c>
      <c r="J378" s="7">
        <v>18967514</v>
      </c>
      <c r="K378" s="7" t="s">
        <v>466</v>
      </c>
      <c r="L378" s="7" t="s">
        <v>469</v>
      </c>
      <c r="M378" s="9">
        <v>139900</v>
      </c>
      <c r="N378" s="10">
        <f t="shared" si="46"/>
        <v>0.75</v>
      </c>
      <c r="O378" s="9">
        <f t="shared" si="47"/>
        <v>34975</v>
      </c>
      <c r="P378" s="9" t="str">
        <f t="shared" si="50"/>
        <v>PERCENTAGE</v>
      </c>
    </row>
    <row r="379" spans="1:16" s="6" customFormat="1" x14ac:dyDescent="0.25">
      <c r="A379" s="7" t="str">
        <f t="shared" si="48"/>
        <v>2024 ALL D75</v>
      </c>
      <c r="B379" s="8">
        <f t="shared" si="49"/>
        <v>46104</v>
      </c>
      <c r="C379" s="8">
        <f t="shared" ref="C379:C394" si="54">C378</f>
        <v>46113</v>
      </c>
      <c r="D379" s="7">
        <v>3272</v>
      </c>
      <c r="E379" s="7">
        <v>336</v>
      </c>
      <c r="F379" s="7">
        <v>4</v>
      </c>
      <c r="G379" s="7">
        <v>1</v>
      </c>
      <c r="H379" s="7">
        <v>81379</v>
      </c>
      <c r="I379" s="7" t="s">
        <v>16</v>
      </c>
      <c r="J379" s="7">
        <v>18967523</v>
      </c>
      <c r="K379" s="7" t="s">
        <v>466</v>
      </c>
      <c r="L379" s="7" t="s">
        <v>470</v>
      </c>
      <c r="M379" s="9">
        <v>139900</v>
      </c>
      <c r="N379" s="10">
        <f t="shared" si="46"/>
        <v>0.75</v>
      </c>
      <c r="O379" s="9">
        <f t="shared" si="47"/>
        <v>34975</v>
      </c>
      <c r="P379" s="9" t="str">
        <f t="shared" si="50"/>
        <v>PERCENTAGE</v>
      </c>
    </row>
    <row r="380" spans="1:16" s="6" customFormat="1" x14ac:dyDescent="0.25">
      <c r="A380" s="7" t="str">
        <f t="shared" si="48"/>
        <v>2024 ALL D75</v>
      </c>
      <c r="B380" s="8">
        <f t="shared" si="49"/>
        <v>46104</v>
      </c>
      <c r="C380" s="8">
        <f t="shared" si="54"/>
        <v>46113</v>
      </c>
      <c r="D380" s="7">
        <v>3272</v>
      </c>
      <c r="E380" s="7">
        <v>336</v>
      </c>
      <c r="F380" s="7">
        <v>4</v>
      </c>
      <c r="G380" s="7">
        <v>1</v>
      </c>
      <c r="H380" s="7">
        <v>81379</v>
      </c>
      <c r="I380" s="7" t="s">
        <v>16</v>
      </c>
      <c r="J380" s="7">
        <v>18967532</v>
      </c>
      <c r="K380" s="7" t="s">
        <v>471</v>
      </c>
      <c r="L380" s="7" t="s">
        <v>472</v>
      </c>
      <c r="M380" s="9">
        <v>139900</v>
      </c>
      <c r="N380" s="10">
        <f t="shared" si="46"/>
        <v>0.75</v>
      </c>
      <c r="O380" s="9">
        <f t="shared" si="47"/>
        <v>34975</v>
      </c>
      <c r="P380" s="9" t="str">
        <f t="shared" si="50"/>
        <v>PERCENTAGE</v>
      </c>
    </row>
    <row r="381" spans="1:16" s="6" customFormat="1" x14ac:dyDescent="0.25">
      <c r="A381" s="7" t="str">
        <f t="shared" si="48"/>
        <v>2024 ALL D75</v>
      </c>
      <c r="B381" s="8">
        <f t="shared" si="49"/>
        <v>46104</v>
      </c>
      <c r="C381" s="8">
        <f t="shared" si="54"/>
        <v>46113</v>
      </c>
      <c r="D381" s="7">
        <v>3272</v>
      </c>
      <c r="E381" s="7">
        <v>336</v>
      </c>
      <c r="F381" s="7">
        <v>4</v>
      </c>
      <c r="G381" s="7">
        <v>1</v>
      </c>
      <c r="H381" s="7">
        <v>81379</v>
      </c>
      <c r="I381" s="7" t="s">
        <v>16</v>
      </c>
      <c r="J381" s="7">
        <v>18967541</v>
      </c>
      <c r="K381" s="7" t="s">
        <v>471</v>
      </c>
      <c r="L381" s="7" t="s">
        <v>473</v>
      </c>
      <c r="M381" s="9">
        <v>139900</v>
      </c>
      <c r="N381" s="10">
        <f t="shared" si="46"/>
        <v>0.75</v>
      </c>
      <c r="O381" s="9">
        <f t="shared" si="47"/>
        <v>34975</v>
      </c>
      <c r="P381" s="9" t="str">
        <f t="shared" si="50"/>
        <v>PERCENTAGE</v>
      </c>
    </row>
    <row r="382" spans="1:16" s="6" customFormat="1" x14ac:dyDescent="0.25">
      <c r="A382" s="7" t="str">
        <f t="shared" si="48"/>
        <v>2024 ALL D75</v>
      </c>
      <c r="B382" s="8">
        <f t="shared" si="49"/>
        <v>46104</v>
      </c>
      <c r="C382" s="8">
        <f t="shared" si="54"/>
        <v>46113</v>
      </c>
      <c r="D382" s="7">
        <v>3272</v>
      </c>
      <c r="E382" s="7">
        <v>336</v>
      </c>
      <c r="F382" s="7">
        <v>4</v>
      </c>
      <c r="G382" s="7">
        <v>1</v>
      </c>
      <c r="H382" s="7">
        <v>81379</v>
      </c>
      <c r="I382" s="7" t="s">
        <v>16</v>
      </c>
      <c r="J382" s="7">
        <v>18967550</v>
      </c>
      <c r="K382" s="7" t="s">
        <v>471</v>
      </c>
      <c r="L382" s="7" t="s">
        <v>474</v>
      </c>
      <c r="M382" s="9">
        <v>139900</v>
      </c>
      <c r="N382" s="10">
        <f t="shared" si="46"/>
        <v>0.75</v>
      </c>
      <c r="O382" s="9">
        <f t="shared" si="47"/>
        <v>34975</v>
      </c>
      <c r="P382" s="9" t="str">
        <f t="shared" si="50"/>
        <v>PERCENTAGE</v>
      </c>
    </row>
    <row r="383" spans="1:16" s="6" customFormat="1" x14ac:dyDescent="0.25">
      <c r="A383" s="7" t="str">
        <f t="shared" si="48"/>
        <v>2024 ALL D75</v>
      </c>
      <c r="B383" s="8">
        <f t="shared" si="49"/>
        <v>46104</v>
      </c>
      <c r="C383" s="8">
        <f t="shared" si="54"/>
        <v>46113</v>
      </c>
      <c r="D383" s="7">
        <v>3272</v>
      </c>
      <c r="E383" s="7">
        <v>336</v>
      </c>
      <c r="F383" s="7">
        <v>4</v>
      </c>
      <c r="G383" s="7">
        <v>1</v>
      </c>
      <c r="H383" s="7">
        <v>81379</v>
      </c>
      <c r="I383" s="7" t="s">
        <v>16</v>
      </c>
      <c r="J383" s="7">
        <v>18967569</v>
      </c>
      <c r="K383" s="7" t="s">
        <v>471</v>
      </c>
      <c r="L383" s="7" t="s">
        <v>475</v>
      </c>
      <c r="M383" s="9">
        <v>139900</v>
      </c>
      <c r="N383" s="10">
        <f t="shared" si="46"/>
        <v>0.75</v>
      </c>
      <c r="O383" s="9">
        <f t="shared" si="47"/>
        <v>34975</v>
      </c>
      <c r="P383" s="9" t="str">
        <f t="shared" si="50"/>
        <v>PERCENTAGE</v>
      </c>
    </row>
    <row r="384" spans="1:16" s="6" customFormat="1" x14ac:dyDescent="0.25">
      <c r="A384" s="7" t="str">
        <f t="shared" si="48"/>
        <v>2024 ALL D75</v>
      </c>
      <c r="B384" s="8">
        <f t="shared" si="49"/>
        <v>46104</v>
      </c>
      <c r="C384" s="8">
        <f t="shared" si="54"/>
        <v>46113</v>
      </c>
      <c r="D384" s="7">
        <v>3272</v>
      </c>
      <c r="E384" s="7">
        <v>336</v>
      </c>
      <c r="F384" s="7">
        <v>4</v>
      </c>
      <c r="G384" s="7">
        <v>1</v>
      </c>
      <c r="H384" s="7">
        <v>81379</v>
      </c>
      <c r="I384" s="7" t="s">
        <v>16</v>
      </c>
      <c r="J384" s="7">
        <v>16624076</v>
      </c>
      <c r="K384" s="7" t="s">
        <v>429</v>
      </c>
      <c r="L384" s="7" t="s">
        <v>476</v>
      </c>
      <c r="M384" s="9">
        <v>149900</v>
      </c>
      <c r="N384" s="10">
        <f t="shared" si="46"/>
        <v>0.75</v>
      </c>
      <c r="O384" s="9">
        <f t="shared" si="47"/>
        <v>37475</v>
      </c>
      <c r="P384" s="9" t="str">
        <f t="shared" si="50"/>
        <v>PERCENTAGE</v>
      </c>
    </row>
    <row r="385" spans="1:16" s="6" customFormat="1" x14ac:dyDescent="0.25">
      <c r="A385" s="7" t="str">
        <f t="shared" si="48"/>
        <v>2024 ALL D75</v>
      </c>
      <c r="B385" s="8">
        <f t="shared" si="49"/>
        <v>46104</v>
      </c>
      <c r="C385" s="8">
        <f t="shared" si="54"/>
        <v>46113</v>
      </c>
      <c r="D385" s="7">
        <v>3272</v>
      </c>
      <c r="E385" s="7">
        <v>336</v>
      </c>
      <c r="F385" s="7">
        <v>4</v>
      </c>
      <c r="G385" s="7">
        <v>1</v>
      </c>
      <c r="H385" s="7">
        <v>81379</v>
      </c>
      <c r="I385" s="7" t="s">
        <v>16</v>
      </c>
      <c r="J385" s="7">
        <v>16624085</v>
      </c>
      <c r="K385" s="7" t="s">
        <v>429</v>
      </c>
      <c r="L385" s="7" t="s">
        <v>477</v>
      </c>
      <c r="M385" s="9">
        <v>149900</v>
      </c>
      <c r="N385" s="10">
        <f t="shared" si="46"/>
        <v>0.75</v>
      </c>
      <c r="O385" s="9">
        <f t="shared" si="47"/>
        <v>37475</v>
      </c>
      <c r="P385" s="9" t="str">
        <f t="shared" si="50"/>
        <v>PERCENTAGE</v>
      </c>
    </row>
    <row r="386" spans="1:16" s="6" customFormat="1" x14ac:dyDescent="0.25">
      <c r="A386" s="7" t="str">
        <f t="shared" si="48"/>
        <v>2024 ALL D75</v>
      </c>
      <c r="B386" s="8">
        <f t="shared" si="49"/>
        <v>46104</v>
      </c>
      <c r="C386" s="8">
        <f t="shared" si="54"/>
        <v>46113</v>
      </c>
      <c r="D386" s="7">
        <v>3272</v>
      </c>
      <c r="E386" s="7">
        <v>336</v>
      </c>
      <c r="F386" s="7">
        <v>4</v>
      </c>
      <c r="G386" s="7">
        <v>1</v>
      </c>
      <c r="H386" s="7">
        <v>81379</v>
      </c>
      <c r="I386" s="7" t="s">
        <v>16</v>
      </c>
      <c r="J386" s="7">
        <v>16624094</v>
      </c>
      <c r="K386" s="7" t="s">
        <v>429</v>
      </c>
      <c r="L386" s="7" t="s">
        <v>478</v>
      </c>
      <c r="M386" s="9">
        <v>149900</v>
      </c>
      <c r="N386" s="10">
        <f t="shared" si="46"/>
        <v>0.75</v>
      </c>
      <c r="O386" s="9">
        <f t="shared" si="47"/>
        <v>37475</v>
      </c>
      <c r="P386" s="9" t="str">
        <f t="shared" si="50"/>
        <v>PERCENTAGE</v>
      </c>
    </row>
    <row r="387" spans="1:16" s="6" customFormat="1" x14ac:dyDescent="0.25">
      <c r="A387" s="7" t="str">
        <f t="shared" si="48"/>
        <v>2024 ALL D75</v>
      </c>
      <c r="B387" s="8">
        <f t="shared" si="49"/>
        <v>46104</v>
      </c>
      <c r="C387" s="8">
        <f t="shared" si="54"/>
        <v>46113</v>
      </c>
      <c r="D387" s="7">
        <v>3272</v>
      </c>
      <c r="E387" s="7">
        <v>336</v>
      </c>
      <c r="F387" s="7">
        <v>4</v>
      </c>
      <c r="G387" s="7">
        <v>1</v>
      </c>
      <c r="H387" s="7">
        <v>81379</v>
      </c>
      <c r="I387" s="7" t="s">
        <v>16</v>
      </c>
      <c r="J387" s="7">
        <v>16624101</v>
      </c>
      <c r="K387" s="7" t="s">
        <v>429</v>
      </c>
      <c r="L387" s="7" t="s">
        <v>479</v>
      </c>
      <c r="M387" s="9">
        <v>149900</v>
      </c>
      <c r="N387" s="10">
        <f t="shared" ref="N387:N450" si="55">N386</f>
        <v>0.75</v>
      </c>
      <c r="O387" s="9">
        <f t="shared" ref="O387:O450" si="56">M387-((75*M387))/100</f>
        <v>37475</v>
      </c>
      <c r="P387" s="9" t="str">
        <f t="shared" si="50"/>
        <v>PERCENTAGE</v>
      </c>
    </row>
    <row r="388" spans="1:16" s="6" customFormat="1" x14ac:dyDescent="0.25">
      <c r="A388" s="7" t="str">
        <f t="shared" ref="A388:A451" si="57">A387</f>
        <v>2024 ALL D75</v>
      </c>
      <c r="B388" s="8">
        <f t="shared" ref="B388:B451" si="58">B387</f>
        <v>46104</v>
      </c>
      <c r="C388" s="8">
        <f t="shared" si="54"/>
        <v>46113</v>
      </c>
      <c r="D388" s="7">
        <v>3272</v>
      </c>
      <c r="E388" s="7">
        <v>336</v>
      </c>
      <c r="F388" s="7">
        <v>4</v>
      </c>
      <c r="G388" s="7">
        <v>1</v>
      </c>
      <c r="H388" s="7">
        <v>81379</v>
      </c>
      <c r="I388" s="7" t="s">
        <v>16</v>
      </c>
      <c r="J388" s="7">
        <v>16624110</v>
      </c>
      <c r="K388" s="7" t="s">
        <v>429</v>
      </c>
      <c r="L388" s="7" t="s">
        <v>480</v>
      </c>
      <c r="M388" s="9">
        <v>149900</v>
      </c>
      <c r="N388" s="10">
        <f t="shared" si="55"/>
        <v>0.75</v>
      </c>
      <c r="O388" s="9">
        <f t="shared" si="56"/>
        <v>37475</v>
      </c>
      <c r="P388" s="9" t="str">
        <f t="shared" ref="P388:P451" si="59">P387</f>
        <v>PERCENTAGE</v>
      </c>
    </row>
    <row r="389" spans="1:16" s="6" customFormat="1" x14ac:dyDescent="0.25">
      <c r="A389" s="7" t="str">
        <f t="shared" si="57"/>
        <v>2024 ALL D75</v>
      </c>
      <c r="B389" s="8">
        <f t="shared" si="58"/>
        <v>46104</v>
      </c>
      <c r="C389" s="8">
        <f t="shared" si="54"/>
        <v>46113</v>
      </c>
      <c r="D389" s="7">
        <v>3272</v>
      </c>
      <c r="E389" s="7">
        <v>336</v>
      </c>
      <c r="F389" s="7">
        <v>4</v>
      </c>
      <c r="G389" s="7">
        <v>1</v>
      </c>
      <c r="H389" s="7">
        <v>81379</v>
      </c>
      <c r="I389" s="7" t="s">
        <v>16</v>
      </c>
      <c r="J389" s="7">
        <v>18659437</v>
      </c>
      <c r="K389" s="7" t="s">
        <v>433</v>
      </c>
      <c r="L389" s="7" t="s">
        <v>481</v>
      </c>
      <c r="M389" s="9">
        <v>139900</v>
      </c>
      <c r="N389" s="10">
        <f t="shared" si="55"/>
        <v>0.75</v>
      </c>
      <c r="O389" s="9">
        <f t="shared" si="56"/>
        <v>34975</v>
      </c>
      <c r="P389" s="9" t="str">
        <f t="shared" si="59"/>
        <v>PERCENTAGE</v>
      </c>
    </row>
    <row r="390" spans="1:16" s="6" customFormat="1" x14ac:dyDescent="0.25">
      <c r="A390" s="7" t="str">
        <f t="shared" si="57"/>
        <v>2024 ALL D75</v>
      </c>
      <c r="B390" s="8">
        <f t="shared" si="58"/>
        <v>46104</v>
      </c>
      <c r="C390" s="8">
        <f t="shared" si="54"/>
        <v>46113</v>
      </c>
      <c r="D390" s="7">
        <v>3272</v>
      </c>
      <c r="E390" s="7">
        <v>336</v>
      </c>
      <c r="F390" s="7">
        <v>4</v>
      </c>
      <c r="G390" s="7">
        <v>1</v>
      </c>
      <c r="H390" s="7">
        <v>81379</v>
      </c>
      <c r="I390" s="7" t="s">
        <v>16</v>
      </c>
      <c r="J390" s="7">
        <v>18659446</v>
      </c>
      <c r="K390" s="7" t="s">
        <v>433</v>
      </c>
      <c r="L390" s="7" t="s">
        <v>482</v>
      </c>
      <c r="M390" s="9">
        <v>139900</v>
      </c>
      <c r="N390" s="10">
        <f t="shared" si="55"/>
        <v>0.75</v>
      </c>
      <c r="O390" s="9">
        <f t="shared" si="56"/>
        <v>34975</v>
      </c>
      <c r="P390" s="9" t="str">
        <f t="shared" si="59"/>
        <v>PERCENTAGE</v>
      </c>
    </row>
    <row r="391" spans="1:16" s="6" customFormat="1" x14ac:dyDescent="0.25">
      <c r="A391" s="7" t="str">
        <f t="shared" si="57"/>
        <v>2024 ALL D75</v>
      </c>
      <c r="B391" s="8">
        <f t="shared" si="58"/>
        <v>46104</v>
      </c>
      <c r="C391" s="8">
        <f t="shared" si="54"/>
        <v>46113</v>
      </c>
      <c r="D391" s="7">
        <v>3272</v>
      </c>
      <c r="E391" s="7">
        <v>336</v>
      </c>
      <c r="F391" s="7">
        <v>4</v>
      </c>
      <c r="G391" s="7">
        <v>1</v>
      </c>
      <c r="H391" s="7">
        <v>81379</v>
      </c>
      <c r="I391" s="7" t="s">
        <v>16</v>
      </c>
      <c r="J391" s="7">
        <v>18659455</v>
      </c>
      <c r="K391" s="7" t="s">
        <v>433</v>
      </c>
      <c r="L391" s="7" t="s">
        <v>483</v>
      </c>
      <c r="M391" s="9">
        <v>139900</v>
      </c>
      <c r="N391" s="10">
        <f t="shared" si="55"/>
        <v>0.75</v>
      </c>
      <c r="O391" s="9">
        <f t="shared" si="56"/>
        <v>34975</v>
      </c>
      <c r="P391" s="9" t="str">
        <f t="shared" si="59"/>
        <v>PERCENTAGE</v>
      </c>
    </row>
    <row r="392" spans="1:16" s="6" customFormat="1" x14ac:dyDescent="0.25">
      <c r="A392" s="7" t="str">
        <f t="shared" si="57"/>
        <v>2024 ALL D75</v>
      </c>
      <c r="B392" s="8">
        <f t="shared" si="58"/>
        <v>46104</v>
      </c>
      <c r="C392" s="8">
        <f t="shared" si="54"/>
        <v>46113</v>
      </c>
      <c r="D392" s="7">
        <v>3272</v>
      </c>
      <c r="E392" s="7">
        <v>336</v>
      </c>
      <c r="F392" s="7">
        <v>4</v>
      </c>
      <c r="G392" s="7">
        <v>1</v>
      </c>
      <c r="H392" s="7">
        <v>81379</v>
      </c>
      <c r="I392" s="7" t="s">
        <v>16</v>
      </c>
      <c r="J392" s="7">
        <v>18659482</v>
      </c>
      <c r="K392" s="7" t="s">
        <v>433</v>
      </c>
      <c r="L392" s="7" t="s">
        <v>484</v>
      </c>
      <c r="M392" s="9">
        <v>139900</v>
      </c>
      <c r="N392" s="10">
        <f t="shared" si="55"/>
        <v>0.75</v>
      </c>
      <c r="O392" s="9">
        <f t="shared" si="56"/>
        <v>34975</v>
      </c>
      <c r="P392" s="9" t="str">
        <f t="shared" si="59"/>
        <v>PERCENTAGE</v>
      </c>
    </row>
    <row r="393" spans="1:16" s="6" customFormat="1" x14ac:dyDescent="0.25">
      <c r="A393" s="7" t="str">
        <f t="shared" si="57"/>
        <v>2024 ALL D75</v>
      </c>
      <c r="B393" s="8">
        <f t="shared" si="58"/>
        <v>46104</v>
      </c>
      <c r="C393" s="8">
        <f t="shared" si="54"/>
        <v>46113</v>
      </c>
      <c r="D393" s="7">
        <v>3272</v>
      </c>
      <c r="E393" s="7">
        <v>336</v>
      </c>
      <c r="F393" s="7">
        <v>4</v>
      </c>
      <c r="G393" s="7">
        <v>1</v>
      </c>
      <c r="H393" s="7">
        <v>81379</v>
      </c>
      <c r="I393" s="7" t="s">
        <v>16</v>
      </c>
      <c r="J393" s="7">
        <v>18659508</v>
      </c>
      <c r="K393" s="7" t="s">
        <v>433</v>
      </c>
      <c r="L393" s="7" t="s">
        <v>485</v>
      </c>
      <c r="M393" s="9">
        <v>139900</v>
      </c>
      <c r="N393" s="10">
        <f t="shared" si="55"/>
        <v>0.75</v>
      </c>
      <c r="O393" s="9">
        <f t="shared" si="56"/>
        <v>34975</v>
      </c>
      <c r="P393" s="9" t="str">
        <f t="shared" si="59"/>
        <v>PERCENTAGE</v>
      </c>
    </row>
    <row r="394" spans="1:16" s="6" customFormat="1" x14ac:dyDescent="0.25">
      <c r="A394" s="7" t="str">
        <f t="shared" si="57"/>
        <v>2024 ALL D75</v>
      </c>
      <c r="B394" s="8">
        <f t="shared" si="58"/>
        <v>46104</v>
      </c>
      <c r="C394" s="8">
        <f t="shared" si="54"/>
        <v>46113</v>
      </c>
      <c r="D394" s="7">
        <v>3272</v>
      </c>
      <c r="E394" s="7">
        <v>336</v>
      </c>
      <c r="F394" s="7">
        <v>4</v>
      </c>
      <c r="G394" s="7">
        <v>1</v>
      </c>
      <c r="H394" s="7">
        <v>81379</v>
      </c>
      <c r="I394" s="7" t="s">
        <v>16</v>
      </c>
      <c r="J394" s="7">
        <v>18659535</v>
      </c>
      <c r="K394" s="7" t="s">
        <v>437</v>
      </c>
      <c r="L394" s="7" t="s">
        <v>486</v>
      </c>
      <c r="M394" s="9">
        <v>139900</v>
      </c>
      <c r="N394" s="10">
        <f t="shared" si="55"/>
        <v>0.75</v>
      </c>
      <c r="O394" s="9">
        <f t="shared" si="56"/>
        <v>34975</v>
      </c>
      <c r="P394" s="9" t="str">
        <f t="shared" si="59"/>
        <v>PERCENTAGE</v>
      </c>
    </row>
    <row r="395" spans="1:16" s="6" customFormat="1" x14ac:dyDescent="0.25">
      <c r="A395" s="7" t="str">
        <f t="shared" si="57"/>
        <v>2024 ALL D75</v>
      </c>
      <c r="B395" s="8">
        <f t="shared" si="58"/>
        <v>46104</v>
      </c>
      <c r="C395" s="8">
        <f t="shared" ref="C395:C410" si="60">C394</f>
        <v>46113</v>
      </c>
      <c r="D395" s="7">
        <v>3272</v>
      </c>
      <c r="E395" s="7">
        <v>336</v>
      </c>
      <c r="F395" s="7">
        <v>4</v>
      </c>
      <c r="G395" s="7">
        <v>1</v>
      </c>
      <c r="H395" s="7">
        <v>81379</v>
      </c>
      <c r="I395" s="7" t="s">
        <v>16</v>
      </c>
      <c r="J395" s="7">
        <v>18659544</v>
      </c>
      <c r="K395" s="7" t="s">
        <v>437</v>
      </c>
      <c r="L395" s="7" t="s">
        <v>487</v>
      </c>
      <c r="M395" s="9">
        <v>139900</v>
      </c>
      <c r="N395" s="10">
        <f t="shared" si="55"/>
        <v>0.75</v>
      </c>
      <c r="O395" s="9">
        <f t="shared" si="56"/>
        <v>34975</v>
      </c>
      <c r="P395" s="9" t="str">
        <f t="shared" si="59"/>
        <v>PERCENTAGE</v>
      </c>
    </row>
    <row r="396" spans="1:16" s="6" customFormat="1" x14ac:dyDescent="0.25">
      <c r="A396" s="7" t="str">
        <f t="shared" si="57"/>
        <v>2024 ALL D75</v>
      </c>
      <c r="B396" s="8">
        <f t="shared" si="58"/>
        <v>46104</v>
      </c>
      <c r="C396" s="8">
        <f t="shared" si="60"/>
        <v>46113</v>
      </c>
      <c r="D396" s="7">
        <v>3272</v>
      </c>
      <c r="E396" s="7">
        <v>336</v>
      </c>
      <c r="F396" s="7">
        <v>4</v>
      </c>
      <c r="G396" s="7">
        <v>1</v>
      </c>
      <c r="H396" s="7">
        <v>81379</v>
      </c>
      <c r="I396" s="7" t="s">
        <v>16</v>
      </c>
      <c r="J396" s="7">
        <v>18659553</v>
      </c>
      <c r="K396" s="7" t="s">
        <v>437</v>
      </c>
      <c r="L396" s="7" t="s">
        <v>488</v>
      </c>
      <c r="M396" s="9">
        <v>139900</v>
      </c>
      <c r="N396" s="10">
        <f t="shared" si="55"/>
        <v>0.75</v>
      </c>
      <c r="O396" s="9">
        <f t="shared" si="56"/>
        <v>34975</v>
      </c>
      <c r="P396" s="9" t="str">
        <f t="shared" si="59"/>
        <v>PERCENTAGE</v>
      </c>
    </row>
    <row r="397" spans="1:16" s="6" customFormat="1" x14ac:dyDescent="0.25">
      <c r="A397" s="7" t="str">
        <f t="shared" si="57"/>
        <v>2024 ALL D75</v>
      </c>
      <c r="B397" s="8">
        <f t="shared" si="58"/>
        <v>46104</v>
      </c>
      <c r="C397" s="8">
        <f t="shared" si="60"/>
        <v>46113</v>
      </c>
      <c r="D397" s="7">
        <v>3272</v>
      </c>
      <c r="E397" s="7">
        <v>336</v>
      </c>
      <c r="F397" s="7">
        <v>4</v>
      </c>
      <c r="G397" s="7">
        <v>1</v>
      </c>
      <c r="H397" s="7">
        <v>81379</v>
      </c>
      <c r="I397" s="7" t="s">
        <v>16</v>
      </c>
      <c r="J397" s="7">
        <v>18659580</v>
      </c>
      <c r="K397" s="7" t="s">
        <v>437</v>
      </c>
      <c r="L397" s="7" t="s">
        <v>489</v>
      </c>
      <c r="M397" s="9">
        <v>139900</v>
      </c>
      <c r="N397" s="10">
        <f t="shared" si="55"/>
        <v>0.75</v>
      </c>
      <c r="O397" s="9">
        <f t="shared" si="56"/>
        <v>34975</v>
      </c>
      <c r="P397" s="9" t="str">
        <f t="shared" si="59"/>
        <v>PERCENTAGE</v>
      </c>
    </row>
    <row r="398" spans="1:16" s="6" customFormat="1" x14ac:dyDescent="0.25">
      <c r="A398" s="7" t="str">
        <f t="shared" si="57"/>
        <v>2024 ALL D75</v>
      </c>
      <c r="B398" s="8">
        <f t="shared" si="58"/>
        <v>46104</v>
      </c>
      <c r="C398" s="8">
        <f t="shared" si="60"/>
        <v>46113</v>
      </c>
      <c r="D398" s="7">
        <v>3272</v>
      </c>
      <c r="E398" s="7">
        <v>336</v>
      </c>
      <c r="F398" s="7">
        <v>4</v>
      </c>
      <c r="G398" s="7">
        <v>1</v>
      </c>
      <c r="H398" s="7">
        <v>81379</v>
      </c>
      <c r="I398" s="7" t="s">
        <v>16</v>
      </c>
      <c r="J398" s="7">
        <v>18659768</v>
      </c>
      <c r="K398" s="7" t="s">
        <v>440</v>
      </c>
      <c r="L398" s="7" t="s">
        <v>490</v>
      </c>
      <c r="M398" s="9">
        <v>149900</v>
      </c>
      <c r="N398" s="10">
        <f t="shared" si="55"/>
        <v>0.75</v>
      </c>
      <c r="O398" s="9">
        <f t="shared" si="56"/>
        <v>37475</v>
      </c>
      <c r="P398" s="9" t="str">
        <f t="shared" si="59"/>
        <v>PERCENTAGE</v>
      </c>
    </row>
    <row r="399" spans="1:16" s="6" customFormat="1" x14ac:dyDescent="0.25">
      <c r="A399" s="7" t="str">
        <f t="shared" si="57"/>
        <v>2024 ALL D75</v>
      </c>
      <c r="B399" s="8">
        <f t="shared" si="58"/>
        <v>46104</v>
      </c>
      <c r="C399" s="8">
        <f t="shared" si="60"/>
        <v>46113</v>
      </c>
      <c r="D399" s="7">
        <v>3272</v>
      </c>
      <c r="E399" s="7">
        <v>336</v>
      </c>
      <c r="F399" s="7">
        <v>4</v>
      </c>
      <c r="G399" s="7">
        <v>1</v>
      </c>
      <c r="H399" s="7">
        <v>81379</v>
      </c>
      <c r="I399" s="7" t="s">
        <v>16</v>
      </c>
      <c r="J399" s="7">
        <v>18659786</v>
      </c>
      <c r="K399" s="7" t="s">
        <v>440</v>
      </c>
      <c r="L399" s="7" t="s">
        <v>491</v>
      </c>
      <c r="M399" s="9">
        <v>149900</v>
      </c>
      <c r="N399" s="10">
        <f t="shared" si="55"/>
        <v>0.75</v>
      </c>
      <c r="O399" s="9">
        <f t="shared" si="56"/>
        <v>37475</v>
      </c>
      <c r="P399" s="9" t="str">
        <f t="shared" si="59"/>
        <v>PERCENTAGE</v>
      </c>
    </row>
    <row r="400" spans="1:16" s="6" customFormat="1" x14ac:dyDescent="0.25">
      <c r="A400" s="7" t="str">
        <f t="shared" si="57"/>
        <v>2024 ALL D75</v>
      </c>
      <c r="B400" s="8">
        <f t="shared" si="58"/>
        <v>46104</v>
      </c>
      <c r="C400" s="8">
        <f t="shared" si="60"/>
        <v>46113</v>
      </c>
      <c r="D400" s="7">
        <v>3272</v>
      </c>
      <c r="E400" s="7">
        <v>336</v>
      </c>
      <c r="F400" s="7">
        <v>4</v>
      </c>
      <c r="G400" s="7">
        <v>1</v>
      </c>
      <c r="H400" s="7">
        <v>81379</v>
      </c>
      <c r="I400" s="7" t="s">
        <v>16</v>
      </c>
      <c r="J400" s="7">
        <v>18659795</v>
      </c>
      <c r="K400" s="7" t="s">
        <v>440</v>
      </c>
      <c r="L400" s="7" t="s">
        <v>492</v>
      </c>
      <c r="M400" s="9">
        <v>149900</v>
      </c>
      <c r="N400" s="10">
        <f t="shared" si="55"/>
        <v>0.75</v>
      </c>
      <c r="O400" s="9">
        <f t="shared" si="56"/>
        <v>37475</v>
      </c>
      <c r="P400" s="9" t="str">
        <f t="shared" si="59"/>
        <v>PERCENTAGE</v>
      </c>
    </row>
    <row r="401" spans="1:16" s="6" customFormat="1" x14ac:dyDescent="0.25">
      <c r="A401" s="7" t="str">
        <f t="shared" si="57"/>
        <v>2024 ALL D75</v>
      </c>
      <c r="B401" s="8">
        <f t="shared" si="58"/>
        <v>46104</v>
      </c>
      <c r="C401" s="8">
        <f t="shared" si="60"/>
        <v>46113</v>
      </c>
      <c r="D401" s="7">
        <v>3272</v>
      </c>
      <c r="E401" s="7">
        <v>336</v>
      </c>
      <c r="F401" s="7">
        <v>4</v>
      </c>
      <c r="G401" s="7">
        <v>1</v>
      </c>
      <c r="H401" s="7">
        <v>81379</v>
      </c>
      <c r="I401" s="7" t="s">
        <v>16</v>
      </c>
      <c r="J401" s="7">
        <v>18659802</v>
      </c>
      <c r="K401" s="7" t="s">
        <v>440</v>
      </c>
      <c r="L401" s="7" t="s">
        <v>493</v>
      </c>
      <c r="M401" s="9">
        <v>149900</v>
      </c>
      <c r="N401" s="10">
        <f t="shared" si="55"/>
        <v>0.75</v>
      </c>
      <c r="O401" s="9">
        <f t="shared" si="56"/>
        <v>37475</v>
      </c>
      <c r="P401" s="9" t="str">
        <f t="shared" si="59"/>
        <v>PERCENTAGE</v>
      </c>
    </row>
    <row r="402" spans="1:16" s="6" customFormat="1" x14ac:dyDescent="0.25">
      <c r="A402" s="7" t="str">
        <f t="shared" si="57"/>
        <v>2024 ALL D75</v>
      </c>
      <c r="B402" s="8">
        <f t="shared" si="58"/>
        <v>46104</v>
      </c>
      <c r="C402" s="8">
        <f t="shared" si="60"/>
        <v>46113</v>
      </c>
      <c r="D402" s="7">
        <v>3272</v>
      </c>
      <c r="E402" s="7">
        <v>336</v>
      </c>
      <c r="F402" s="7">
        <v>4</v>
      </c>
      <c r="G402" s="7">
        <v>1</v>
      </c>
      <c r="H402" s="7">
        <v>81379</v>
      </c>
      <c r="I402" s="7" t="s">
        <v>16</v>
      </c>
      <c r="J402" s="7">
        <v>18659820</v>
      </c>
      <c r="K402" s="7" t="s">
        <v>440</v>
      </c>
      <c r="L402" s="7" t="s">
        <v>494</v>
      </c>
      <c r="M402" s="9">
        <v>149900</v>
      </c>
      <c r="N402" s="10">
        <f t="shared" si="55"/>
        <v>0.75</v>
      </c>
      <c r="O402" s="9">
        <f t="shared" si="56"/>
        <v>37475</v>
      </c>
      <c r="P402" s="9" t="str">
        <f t="shared" si="59"/>
        <v>PERCENTAGE</v>
      </c>
    </row>
    <row r="403" spans="1:16" s="6" customFormat="1" x14ac:dyDescent="0.25">
      <c r="A403" s="7" t="str">
        <f t="shared" si="57"/>
        <v>2024 ALL D75</v>
      </c>
      <c r="B403" s="8">
        <f t="shared" si="58"/>
        <v>46104</v>
      </c>
      <c r="C403" s="8">
        <f t="shared" si="60"/>
        <v>46113</v>
      </c>
      <c r="D403" s="7">
        <v>3272</v>
      </c>
      <c r="E403" s="7">
        <v>336</v>
      </c>
      <c r="F403" s="7">
        <v>4</v>
      </c>
      <c r="G403" s="7">
        <v>1</v>
      </c>
      <c r="H403" s="7">
        <v>81379</v>
      </c>
      <c r="I403" s="7" t="s">
        <v>16</v>
      </c>
      <c r="J403" s="7">
        <v>18659839</v>
      </c>
      <c r="K403" s="7" t="s">
        <v>440</v>
      </c>
      <c r="L403" s="7" t="s">
        <v>495</v>
      </c>
      <c r="M403" s="9">
        <v>149900</v>
      </c>
      <c r="N403" s="10">
        <f t="shared" si="55"/>
        <v>0.75</v>
      </c>
      <c r="O403" s="9">
        <f t="shared" si="56"/>
        <v>37475</v>
      </c>
      <c r="P403" s="9" t="str">
        <f t="shared" si="59"/>
        <v>PERCENTAGE</v>
      </c>
    </row>
    <row r="404" spans="1:16" s="6" customFormat="1" x14ac:dyDescent="0.25">
      <c r="A404" s="7" t="str">
        <f t="shared" si="57"/>
        <v>2024 ALL D75</v>
      </c>
      <c r="B404" s="8">
        <f t="shared" si="58"/>
        <v>46104</v>
      </c>
      <c r="C404" s="8">
        <f t="shared" si="60"/>
        <v>46113</v>
      </c>
      <c r="D404" s="7">
        <v>3272</v>
      </c>
      <c r="E404" s="7">
        <v>336</v>
      </c>
      <c r="F404" s="7">
        <v>4</v>
      </c>
      <c r="G404" s="7">
        <v>1</v>
      </c>
      <c r="H404" s="7">
        <v>81379</v>
      </c>
      <c r="I404" s="7" t="s">
        <v>16</v>
      </c>
      <c r="J404" s="7">
        <v>18756519</v>
      </c>
      <c r="K404" s="7" t="s">
        <v>444</v>
      </c>
      <c r="L404" s="7" t="s">
        <v>496</v>
      </c>
      <c r="M404" s="9">
        <v>139900</v>
      </c>
      <c r="N404" s="10">
        <f t="shared" si="55"/>
        <v>0.75</v>
      </c>
      <c r="O404" s="9">
        <f t="shared" si="56"/>
        <v>34975</v>
      </c>
      <c r="P404" s="9" t="str">
        <f t="shared" si="59"/>
        <v>PERCENTAGE</v>
      </c>
    </row>
    <row r="405" spans="1:16" s="6" customFormat="1" x14ac:dyDescent="0.25">
      <c r="A405" s="7" t="str">
        <f t="shared" si="57"/>
        <v>2024 ALL D75</v>
      </c>
      <c r="B405" s="8">
        <f t="shared" si="58"/>
        <v>46104</v>
      </c>
      <c r="C405" s="8">
        <f t="shared" si="60"/>
        <v>46113</v>
      </c>
      <c r="D405" s="7">
        <v>3272</v>
      </c>
      <c r="E405" s="7">
        <v>336</v>
      </c>
      <c r="F405" s="7">
        <v>4</v>
      </c>
      <c r="G405" s="7">
        <v>1</v>
      </c>
      <c r="H405" s="7">
        <v>81379</v>
      </c>
      <c r="I405" s="7" t="s">
        <v>16</v>
      </c>
      <c r="J405" s="7">
        <v>18756528</v>
      </c>
      <c r="K405" s="7" t="s">
        <v>444</v>
      </c>
      <c r="L405" s="7" t="s">
        <v>497</v>
      </c>
      <c r="M405" s="9">
        <v>139900</v>
      </c>
      <c r="N405" s="10">
        <f t="shared" si="55"/>
        <v>0.75</v>
      </c>
      <c r="O405" s="9">
        <f t="shared" si="56"/>
        <v>34975</v>
      </c>
      <c r="P405" s="9" t="str">
        <f t="shared" si="59"/>
        <v>PERCENTAGE</v>
      </c>
    </row>
    <row r="406" spans="1:16" s="6" customFormat="1" x14ac:dyDescent="0.25">
      <c r="A406" s="7" t="str">
        <f t="shared" si="57"/>
        <v>2024 ALL D75</v>
      </c>
      <c r="B406" s="8">
        <f t="shared" si="58"/>
        <v>46104</v>
      </c>
      <c r="C406" s="8">
        <f t="shared" si="60"/>
        <v>46113</v>
      </c>
      <c r="D406" s="7">
        <v>3272</v>
      </c>
      <c r="E406" s="7">
        <v>336</v>
      </c>
      <c r="F406" s="7">
        <v>4</v>
      </c>
      <c r="G406" s="7">
        <v>1</v>
      </c>
      <c r="H406" s="7">
        <v>81379</v>
      </c>
      <c r="I406" s="7" t="s">
        <v>16</v>
      </c>
      <c r="J406" s="7">
        <v>18756537</v>
      </c>
      <c r="K406" s="7" t="s">
        <v>444</v>
      </c>
      <c r="L406" s="7" t="s">
        <v>498</v>
      </c>
      <c r="M406" s="9">
        <v>139900</v>
      </c>
      <c r="N406" s="10">
        <f t="shared" si="55"/>
        <v>0.75</v>
      </c>
      <c r="O406" s="9">
        <f t="shared" si="56"/>
        <v>34975</v>
      </c>
      <c r="P406" s="9" t="str">
        <f t="shared" si="59"/>
        <v>PERCENTAGE</v>
      </c>
    </row>
    <row r="407" spans="1:16" s="6" customFormat="1" x14ac:dyDescent="0.25">
      <c r="A407" s="7" t="str">
        <f t="shared" si="57"/>
        <v>2024 ALL D75</v>
      </c>
      <c r="B407" s="8">
        <f t="shared" si="58"/>
        <v>46104</v>
      </c>
      <c r="C407" s="8">
        <f t="shared" si="60"/>
        <v>46113</v>
      </c>
      <c r="D407" s="7">
        <v>3272</v>
      </c>
      <c r="E407" s="7">
        <v>336</v>
      </c>
      <c r="F407" s="7">
        <v>4</v>
      </c>
      <c r="G407" s="7">
        <v>1</v>
      </c>
      <c r="H407" s="7">
        <v>81379</v>
      </c>
      <c r="I407" s="7" t="s">
        <v>16</v>
      </c>
      <c r="J407" s="7">
        <v>18756546</v>
      </c>
      <c r="K407" s="7" t="s">
        <v>444</v>
      </c>
      <c r="L407" s="7" t="s">
        <v>499</v>
      </c>
      <c r="M407" s="9">
        <v>139900</v>
      </c>
      <c r="N407" s="10">
        <f t="shared" si="55"/>
        <v>0.75</v>
      </c>
      <c r="O407" s="9">
        <f t="shared" si="56"/>
        <v>34975</v>
      </c>
      <c r="P407" s="9" t="str">
        <f t="shared" si="59"/>
        <v>PERCENTAGE</v>
      </c>
    </row>
    <row r="408" spans="1:16" s="6" customFormat="1" x14ac:dyDescent="0.25">
      <c r="A408" s="7" t="str">
        <f t="shared" si="57"/>
        <v>2024 ALL D75</v>
      </c>
      <c r="B408" s="8">
        <f t="shared" si="58"/>
        <v>46104</v>
      </c>
      <c r="C408" s="8">
        <f t="shared" si="60"/>
        <v>46113</v>
      </c>
      <c r="D408" s="7">
        <v>3272</v>
      </c>
      <c r="E408" s="7">
        <v>336</v>
      </c>
      <c r="F408" s="7">
        <v>4</v>
      </c>
      <c r="G408" s="7">
        <v>1</v>
      </c>
      <c r="H408" s="7">
        <v>81379</v>
      </c>
      <c r="I408" s="7" t="s">
        <v>16</v>
      </c>
      <c r="J408" s="7">
        <v>18756555</v>
      </c>
      <c r="K408" s="7" t="s">
        <v>444</v>
      </c>
      <c r="L408" s="7" t="s">
        <v>500</v>
      </c>
      <c r="M408" s="9">
        <v>139900</v>
      </c>
      <c r="N408" s="10">
        <f t="shared" si="55"/>
        <v>0.75</v>
      </c>
      <c r="O408" s="9">
        <f t="shared" si="56"/>
        <v>34975</v>
      </c>
      <c r="P408" s="9" t="str">
        <f t="shared" si="59"/>
        <v>PERCENTAGE</v>
      </c>
    </row>
    <row r="409" spans="1:16" s="6" customFormat="1" x14ac:dyDescent="0.25">
      <c r="A409" s="7" t="str">
        <f t="shared" si="57"/>
        <v>2024 ALL D75</v>
      </c>
      <c r="B409" s="8">
        <f t="shared" si="58"/>
        <v>46104</v>
      </c>
      <c r="C409" s="8">
        <f t="shared" si="60"/>
        <v>46113</v>
      </c>
      <c r="D409" s="7">
        <v>3272</v>
      </c>
      <c r="E409" s="7">
        <v>336</v>
      </c>
      <c r="F409" s="7">
        <v>4</v>
      </c>
      <c r="G409" s="7">
        <v>1</v>
      </c>
      <c r="H409" s="7">
        <v>81379</v>
      </c>
      <c r="I409" s="7" t="s">
        <v>16</v>
      </c>
      <c r="J409" s="7">
        <v>18756573</v>
      </c>
      <c r="K409" s="7" t="s">
        <v>501</v>
      </c>
      <c r="L409" s="7" t="s">
        <v>502</v>
      </c>
      <c r="M409" s="9">
        <v>139900</v>
      </c>
      <c r="N409" s="10">
        <f t="shared" si="55"/>
        <v>0.75</v>
      </c>
      <c r="O409" s="9">
        <f t="shared" si="56"/>
        <v>34975</v>
      </c>
      <c r="P409" s="9" t="str">
        <f t="shared" si="59"/>
        <v>PERCENTAGE</v>
      </c>
    </row>
    <row r="410" spans="1:16" s="6" customFormat="1" x14ac:dyDescent="0.25">
      <c r="A410" s="7" t="str">
        <f t="shared" si="57"/>
        <v>2024 ALL D75</v>
      </c>
      <c r="B410" s="8">
        <f t="shared" si="58"/>
        <v>46104</v>
      </c>
      <c r="C410" s="8">
        <f t="shared" si="60"/>
        <v>46113</v>
      </c>
      <c r="D410" s="7">
        <v>3272</v>
      </c>
      <c r="E410" s="7">
        <v>336</v>
      </c>
      <c r="F410" s="7">
        <v>4</v>
      </c>
      <c r="G410" s="7">
        <v>1</v>
      </c>
      <c r="H410" s="7">
        <v>81379</v>
      </c>
      <c r="I410" s="7" t="s">
        <v>16</v>
      </c>
      <c r="J410" s="7">
        <v>18756582</v>
      </c>
      <c r="K410" s="7" t="s">
        <v>501</v>
      </c>
      <c r="L410" s="7" t="s">
        <v>503</v>
      </c>
      <c r="M410" s="9">
        <v>139900</v>
      </c>
      <c r="N410" s="10">
        <f t="shared" si="55"/>
        <v>0.75</v>
      </c>
      <c r="O410" s="9">
        <f t="shared" si="56"/>
        <v>34975</v>
      </c>
      <c r="P410" s="9" t="str">
        <f t="shared" si="59"/>
        <v>PERCENTAGE</v>
      </c>
    </row>
    <row r="411" spans="1:16" s="6" customFormat="1" x14ac:dyDescent="0.25">
      <c r="A411" s="7" t="str">
        <f t="shared" si="57"/>
        <v>2024 ALL D75</v>
      </c>
      <c r="B411" s="8">
        <f t="shared" si="58"/>
        <v>46104</v>
      </c>
      <c r="C411" s="8">
        <f t="shared" ref="C411:C426" si="61">C410</f>
        <v>46113</v>
      </c>
      <c r="D411" s="7">
        <v>3272</v>
      </c>
      <c r="E411" s="7">
        <v>336</v>
      </c>
      <c r="F411" s="7">
        <v>4</v>
      </c>
      <c r="G411" s="7">
        <v>1</v>
      </c>
      <c r="H411" s="7">
        <v>81379</v>
      </c>
      <c r="I411" s="7" t="s">
        <v>16</v>
      </c>
      <c r="J411" s="7">
        <v>18756591</v>
      </c>
      <c r="K411" s="7" t="s">
        <v>501</v>
      </c>
      <c r="L411" s="7" t="s">
        <v>504</v>
      </c>
      <c r="M411" s="9">
        <v>139900</v>
      </c>
      <c r="N411" s="10">
        <f t="shared" si="55"/>
        <v>0.75</v>
      </c>
      <c r="O411" s="9">
        <f t="shared" si="56"/>
        <v>34975</v>
      </c>
      <c r="P411" s="9" t="str">
        <f t="shared" si="59"/>
        <v>PERCENTAGE</v>
      </c>
    </row>
    <row r="412" spans="1:16" s="6" customFormat="1" x14ac:dyDescent="0.25">
      <c r="A412" s="7" t="str">
        <f t="shared" si="57"/>
        <v>2024 ALL D75</v>
      </c>
      <c r="B412" s="8">
        <f t="shared" si="58"/>
        <v>46104</v>
      </c>
      <c r="C412" s="8">
        <f t="shared" si="61"/>
        <v>46113</v>
      </c>
      <c r="D412" s="7">
        <v>3272</v>
      </c>
      <c r="E412" s="7">
        <v>336</v>
      </c>
      <c r="F412" s="7">
        <v>4</v>
      </c>
      <c r="G412" s="7">
        <v>1</v>
      </c>
      <c r="H412" s="7">
        <v>81379</v>
      </c>
      <c r="I412" s="7" t="s">
        <v>16</v>
      </c>
      <c r="J412" s="7">
        <v>18756608</v>
      </c>
      <c r="K412" s="7" t="s">
        <v>501</v>
      </c>
      <c r="L412" s="7" t="s">
        <v>505</v>
      </c>
      <c r="M412" s="9">
        <v>139900</v>
      </c>
      <c r="N412" s="10">
        <f t="shared" si="55"/>
        <v>0.75</v>
      </c>
      <c r="O412" s="9">
        <f t="shared" si="56"/>
        <v>34975</v>
      </c>
      <c r="P412" s="9" t="str">
        <f t="shared" si="59"/>
        <v>PERCENTAGE</v>
      </c>
    </row>
    <row r="413" spans="1:16" s="6" customFormat="1" x14ac:dyDescent="0.25">
      <c r="A413" s="7" t="str">
        <f t="shared" si="57"/>
        <v>2024 ALL D75</v>
      </c>
      <c r="B413" s="8">
        <f t="shared" si="58"/>
        <v>46104</v>
      </c>
      <c r="C413" s="8">
        <f t="shared" si="61"/>
        <v>46113</v>
      </c>
      <c r="D413" s="7">
        <v>3272</v>
      </c>
      <c r="E413" s="7">
        <v>336</v>
      </c>
      <c r="F413" s="7">
        <v>4</v>
      </c>
      <c r="G413" s="7">
        <v>1</v>
      </c>
      <c r="H413" s="7">
        <v>81379</v>
      </c>
      <c r="I413" s="7" t="s">
        <v>16</v>
      </c>
      <c r="J413" s="7">
        <v>18756617</v>
      </c>
      <c r="K413" s="7" t="s">
        <v>501</v>
      </c>
      <c r="L413" s="7" t="s">
        <v>506</v>
      </c>
      <c r="M413" s="9">
        <v>139900</v>
      </c>
      <c r="N413" s="10">
        <f t="shared" si="55"/>
        <v>0.75</v>
      </c>
      <c r="O413" s="9">
        <f t="shared" si="56"/>
        <v>34975</v>
      </c>
      <c r="P413" s="9" t="str">
        <f t="shared" si="59"/>
        <v>PERCENTAGE</v>
      </c>
    </row>
    <row r="414" spans="1:16" s="6" customFormat="1" x14ac:dyDescent="0.25">
      <c r="A414" s="7" t="str">
        <f t="shared" si="57"/>
        <v>2024 ALL D75</v>
      </c>
      <c r="B414" s="8">
        <f t="shared" si="58"/>
        <v>46104</v>
      </c>
      <c r="C414" s="8">
        <f t="shared" si="61"/>
        <v>46113</v>
      </c>
      <c r="D414" s="7">
        <v>3272</v>
      </c>
      <c r="E414" s="7">
        <v>336</v>
      </c>
      <c r="F414" s="7">
        <v>4</v>
      </c>
      <c r="G414" s="7">
        <v>1</v>
      </c>
      <c r="H414" s="7">
        <v>81379</v>
      </c>
      <c r="I414" s="7" t="s">
        <v>16</v>
      </c>
      <c r="J414" s="7">
        <v>18756626</v>
      </c>
      <c r="K414" s="7" t="s">
        <v>501</v>
      </c>
      <c r="L414" s="7" t="s">
        <v>507</v>
      </c>
      <c r="M414" s="9">
        <v>139900</v>
      </c>
      <c r="N414" s="10">
        <f t="shared" si="55"/>
        <v>0.75</v>
      </c>
      <c r="O414" s="9">
        <f t="shared" si="56"/>
        <v>34975</v>
      </c>
      <c r="P414" s="9" t="str">
        <f t="shared" si="59"/>
        <v>PERCENTAGE</v>
      </c>
    </row>
    <row r="415" spans="1:16" s="6" customFormat="1" x14ac:dyDescent="0.25">
      <c r="A415" s="7" t="str">
        <f t="shared" si="57"/>
        <v>2024 ALL D75</v>
      </c>
      <c r="B415" s="8">
        <f t="shared" si="58"/>
        <v>46104</v>
      </c>
      <c r="C415" s="8">
        <f t="shared" si="61"/>
        <v>46113</v>
      </c>
      <c r="D415" s="7">
        <v>3272</v>
      </c>
      <c r="E415" s="7">
        <v>336</v>
      </c>
      <c r="F415" s="7">
        <v>4</v>
      </c>
      <c r="G415" s="7">
        <v>1</v>
      </c>
      <c r="H415" s="7">
        <v>81379</v>
      </c>
      <c r="I415" s="7" t="s">
        <v>16</v>
      </c>
      <c r="J415" s="7">
        <v>18756635</v>
      </c>
      <c r="K415" s="7" t="s">
        <v>501</v>
      </c>
      <c r="L415" s="7" t="s">
        <v>508</v>
      </c>
      <c r="M415" s="9">
        <v>139900</v>
      </c>
      <c r="N415" s="10">
        <f t="shared" si="55"/>
        <v>0.75</v>
      </c>
      <c r="O415" s="9">
        <f t="shared" si="56"/>
        <v>34975</v>
      </c>
      <c r="P415" s="9" t="str">
        <f t="shared" si="59"/>
        <v>PERCENTAGE</v>
      </c>
    </row>
    <row r="416" spans="1:16" s="6" customFormat="1" x14ac:dyDescent="0.25">
      <c r="A416" s="7" t="str">
        <f t="shared" si="57"/>
        <v>2024 ALL D75</v>
      </c>
      <c r="B416" s="8">
        <f t="shared" si="58"/>
        <v>46104</v>
      </c>
      <c r="C416" s="8">
        <f t="shared" si="61"/>
        <v>46113</v>
      </c>
      <c r="D416" s="7">
        <v>3272</v>
      </c>
      <c r="E416" s="7">
        <v>336</v>
      </c>
      <c r="F416" s="7">
        <v>4</v>
      </c>
      <c r="G416" s="7">
        <v>1</v>
      </c>
      <c r="H416" s="7">
        <v>81379</v>
      </c>
      <c r="I416" s="7" t="s">
        <v>16</v>
      </c>
      <c r="J416" s="7">
        <v>18756699</v>
      </c>
      <c r="K416" s="7" t="s">
        <v>501</v>
      </c>
      <c r="L416" s="7" t="s">
        <v>509</v>
      </c>
      <c r="M416" s="9">
        <v>139900</v>
      </c>
      <c r="N416" s="10">
        <f t="shared" si="55"/>
        <v>0.75</v>
      </c>
      <c r="O416" s="9">
        <f t="shared" si="56"/>
        <v>34975</v>
      </c>
      <c r="P416" s="9" t="str">
        <f t="shared" si="59"/>
        <v>PERCENTAGE</v>
      </c>
    </row>
    <row r="417" spans="1:16" s="6" customFormat="1" x14ac:dyDescent="0.25">
      <c r="A417" s="7" t="str">
        <f t="shared" si="57"/>
        <v>2024 ALL D75</v>
      </c>
      <c r="B417" s="8">
        <f t="shared" si="58"/>
        <v>46104</v>
      </c>
      <c r="C417" s="8">
        <f t="shared" si="61"/>
        <v>46113</v>
      </c>
      <c r="D417" s="7">
        <v>3272</v>
      </c>
      <c r="E417" s="7">
        <v>336</v>
      </c>
      <c r="F417" s="7">
        <v>4</v>
      </c>
      <c r="G417" s="7">
        <v>5</v>
      </c>
      <c r="H417" s="7">
        <v>81379</v>
      </c>
      <c r="I417" s="7" t="s">
        <v>16</v>
      </c>
      <c r="J417" s="7">
        <v>16624343</v>
      </c>
      <c r="K417" s="7" t="s">
        <v>431</v>
      </c>
      <c r="L417" s="7" t="s">
        <v>510</v>
      </c>
      <c r="M417" s="9">
        <v>239900</v>
      </c>
      <c r="N417" s="10">
        <f t="shared" si="55"/>
        <v>0.75</v>
      </c>
      <c r="O417" s="9">
        <f t="shared" si="56"/>
        <v>59975</v>
      </c>
      <c r="P417" s="9" t="str">
        <f t="shared" si="59"/>
        <v>PERCENTAGE</v>
      </c>
    </row>
    <row r="418" spans="1:16" s="6" customFormat="1" x14ac:dyDescent="0.25">
      <c r="A418" s="7" t="str">
        <f t="shared" si="57"/>
        <v>2024 ALL D75</v>
      </c>
      <c r="B418" s="8">
        <f t="shared" si="58"/>
        <v>46104</v>
      </c>
      <c r="C418" s="8">
        <f t="shared" si="61"/>
        <v>46113</v>
      </c>
      <c r="D418" s="7">
        <v>3272</v>
      </c>
      <c r="E418" s="7">
        <v>336</v>
      </c>
      <c r="F418" s="7">
        <v>4</v>
      </c>
      <c r="G418" s="7">
        <v>5</v>
      </c>
      <c r="H418" s="7">
        <v>81379</v>
      </c>
      <c r="I418" s="7" t="s">
        <v>16</v>
      </c>
      <c r="J418" s="7">
        <v>16624352</v>
      </c>
      <c r="K418" s="7" t="s">
        <v>431</v>
      </c>
      <c r="L418" s="7" t="s">
        <v>511</v>
      </c>
      <c r="M418" s="9">
        <v>239900</v>
      </c>
      <c r="N418" s="10">
        <f t="shared" si="55"/>
        <v>0.75</v>
      </c>
      <c r="O418" s="9">
        <f t="shared" si="56"/>
        <v>59975</v>
      </c>
      <c r="P418" s="9" t="str">
        <f t="shared" si="59"/>
        <v>PERCENTAGE</v>
      </c>
    </row>
    <row r="419" spans="1:16" s="6" customFormat="1" x14ac:dyDescent="0.25">
      <c r="A419" s="7" t="str">
        <f t="shared" si="57"/>
        <v>2024 ALL D75</v>
      </c>
      <c r="B419" s="8">
        <f t="shared" si="58"/>
        <v>46104</v>
      </c>
      <c r="C419" s="8">
        <f t="shared" si="61"/>
        <v>46113</v>
      </c>
      <c r="D419" s="7">
        <v>3272</v>
      </c>
      <c r="E419" s="7">
        <v>336</v>
      </c>
      <c r="F419" s="7">
        <v>4</v>
      </c>
      <c r="G419" s="7">
        <v>5</v>
      </c>
      <c r="H419" s="7">
        <v>81379</v>
      </c>
      <c r="I419" s="7" t="s">
        <v>16</v>
      </c>
      <c r="J419" s="7">
        <v>16624361</v>
      </c>
      <c r="K419" s="7" t="s">
        <v>431</v>
      </c>
      <c r="L419" s="7" t="s">
        <v>512</v>
      </c>
      <c r="M419" s="9">
        <v>239900</v>
      </c>
      <c r="N419" s="10">
        <f t="shared" si="55"/>
        <v>0.75</v>
      </c>
      <c r="O419" s="9">
        <f t="shared" si="56"/>
        <v>59975</v>
      </c>
      <c r="P419" s="9" t="str">
        <f t="shared" si="59"/>
        <v>PERCENTAGE</v>
      </c>
    </row>
    <row r="420" spans="1:16" s="6" customFormat="1" x14ac:dyDescent="0.25">
      <c r="A420" s="7" t="str">
        <f t="shared" si="57"/>
        <v>2024 ALL D75</v>
      </c>
      <c r="B420" s="8">
        <f t="shared" si="58"/>
        <v>46104</v>
      </c>
      <c r="C420" s="8">
        <f t="shared" si="61"/>
        <v>46113</v>
      </c>
      <c r="D420" s="7">
        <v>3272</v>
      </c>
      <c r="E420" s="7">
        <v>336</v>
      </c>
      <c r="F420" s="7">
        <v>4</v>
      </c>
      <c r="G420" s="7">
        <v>5</v>
      </c>
      <c r="H420" s="7">
        <v>81379</v>
      </c>
      <c r="I420" s="7" t="s">
        <v>16</v>
      </c>
      <c r="J420" s="7">
        <v>16624370</v>
      </c>
      <c r="K420" s="7" t="s">
        <v>431</v>
      </c>
      <c r="L420" s="7" t="s">
        <v>513</v>
      </c>
      <c r="M420" s="9">
        <v>239900</v>
      </c>
      <c r="N420" s="10">
        <f t="shared" si="55"/>
        <v>0.75</v>
      </c>
      <c r="O420" s="9">
        <f t="shared" si="56"/>
        <v>59975</v>
      </c>
      <c r="P420" s="9" t="str">
        <f t="shared" si="59"/>
        <v>PERCENTAGE</v>
      </c>
    </row>
    <row r="421" spans="1:16" s="6" customFormat="1" x14ac:dyDescent="0.25">
      <c r="A421" s="7" t="str">
        <f t="shared" si="57"/>
        <v>2024 ALL D75</v>
      </c>
      <c r="B421" s="8">
        <f t="shared" si="58"/>
        <v>46104</v>
      </c>
      <c r="C421" s="8">
        <f t="shared" si="61"/>
        <v>46113</v>
      </c>
      <c r="D421" s="7">
        <v>3272</v>
      </c>
      <c r="E421" s="7">
        <v>336</v>
      </c>
      <c r="F421" s="7">
        <v>4</v>
      </c>
      <c r="G421" s="7">
        <v>5</v>
      </c>
      <c r="H421" s="7">
        <v>81379</v>
      </c>
      <c r="I421" s="7" t="s">
        <v>16</v>
      </c>
      <c r="J421" s="7">
        <v>16624389</v>
      </c>
      <c r="K421" s="7" t="s">
        <v>431</v>
      </c>
      <c r="L421" s="7" t="s">
        <v>514</v>
      </c>
      <c r="M421" s="9">
        <v>239900</v>
      </c>
      <c r="N421" s="10">
        <f t="shared" si="55"/>
        <v>0.75</v>
      </c>
      <c r="O421" s="9">
        <f t="shared" si="56"/>
        <v>59975</v>
      </c>
      <c r="P421" s="9" t="str">
        <f t="shared" si="59"/>
        <v>PERCENTAGE</v>
      </c>
    </row>
    <row r="422" spans="1:16" s="6" customFormat="1" x14ac:dyDescent="0.25">
      <c r="A422" s="7" t="str">
        <f t="shared" si="57"/>
        <v>2024 ALL D75</v>
      </c>
      <c r="B422" s="8">
        <f t="shared" si="58"/>
        <v>46104</v>
      </c>
      <c r="C422" s="8">
        <f t="shared" si="61"/>
        <v>46113</v>
      </c>
      <c r="D422" s="7">
        <v>3272</v>
      </c>
      <c r="E422" s="7">
        <v>336</v>
      </c>
      <c r="F422" s="7">
        <v>4</v>
      </c>
      <c r="G422" s="7">
        <v>5</v>
      </c>
      <c r="H422" s="7">
        <v>81379</v>
      </c>
      <c r="I422" s="7" t="s">
        <v>16</v>
      </c>
      <c r="J422" s="7">
        <v>16624405</v>
      </c>
      <c r="K422" s="7" t="s">
        <v>431</v>
      </c>
      <c r="L422" s="7" t="s">
        <v>515</v>
      </c>
      <c r="M422" s="9">
        <v>239900</v>
      </c>
      <c r="N422" s="10">
        <f t="shared" si="55"/>
        <v>0.75</v>
      </c>
      <c r="O422" s="9">
        <f t="shared" si="56"/>
        <v>59975</v>
      </c>
      <c r="P422" s="9" t="str">
        <f t="shared" si="59"/>
        <v>PERCENTAGE</v>
      </c>
    </row>
    <row r="423" spans="1:16" s="6" customFormat="1" x14ac:dyDescent="0.25">
      <c r="A423" s="7" t="str">
        <f t="shared" si="57"/>
        <v>2024 ALL D75</v>
      </c>
      <c r="B423" s="8">
        <f t="shared" si="58"/>
        <v>46104</v>
      </c>
      <c r="C423" s="8">
        <f t="shared" si="61"/>
        <v>46113</v>
      </c>
      <c r="D423" s="7">
        <v>3272</v>
      </c>
      <c r="E423" s="7">
        <v>336</v>
      </c>
      <c r="F423" s="7">
        <v>4</v>
      </c>
      <c r="G423" s="7">
        <v>5</v>
      </c>
      <c r="H423" s="7">
        <v>81379</v>
      </c>
      <c r="I423" s="7" t="s">
        <v>16</v>
      </c>
      <c r="J423" s="7">
        <v>16624414</v>
      </c>
      <c r="K423" s="7" t="s">
        <v>431</v>
      </c>
      <c r="L423" s="7" t="s">
        <v>516</v>
      </c>
      <c r="M423" s="9">
        <v>239900</v>
      </c>
      <c r="N423" s="10">
        <f t="shared" si="55"/>
        <v>0.75</v>
      </c>
      <c r="O423" s="9">
        <f t="shared" si="56"/>
        <v>59975</v>
      </c>
      <c r="P423" s="9" t="str">
        <f t="shared" si="59"/>
        <v>PERCENTAGE</v>
      </c>
    </row>
    <row r="424" spans="1:16" s="6" customFormat="1" x14ac:dyDescent="0.25">
      <c r="A424" s="7" t="str">
        <f t="shared" si="57"/>
        <v>2024 ALL D75</v>
      </c>
      <c r="B424" s="8">
        <f t="shared" si="58"/>
        <v>46104</v>
      </c>
      <c r="C424" s="8">
        <f t="shared" si="61"/>
        <v>46113</v>
      </c>
      <c r="D424" s="7">
        <v>3272</v>
      </c>
      <c r="E424" s="7">
        <v>336</v>
      </c>
      <c r="F424" s="7">
        <v>4</v>
      </c>
      <c r="G424" s="7">
        <v>5</v>
      </c>
      <c r="H424" s="7">
        <v>81379</v>
      </c>
      <c r="I424" s="7" t="s">
        <v>16</v>
      </c>
      <c r="J424" s="7">
        <v>18660112</v>
      </c>
      <c r="K424" s="7" t="s">
        <v>517</v>
      </c>
      <c r="L424" s="7" t="s">
        <v>518</v>
      </c>
      <c r="M424" s="9">
        <v>239900</v>
      </c>
      <c r="N424" s="10">
        <f t="shared" si="55"/>
        <v>0.75</v>
      </c>
      <c r="O424" s="9">
        <f t="shared" si="56"/>
        <v>59975</v>
      </c>
      <c r="P424" s="9" t="str">
        <f t="shared" si="59"/>
        <v>PERCENTAGE</v>
      </c>
    </row>
    <row r="425" spans="1:16" s="6" customFormat="1" x14ac:dyDescent="0.25">
      <c r="A425" s="7" t="str">
        <f t="shared" si="57"/>
        <v>2024 ALL D75</v>
      </c>
      <c r="B425" s="8">
        <f t="shared" si="58"/>
        <v>46104</v>
      </c>
      <c r="C425" s="8">
        <f t="shared" si="61"/>
        <v>46113</v>
      </c>
      <c r="D425" s="7">
        <v>3272</v>
      </c>
      <c r="E425" s="7">
        <v>336</v>
      </c>
      <c r="F425" s="7">
        <v>4</v>
      </c>
      <c r="G425" s="7">
        <v>5</v>
      </c>
      <c r="H425" s="7">
        <v>81379</v>
      </c>
      <c r="I425" s="7" t="s">
        <v>16</v>
      </c>
      <c r="J425" s="7">
        <v>18660121</v>
      </c>
      <c r="K425" s="7" t="s">
        <v>517</v>
      </c>
      <c r="L425" s="7" t="s">
        <v>519</v>
      </c>
      <c r="M425" s="9">
        <v>239900</v>
      </c>
      <c r="N425" s="10">
        <f t="shared" si="55"/>
        <v>0.75</v>
      </c>
      <c r="O425" s="9">
        <f t="shared" si="56"/>
        <v>59975</v>
      </c>
      <c r="P425" s="9" t="str">
        <f t="shared" si="59"/>
        <v>PERCENTAGE</v>
      </c>
    </row>
    <row r="426" spans="1:16" s="6" customFormat="1" x14ac:dyDescent="0.25">
      <c r="A426" s="7" t="str">
        <f t="shared" si="57"/>
        <v>2024 ALL D75</v>
      </c>
      <c r="B426" s="8">
        <f t="shared" si="58"/>
        <v>46104</v>
      </c>
      <c r="C426" s="8">
        <f t="shared" si="61"/>
        <v>46113</v>
      </c>
      <c r="D426" s="7">
        <v>3272</v>
      </c>
      <c r="E426" s="7">
        <v>336</v>
      </c>
      <c r="F426" s="7">
        <v>4</v>
      </c>
      <c r="G426" s="7">
        <v>5</v>
      </c>
      <c r="H426" s="7">
        <v>81379</v>
      </c>
      <c r="I426" s="7" t="s">
        <v>16</v>
      </c>
      <c r="J426" s="7">
        <v>18660149</v>
      </c>
      <c r="K426" s="7" t="s">
        <v>517</v>
      </c>
      <c r="L426" s="7" t="s">
        <v>520</v>
      </c>
      <c r="M426" s="9">
        <v>239900</v>
      </c>
      <c r="N426" s="10">
        <f t="shared" si="55"/>
        <v>0.75</v>
      </c>
      <c r="O426" s="9">
        <f t="shared" si="56"/>
        <v>59975</v>
      </c>
      <c r="P426" s="9" t="str">
        <f t="shared" si="59"/>
        <v>PERCENTAGE</v>
      </c>
    </row>
    <row r="427" spans="1:16" s="6" customFormat="1" x14ac:dyDescent="0.25">
      <c r="A427" s="7" t="str">
        <f t="shared" si="57"/>
        <v>2024 ALL D75</v>
      </c>
      <c r="B427" s="8">
        <f t="shared" si="58"/>
        <v>46104</v>
      </c>
      <c r="C427" s="8">
        <f t="shared" ref="C427:C442" si="62">C426</f>
        <v>46113</v>
      </c>
      <c r="D427" s="7">
        <v>3272</v>
      </c>
      <c r="E427" s="7">
        <v>336</v>
      </c>
      <c r="F427" s="7">
        <v>4</v>
      </c>
      <c r="G427" s="7">
        <v>5</v>
      </c>
      <c r="H427" s="7">
        <v>81379</v>
      </c>
      <c r="I427" s="7" t="s">
        <v>16</v>
      </c>
      <c r="J427" s="7">
        <v>18660158</v>
      </c>
      <c r="K427" s="7" t="s">
        <v>517</v>
      </c>
      <c r="L427" s="7" t="s">
        <v>521</v>
      </c>
      <c r="M427" s="9">
        <v>239900</v>
      </c>
      <c r="N427" s="10">
        <f t="shared" si="55"/>
        <v>0.75</v>
      </c>
      <c r="O427" s="9">
        <f t="shared" si="56"/>
        <v>59975</v>
      </c>
      <c r="P427" s="9" t="str">
        <f t="shared" si="59"/>
        <v>PERCENTAGE</v>
      </c>
    </row>
    <row r="428" spans="1:16" s="6" customFormat="1" x14ac:dyDescent="0.25">
      <c r="A428" s="7" t="str">
        <f t="shared" si="57"/>
        <v>2024 ALL D75</v>
      </c>
      <c r="B428" s="8">
        <f t="shared" si="58"/>
        <v>46104</v>
      </c>
      <c r="C428" s="8">
        <f t="shared" si="62"/>
        <v>46113</v>
      </c>
      <c r="D428" s="7">
        <v>3272</v>
      </c>
      <c r="E428" s="7">
        <v>336</v>
      </c>
      <c r="F428" s="7">
        <v>4</v>
      </c>
      <c r="G428" s="7">
        <v>5</v>
      </c>
      <c r="H428" s="7">
        <v>81379</v>
      </c>
      <c r="I428" s="7" t="s">
        <v>16</v>
      </c>
      <c r="J428" s="7">
        <v>18660167</v>
      </c>
      <c r="K428" s="7" t="s">
        <v>517</v>
      </c>
      <c r="L428" s="7" t="s">
        <v>522</v>
      </c>
      <c r="M428" s="9">
        <v>239900</v>
      </c>
      <c r="N428" s="10">
        <f t="shared" si="55"/>
        <v>0.75</v>
      </c>
      <c r="O428" s="9">
        <f t="shared" si="56"/>
        <v>59975</v>
      </c>
      <c r="P428" s="9" t="str">
        <f t="shared" si="59"/>
        <v>PERCENTAGE</v>
      </c>
    </row>
    <row r="429" spans="1:16" s="6" customFormat="1" x14ac:dyDescent="0.25">
      <c r="A429" s="7" t="str">
        <f t="shared" si="57"/>
        <v>2024 ALL D75</v>
      </c>
      <c r="B429" s="8">
        <f t="shared" si="58"/>
        <v>46104</v>
      </c>
      <c r="C429" s="8">
        <f t="shared" si="62"/>
        <v>46113</v>
      </c>
      <c r="D429" s="7">
        <v>3272</v>
      </c>
      <c r="E429" s="7">
        <v>336</v>
      </c>
      <c r="F429" s="7">
        <v>4</v>
      </c>
      <c r="G429" s="7">
        <v>5</v>
      </c>
      <c r="H429" s="7">
        <v>81379</v>
      </c>
      <c r="I429" s="7" t="s">
        <v>16</v>
      </c>
      <c r="J429" s="7">
        <v>18660176</v>
      </c>
      <c r="K429" s="7" t="s">
        <v>517</v>
      </c>
      <c r="L429" s="7" t="s">
        <v>523</v>
      </c>
      <c r="M429" s="9">
        <v>239900</v>
      </c>
      <c r="N429" s="10">
        <f t="shared" si="55"/>
        <v>0.75</v>
      </c>
      <c r="O429" s="9">
        <f t="shared" si="56"/>
        <v>59975</v>
      </c>
      <c r="P429" s="9" t="str">
        <f t="shared" si="59"/>
        <v>PERCENTAGE</v>
      </c>
    </row>
    <row r="430" spans="1:16" s="6" customFormat="1" x14ac:dyDescent="0.25">
      <c r="A430" s="7" t="str">
        <f t="shared" si="57"/>
        <v>2024 ALL D75</v>
      </c>
      <c r="B430" s="8">
        <f t="shared" si="58"/>
        <v>46104</v>
      </c>
      <c r="C430" s="8">
        <f t="shared" si="62"/>
        <v>46113</v>
      </c>
      <c r="D430" s="7">
        <v>3272</v>
      </c>
      <c r="E430" s="7">
        <v>336</v>
      </c>
      <c r="F430" s="7">
        <v>4</v>
      </c>
      <c r="G430" s="7">
        <v>5</v>
      </c>
      <c r="H430" s="7">
        <v>81379</v>
      </c>
      <c r="I430" s="7" t="s">
        <v>16</v>
      </c>
      <c r="J430" s="7">
        <v>18660201</v>
      </c>
      <c r="K430" s="7" t="s">
        <v>517</v>
      </c>
      <c r="L430" s="7" t="s">
        <v>524</v>
      </c>
      <c r="M430" s="9">
        <v>239900</v>
      </c>
      <c r="N430" s="10">
        <f t="shared" si="55"/>
        <v>0.75</v>
      </c>
      <c r="O430" s="9">
        <f t="shared" si="56"/>
        <v>59975</v>
      </c>
      <c r="P430" s="9" t="str">
        <f t="shared" si="59"/>
        <v>PERCENTAGE</v>
      </c>
    </row>
    <row r="431" spans="1:16" s="6" customFormat="1" x14ac:dyDescent="0.25">
      <c r="A431" s="7" t="str">
        <f t="shared" si="57"/>
        <v>2024 ALL D75</v>
      </c>
      <c r="B431" s="8">
        <f t="shared" si="58"/>
        <v>46104</v>
      </c>
      <c r="C431" s="8">
        <f t="shared" si="62"/>
        <v>46113</v>
      </c>
      <c r="D431" s="7">
        <v>3272</v>
      </c>
      <c r="E431" s="7">
        <v>336</v>
      </c>
      <c r="F431" s="7">
        <v>4</v>
      </c>
      <c r="G431" s="7">
        <v>5</v>
      </c>
      <c r="H431" s="7">
        <v>81379</v>
      </c>
      <c r="I431" s="7" t="s">
        <v>16</v>
      </c>
      <c r="J431" s="7">
        <v>18660210</v>
      </c>
      <c r="K431" s="7" t="s">
        <v>517</v>
      </c>
      <c r="L431" s="7" t="s">
        <v>525</v>
      </c>
      <c r="M431" s="9">
        <v>239900</v>
      </c>
      <c r="N431" s="10">
        <f t="shared" si="55"/>
        <v>0.75</v>
      </c>
      <c r="O431" s="9">
        <f t="shared" si="56"/>
        <v>59975</v>
      </c>
      <c r="P431" s="9" t="str">
        <f t="shared" si="59"/>
        <v>PERCENTAGE</v>
      </c>
    </row>
    <row r="432" spans="1:16" x14ac:dyDescent="0.25">
      <c r="A432" s="7" t="str">
        <f t="shared" si="57"/>
        <v>2024 ALL D75</v>
      </c>
      <c r="B432" s="8">
        <f t="shared" si="58"/>
        <v>46104</v>
      </c>
      <c r="C432" s="8">
        <f t="shared" si="62"/>
        <v>46113</v>
      </c>
      <c r="D432" s="7">
        <v>3272</v>
      </c>
      <c r="E432" s="7">
        <v>336</v>
      </c>
      <c r="F432" s="7">
        <v>4</v>
      </c>
      <c r="G432" s="11">
        <v>1</v>
      </c>
      <c r="H432" s="7">
        <v>81379</v>
      </c>
      <c r="I432" s="7" t="s">
        <v>16</v>
      </c>
      <c r="J432" s="11">
        <v>15500693</v>
      </c>
      <c r="K432" s="11" t="s">
        <v>526</v>
      </c>
      <c r="L432" s="11" t="s">
        <v>527</v>
      </c>
      <c r="M432" s="11">
        <v>139900</v>
      </c>
      <c r="N432" s="10">
        <f t="shared" si="55"/>
        <v>0.75</v>
      </c>
      <c r="O432" s="9">
        <f t="shared" si="56"/>
        <v>34975</v>
      </c>
      <c r="P432" s="9" t="str">
        <f t="shared" si="59"/>
        <v>PERCENTAGE</v>
      </c>
    </row>
    <row r="433" spans="1:16" x14ac:dyDescent="0.25">
      <c r="A433" s="7" t="str">
        <f t="shared" si="57"/>
        <v>2024 ALL D75</v>
      </c>
      <c r="B433" s="8">
        <f t="shared" si="58"/>
        <v>46104</v>
      </c>
      <c r="C433" s="8">
        <f t="shared" si="62"/>
        <v>46113</v>
      </c>
      <c r="D433" s="7">
        <v>3272</v>
      </c>
      <c r="E433" s="7">
        <v>336</v>
      </c>
      <c r="F433" s="7">
        <v>4</v>
      </c>
      <c r="G433" s="11">
        <v>1</v>
      </c>
      <c r="H433" s="7">
        <v>81379</v>
      </c>
      <c r="I433" s="7" t="s">
        <v>16</v>
      </c>
      <c r="J433" s="11">
        <v>15500700</v>
      </c>
      <c r="K433" s="11" t="s">
        <v>526</v>
      </c>
      <c r="L433" s="11" t="s">
        <v>528</v>
      </c>
      <c r="M433" s="11">
        <v>139900</v>
      </c>
      <c r="N433" s="10">
        <f t="shared" si="55"/>
        <v>0.75</v>
      </c>
      <c r="O433" s="9">
        <f t="shared" si="56"/>
        <v>34975</v>
      </c>
      <c r="P433" s="9" t="str">
        <f t="shared" si="59"/>
        <v>PERCENTAGE</v>
      </c>
    </row>
    <row r="434" spans="1:16" x14ac:dyDescent="0.25">
      <c r="A434" s="7" t="str">
        <f t="shared" si="57"/>
        <v>2024 ALL D75</v>
      </c>
      <c r="B434" s="8">
        <f t="shared" si="58"/>
        <v>46104</v>
      </c>
      <c r="C434" s="8">
        <f t="shared" si="62"/>
        <v>46113</v>
      </c>
      <c r="D434" s="7">
        <v>3272</v>
      </c>
      <c r="E434" s="7">
        <v>336</v>
      </c>
      <c r="F434" s="7">
        <v>4</v>
      </c>
      <c r="G434" s="11">
        <v>1</v>
      </c>
      <c r="H434" s="7">
        <v>81379</v>
      </c>
      <c r="I434" s="7" t="s">
        <v>16</v>
      </c>
      <c r="J434" s="11">
        <v>15500719</v>
      </c>
      <c r="K434" s="11" t="s">
        <v>526</v>
      </c>
      <c r="L434" s="11" t="s">
        <v>529</v>
      </c>
      <c r="M434" s="11">
        <v>139900</v>
      </c>
      <c r="N434" s="10">
        <f t="shared" si="55"/>
        <v>0.75</v>
      </c>
      <c r="O434" s="9">
        <f t="shared" si="56"/>
        <v>34975</v>
      </c>
      <c r="P434" s="9" t="str">
        <f t="shared" si="59"/>
        <v>PERCENTAGE</v>
      </c>
    </row>
    <row r="435" spans="1:16" x14ac:dyDescent="0.25">
      <c r="A435" s="7" t="str">
        <f t="shared" si="57"/>
        <v>2024 ALL D75</v>
      </c>
      <c r="B435" s="8">
        <f t="shared" si="58"/>
        <v>46104</v>
      </c>
      <c r="C435" s="8">
        <f t="shared" si="62"/>
        <v>46113</v>
      </c>
      <c r="D435" s="7">
        <v>3272</v>
      </c>
      <c r="E435" s="7">
        <v>336</v>
      </c>
      <c r="F435" s="7">
        <v>4</v>
      </c>
      <c r="G435" s="11">
        <v>1</v>
      </c>
      <c r="H435" s="7">
        <v>81379</v>
      </c>
      <c r="I435" s="7" t="s">
        <v>16</v>
      </c>
      <c r="J435" s="11">
        <v>15500728</v>
      </c>
      <c r="K435" s="11" t="s">
        <v>526</v>
      </c>
      <c r="L435" s="11" t="s">
        <v>530</v>
      </c>
      <c r="M435" s="11">
        <v>139900</v>
      </c>
      <c r="N435" s="10">
        <f t="shared" si="55"/>
        <v>0.75</v>
      </c>
      <c r="O435" s="9">
        <f t="shared" si="56"/>
        <v>34975</v>
      </c>
      <c r="P435" s="9" t="str">
        <f t="shared" si="59"/>
        <v>PERCENTAGE</v>
      </c>
    </row>
    <row r="436" spans="1:16" x14ac:dyDescent="0.25">
      <c r="A436" s="7" t="str">
        <f t="shared" si="57"/>
        <v>2024 ALL D75</v>
      </c>
      <c r="B436" s="8">
        <f t="shared" si="58"/>
        <v>46104</v>
      </c>
      <c r="C436" s="8">
        <f t="shared" si="62"/>
        <v>46113</v>
      </c>
      <c r="D436" s="7">
        <v>3272</v>
      </c>
      <c r="E436" s="7">
        <v>336</v>
      </c>
      <c r="F436" s="7">
        <v>4</v>
      </c>
      <c r="G436" s="11">
        <v>1</v>
      </c>
      <c r="H436" s="7">
        <v>81379</v>
      </c>
      <c r="I436" s="7" t="s">
        <v>16</v>
      </c>
      <c r="J436" s="11">
        <v>15500737</v>
      </c>
      <c r="K436" s="11" t="s">
        <v>526</v>
      </c>
      <c r="L436" s="11" t="s">
        <v>531</v>
      </c>
      <c r="M436" s="11">
        <v>139900</v>
      </c>
      <c r="N436" s="10">
        <f t="shared" si="55"/>
        <v>0.75</v>
      </c>
      <c r="O436" s="9">
        <f t="shared" si="56"/>
        <v>34975</v>
      </c>
      <c r="P436" s="9" t="str">
        <f t="shared" si="59"/>
        <v>PERCENTAGE</v>
      </c>
    </row>
    <row r="437" spans="1:16" x14ac:dyDescent="0.25">
      <c r="A437" s="7" t="str">
        <f t="shared" si="57"/>
        <v>2024 ALL D75</v>
      </c>
      <c r="B437" s="8">
        <f t="shared" si="58"/>
        <v>46104</v>
      </c>
      <c r="C437" s="8">
        <f t="shared" si="62"/>
        <v>46113</v>
      </c>
      <c r="D437" s="7">
        <v>3272</v>
      </c>
      <c r="E437" s="7">
        <v>336</v>
      </c>
      <c r="F437" s="7">
        <v>4</v>
      </c>
      <c r="G437" s="11">
        <v>1</v>
      </c>
      <c r="H437" s="7">
        <v>81379</v>
      </c>
      <c r="I437" s="7" t="s">
        <v>16</v>
      </c>
      <c r="J437" s="11">
        <v>15500844</v>
      </c>
      <c r="K437" s="11" t="s">
        <v>532</v>
      </c>
      <c r="L437" s="11" t="s">
        <v>533</v>
      </c>
      <c r="M437" s="11">
        <v>149900</v>
      </c>
      <c r="N437" s="10">
        <f t="shared" si="55"/>
        <v>0.75</v>
      </c>
      <c r="O437" s="9">
        <f t="shared" si="56"/>
        <v>37475</v>
      </c>
      <c r="P437" s="9" t="str">
        <f t="shared" si="59"/>
        <v>PERCENTAGE</v>
      </c>
    </row>
    <row r="438" spans="1:16" x14ac:dyDescent="0.25">
      <c r="A438" s="7" t="str">
        <f t="shared" si="57"/>
        <v>2024 ALL D75</v>
      </c>
      <c r="B438" s="8">
        <f t="shared" si="58"/>
        <v>46104</v>
      </c>
      <c r="C438" s="8">
        <f t="shared" si="62"/>
        <v>46113</v>
      </c>
      <c r="D438" s="7">
        <v>3272</v>
      </c>
      <c r="E438" s="7">
        <v>336</v>
      </c>
      <c r="F438" s="7">
        <v>4</v>
      </c>
      <c r="G438" s="11">
        <v>1</v>
      </c>
      <c r="H438" s="7">
        <v>81379</v>
      </c>
      <c r="I438" s="7" t="s">
        <v>16</v>
      </c>
      <c r="J438" s="11">
        <v>15500853</v>
      </c>
      <c r="K438" s="11" t="s">
        <v>532</v>
      </c>
      <c r="L438" s="11" t="s">
        <v>534</v>
      </c>
      <c r="M438" s="11">
        <v>149900</v>
      </c>
      <c r="N438" s="10">
        <f t="shared" si="55"/>
        <v>0.75</v>
      </c>
      <c r="O438" s="9">
        <f t="shared" si="56"/>
        <v>37475</v>
      </c>
      <c r="P438" s="9" t="str">
        <f t="shared" si="59"/>
        <v>PERCENTAGE</v>
      </c>
    </row>
    <row r="439" spans="1:16" x14ac:dyDescent="0.25">
      <c r="A439" s="7" t="str">
        <f t="shared" si="57"/>
        <v>2024 ALL D75</v>
      </c>
      <c r="B439" s="8">
        <f t="shared" si="58"/>
        <v>46104</v>
      </c>
      <c r="C439" s="8">
        <f t="shared" si="62"/>
        <v>46113</v>
      </c>
      <c r="D439" s="7">
        <v>3272</v>
      </c>
      <c r="E439" s="7">
        <v>336</v>
      </c>
      <c r="F439" s="7">
        <v>4</v>
      </c>
      <c r="G439" s="11">
        <v>1</v>
      </c>
      <c r="H439" s="7">
        <v>81379</v>
      </c>
      <c r="I439" s="7" t="s">
        <v>16</v>
      </c>
      <c r="J439" s="11">
        <v>15500862</v>
      </c>
      <c r="K439" s="11" t="s">
        <v>532</v>
      </c>
      <c r="L439" s="11" t="s">
        <v>535</v>
      </c>
      <c r="M439" s="11">
        <v>149900</v>
      </c>
      <c r="N439" s="10">
        <f t="shared" si="55"/>
        <v>0.75</v>
      </c>
      <c r="O439" s="9">
        <f t="shared" si="56"/>
        <v>37475</v>
      </c>
      <c r="P439" s="9" t="str">
        <f t="shared" si="59"/>
        <v>PERCENTAGE</v>
      </c>
    </row>
    <row r="440" spans="1:16" x14ac:dyDescent="0.25">
      <c r="A440" s="7" t="str">
        <f t="shared" si="57"/>
        <v>2024 ALL D75</v>
      </c>
      <c r="B440" s="8">
        <f t="shared" si="58"/>
        <v>46104</v>
      </c>
      <c r="C440" s="8">
        <f t="shared" si="62"/>
        <v>46113</v>
      </c>
      <c r="D440" s="7">
        <v>3272</v>
      </c>
      <c r="E440" s="7">
        <v>336</v>
      </c>
      <c r="F440" s="7">
        <v>4</v>
      </c>
      <c r="G440" s="11">
        <v>1</v>
      </c>
      <c r="H440" s="7">
        <v>81379</v>
      </c>
      <c r="I440" s="7" t="s">
        <v>16</v>
      </c>
      <c r="J440" s="11">
        <v>15500871</v>
      </c>
      <c r="K440" s="11" t="s">
        <v>532</v>
      </c>
      <c r="L440" s="11" t="s">
        <v>536</v>
      </c>
      <c r="M440" s="11">
        <v>149900</v>
      </c>
      <c r="N440" s="10">
        <f t="shared" si="55"/>
        <v>0.75</v>
      </c>
      <c r="O440" s="9">
        <f t="shared" si="56"/>
        <v>37475</v>
      </c>
      <c r="P440" s="9" t="str">
        <f t="shared" si="59"/>
        <v>PERCENTAGE</v>
      </c>
    </row>
    <row r="441" spans="1:16" x14ac:dyDescent="0.25">
      <c r="A441" s="7" t="str">
        <f t="shared" si="57"/>
        <v>2024 ALL D75</v>
      </c>
      <c r="B441" s="8">
        <f t="shared" si="58"/>
        <v>46104</v>
      </c>
      <c r="C441" s="8">
        <f t="shared" si="62"/>
        <v>46113</v>
      </c>
      <c r="D441" s="7">
        <v>3272</v>
      </c>
      <c r="E441" s="7">
        <v>336</v>
      </c>
      <c r="F441" s="7">
        <v>4</v>
      </c>
      <c r="G441" s="11">
        <v>1</v>
      </c>
      <c r="H441" s="7">
        <v>81379</v>
      </c>
      <c r="I441" s="7" t="s">
        <v>16</v>
      </c>
      <c r="J441" s="11">
        <v>15500880</v>
      </c>
      <c r="K441" s="11" t="s">
        <v>532</v>
      </c>
      <c r="L441" s="11" t="s">
        <v>537</v>
      </c>
      <c r="M441" s="11">
        <v>149900</v>
      </c>
      <c r="N441" s="10">
        <f t="shared" si="55"/>
        <v>0.75</v>
      </c>
      <c r="O441" s="9">
        <f t="shared" si="56"/>
        <v>37475</v>
      </c>
      <c r="P441" s="9" t="str">
        <f t="shared" si="59"/>
        <v>PERCENTAGE</v>
      </c>
    </row>
    <row r="442" spans="1:16" x14ac:dyDescent="0.25">
      <c r="A442" s="7" t="str">
        <f t="shared" si="57"/>
        <v>2024 ALL D75</v>
      </c>
      <c r="B442" s="8">
        <f t="shared" si="58"/>
        <v>46104</v>
      </c>
      <c r="C442" s="8">
        <f t="shared" si="62"/>
        <v>46113</v>
      </c>
      <c r="D442" s="7">
        <v>3272</v>
      </c>
      <c r="E442" s="7">
        <v>336</v>
      </c>
      <c r="F442" s="7">
        <v>4</v>
      </c>
      <c r="G442" s="11">
        <v>1</v>
      </c>
      <c r="H442" s="7">
        <v>81379</v>
      </c>
      <c r="I442" s="7" t="s">
        <v>16</v>
      </c>
      <c r="J442" s="11">
        <v>15500997</v>
      </c>
      <c r="K442" s="11" t="s">
        <v>538</v>
      </c>
      <c r="L442" s="11" t="s">
        <v>539</v>
      </c>
      <c r="M442" s="11">
        <v>149900</v>
      </c>
      <c r="N442" s="10">
        <f t="shared" si="55"/>
        <v>0.75</v>
      </c>
      <c r="O442" s="9">
        <f t="shared" si="56"/>
        <v>37475</v>
      </c>
      <c r="P442" s="9" t="str">
        <f t="shared" si="59"/>
        <v>PERCENTAGE</v>
      </c>
    </row>
    <row r="443" spans="1:16" x14ac:dyDescent="0.25">
      <c r="A443" s="7" t="str">
        <f t="shared" si="57"/>
        <v>2024 ALL D75</v>
      </c>
      <c r="B443" s="8">
        <f t="shared" si="58"/>
        <v>46104</v>
      </c>
      <c r="C443" s="8">
        <f t="shared" ref="C443:C458" si="63">C442</f>
        <v>46113</v>
      </c>
      <c r="D443" s="7">
        <v>3272</v>
      </c>
      <c r="E443" s="7">
        <v>336</v>
      </c>
      <c r="F443" s="7">
        <v>4</v>
      </c>
      <c r="G443" s="11">
        <v>1</v>
      </c>
      <c r="H443" s="7">
        <v>81379</v>
      </c>
      <c r="I443" s="7" t="s">
        <v>16</v>
      </c>
      <c r="J443" s="11">
        <v>15501003</v>
      </c>
      <c r="K443" s="11" t="s">
        <v>538</v>
      </c>
      <c r="L443" s="11" t="s">
        <v>540</v>
      </c>
      <c r="M443" s="11">
        <v>149900</v>
      </c>
      <c r="N443" s="10">
        <f t="shared" si="55"/>
        <v>0.75</v>
      </c>
      <c r="O443" s="9">
        <f t="shared" si="56"/>
        <v>37475</v>
      </c>
      <c r="P443" s="9" t="str">
        <f t="shared" si="59"/>
        <v>PERCENTAGE</v>
      </c>
    </row>
    <row r="444" spans="1:16" x14ac:dyDescent="0.25">
      <c r="A444" s="7" t="str">
        <f t="shared" si="57"/>
        <v>2024 ALL D75</v>
      </c>
      <c r="B444" s="8">
        <f t="shared" si="58"/>
        <v>46104</v>
      </c>
      <c r="C444" s="8">
        <f t="shared" si="63"/>
        <v>46113</v>
      </c>
      <c r="D444" s="7">
        <v>3272</v>
      </c>
      <c r="E444" s="7">
        <v>336</v>
      </c>
      <c r="F444" s="7">
        <v>4</v>
      </c>
      <c r="G444" s="11">
        <v>1</v>
      </c>
      <c r="H444" s="7">
        <v>81379</v>
      </c>
      <c r="I444" s="7" t="s">
        <v>16</v>
      </c>
      <c r="J444" s="11">
        <v>15501012</v>
      </c>
      <c r="K444" s="11" t="s">
        <v>538</v>
      </c>
      <c r="L444" s="11" t="s">
        <v>541</v>
      </c>
      <c r="M444" s="11">
        <v>149900</v>
      </c>
      <c r="N444" s="10">
        <f t="shared" si="55"/>
        <v>0.75</v>
      </c>
      <c r="O444" s="9">
        <f t="shared" si="56"/>
        <v>37475</v>
      </c>
      <c r="P444" s="9" t="str">
        <f t="shared" si="59"/>
        <v>PERCENTAGE</v>
      </c>
    </row>
    <row r="445" spans="1:16" x14ac:dyDescent="0.25">
      <c r="A445" s="7" t="str">
        <f t="shared" si="57"/>
        <v>2024 ALL D75</v>
      </c>
      <c r="B445" s="8">
        <f t="shared" si="58"/>
        <v>46104</v>
      </c>
      <c r="C445" s="8">
        <f t="shared" si="63"/>
        <v>46113</v>
      </c>
      <c r="D445" s="7">
        <v>3272</v>
      </c>
      <c r="E445" s="7">
        <v>336</v>
      </c>
      <c r="F445" s="7">
        <v>4</v>
      </c>
      <c r="G445" s="11">
        <v>1</v>
      </c>
      <c r="H445" s="7">
        <v>81379</v>
      </c>
      <c r="I445" s="7" t="s">
        <v>16</v>
      </c>
      <c r="J445" s="11">
        <v>15501021</v>
      </c>
      <c r="K445" s="11" t="s">
        <v>538</v>
      </c>
      <c r="L445" s="11" t="s">
        <v>542</v>
      </c>
      <c r="M445" s="11">
        <v>149900</v>
      </c>
      <c r="N445" s="10">
        <f t="shared" si="55"/>
        <v>0.75</v>
      </c>
      <c r="O445" s="9">
        <f t="shared" si="56"/>
        <v>37475</v>
      </c>
      <c r="P445" s="9" t="str">
        <f t="shared" si="59"/>
        <v>PERCENTAGE</v>
      </c>
    </row>
    <row r="446" spans="1:16" x14ac:dyDescent="0.25">
      <c r="A446" s="7" t="str">
        <f t="shared" si="57"/>
        <v>2024 ALL D75</v>
      </c>
      <c r="B446" s="8">
        <f t="shared" si="58"/>
        <v>46104</v>
      </c>
      <c r="C446" s="8">
        <f t="shared" si="63"/>
        <v>46113</v>
      </c>
      <c r="D446" s="7">
        <v>3272</v>
      </c>
      <c r="E446" s="7">
        <v>336</v>
      </c>
      <c r="F446" s="7">
        <v>4</v>
      </c>
      <c r="G446" s="11">
        <v>1</v>
      </c>
      <c r="H446" s="7">
        <v>81379</v>
      </c>
      <c r="I446" s="7" t="s">
        <v>16</v>
      </c>
      <c r="J446" s="11">
        <v>15501030</v>
      </c>
      <c r="K446" s="11" t="s">
        <v>538</v>
      </c>
      <c r="L446" s="11" t="s">
        <v>543</v>
      </c>
      <c r="M446" s="11">
        <v>149900</v>
      </c>
      <c r="N446" s="10">
        <f t="shared" si="55"/>
        <v>0.75</v>
      </c>
      <c r="O446" s="9">
        <f t="shared" si="56"/>
        <v>37475</v>
      </c>
      <c r="P446" s="9" t="str">
        <f t="shared" si="59"/>
        <v>PERCENTAGE</v>
      </c>
    </row>
    <row r="447" spans="1:16" x14ac:dyDescent="0.25">
      <c r="A447" s="7" t="str">
        <f t="shared" si="57"/>
        <v>2024 ALL D75</v>
      </c>
      <c r="B447" s="8">
        <f t="shared" si="58"/>
        <v>46104</v>
      </c>
      <c r="C447" s="8">
        <f t="shared" si="63"/>
        <v>46113</v>
      </c>
      <c r="D447" s="7">
        <v>3272</v>
      </c>
      <c r="E447" s="7">
        <v>336</v>
      </c>
      <c r="F447" s="7">
        <v>4</v>
      </c>
      <c r="G447" s="11">
        <v>1</v>
      </c>
      <c r="H447" s="7">
        <v>81379</v>
      </c>
      <c r="I447" s="7" t="s">
        <v>16</v>
      </c>
      <c r="J447" s="11">
        <v>15501049</v>
      </c>
      <c r="K447" s="11" t="s">
        <v>544</v>
      </c>
      <c r="L447" s="11" t="s">
        <v>545</v>
      </c>
      <c r="M447" s="11">
        <v>149900</v>
      </c>
      <c r="N447" s="10">
        <f t="shared" si="55"/>
        <v>0.75</v>
      </c>
      <c r="O447" s="9">
        <f t="shared" si="56"/>
        <v>37475</v>
      </c>
      <c r="P447" s="9" t="str">
        <f t="shared" si="59"/>
        <v>PERCENTAGE</v>
      </c>
    </row>
    <row r="448" spans="1:16" x14ac:dyDescent="0.25">
      <c r="A448" s="7" t="str">
        <f t="shared" si="57"/>
        <v>2024 ALL D75</v>
      </c>
      <c r="B448" s="8">
        <f t="shared" si="58"/>
        <v>46104</v>
      </c>
      <c r="C448" s="8">
        <f t="shared" si="63"/>
        <v>46113</v>
      </c>
      <c r="D448" s="7">
        <v>3272</v>
      </c>
      <c r="E448" s="7">
        <v>336</v>
      </c>
      <c r="F448" s="7">
        <v>4</v>
      </c>
      <c r="G448" s="11">
        <v>1</v>
      </c>
      <c r="H448" s="7">
        <v>81379</v>
      </c>
      <c r="I448" s="7" t="s">
        <v>16</v>
      </c>
      <c r="J448" s="11">
        <v>15501058</v>
      </c>
      <c r="K448" s="11" t="s">
        <v>544</v>
      </c>
      <c r="L448" s="11" t="s">
        <v>546</v>
      </c>
      <c r="M448" s="11">
        <v>149900</v>
      </c>
      <c r="N448" s="10">
        <f t="shared" si="55"/>
        <v>0.75</v>
      </c>
      <c r="O448" s="9">
        <f t="shared" si="56"/>
        <v>37475</v>
      </c>
      <c r="P448" s="9" t="str">
        <f t="shared" si="59"/>
        <v>PERCENTAGE</v>
      </c>
    </row>
    <row r="449" spans="1:16" x14ac:dyDescent="0.25">
      <c r="A449" s="7" t="str">
        <f t="shared" si="57"/>
        <v>2024 ALL D75</v>
      </c>
      <c r="B449" s="8">
        <f t="shared" si="58"/>
        <v>46104</v>
      </c>
      <c r="C449" s="8">
        <f t="shared" si="63"/>
        <v>46113</v>
      </c>
      <c r="D449" s="7">
        <v>3272</v>
      </c>
      <c r="E449" s="7">
        <v>336</v>
      </c>
      <c r="F449" s="7">
        <v>4</v>
      </c>
      <c r="G449" s="11">
        <v>1</v>
      </c>
      <c r="H449" s="7">
        <v>81379</v>
      </c>
      <c r="I449" s="7" t="s">
        <v>16</v>
      </c>
      <c r="J449" s="11">
        <v>15501067</v>
      </c>
      <c r="K449" s="11" t="s">
        <v>544</v>
      </c>
      <c r="L449" s="11" t="s">
        <v>547</v>
      </c>
      <c r="M449" s="11">
        <v>149900</v>
      </c>
      <c r="N449" s="10">
        <f t="shared" si="55"/>
        <v>0.75</v>
      </c>
      <c r="O449" s="9">
        <f t="shared" si="56"/>
        <v>37475</v>
      </c>
      <c r="P449" s="9" t="str">
        <f t="shared" si="59"/>
        <v>PERCENTAGE</v>
      </c>
    </row>
    <row r="450" spans="1:16" x14ac:dyDescent="0.25">
      <c r="A450" s="7" t="str">
        <f t="shared" si="57"/>
        <v>2024 ALL D75</v>
      </c>
      <c r="B450" s="8">
        <f t="shared" si="58"/>
        <v>46104</v>
      </c>
      <c r="C450" s="8">
        <f t="shared" si="63"/>
        <v>46113</v>
      </c>
      <c r="D450" s="7">
        <v>3272</v>
      </c>
      <c r="E450" s="7">
        <v>336</v>
      </c>
      <c r="F450" s="7">
        <v>4</v>
      </c>
      <c r="G450" s="11">
        <v>1</v>
      </c>
      <c r="H450" s="7">
        <v>81379</v>
      </c>
      <c r="I450" s="7" t="s">
        <v>16</v>
      </c>
      <c r="J450" s="11">
        <v>15501076</v>
      </c>
      <c r="K450" s="11" t="s">
        <v>544</v>
      </c>
      <c r="L450" s="11" t="s">
        <v>548</v>
      </c>
      <c r="M450" s="11">
        <v>149900</v>
      </c>
      <c r="N450" s="10">
        <f t="shared" si="55"/>
        <v>0.75</v>
      </c>
      <c r="O450" s="9">
        <f t="shared" si="56"/>
        <v>37475</v>
      </c>
      <c r="P450" s="9" t="str">
        <f t="shared" si="59"/>
        <v>PERCENTAGE</v>
      </c>
    </row>
    <row r="451" spans="1:16" x14ac:dyDescent="0.25">
      <c r="A451" s="7" t="str">
        <f t="shared" si="57"/>
        <v>2024 ALL D75</v>
      </c>
      <c r="B451" s="8">
        <f t="shared" si="58"/>
        <v>46104</v>
      </c>
      <c r="C451" s="8">
        <f t="shared" si="63"/>
        <v>46113</v>
      </c>
      <c r="D451" s="7">
        <v>3272</v>
      </c>
      <c r="E451" s="7">
        <v>336</v>
      </c>
      <c r="F451" s="7">
        <v>4</v>
      </c>
      <c r="G451" s="11">
        <v>1</v>
      </c>
      <c r="H451" s="7">
        <v>81379</v>
      </c>
      <c r="I451" s="7" t="s">
        <v>16</v>
      </c>
      <c r="J451" s="11">
        <v>15501085</v>
      </c>
      <c r="K451" s="11" t="s">
        <v>544</v>
      </c>
      <c r="L451" s="11" t="s">
        <v>549</v>
      </c>
      <c r="M451" s="11">
        <v>149900</v>
      </c>
      <c r="N451" s="10">
        <f t="shared" ref="N451:N466" si="64">N450</f>
        <v>0.75</v>
      </c>
      <c r="O451" s="9">
        <f t="shared" ref="O451:O514" si="65">M451-((75*M451))/100</f>
        <v>37475</v>
      </c>
      <c r="P451" s="9" t="str">
        <f t="shared" si="59"/>
        <v>PERCENTAGE</v>
      </c>
    </row>
    <row r="452" spans="1:16" x14ac:dyDescent="0.25">
      <c r="A452" s="7" t="str">
        <f t="shared" ref="A452:A515" si="66">A451</f>
        <v>2024 ALL D75</v>
      </c>
      <c r="B452" s="8">
        <f t="shared" ref="B452:B515" si="67">B451</f>
        <v>46104</v>
      </c>
      <c r="C452" s="8">
        <f t="shared" si="63"/>
        <v>46113</v>
      </c>
      <c r="D452" s="7">
        <v>3272</v>
      </c>
      <c r="E452" s="7">
        <v>336</v>
      </c>
      <c r="F452" s="7">
        <v>4</v>
      </c>
      <c r="G452" s="11">
        <v>1</v>
      </c>
      <c r="H452" s="7">
        <v>81379</v>
      </c>
      <c r="I452" s="7" t="s">
        <v>16</v>
      </c>
      <c r="J452" s="11">
        <v>15501192</v>
      </c>
      <c r="K452" s="11" t="s">
        <v>550</v>
      </c>
      <c r="L452" s="11" t="s">
        <v>551</v>
      </c>
      <c r="M452" s="11">
        <v>149900</v>
      </c>
      <c r="N452" s="10">
        <f t="shared" si="64"/>
        <v>0.75</v>
      </c>
      <c r="O452" s="9">
        <f t="shared" si="65"/>
        <v>37475</v>
      </c>
      <c r="P452" s="9" t="str">
        <f t="shared" ref="P452:P515" si="68">P451</f>
        <v>PERCENTAGE</v>
      </c>
    </row>
    <row r="453" spans="1:16" x14ac:dyDescent="0.25">
      <c r="A453" s="7" t="str">
        <f t="shared" si="66"/>
        <v>2024 ALL D75</v>
      </c>
      <c r="B453" s="8">
        <f t="shared" si="67"/>
        <v>46104</v>
      </c>
      <c r="C453" s="8">
        <f t="shared" si="63"/>
        <v>46113</v>
      </c>
      <c r="D453" s="7">
        <v>3272</v>
      </c>
      <c r="E453" s="7">
        <v>336</v>
      </c>
      <c r="F453" s="7">
        <v>4</v>
      </c>
      <c r="G453" s="11">
        <v>1</v>
      </c>
      <c r="H453" s="7">
        <v>81379</v>
      </c>
      <c r="I453" s="7" t="s">
        <v>16</v>
      </c>
      <c r="J453" s="11">
        <v>15501209</v>
      </c>
      <c r="K453" s="11" t="s">
        <v>550</v>
      </c>
      <c r="L453" s="11" t="s">
        <v>552</v>
      </c>
      <c r="M453" s="11">
        <v>149900</v>
      </c>
      <c r="N453" s="10">
        <f t="shared" si="64"/>
        <v>0.75</v>
      </c>
      <c r="O453" s="9">
        <f t="shared" si="65"/>
        <v>37475</v>
      </c>
      <c r="P453" s="9" t="str">
        <f t="shared" si="68"/>
        <v>PERCENTAGE</v>
      </c>
    </row>
    <row r="454" spans="1:16" x14ac:dyDescent="0.25">
      <c r="A454" s="7" t="str">
        <f t="shared" si="66"/>
        <v>2024 ALL D75</v>
      </c>
      <c r="B454" s="8">
        <f t="shared" si="67"/>
        <v>46104</v>
      </c>
      <c r="C454" s="8">
        <f t="shared" si="63"/>
        <v>46113</v>
      </c>
      <c r="D454" s="7">
        <v>3272</v>
      </c>
      <c r="E454" s="7">
        <v>336</v>
      </c>
      <c r="F454" s="7">
        <v>4</v>
      </c>
      <c r="G454" s="11">
        <v>1</v>
      </c>
      <c r="H454" s="7">
        <v>81379</v>
      </c>
      <c r="I454" s="7" t="s">
        <v>16</v>
      </c>
      <c r="J454" s="11">
        <v>15501218</v>
      </c>
      <c r="K454" s="11" t="s">
        <v>550</v>
      </c>
      <c r="L454" s="11" t="s">
        <v>553</v>
      </c>
      <c r="M454" s="11">
        <v>149900</v>
      </c>
      <c r="N454" s="10">
        <f t="shared" si="64"/>
        <v>0.75</v>
      </c>
      <c r="O454" s="9">
        <f t="shared" si="65"/>
        <v>37475</v>
      </c>
      <c r="P454" s="9" t="str">
        <f t="shared" si="68"/>
        <v>PERCENTAGE</v>
      </c>
    </row>
    <row r="455" spans="1:16" x14ac:dyDescent="0.25">
      <c r="A455" s="7" t="str">
        <f t="shared" si="66"/>
        <v>2024 ALL D75</v>
      </c>
      <c r="B455" s="8">
        <f t="shared" si="67"/>
        <v>46104</v>
      </c>
      <c r="C455" s="8">
        <f t="shared" si="63"/>
        <v>46113</v>
      </c>
      <c r="D455" s="7">
        <v>3272</v>
      </c>
      <c r="E455" s="7">
        <v>336</v>
      </c>
      <c r="F455" s="7">
        <v>4</v>
      </c>
      <c r="G455" s="11">
        <v>1</v>
      </c>
      <c r="H455" s="7">
        <v>81379</v>
      </c>
      <c r="I455" s="7" t="s">
        <v>16</v>
      </c>
      <c r="J455" s="11">
        <v>15501227</v>
      </c>
      <c r="K455" s="11" t="s">
        <v>550</v>
      </c>
      <c r="L455" s="11" t="s">
        <v>554</v>
      </c>
      <c r="M455" s="11">
        <v>149900</v>
      </c>
      <c r="N455" s="10">
        <f t="shared" si="64"/>
        <v>0.75</v>
      </c>
      <c r="O455" s="9">
        <f t="shared" si="65"/>
        <v>37475</v>
      </c>
      <c r="P455" s="9" t="str">
        <f t="shared" si="68"/>
        <v>PERCENTAGE</v>
      </c>
    </row>
    <row r="456" spans="1:16" x14ac:dyDescent="0.25">
      <c r="A456" s="7" t="str">
        <f t="shared" si="66"/>
        <v>2024 ALL D75</v>
      </c>
      <c r="B456" s="8">
        <f t="shared" si="67"/>
        <v>46104</v>
      </c>
      <c r="C456" s="8">
        <f t="shared" si="63"/>
        <v>46113</v>
      </c>
      <c r="D456" s="7">
        <v>3272</v>
      </c>
      <c r="E456" s="7">
        <v>336</v>
      </c>
      <c r="F456" s="7">
        <v>4</v>
      </c>
      <c r="G456" s="11">
        <v>1</v>
      </c>
      <c r="H456" s="7">
        <v>81379</v>
      </c>
      <c r="I456" s="7" t="s">
        <v>16</v>
      </c>
      <c r="J456" s="11">
        <v>15501236</v>
      </c>
      <c r="K456" s="11" t="s">
        <v>550</v>
      </c>
      <c r="L456" s="11" t="s">
        <v>555</v>
      </c>
      <c r="M456" s="11">
        <v>149900</v>
      </c>
      <c r="N456" s="10">
        <f t="shared" si="64"/>
        <v>0.75</v>
      </c>
      <c r="O456" s="9">
        <f t="shared" si="65"/>
        <v>37475</v>
      </c>
      <c r="P456" s="9" t="str">
        <f t="shared" si="68"/>
        <v>PERCENTAGE</v>
      </c>
    </row>
    <row r="457" spans="1:16" x14ac:dyDescent="0.25">
      <c r="A457" s="7" t="str">
        <f t="shared" si="66"/>
        <v>2024 ALL D75</v>
      </c>
      <c r="B457" s="8">
        <f t="shared" si="67"/>
        <v>46104</v>
      </c>
      <c r="C457" s="8">
        <f t="shared" si="63"/>
        <v>46113</v>
      </c>
      <c r="D457" s="7">
        <v>3272</v>
      </c>
      <c r="E457" s="7">
        <v>336</v>
      </c>
      <c r="F457" s="7">
        <v>4</v>
      </c>
      <c r="G457" s="11">
        <v>1</v>
      </c>
      <c r="H457" s="7">
        <v>81379</v>
      </c>
      <c r="I457" s="7" t="s">
        <v>16</v>
      </c>
      <c r="J457" s="11">
        <v>15501398</v>
      </c>
      <c r="K457" s="11" t="s">
        <v>556</v>
      </c>
      <c r="L457" s="11" t="s">
        <v>557</v>
      </c>
      <c r="M457" s="11">
        <v>149900</v>
      </c>
      <c r="N457" s="10">
        <f t="shared" si="64"/>
        <v>0.75</v>
      </c>
      <c r="O457" s="9">
        <f t="shared" si="65"/>
        <v>37475</v>
      </c>
      <c r="P457" s="9" t="str">
        <f t="shared" si="68"/>
        <v>PERCENTAGE</v>
      </c>
    </row>
    <row r="458" spans="1:16" x14ac:dyDescent="0.25">
      <c r="A458" s="7" t="str">
        <f t="shared" si="66"/>
        <v>2024 ALL D75</v>
      </c>
      <c r="B458" s="8">
        <f t="shared" si="67"/>
        <v>46104</v>
      </c>
      <c r="C458" s="8">
        <f t="shared" si="63"/>
        <v>46113</v>
      </c>
      <c r="D458" s="7">
        <v>3272</v>
      </c>
      <c r="E458" s="7">
        <v>336</v>
      </c>
      <c r="F458" s="7">
        <v>4</v>
      </c>
      <c r="G458" s="11">
        <v>1</v>
      </c>
      <c r="H458" s="7">
        <v>81379</v>
      </c>
      <c r="I458" s="7" t="s">
        <v>16</v>
      </c>
      <c r="J458" s="11">
        <v>15501405</v>
      </c>
      <c r="K458" s="11" t="s">
        <v>556</v>
      </c>
      <c r="L458" s="11" t="s">
        <v>558</v>
      </c>
      <c r="M458" s="11">
        <v>149900</v>
      </c>
      <c r="N458" s="10">
        <f t="shared" si="64"/>
        <v>0.75</v>
      </c>
      <c r="O458" s="9">
        <f t="shared" si="65"/>
        <v>37475</v>
      </c>
      <c r="P458" s="9" t="str">
        <f t="shared" si="68"/>
        <v>PERCENTAGE</v>
      </c>
    </row>
    <row r="459" spans="1:16" x14ac:dyDescent="0.25">
      <c r="A459" s="7" t="str">
        <f t="shared" si="66"/>
        <v>2024 ALL D75</v>
      </c>
      <c r="B459" s="8">
        <f t="shared" si="67"/>
        <v>46104</v>
      </c>
      <c r="C459" s="8">
        <f t="shared" ref="C459:C466" si="69">C458</f>
        <v>46113</v>
      </c>
      <c r="D459" s="7">
        <v>3272</v>
      </c>
      <c r="E459" s="7">
        <v>336</v>
      </c>
      <c r="F459" s="7">
        <v>4</v>
      </c>
      <c r="G459" s="11">
        <v>1</v>
      </c>
      <c r="H459" s="7">
        <v>81379</v>
      </c>
      <c r="I459" s="7" t="s">
        <v>16</v>
      </c>
      <c r="J459" s="11">
        <v>15501414</v>
      </c>
      <c r="K459" s="11" t="s">
        <v>556</v>
      </c>
      <c r="L459" s="11" t="s">
        <v>559</v>
      </c>
      <c r="M459" s="11">
        <v>149900</v>
      </c>
      <c r="N459" s="10">
        <f t="shared" si="64"/>
        <v>0.75</v>
      </c>
      <c r="O459" s="9">
        <f t="shared" si="65"/>
        <v>37475</v>
      </c>
      <c r="P459" s="9" t="str">
        <f t="shared" si="68"/>
        <v>PERCENTAGE</v>
      </c>
    </row>
    <row r="460" spans="1:16" x14ac:dyDescent="0.25">
      <c r="A460" s="7" t="str">
        <f t="shared" si="66"/>
        <v>2024 ALL D75</v>
      </c>
      <c r="B460" s="8">
        <f t="shared" si="67"/>
        <v>46104</v>
      </c>
      <c r="C460" s="8">
        <f t="shared" si="69"/>
        <v>46113</v>
      </c>
      <c r="D460" s="7">
        <v>3272</v>
      </c>
      <c r="E460" s="7">
        <v>336</v>
      </c>
      <c r="F460" s="7">
        <v>4</v>
      </c>
      <c r="G460" s="11">
        <v>1</v>
      </c>
      <c r="H460" s="7">
        <v>81379</v>
      </c>
      <c r="I460" s="7" t="s">
        <v>16</v>
      </c>
      <c r="J460" s="11">
        <v>15501423</v>
      </c>
      <c r="K460" s="11" t="s">
        <v>556</v>
      </c>
      <c r="L460" s="11" t="s">
        <v>560</v>
      </c>
      <c r="M460" s="11">
        <v>149900</v>
      </c>
      <c r="N460" s="10">
        <f t="shared" si="64"/>
        <v>0.75</v>
      </c>
      <c r="O460" s="9">
        <f t="shared" si="65"/>
        <v>37475</v>
      </c>
      <c r="P460" s="9" t="str">
        <f t="shared" si="68"/>
        <v>PERCENTAGE</v>
      </c>
    </row>
    <row r="461" spans="1:16" x14ac:dyDescent="0.25">
      <c r="A461" s="7" t="str">
        <f t="shared" si="66"/>
        <v>2024 ALL D75</v>
      </c>
      <c r="B461" s="8">
        <f t="shared" si="67"/>
        <v>46104</v>
      </c>
      <c r="C461" s="8">
        <f t="shared" si="69"/>
        <v>46113</v>
      </c>
      <c r="D461" s="7">
        <v>3272</v>
      </c>
      <c r="E461" s="7">
        <v>336</v>
      </c>
      <c r="F461" s="7">
        <v>4</v>
      </c>
      <c r="G461" s="11">
        <v>1</v>
      </c>
      <c r="H461" s="7">
        <v>81379</v>
      </c>
      <c r="I461" s="7" t="s">
        <v>16</v>
      </c>
      <c r="J461" s="11">
        <v>15501432</v>
      </c>
      <c r="K461" s="11" t="s">
        <v>556</v>
      </c>
      <c r="L461" s="11" t="s">
        <v>561</v>
      </c>
      <c r="M461" s="11">
        <v>149900</v>
      </c>
      <c r="N461" s="10">
        <f t="shared" si="64"/>
        <v>0.75</v>
      </c>
      <c r="O461" s="9">
        <f t="shared" si="65"/>
        <v>37475</v>
      </c>
      <c r="P461" s="9" t="str">
        <f t="shared" si="68"/>
        <v>PERCENTAGE</v>
      </c>
    </row>
    <row r="462" spans="1:16" x14ac:dyDescent="0.25">
      <c r="A462" s="7" t="str">
        <f t="shared" si="66"/>
        <v>2024 ALL D75</v>
      </c>
      <c r="B462" s="8">
        <f t="shared" si="67"/>
        <v>46104</v>
      </c>
      <c r="C462" s="8">
        <f t="shared" si="69"/>
        <v>46113</v>
      </c>
      <c r="D462" s="7">
        <v>3272</v>
      </c>
      <c r="E462" s="7">
        <v>336</v>
      </c>
      <c r="F462" s="7">
        <v>4</v>
      </c>
      <c r="G462" s="11">
        <v>1</v>
      </c>
      <c r="H462" s="7">
        <v>81379</v>
      </c>
      <c r="I462" s="7" t="s">
        <v>16</v>
      </c>
      <c r="J462" s="11">
        <v>15501549</v>
      </c>
      <c r="K462" s="11" t="s">
        <v>562</v>
      </c>
      <c r="L462" s="11" t="s">
        <v>563</v>
      </c>
      <c r="M462" s="11">
        <v>149900</v>
      </c>
      <c r="N462" s="10">
        <f t="shared" si="64"/>
        <v>0.75</v>
      </c>
      <c r="O462" s="9">
        <f t="shared" si="65"/>
        <v>37475</v>
      </c>
      <c r="P462" s="9" t="str">
        <f t="shared" si="68"/>
        <v>PERCENTAGE</v>
      </c>
    </row>
    <row r="463" spans="1:16" x14ac:dyDescent="0.25">
      <c r="A463" s="7" t="str">
        <f t="shared" si="66"/>
        <v>2024 ALL D75</v>
      </c>
      <c r="B463" s="8">
        <f t="shared" si="67"/>
        <v>46104</v>
      </c>
      <c r="C463" s="8">
        <f t="shared" si="69"/>
        <v>46113</v>
      </c>
      <c r="D463" s="7">
        <v>3272</v>
      </c>
      <c r="E463" s="7">
        <v>336</v>
      </c>
      <c r="F463" s="7">
        <v>4</v>
      </c>
      <c r="G463" s="11">
        <v>1</v>
      </c>
      <c r="H463" s="7">
        <v>81379</v>
      </c>
      <c r="I463" s="7" t="s">
        <v>16</v>
      </c>
      <c r="J463" s="11">
        <v>15501558</v>
      </c>
      <c r="K463" s="11" t="s">
        <v>562</v>
      </c>
      <c r="L463" s="11" t="s">
        <v>564</v>
      </c>
      <c r="M463" s="11">
        <v>149900</v>
      </c>
      <c r="N463" s="10">
        <f t="shared" si="64"/>
        <v>0.75</v>
      </c>
      <c r="O463" s="9">
        <f t="shared" si="65"/>
        <v>37475</v>
      </c>
      <c r="P463" s="9" t="str">
        <f t="shared" si="68"/>
        <v>PERCENTAGE</v>
      </c>
    </row>
    <row r="464" spans="1:16" x14ac:dyDescent="0.25">
      <c r="A464" s="7" t="str">
        <f t="shared" si="66"/>
        <v>2024 ALL D75</v>
      </c>
      <c r="B464" s="8">
        <f t="shared" si="67"/>
        <v>46104</v>
      </c>
      <c r="C464" s="8">
        <f t="shared" si="69"/>
        <v>46113</v>
      </c>
      <c r="D464" s="7">
        <v>3272</v>
      </c>
      <c r="E464" s="7">
        <v>336</v>
      </c>
      <c r="F464" s="7">
        <v>4</v>
      </c>
      <c r="G464" s="11">
        <v>1</v>
      </c>
      <c r="H464" s="7">
        <v>81379</v>
      </c>
      <c r="I464" s="7" t="s">
        <v>16</v>
      </c>
      <c r="J464" s="11">
        <v>15501567</v>
      </c>
      <c r="K464" s="11" t="s">
        <v>562</v>
      </c>
      <c r="L464" s="11" t="s">
        <v>565</v>
      </c>
      <c r="M464" s="11">
        <v>149900</v>
      </c>
      <c r="N464" s="10">
        <f t="shared" si="64"/>
        <v>0.75</v>
      </c>
      <c r="O464" s="9">
        <f t="shared" si="65"/>
        <v>37475</v>
      </c>
      <c r="P464" s="9" t="str">
        <f t="shared" si="68"/>
        <v>PERCENTAGE</v>
      </c>
    </row>
    <row r="465" spans="1:16" x14ac:dyDescent="0.25">
      <c r="A465" s="7" t="str">
        <f t="shared" si="66"/>
        <v>2024 ALL D75</v>
      </c>
      <c r="B465" s="8">
        <f t="shared" si="67"/>
        <v>46104</v>
      </c>
      <c r="C465" s="8">
        <f t="shared" si="69"/>
        <v>46113</v>
      </c>
      <c r="D465" s="7">
        <v>3272</v>
      </c>
      <c r="E465" s="7">
        <v>336</v>
      </c>
      <c r="F465" s="7">
        <v>4</v>
      </c>
      <c r="G465" s="11">
        <v>1</v>
      </c>
      <c r="H465" s="7">
        <v>81379</v>
      </c>
      <c r="I465" s="7" t="s">
        <v>16</v>
      </c>
      <c r="J465" s="11">
        <v>15501576</v>
      </c>
      <c r="K465" s="11" t="s">
        <v>562</v>
      </c>
      <c r="L465" s="11" t="s">
        <v>566</v>
      </c>
      <c r="M465" s="11">
        <v>149900</v>
      </c>
      <c r="N465" s="10">
        <f t="shared" si="64"/>
        <v>0.75</v>
      </c>
      <c r="O465" s="9">
        <f t="shared" si="65"/>
        <v>37475</v>
      </c>
      <c r="P465" s="9" t="str">
        <f t="shared" si="68"/>
        <v>PERCENTAGE</v>
      </c>
    </row>
    <row r="466" spans="1:16" x14ac:dyDescent="0.25">
      <c r="A466" s="7" t="str">
        <f t="shared" si="66"/>
        <v>2024 ALL D75</v>
      </c>
      <c r="B466" s="8">
        <f t="shared" si="67"/>
        <v>46104</v>
      </c>
      <c r="C466" s="8">
        <f t="shared" si="69"/>
        <v>46113</v>
      </c>
      <c r="D466" s="7">
        <v>3272</v>
      </c>
      <c r="E466" s="7">
        <v>336</v>
      </c>
      <c r="F466" s="7">
        <v>4</v>
      </c>
      <c r="G466" s="11">
        <v>1</v>
      </c>
      <c r="H466" s="7">
        <v>81379</v>
      </c>
      <c r="I466" s="7" t="s">
        <v>16</v>
      </c>
      <c r="J466" s="11">
        <v>15501585</v>
      </c>
      <c r="K466" s="11" t="s">
        <v>562</v>
      </c>
      <c r="L466" s="11" t="s">
        <v>567</v>
      </c>
      <c r="M466" s="11">
        <v>149900</v>
      </c>
      <c r="N466" s="10">
        <f t="shared" si="64"/>
        <v>0.75</v>
      </c>
      <c r="O466" s="9">
        <f t="shared" si="65"/>
        <v>37475</v>
      </c>
      <c r="P466" s="9" t="str">
        <f t="shared" si="68"/>
        <v>PERCENTAGE</v>
      </c>
    </row>
    <row r="467" spans="1:16" s="6" customFormat="1" x14ac:dyDescent="0.25">
      <c r="A467" s="7" t="str">
        <f t="shared" si="66"/>
        <v>2024 ALL D75</v>
      </c>
      <c r="B467" s="8">
        <f t="shared" si="67"/>
        <v>46104</v>
      </c>
      <c r="C467" s="8">
        <f>'[1]2019 ALL D95'!C2</f>
        <v>46113</v>
      </c>
      <c r="D467" s="7">
        <v>3272</v>
      </c>
      <c r="E467" s="7">
        <v>336</v>
      </c>
      <c r="F467" s="7">
        <v>4</v>
      </c>
      <c r="G467" s="7">
        <v>3</v>
      </c>
      <c r="H467" s="7">
        <v>81379</v>
      </c>
      <c r="I467" s="7" t="s">
        <v>16</v>
      </c>
      <c r="J467" s="7">
        <v>16624209</v>
      </c>
      <c r="K467" s="7" t="s">
        <v>568</v>
      </c>
      <c r="L467" s="7" t="s">
        <v>569</v>
      </c>
      <c r="M467" s="9">
        <v>239900</v>
      </c>
      <c r="N467" s="10" t="s">
        <v>570</v>
      </c>
      <c r="O467" s="9">
        <f t="shared" si="65"/>
        <v>59975</v>
      </c>
      <c r="P467" s="9" t="str">
        <f t="shared" si="68"/>
        <v>PERCENTAGE</v>
      </c>
    </row>
    <row r="468" spans="1:16" s="6" customFormat="1" x14ac:dyDescent="0.25">
      <c r="A468" s="7" t="str">
        <f t="shared" si="66"/>
        <v>2024 ALL D75</v>
      </c>
      <c r="B468" s="8">
        <f t="shared" si="67"/>
        <v>46104</v>
      </c>
      <c r="C468" s="8">
        <f t="shared" ref="C468:C499" si="70">C467</f>
        <v>46113</v>
      </c>
      <c r="D468" s="7">
        <v>3272</v>
      </c>
      <c r="E468" s="7">
        <v>336</v>
      </c>
      <c r="F468" s="7">
        <v>4</v>
      </c>
      <c r="G468" s="7">
        <v>3</v>
      </c>
      <c r="H468" s="7">
        <v>81379</v>
      </c>
      <c r="I468" s="7" t="s">
        <v>16</v>
      </c>
      <c r="J468" s="7">
        <v>16624218</v>
      </c>
      <c r="K468" s="7" t="s">
        <v>568</v>
      </c>
      <c r="L468" s="7" t="s">
        <v>571</v>
      </c>
      <c r="M468" s="9">
        <v>239900</v>
      </c>
      <c r="N468" s="10" t="str">
        <f t="shared" ref="N468:N499" si="71">N467</f>
        <v>BXGY</v>
      </c>
      <c r="O468" s="9">
        <f t="shared" si="65"/>
        <v>59975</v>
      </c>
      <c r="P468" s="9" t="str">
        <f t="shared" si="68"/>
        <v>PERCENTAGE</v>
      </c>
    </row>
    <row r="469" spans="1:16" s="6" customFormat="1" x14ac:dyDescent="0.25">
      <c r="A469" s="7" t="str">
        <f t="shared" si="66"/>
        <v>2024 ALL D75</v>
      </c>
      <c r="B469" s="8">
        <f t="shared" si="67"/>
        <v>46104</v>
      </c>
      <c r="C469" s="8">
        <f t="shared" si="70"/>
        <v>46113</v>
      </c>
      <c r="D469" s="7">
        <v>3272</v>
      </c>
      <c r="E469" s="7">
        <v>336</v>
      </c>
      <c r="F469" s="7">
        <v>4</v>
      </c>
      <c r="G469" s="7">
        <v>3</v>
      </c>
      <c r="H469" s="7">
        <v>81379</v>
      </c>
      <c r="I469" s="7" t="s">
        <v>16</v>
      </c>
      <c r="J469" s="7">
        <v>16624227</v>
      </c>
      <c r="K469" s="7" t="s">
        <v>568</v>
      </c>
      <c r="L469" s="7" t="s">
        <v>572</v>
      </c>
      <c r="M469" s="9">
        <v>239900</v>
      </c>
      <c r="N469" s="10" t="str">
        <f t="shared" si="71"/>
        <v>BXGY</v>
      </c>
      <c r="O469" s="9">
        <f t="shared" si="65"/>
        <v>59975</v>
      </c>
      <c r="P469" s="9" t="str">
        <f t="shared" si="68"/>
        <v>PERCENTAGE</v>
      </c>
    </row>
    <row r="470" spans="1:16" s="6" customFormat="1" x14ac:dyDescent="0.25">
      <c r="A470" s="7" t="str">
        <f t="shared" si="66"/>
        <v>2024 ALL D75</v>
      </c>
      <c r="B470" s="8">
        <f t="shared" si="67"/>
        <v>46104</v>
      </c>
      <c r="C470" s="8">
        <f t="shared" si="70"/>
        <v>46113</v>
      </c>
      <c r="D470" s="7">
        <v>3272</v>
      </c>
      <c r="E470" s="7">
        <v>336</v>
      </c>
      <c r="F470" s="7">
        <v>4</v>
      </c>
      <c r="G470" s="7">
        <v>3</v>
      </c>
      <c r="H470" s="7">
        <v>81379</v>
      </c>
      <c r="I470" s="7" t="s">
        <v>16</v>
      </c>
      <c r="J470" s="7">
        <v>16624236</v>
      </c>
      <c r="K470" s="7" t="s">
        <v>568</v>
      </c>
      <c r="L470" s="7" t="s">
        <v>573</v>
      </c>
      <c r="M470" s="9">
        <v>239900</v>
      </c>
      <c r="N470" s="10" t="str">
        <f t="shared" si="71"/>
        <v>BXGY</v>
      </c>
      <c r="O470" s="9">
        <f t="shared" si="65"/>
        <v>59975</v>
      </c>
      <c r="P470" s="9" t="str">
        <f t="shared" si="68"/>
        <v>PERCENTAGE</v>
      </c>
    </row>
    <row r="471" spans="1:16" s="6" customFormat="1" x14ac:dyDescent="0.25">
      <c r="A471" s="7" t="str">
        <f t="shared" si="66"/>
        <v>2024 ALL D75</v>
      </c>
      <c r="B471" s="8">
        <f t="shared" si="67"/>
        <v>46104</v>
      </c>
      <c r="C471" s="8">
        <f t="shared" si="70"/>
        <v>46113</v>
      </c>
      <c r="D471" s="7">
        <v>3272</v>
      </c>
      <c r="E471" s="7">
        <v>336</v>
      </c>
      <c r="F471" s="7">
        <v>4</v>
      </c>
      <c r="G471" s="7">
        <v>3</v>
      </c>
      <c r="H471" s="7">
        <v>81379</v>
      </c>
      <c r="I471" s="7" t="s">
        <v>16</v>
      </c>
      <c r="J471" s="7">
        <v>16624245</v>
      </c>
      <c r="K471" s="7" t="s">
        <v>568</v>
      </c>
      <c r="L471" s="7" t="s">
        <v>574</v>
      </c>
      <c r="M471" s="9">
        <v>239900</v>
      </c>
      <c r="N471" s="10" t="str">
        <f t="shared" si="71"/>
        <v>BXGY</v>
      </c>
      <c r="O471" s="9">
        <f t="shared" si="65"/>
        <v>59975</v>
      </c>
      <c r="P471" s="9" t="str">
        <f t="shared" si="68"/>
        <v>PERCENTAGE</v>
      </c>
    </row>
    <row r="472" spans="1:16" s="6" customFormat="1" x14ac:dyDescent="0.25">
      <c r="A472" s="7" t="str">
        <f t="shared" si="66"/>
        <v>2024 ALL D75</v>
      </c>
      <c r="B472" s="8">
        <f t="shared" si="67"/>
        <v>46104</v>
      </c>
      <c r="C472" s="8">
        <f t="shared" si="70"/>
        <v>46113</v>
      </c>
      <c r="D472" s="7">
        <v>3272</v>
      </c>
      <c r="E472" s="7">
        <v>336</v>
      </c>
      <c r="F472" s="7">
        <v>4</v>
      </c>
      <c r="G472" s="7">
        <v>3</v>
      </c>
      <c r="H472" s="7">
        <v>81379</v>
      </c>
      <c r="I472" s="7" t="s">
        <v>16</v>
      </c>
      <c r="J472" s="7">
        <v>16624254</v>
      </c>
      <c r="K472" s="7" t="s">
        <v>568</v>
      </c>
      <c r="L472" s="7" t="s">
        <v>575</v>
      </c>
      <c r="M472" s="9">
        <v>239900</v>
      </c>
      <c r="N472" s="10" t="str">
        <f t="shared" si="71"/>
        <v>BXGY</v>
      </c>
      <c r="O472" s="9">
        <f t="shared" si="65"/>
        <v>59975</v>
      </c>
      <c r="P472" s="9" t="str">
        <f t="shared" si="68"/>
        <v>PERCENTAGE</v>
      </c>
    </row>
    <row r="473" spans="1:16" s="6" customFormat="1" x14ac:dyDescent="0.25">
      <c r="A473" s="7" t="str">
        <f t="shared" si="66"/>
        <v>2024 ALL D75</v>
      </c>
      <c r="B473" s="8">
        <f t="shared" si="67"/>
        <v>46104</v>
      </c>
      <c r="C473" s="8">
        <f t="shared" si="70"/>
        <v>46113</v>
      </c>
      <c r="D473" s="7">
        <v>3272</v>
      </c>
      <c r="E473" s="7">
        <v>336</v>
      </c>
      <c r="F473" s="7">
        <v>4</v>
      </c>
      <c r="G473" s="7">
        <v>3</v>
      </c>
      <c r="H473" s="7">
        <v>81379</v>
      </c>
      <c r="I473" s="7" t="s">
        <v>16</v>
      </c>
      <c r="J473" s="7">
        <v>16624263</v>
      </c>
      <c r="K473" s="7" t="s">
        <v>568</v>
      </c>
      <c r="L473" s="7" t="s">
        <v>576</v>
      </c>
      <c r="M473" s="9">
        <v>239900</v>
      </c>
      <c r="N473" s="10" t="str">
        <f t="shared" si="71"/>
        <v>BXGY</v>
      </c>
      <c r="O473" s="9">
        <f t="shared" si="65"/>
        <v>59975</v>
      </c>
      <c r="P473" s="9" t="str">
        <f t="shared" si="68"/>
        <v>PERCENTAGE</v>
      </c>
    </row>
    <row r="474" spans="1:16" s="6" customFormat="1" x14ac:dyDescent="0.25">
      <c r="A474" s="7" t="str">
        <f t="shared" si="66"/>
        <v>2024 ALL D75</v>
      </c>
      <c r="B474" s="8">
        <f t="shared" si="67"/>
        <v>46104</v>
      </c>
      <c r="C474" s="8">
        <f t="shared" si="70"/>
        <v>46113</v>
      </c>
      <c r="D474" s="7">
        <v>3272</v>
      </c>
      <c r="E474" s="7">
        <v>336</v>
      </c>
      <c r="F474" s="7">
        <v>4</v>
      </c>
      <c r="G474" s="7">
        <v>3</v>
      </c>
      <c r="H474" s="7">
        <v>81379</v>
      </c>
      <c r="I474" s="7" t="s">
        <v>16</v>
      </c>
      <c r="J474" s="7">
        <v>16624272</v>
      </c>
      <c r="K474" s="7" t="s">
        <v>568</v>
      </c>
      <c r="L474" s="7" t="s">
        <v>577</v>
      </c>
      <c r="M474" s="9">
        <v>239900</v>
      </c>
      <c r="N474" s="10" t="str">
        <f t="shared" si="71"/>
        <v>BXGY</v>
      </c>
      <c r="O474" s="9">
        <f t="shared" si="65"/>
        <v>59975</v>
      </c>
      <c r="P474" s="9" t="str">
        <f t="shared" si="68"/>
        <v>PERCENTAGE</v>
      </c>
    </row>
    <row r="475" spans="1:16" s="6" customFormat="1" x14ac:dyDescent="0.25">
      <c r="A475" s="7" t="str">
        <f t="shared" si="66"/>
        <v>2024 ALL D75</v>
      </c>
      <c r="B475" s="8">
        <f t="shared" si="67"/>
        <v>46104</v>
      </c>
      <c r="C475" s="8">
        <f t="shared" si="70"/>
        <v>46113</v>
      </c>
      <c r="D475" s="7">
        <v>3272</v>
      </c>
      <c r="E475" s="7">
        <v>336</v>
      </c>
      <c r="F475" s="7">
        <v>4</v>
      </c>
      <c r="G475" s="7">
        <v>3</v>
      </c>
      <c r="H475" s="7">
        <v>81379</v>
      </c>
      <c r="I475" s="7" t="s">
        <v>16</v>
      </c>
      <c r="J475" s="7">
        <v>18659928</v>
      </c>
      <c r="K475" s="7" t="s">
        <v>446</v>
      </c>
      <c r="L475" s="7" t="s">
        <v>578</v>
      </c>
      <c r="M475" s="9">
        <v>239900</v>
      </c>
      <c r="N475" s="10" t="str">
        <f t="shared" si="71"/>
        <v>BXGY</v>
      </c>
      <c r="O475" s="9">
        <f t="shared" si="65"/>
        <v>59975</v>
      </c>
      <c r="P475" s="9" t="str">
        <f t="shared" si="68"/>
        <v>PERCENTAGE</v>
      </c>
    </row>
    <row r="476" spans="1:16" s="6" customFormat="1" x14ac:dyDescent="0.25">
      <c r="A476" s="7" t="str">
        <f t="shared" si="66"/>
        <v>2024 ALL D75</v>
      </c>
      <c r="B476" s="8">
        <f t="shared" si="67"/>
        <v>46104</v>
      </c>
      <c r="C476" s="8">
        <f t="shared" si="70"/>
        <v>46113</v>
      </c>
      <c r="D476" s="7">
        <v>3272</v>
      </c>
      <c r="E476" s="7">
        <v>336</v>
      </c>
      <c r="F476" s="7">
        <v>4</v>
      </c>
      <c r="G476" s="7">
        <v>3</v>
      </c>
      <c r="H476" s="7">
        <v>81379</v>
      </c>
      <c r="I476" s="7" t="s">
        <v>16</v>
      </c>
      <c r="J476" s="7">
        <v>18659937</v>
      </c>
      <c r="K476" s="7" t="s">
        <v>446</v>
      </c>
      <c r="L476" s="7" t="s">
        <v>579</v>
      </c>
      <c r="M476" s="9">
        <v>239900</v>
      </c>
      <c r="N476" s="10" t="str">
        <f t="shared" si="71"/>
        <v>BXGY</v>
      </c>
      <c r="O476" s="9">
        <f t="shared" si="65"/>
        <v>59975</v>
      </c>
      <c r="P476" s="9" t="str">
        <f t="shared" si="68"/>
        <v>PERCENTAGE</v>
      </c>
    </row>
    <row r="477" spans="1:16" s="6" customFormat="1" x14ac:dyDescent="0.25">
      <c r="A477" s="7" t="str">
        <f t="shared" si="66"/>
        <v>2024 ALL D75</v>
      </c>
      <c r="B477" s="8">
        <f t="shared" si="67"/>
        <v>46104</v>
      </c>
      <c r="C477" s="8">
        <f t="shared" si="70"/>
        <v>46113</v>
      </c>
      <c r="D477" s="7">
        <v>3272</v>
      </c>
      <c r="E477" s="7">
        <v>336</v>
      </c>
      <c r="F477" s="7">
        <v>4</v>
      </c>
      <c r="G477" s="7">
        <v>3</v>
      </c>
      <c r="H477" s="7">
        <v>81379</v>
      </c>
      <c r="I477" s="7" t="s">
        <v>16</v>
      </c>
      <c r="J477" s="7">
        <v>18659946</v>
      </c>
      <c r="K477" s="7" t="s">
        <v>446</v>
      </c>
      <c r="L477" s="7" t="s">
        <v>580</v>
      </c>
      <c r="M477" s="9">
        <v>239900</v>
      </c>
      <c r="N477" s="10" t="str">
        <f t="shared" si="71"/>
        <v>BXGY</v>
      </c>
      <c r="O477" s="9">
        <f t="shared" si="65"/>
        <v>59975</v>
      </c>
      <c r="P477" s="9" t="str">
        <f t="shared" si="68"/>
        <v>PERCENTAGE</v>
      </c>
    </row>
    <row r="478" spans="1:16" s="6" customFormat="1" x14ac:dyDescent="0.25">
      <c r="A478" s="7" t="str">
        <f t="shared" si="66"/>
        <v>2024 ALL D75</v>
      </c>
      <c r="B478" s="8">
        <f t="shared" si="67"/>
        <v>46104</v>
      </c>
      <c r="C478" s="8">
        <f t="shared" si="70"/>
        <v>46113</v>
      </c>
      <c r="D478" s="7">
        <v>3272</v>
      </c>
      <c r="E478" s="7">
        <v>336</v>
      </c>
      <c r="F478" s="7">
        <v>4</v>
      </c>
      <c r="G478" s="7">
        <v>3</v>
      </c>
      <c r="H478" s="7">
        <v>81379</v>
      </c>
      <c r="I478" s="7" t="s">
        <v>16</v>
      </c>
      <c r="J478" s="7">
        <v>18659955</v>
      </c>
      <c r="K478" s="7" t="s">
        <v>446</v>
      </c>
      <c r="L478" s="7" t="s">
        <v>581</v>
      </c>
      <c r="M478" s="9">
        <v>239900</v>
      </c>
      <c r="N478" s="10" t="str">
        <f t="shared" si="71"/>
        <v>BXGY</v>
      </c>
      <c r="O478" s="9">
        <f t="shared" si="65"/>
        <v>59975</v>
      </c>
      <c r="P478" s="9" t="str">
        <f t="shared" si="68"/>
        <v>PERCENTAGE</v>
      </c>
    </row>
    <row r="479" spans="1:16" s="6" customFormat="1" x14ac:dyDescent="0.25">
      <c r="A479" s="7" t="str">
        <f t="shared" si="66"/>
        <v>2024 ALL D75</v>
      </c>
      <c r="B479" s="8">
        <f t="shared" si="67"/>
        <v>46104</v>
      </c>
      <c r="C479" s="8">
        <f t="shared" si="70"/>
        <v>46113</v>
      </c>
      <c r="D479" s="7">
        <v>3272</v>
      </c>
      <c r="E479" s="7">
        <v>336</v>
      </c>
      <c r="F479" s="7">
        <v>4</v>
      </c>
      <c r="G479" s="7">
        <v>3</v>
      </c>
      <c r="H479" s="7">
        <v>81379</v>
      </c>
      <c r="I479" s="7" t="s">
        <v>16</v>
      </c>
      <c r="J479" s="7">
        <v>18659964</v>
      </c>
      <c r="K479" s="7" t="s">
        <v>446</v>
      </c>
      <c r="L479" s="7" t="s">
        <v>582</v>
      </c>
      <c r="M479" s="9">
        <v>239900</v>
      </c>
      <c r="N479" s="10" t="str">
        <f t="shared" si="71"/>
        <v>BXGY</v>
      </c>
      <c r="O479" s="9">
        <f t="shared" si="65"/>
        <v>59975</v>
      </c>
      <c r="P479" s="9" t="str">
        <f t="shared" si="68"/>
        <v>PERCENTAGE</v>
      </c>
    </row>
    <row r="480" spans="1:16" s="6" customFormat="1" x14ac:dyDescent="0.25">
      <c r="A480" s="7" t="str">
        <f t="shared" si="66"/>
        <v>2024 ALL D75</v>
      </c>
      <c r="B480" s="8">
        <f t="shared" si="67"/>
        <v>46104</v>
      </c>
      <c r="C480" s="8">
        <f t="shared" si="70"/>
        <v>46113</v>
      </c>
      <c r="D480" s="7">
        <v>3272</v>
      </c>
      <c r="E480" s="7">
        <v>336</v>
      </c>
      <c r="F480" s="7">
        <v>4</v>
      </c>
      <c r="G480" s="7">
        <v>3</v>
      </c>
      <c r="H480" s="7">
        <v>81379</v>
      </c>
      <c r="I480" s="7" t="s">
        <v>16</v>
      </c>
      <c r="J480" s="7">
        <v>18659973</v>
      </c>
      <c r="K480" s="7" t="s">
        <v>446</v>
      </c>
      <c r="L480" s="7" t="s">
        <v>583</v>
      </c>
      <c r="M480" s="9">
        <v>239900</v>
      </c>
      <c r="N480" s="10" t="str">
        <f t="shared" si="71"/>
        <v>BXGY</v>
      </c>
      <c r="O480" s="9">
        <f t="shared" si="65"/>
        <v>59975</v>
      </c>
      <c r="P480" s="9" t="str">
        <f t="shared" si="68"/>
        <v>PERCENTAGE</v>
      </c>
    </row>
    <row r="481" spans="1:16" s="6" customFormat="1" x14ac:dyDescent="0.25">
      <c r="A481" s="7" t="str">
        <f t="shared" si="66"/>
        <v>2024 ALL D75</v>
      </c>
      <c r="B481" s="8">
        <f t="shared" si="67"/>
        <v>46104</v>
      </c>
      <c r="C481" s="8">
        <f t="shared" si="70"/>
        <v>46113</v>
      </c>
      <c r="D481" s="7">
        <v>3272</v>
      </c>
      <c r="E481" s="7">
        <v>336</v>
      </c>
      <c r="F481" s="7">
        <v>4</v>
      </c>
      <c r="G481" s="7">
        <v>3</v>
      </c>
      <c r="H481" s="7">
        <v>81379</v>
      </c>
      <c r="I481" s="7" t="s">
        <v>16</v>
      </c>
      <c r="J481" s="7">
        <v>18659982</v>
      </c>
      <c r="K481" s="7" t="s">
        <v>446</v>
      </c>
      <c r="L481" s="7" t="s">
        <v>584</v>
      </c>
      <c r="M481" s="9">
        <v>239900</v>
      </c>
      <c r="N481" s="10" t="str">
        <f t="shared" si="71"/>
        <v>BXGY</v>
      </c>
      <c r="O481" s="9">
        <f t="shared" si="65"/>
        <v>59975</v>
      </c>
      <c r="P481" s="9" t="str">
        <f t="shared" si="68"/>
        <v>PERCENTAGE</v>
      </c>
    </row>
    <row r="482" spans="1:16" s="6" customFormat="1" x14ac:dyDescent="0.25">
      <c r="A482" s="7" t="str">
        <f t="shared" si="66"/>
        <v>2024 ALL D75</v>
      </c>
      <c r="B482" s="8">
        <f t="shared" si="67"/>
        <v>46104</v>
      </c>
      <c r="C482" s="8">
        <f t="shared" si="70"/>
        <v>46113</v>
      </c>
      <c r="D482" s="7">
        <v>3272</v>
      </c>
      <c r="E482" s="7">
        <v>336</v>
      </c>
      <c r="F482" s="7">
        <v>4</v>
      </c>
      <c r="G482" s="7">
        <v>4</v>
      </c>
      <c r="H482" s="7">
        <v>81379</v>
      </c>
      <c r="I482" s="7" t="s">
        <v>16</v>
      </c>
      <c r="J482" s="7">
        <v>18660005</v>
      </c>
      <c r="K482" s="7" t="s">
        <v>585</v>
      </c>
      <c r="L482" s="7" t="s">
        <v>586</v>
      </c>
      <c r="M482" s="9">
        <v>159900</v>
      </c>
      <c r="N482" s="10" t="str">
        <f t="shared" si="71"/>
        <v>BXGY</v>
      </c>
      <c r="O482" s="9">
        <f t="shared" si="65"/>
        <v>39975</v>
      </c>
      <c r="P482" s="9" t="str">
        <f t="shared" si="68"/>
        <v>PERCENTAGE</v>
      </c>
    </row>
    <row r="483" spans="1:16" s="6" customFormat="1" x14ac:dyDescent="0.25">
      <c r="A483" s="7" t="str">
        <f t="shared" si="66"/>
        <v>2024 ALL D75</v>
      </c>
      <c r="B483" s="8">
        <f t="shared" si="67"/>
        <v>46104</v>
      </c>
      <c r="C483" s="8">
        <f t="shared" si="70"/>
        <v>46113</v>
      </c>
      <c r="D483" s="7">
        <v>3272</v>
      </c>
      <c r="E483" s="7">
        <v>336</v>
      </c>
      <c r="F483" s="7">
        <v>4</v>
      </c>
      <c r="G483" s="7">
        <v>4</v>
      </c>
      <c r="H483" s="7">
        <v>81379</v>
      </c>
      <c r="I483" s="7" t="s">
        <v>16</v>
      </c>
      <c r="J483" s="7">
        <v>18660023</v>
      </c>
      <c r="K483" s="7" t="s">
        <v>585</v>
      </c>
      <c r="L483" s="7" t="s">
        <v>587</v>
      </c>
      <c r="M483" s="9">
        <v>159900</v>
      </c>
      <c r="N483" s="10" t="str">
        <f t="shared" si="71"/>
        <v>BXGY</v>
      </c>
      <c r="O483" s="9">
        <f t="shared" si="65"/>
        <v>39975</v>
      </c>
      <c r="P483" s="9" t="str">
        <f t="shared" si="68"/>
        <v>PERCENTAGE</v>
      </c>
    </row>
    <row r="484" spans="1:16" s="6" customFormat="1" x14ac:dyDescent="0.25">
      <c r="A484" s="7" t="str">
        <f t="shared" si="66"/>
        <v>2024 ALL D75</v>
      </c>
      <c r="B484" s="8">
        <f t="shared" si="67"/>
        <v>46104</v>
      </c>
      <c r="C484" s="8">
        <f t="shared" si="70"/>
        <v>46113</v>
      </c>
      <c r="D484" s="7">
        <v>3272</v>
      </c>
      <c r="E484" s="7">
        <v>336</v>
      </c>
      <c r="F484" s="7">
        <v>4</v>
      </c>
      <c r="G484" s="7">
        <v>4</v>
      </c>
      <c r="H484" s="7">
        <v>81379</v>
      </c>
      <c r="I484" s="7" t="s">
        <v>16</v>
      </c>
      <c r="J484" s="7">
        <v>18660032</v>
      </c>
      <c r="K484" s="7" t="s">
        <v>585</v>
      </c>
      <c r="L484" s="7" t="s">
        <v>588</v>
      </c>
      <c r="M484" s="9">
        <v>159900</v>
      </c>
      <c r="N484" s="10" t="str">
        <f t="shared" si="71"/>
        <v>BXGY</v>
      </c>
      <c r="O484" s="9">
        <f t="shared" si="65"/>
        <v>39975</v>
      </c>
      <c r="P484" s="9" t="str">
        <f t="shared" si="68"/>
        <v>PERCENTAGE</v>
      </c>
    </row>
    <row r="485" spans="1:16" s="6" customFormat="1" x14ac:dyDescent="0.25">
      <c r="A485" s="7" t="str">
        <f t="shared" si="66"/>
        <v>2024 ALL D75</v>
      </c>
      <c r="B485" s="8">
        <f t="shared" si="67"/>
        <v>46104</v>
      </c>
      <c r="C485" s="8">
        <f t="shared" si="70"/>
        <v>46113</v>
      </c>
      <c r="D485" s="7">
        <v>3272</v>
      </c>
      <c r="E485" s="7">
        <v>336</v>
      </c>
      <c r="F485" s="7">
        <v>4</v>
      </c>
      <c r="G485" s="7">
        <v>4</v>
      </c>
      <c r="H485" s="7">
        <v>81379</v>
      </c>
      <c r="I485" s="7" t="s">
        <v>16</v>
      </c>
      <c r="J485" s="7">
        <v>18660041</v>
      </c>
      <c r="K485" s="7" t="s">
        <v>585</v>
      </c>
      <c r="L485" s="7" t="s">
        <v>589</v>
      </c>
      <c r="M485" s="9">
        <v>159900</v>
      </c>
      <c r="N485" s="10" t="str">
        <f t="shared" si="71"/>
        <v>BXGY</v>
      </c>
      <c r="O485" s="9">
        <f t="shared" si="65"/>
        <v>39975</v>
      </c>
      <c r="P485" s="9" t="str">
        <f t="shared" si="68"/>
        <v>PERCENTAGE</v>
      </c>
    </row>
    <row r="486" spans="1:16" s="6" customFormat="1" x14ac:dyDescent="0.25">
      <c r="A486" s="7" t="str">
        <f t="shared" si="66"/>
        <v>2024 ALL D75</v>
      </c>
      <c r="B486" s="8">
        <f t="shared" si="67"/>
        <v>46104</v>
      </c>
      <c r="C486" s="8">
        <f t="shared" si="70"/>
        <v>46113</v>
      </c>
      <c r="D486" s="7">
        <v>3272</v>
      </c>
      <c r="E486" s="7">
        <v>336</v>
      </c>
      <c r="F486" s="7">
        <v>4</v>
      </c>
      <c r="G486" s="7">
        <v>4</v>
      </c>
      <c r="H486" s="7">
        <v>81379</v>
      </c>
      <c r="I486" s="7" t="s">
        <v>16</v>
      </c>
      <c r="J486" s="7">
        <v>18660069</v>
      </c>
      <c r="K486" s="7" t="s">
        <v>585</v>
      </c>
      <c r="L486" s="7" t="s">
        <v>590</v>
      </c>
      <c r="M486" s="9">
        <v>159900</v>
      </c>
      <c r="N486" s="10" t="str">
        <f t="shared" si="71"/>
        <v>BXGY</v>
      </c>
      <c r="O486" s="9">
        <f t="shared" si="65"/>
        <v>39975</v>
      </c>
      <c r="P486" s="9" t="str">
        <f t="shared" si="68"/>
        <v>PERCENTAGE</v>
      </c>
    </row>
    <row r="487" spans="1:16" s="6" customFormat="1" x14ac:dyDescent="0.25">
      <c r="A487" s="7" t="str">
        <f t="shared" si="66"/>
        <v>2024 ALL D75</v>
      </c>
      <c r="B487" s="8">
        <f t="shared" si="67"/>
        <v>46104</v>
      </c>
      <c r="C487" s="8">
        <f t="shared" si="70"/>
        <v>46113</v>
      </c>
      <c r="D487" s="7">
        <v>3272</v>
      </c>
      <c r="E487" s="7">
        <v>336</v>
      </c>
      <c r="F487" s="7">
        <v>4</v>
      </c>
      <c r="G487" s="7">
        <v>4</v>
      </c>
      <c r="H487" s="7">
        <v>81379</v>
      </c>
      <c r="I487" s="7" t="s">
        <v>16</v>
      </c>
      <c r="J487" s="7">
        <v>18660078</v>
      </c>
      <c r="K487" s="7" t="s">
        <v>585</v>
      </c>
      <c r="L487" s="7" t="s">
        <v>591</v>
      </c>
      <c r="M487" s="9">
        <v>159900</v>
      </c>
      <c r="N487" s="10" t="str">
        <f t="shared" si="71"/>
        <v>BXGY</v>
      </c>
      <c r="O487" s="9">
        <f t="shared" si="65"/>
        <v>39975</v>
      </c>
      <c r="P487" s="9" t="str">
        <f t="shared" si="68"/>
        <v>PERCENTAGE</v>
      </c>
    </row>
    <row r="488" spans="1:16" s="6" customFormat="1" x14ac:dyDescent="0.25">
      <c r="A488" s="7" t="str">
        <f t="shared" si="66"/>
        <v>2024 ALL D75</v>
      </c>
      <c r="B488" s="8">
        <f t="shared" si="67"/>
        <v>46104</v>
      </c>
      <c r="C488" s="8">
        <f t="shared" si="70"/>
        <v>46113</v>
      </c>
      <c r="D488" s="7">
        <v>3272</v>
      </c>
      <c r="E488" s="7">
        <v>336</v>
      </c>
      <c r="F488" s="7">
        <v>4</v>
      </c>
      <c r="G488" s="7">
        <v>4</v>
      </c>
      <c r="H488" s="7">
        <v>81379</v>
      </c>
      <c r="I488" s="7" t="s">
        <v>16</v>
      </c>
      <c r="J488" s="7">
        <v>18660087</v>
      </c>
      <c r="K488" s="7" t="s">
        <v>585</v>
      </c>
      <c r="L488" s="7" t="s">
        <v>592</v>
      </c>
      <c r="M488" s="9">
        <v>159900</v>
      </c>
      <c r="N488" s="10" t="str">
        <f t="shared" si="71"/>
        <v>BXGY</v>
      </c>
      <c r="O488" s="9">
        <f t="shared" si="65"/>
        <v>39975</v>
      </c>
      <c r="P488" s="9" t="str">
        <f t="shared" si="68"/>
        <v>PERCENTAGE</v>
      </c>
    </row>
    <row r="489" spans="1:16" s="6" customFormat="1" x14ac:dyDescent="0.25">
      <c r="A489" s="7" t="str">
        <f t="shared" si="66"/>
        <v>2024 ALL D75</v>
      </c>
      <c r="B489" s="8">
        <f t="shared" si="67"/>
        <v>46104</v>
      </c>
      <c r="C489" s="8">
        <f t="shared" si="70"/>
        <v>46113</v>
      </c>
      <c r="D489" s="7">
        <v>3272</v>
      </c>
      <c r="E489" s="7">
        <v>336</v>
      </c>
      <c r="F489" s="7">
        <v>4</v>
      </c>
      <c r="G489" s="7">
        <v>4</v>
      </c>
      <c r="H489" s="7">
        <v>81379</v>
      </c>
      <c r="I489" s="7" t="s">
        <v>16</v>
      </c>
      <c r="J489" s="7">
        <v>18660096</v>
      </c>
      <c r="K489" s="7" t="s">
        <v>585</v>
      </c>
      <c r="L489" s="7" t="s">
        <v>593</v>
      </c>
      <c r="M489" s="9">
        <v>159900</v>
      </c>
      <c r="N489" s="10" t="str">
        <f t="shared" si="71"/>
        <v>BXGY</v>
      </c>
      <c r="O489" s="9">
        <f t="shared" si="65"/>
        <v>39975</v>
      </c>
      <c r="P489" s="9" t="str">
        <f t="shared" si="68"/>
        <v>PERCENTAGE</v>
      </c>
    </row>
    <row r="490" spans="1:16" s="6" customFormat="1" x14ac:dyDescent="0.25">
      <c r="A490" s="7" t="str">
        <f t="shared" si="66"/>
        <v>2024 ALL D75</v>
      </c>
      <c r="B490" s="8">
        <f t="shared" si="67"/>
        <v>46104</v>
      </c>
      <c r="C490" s="8">
        <f t="shared" si="70"/>
        <v>46113</v>
      </c>
      <c r="D490" s="7">
        <v>3272</v>
      </c>
      <c r="E490" s="7">
        <v>336</v>
      </c>
      <c r="F490" s="7">
        <v>4</v>
      </c>
      <c r="G490" s="7">
        <v>1</v>
      </c>
      <c r="H490" s="7">
        <v>81379</v>
      </c>
      <c r="I490" s="7" t="s">
        <v>16</v>
      </c>
      <c r="J490" s="7">
        <v>16623844</v>
      </c>
      <c r="K490" s="7" t="s">
        <v>594</v>
      </c>
      <c r="L490" s="7" t="s">
        <v>595</v>
      </c>
      <c r="M490" s="9">
        <v>149900</v>
      </c>
      <c r="N490" s="10" t="str">
        <f t="shared" si="71"/>
        <v>BXGY</v>
      </c>
      <c r="O490" s="9">
        <f t="shared" si="65"/>
        <v>37475</v>
      </c>
      <c r="P490" s="9" t="str">
        <f t="shared" si="68"/>
        <v>PERCENTAGE</v>
      </c>
    </row>
    <row r="491" spans="1:16" s="6" customFormat="1" x14ac:dyDescent="0.25">
      <c r="A491" s="7" t="str">
        <f t="shared" si="66"/>
        <v>2024 ALL D75</v>
      </c>
      <c r="B491" s="8">
        <f t="shared" si="67"/>
        <v>46104</v>
      </c>
      <c r="C491" s="8">
        <f t="shared" si="70"/>
        <v>46113</v>
      </c>
      <c r="D491" s="7">
        <v>3272</v>
      </c>
      <c r="E491" s="7">
        <v>336</v>
      </c>
      <c r="F491" s="7">
        <v>4</v>
      </c>
      <c r="G491" s="7">
        <v>1</v>
      </c>
      <c r="H491" s="7">
        <v>81379</v>
      </c>
      <c r="I491" s="7" t="s">
        <v>16</v>
      </c>
      <c r="J491" s="7">
        <v>16623853</v>
      </c>
      <c r="K491" s="7" t="s">
        <v>594</v>
      </c>
      <c r="L491" s="7" t="s">
        <v>596</v>
      </c>
      <c r="M491" s="9">
        <v>149900</v>
      </c>
      <c r="N491" s="10" t="str">
        <f t="shared" si="71"/>
        <v>BXGY</v>
      </c>
      <c r="O491" s="9">
        <f t="shared" si="65"/>
        <v>37475</v>
      </c>
      <c r="P491" s="9" t="str">
        <f t="shared" si="68"/>
        <v>PERCENTAGE</v>
      </c>
    </row>
    <row r="492" spans="1:16" s="6" customFormat="1" x14ac:dyDescent="0.25">
      <c r="A492" s="7" t="str">
        <f t="shared" si="66"/>
        <v>2024 ALL D75</v>
      </c>
      <c r="B492" s="8">
        <f t="shared" si="67"/>
        <v>46104</v>
      </c>
      <c r="C492" s="8">
        <f t="shared" si="70"/>
        <v>46113</v>
      </c>
      <c r="D492" s="7">
        <v>3272</v>
      </c>
      <c r="E492" s="7">
        <v>336</v>
      </c>
      <c r="F492" s="7">
        <v>4</v>
      </c>
      <c r="G492" s="7">
        <v>1</v>
      </c>
      <c r="H492" s="7">
        <v>81379</v>
      </c>
      <c r="I492" s="7" t="s">
        <v>16</v>
      </c>
      <c r="J492" s="7">
        <v>16623862</v>
      </c>
      <c r="K492" s="7" t="s">
        <v>594</v>
      </c>
      <c r="L492" s="7" t="s">
        <v>597</v>
      </c>
      <c r="M492" s="9">
        <v>149900</v>
      </c>
      <c r="N492" s="10" t="str">
        <f t="shared" si="71"/>
        <v>BXGY</v>
      </c>
      <c r="O492" s="9">
        <f t="shared" si="65"/>
        <v>37475</v>
      </c>
      <c r="P492" s="9" t="str">
        <f t="shared" si="68"/>
        <v>PERCENTAGE</v>
      </c>
    </row>
    <row r="493" spans="1:16" s="6" customFormat="1" x14ac:dyDescent="0.25">
      <c r="A493" s="7" t="str">
        <f t="shared" si="66"/>
        <v>2024 ALL D75</v>
      </c>
      <c r="B493" s="8">
        <f t="shared" si="67"/>
        <v>46104</v>
      </c>
      <c r="C493" s="8">
        <f t="shared" si="70"/>
        <v>46113</v>
      </c>
      <c r="D493" s="7">
        <v>3272</v>
      </c>
      <c r="E493" s="7">
        <v>336</v>
      </c>
      <c r="F493" s="7">
        <v>4</v>
      </c>
      <c r="G493" s="7">
        <v>1</v>
      </c>
      <c r="H493" s="7">
        <v>81379</v>
      </c>
      <c r="I493" s="7" t="s">
        <v>16</v>
      </c>
      <c r="J493" s="7">
        <v>16623871</v>
      </c>
      <c r="K493" s="7" t="s">
        <v>594</v>
      </c>
      <c r="L493" s="7" t="s">
        <v>598</v>
      </c>
      <c r="M493" s="9">
        <v>149900</v>
      </c>
      <c r="N493" s="10" t="str">
        <f t="shared" si="71"/>
        <v>BXGY</v>
      </c>
      <c r="O493" s="9">
        <f t="shared" si="65"/>
        <v>37475</v>
      </c>
      <c r="P493" s="9" t="str">
        <f t="shared" si="68"/>
        <v>PERCENTAGE</v>
      </c>
    </row>
    <row r="494" spans="1:16" s="6" customFormat="1" x14ac:dyDescent="0.25">
      <c r="A494" s="7" t="str">
        <f t="shared" si="66"/>
        <v>2024 ALL D75</v>
      </c>
      <c r="B494" s="8">
        <f t="shared" si="67"/>
        <v>46104</v>
      </c>
      <c r="C494" s="8">
        <f t="shared" si="70"/>
        <v>46113</v>
      </c>
      <c r="D494" s="7">
        <v>3272</v>
      </c>
      <c r="E494" s="7">
        <v>336</v>
      </c>
      <c r="F494" s="7">
        <v>4</v>
      </c>
      <c r="G494" s="7">
        <v>1</v>
      </c>
      <c r="H494" s="7">
        <v>81379</v>
      </c>
      <c r="I494" s="7" t="s">
        <v>16</v>
      </c>
      <c r="J494" s="7">
        <v>16623880</v>
      </c>
      <c r="K494" s="7" t="s">
        <v>594</v>
      </c>
      <c r="L494" s="7" t="s">
        <v>599</v>
      </c>
      <c r="M494" s="9">
        <v>149900</v>
      </c>
      <c r="N494" s="10" t="str">
        <f t="shared" si="71"/>
        <v>BXGY</v>
      </c>
      <c r="O494" s="9">
        <f t="shared" si="65"/>
        <v>37475</v>
      </c>
      <c r="P494" s="9" t="str">
        <f t="shared" si="68"/>
        <v>PERCENTAGE</v>
      </c>
    </row>
    <row r="495" spans="1:16" s="6" customFormat="1" x14ac:dyDescent="0.25">
      <c r="A495" s="7" t="str">
        <f t="shared" si="66"/>
        <v>2024 ALL D75</v>
      </c>
      <c r="B495" s="8">
        <f t="shared" si="67"/>
        <v>46104</v>
      </c>
      <c r="C495" s="8">
        <f t="shared" si="70"/>
        <v>46113</v>
      </c>
      <c r="D495" s="7">
        <v>3272</v>
      </c>
      <c r="E495" s="7">
        <v>336</v>
      </c>
      <c r="F495" s="7">
        <v>4</v>
      </c>
      <c r="G495" s="7">
        <v>1</v>
      </c>
      <c r="H495" s="7">
        <v>81379</v>
      </c>
      <c r="I495" s="7" t="s">
        <v>16</v>
      </c>
      <c r="J495" s="7">
        <v>16623899</v>
      </c>
      <c r="K495" s="7" t="s">
        <v>594</v>
      </c>
      <c r="L495" s="7" t="s">
        <v>600</v>
      </c>
      <c r="M495" s="9">
        <v>149900</v>
      </c>
      <c r="N495" s="10" t="str">
        <f t="shared" si="71"/>
        <v>BXGY</v>
      </c>
      <c r="O495" s="9">
        <f t="shared" si="65"/>
        <v>37475</v>
      </c>
      <c r="P495" s="9" t="str">
        <f t="shared" si="68"/>
        <v>PERCENTAGE</v>
      </c>
    </row>
    <row r="496" spans="1:16" s="6" customFormat="1" x14ac:dyDescent="0.25">
      <c r="A496" s="7" t="str">
        <f t="shared" si="66"/>
        <v>2024 ALL D75</v>
      </c>
      <c r="B496" s="8">
        <f t="shared" si="67"/>
        <v>46104</v>
      </c>
      <c r="C496" s="8">
        <f t="shared" si="70"/>
        <v>46113</v>
      </c>
      <c r="D496" s="7">
        <v>3272</v>
      </c>
      <c r="E496" s="7">
        <v>336</v>
      </c>
      <c r="F496" s="7">
        <v>4</v>
      </c>
      <c r="G496" s="7">
        <v>1</v>
      </c>
      <c r="H496" s="7">
        <v>81379</v>
      </c>
      <c r="I496" s="7" t="s">
        <v>16</v>
      </c>
      <c r="J496" s="7">
        <v>16623906</v>
      </c>
      <c r="K496" s="7" t="s">
        <v>594</v>
      </c>
      <c r="L496" s="7" t="s">
        <v>601</v>
      </c>
      <c r="M496" s="9">
        <v>149900</v>
      </c>
      <c r="N496" s="10" t="str">
        <f t="shared" si="71"/>
        <v>BXGY</v>
      </c>
      <c r="O496" s="9">
        <f t="shared" si="65"/>
        <v>37475</v>
      </c>
      <c r="P496" s="9" t="str">
        <f t="shared" si="68"/>
        <v>PERCENTAGE</v>
      </c>
    </row>
    <row r="497" spans="1:16" s="6" customFormat="1" x14ac:dyDescent="0.25">
      <c r="A497" s="7" t="str">
        <f t="shared" si="66"/>
        <v>2024 ALL D75</v>
      </c>
      <c r="B497" s="8">
        <f t="shared" si="67"/>
        <v>46104</v>
      </c>
      <c r="C497" s="8">
        <f t="shared" si="70"/>
        <v>46113</v>
      </c>
      <c r="D497" s="7">
        <v>3272</v>
      </c>
      <c r="E497" s="7">
        <v>336</v>
      </c>
      <c r="F497" s="7">
        <v>4</v>
      </c>
      <c r="G497" s="7">
        <v>1</v>
      </c>
      <c r="H497" s="7">
        <v>81379</v>
      </c>
      <c r="I497" s="7" t="s">
        <v>16</v>
      </c>
      <c r="J497" s="7">
        <v>16623915</v>
      </c>
      <c r="K497" s="7" t="s">
        <v>594</v>
      </c>
      <c r="L497" s="7" t="s">
        <v>602</v>
      </c>
      <c r="M497" s="9">
        <v>149900</v>
      </c>
      <c r="N497" s="10" t="str">
        <f t="shared" si="71"/>
        <v>BXGY</v>
      </c>
      <c r="O497" s="9">
        <f t="shared" si="65"/>
        <v>37475</v>
      </c>
      <c r="P497" s="9" t="str">
        <f t="shared" si="68"/>
        <v>PERCENTAGE</v>
      </c>
    </row>
    <row r="498" spans="1:16" s="6" customFormat="1" x14ac:dyDescent="0.25">
      <c r="A498" s="7" t="str">
        <f t="shared" si="66"/>
        <v>2024 ALL D75</v>
      </c>
      <c r="B498" s="8">
        <f t="shared" si="67"/>
        <v>46104</v>
      </c>
      <c r="C498" s="8">
        <f t="shared" si="70"/>
        <v>46113</v>
      </c>
      <c r="D498" s="7">
        <v>3272</v>
      </c>
      <c r="E498" s="7">
        <v>336</v>
      </c>
      <c r="F498" s="7">
        <v>4</v>
      </c>
      <c r="G498" s="7">
        <v>1</v>
      </c>
      <c r="H498" s="7">
        <v>81379</v>
      </c>
      <c r="I498" s="7" t="s">
        <v>16</v>
      </c>
      <c r="J498" s="7">
        <v>18659599</v>
      </c>
      <c r="K498" s="7" t="s">
        <v>603</v>
      </c>
      <c r="L498" s="7" t="s">
        <v>604</v>
      </c>
      <c r="M498" s="9">
        <v>149900</v>
      </c>
      <c r="N498" s="10" t="str">
        <f t="shared" si="71"/>
        <v>BXGY</v>
      </c>
      <c r="O498" s="9">
        <f t="shared" si="65"/>
        <v>37475</v>
      </c>
      <c r="P498" s="9" t="str">
        <f t="shared" si="68"/>
        <v>PERCENTAGE</v>
      </c>
    </row>
    <row r="499" spans="1:16" s="6" customFormat="1" x14ac:dyDescent="0.25">
      <c r="A499" s="7" t="str">
        <f t="shared" si="66"/>
        <v>2024 ALL D75</v>
      </c>
      <c r="B499" s="8">
        <f t="shared" si="67"/>
        <v>46104</v>
      </c>
      <c r="C499" s="8">
        <f t="shared" si="70"/>
        <v>46113</v>
      </c>
      <c r="D499" s="7">
        <v>3272</v>
      </c>
      <c r="E499" s="7">
        <v>336</v>
      </c>
      <c r="F499" s="7">
        <v>4</v>
      </c>
      <c r="G499" s="7">
        <v>1</v>
      </c>
      <c r="H499" s="7">
        <v>81379</v>
      </c>
      <c r="I499" s="7" t="s">
        <v>16</v>
      </c>
      <c r="J499" s="7">
        <v>18659606</v>
      </c>
      <c r="K499" s="7" t="s">
        <v>603</v>
      </c>
      <c r="L499" s="7" t="s">
        <v>605</v>
      </c>
      <c r="M499" s="9">
        <v>149900</v>
      </c>
      <c r="N499" s="10" t="str">
        <f t="shared" si="71"/>
        <v>BXGY</v>
      </c>
      <c r="O499" s="9">
        <f t="shared" si="65"/>
        <v>37475</v>
      </c>
      <c r="P499" s="9" t="str">
        <f t="shared" si="68"/>
        <v>PERCENTAGE</v>
      </c>
    </row>
    <row r="500" spans="1:16" s="6" customFormat="1" x14ac:dyDescent="0.25">
      <c r="A500" s="7" t="str">
        <f t="shared" si="66"/>
        <v>2024 ALL D75</v>
      </c>
      <c r="B500" s="8">
        <f t="shared" si="67"/>
        <v>46104</v>
      </c>
      <c r="C500" s="8">
        <f t="shared" ref="C500:C531" si="72">C499</f>
        <v>46113</v>
      </c>
      <c r="D500" s="7">
        <v>3272</v>
      </c>
      <c r="E500" s="7">
        <v>336</v>
      </c>
      <c r="F500" s="7">
        <v>4</v>
      </c>
      <c r="G500" s="7">
        <v>1</v>
      </c>
      <c r="H500" s="7">
        <v>81379</v>
      </c>
      <c r="I500" s="7" t="s">
        <v>16</v>
      </c>
      <c r="J500" s="7">
        <v>18659624</v>
      </c>
      <c r="K500" s="7" t="s">
        <v>603</v>
      </c>
      <c r="L500" s="7" t="s">
        <v>606</v>
      </c>
      <c r="M500" s="9">
        <v>149900</v>
      </c>
      <c r="N500" s="10" t="str">
        <f t="shared" ref="N500:N531" si="73">N499</f>
        <v>BXGY</v>
      </c>
      <c r="O500" s="9">
        <f t="shared" si="65"/>
        <v>37475</v>
      </c>
      <c r="P500" s="9" t="str">
        <f t="shared" si="68"/>
        <v>PERCENTAGE</v>
      </c>
    </row>
    <row r="501" spans="1:16" s="6" customFormat="1" x14ac:dyDescent="0.25">
      <c r="A501" s="7" t="str">
        <f t="shared" si="66"/>
        <v>2024 ALL D75</v>
      </c>
      <c r="B501" s="8">
        <f t="shared" si="67"/>
        <v>46104</v>
      </c>
      <c r="C501" s="8">
        <f t="shared" si="72"/>
        <v>46113</v>
      </c>
      <c r="D501" s="7">
        <v>3272</v>
      </c>
      <c r="E501" s="7">
        <v>336</v>
      </c>
      <c r="F501" s="7">
        <v>4</v>
      </c>
      <c r="G501" s="7">
        <v>1</v>
      </c>
      <c r="H501" s="7">
        <v>81379</v>
      </c>
      <c r="I501" s="7" t="s">
        <v>16</v>
      </c>
      <c r="J501" s="7">
        <v>18659633</v>
      </c>
      <c r="K501" s="7" t="s">
        <v>603</v>
      </c>
      <c r="L501" s="7" t="s">
        <v>607</v>
      </c>
      <c r="M501" s="9">
        <v>149900</v>
      </c>
      <c r="N501" s="10" t="str">
        <f t="shared" si="73"/>
        <v>BXGY</v>
      </c>
      <c r="O501" s="9">
        <f t="shared" si="65"/>
        <v>37475</v>
      </c>
      <c r="P501" s="9" t="str">
        <f t="shared" si="68"/>
        <v>PERCENTAGE</v>
      </c>
    </row>
    <row r="502" spans="1:16" s="6" customFormat="1" x14ac:dyDescent="0.25">
      <c r="A502" s="7" t="str">
        <f t="shared" si="66"/>
        <v>2024 ALL D75</v>
      </c>
      <c r="B502" s="8">
        <f t="shared" si="67"/>
        <v>46104</v>
      </c>
      <c r="C502" s="8">
        <f t="shared" si="72"/>
        <v>46113</v>
      </c>
      <c r="D502" s="7">
        <v>3272</v>
      </c>
      <c r="E502" s="7">
        <v>336</v>
      </c>
      <c r="F502" s="7">
        <v>4</v>
      </c>
      <c r="G502" s="7">
        <v>1</v>
      </c>
      <c r="H502" s="7">
        <v>81379</v>
      </c>
      <c r="I502" s="7" t="s">
        <v>16</v>
      </c>
      <c r="J502" s="7">
        <v>18659704</v>
      </c>
      <c r="K502" s="7" t="s">
        <v>603</v>
      </c>
      <c r="L502" s="7" t="s">
        <v>608</v>
      </c>
      <c r="M502" s="9">
        <v>149900</v>
      </c>
      <c r="N502" s="10" t="str">
        <f t="shared" si="73"/>
        <v>BXGY</v>
      </c>
      <c r="O502" s="9">
        <f t="shared" si="65"/>
        <v>37475</v>
      </c>
      <c r="P502" s="9" t="str">
        <f t="shared" si="68"/>
        <v>PERCENTAGE</v>
      </c>
    </row>
    <row r="503" spans="1:16" s="6" customFormat="1" x14ac:dyDescent="0.25">
      <c r="A503" s="7" t="str">
        <f t="shared" si="66"/>
        <v>2024 ALL D75</v>
      </c>
      <c r="B503" s="8">
        <f t="shared" si="67"/>
        <v>46104</v>
      </c>
      <c r="C503" s="8">
        <f t="shared" si="72"/>
        <v>46113</v>
      </c>
      <c r="D503" s="7">
        <v>3272</v>
      </c>
      <c r="E503" s="7">
        <v>336</v>
      </c>
      <c r="F503" s="7">
        <v>4</v>
      </c>
      <c r="G503" s="7">
        <v>1</v>
      </c>
      <c r="H503" s="7">
        <v>81379</v>
      </c>
      <c r="I503" s="7" t="s">
        <v>16</v>
      </c>
      <c r="J503" s="7">
        <v>18659722</v>
      </c>
      <c r="K503" s="7" t="s">
        <v>603</v>
      </c>
      <c r="L503" s="7" t="s">
        <v>609</v>
      </c>
      <c r="M503" s="9">
        <v>149900</v>
      </c>
      <c r="N503" s="10" t="str">
        <f t="shared" si="73"/>
        <v>BXGY</v>
      </c>
      <c r="O503" s="9">
        <f t="shared" si="65"/>
        <v>37475</v>
      </c>
      <c r="P503" s="9" t="str">
        <f t="shared" si="68"/>
        <v>PERCENTAGE</v>
      </c>
    </row>
    <row r="504" spans="1:16" s="6" customFormat="1" x14ac:dyDescent="0.25">
      <c r="A504" s="7" t="str">
        <f t="shared" si="66"/>
        <v>2024 ALL D75</v>
      </c>
      <c r="B504" s="8">
        <f t="shared" si="67"/>
        <v>46104</v>
      </c>
      <c r="C504" s="8">
        <f t="shared" si="72"/>
        <v>46113</v>
      </c>
      <c r="D504" s="7">
        <v>3272</v>
      </c>
      <c r="E504" s="7">
        <v>336</v>
      </c>
      <c r="F504" s="7">
        <v>4</v>
      </c>
      <c r="G504" s="7">
        <v>1</v>
      </c>
      <c r="H504" s="7">
        <v>81379</v>
      </c>
      <c r="I504" s="7" t="s">
        <v>16</v>
      </c>
      <c r="J504" s="7">
        <v>18659740</v>
      </c>
      <c r="K504" s="7" t="s">
        <v>603</v>
      </c>
      <c r="L504" s="7" t="s">
        <v>610</v>
      </c>
      <c r="M504" s="9">
        <v>149900</v>
      </c>
      <c r="N504" s="10" t="str">
        <f t="shared" si="73"/>
        <v>BXGY</v>
      </c>
      <c r="O504" s="9">
        <f t="shared" si="65"/>
        <v>37475</v>
      </c>
      <c r="P504" s="9" t="str">
        <f t="shared" si="68"/>
        <v>PERCENTAGE</v>
      </c>
    </row>
    <row r="505" spans="1:16" s="6" customFormat="1" x14ac:dyDescent="0.25">
      <c r="A505" s="7" t="str">
        <f t="shared" si="66"/>
        <v>2024 ALL D75</v>
      </c>
      <c r="B505" s="8">
        <f t="shared" si="67"/>
        <v>46104</v>
      </c>
      <c r="C505" s="8">
        <f t="shared" si="72"/>
        <v>46113</v>
      </c>
      <c r="D505" s="7">
        <v>3272</v>
      </c>
      <c r="E505" s="7">
        <v>336</v>
      </c>
      <c r="F505" s="7">
        <v>4</v>
      </c>
      <c r="G505" s="7">
        <v>1</v>
      </c>
      <c r="H505" s="7">
        <v>81379</v>
      </c>
      <c r="I505" s="7" t="s">
        <v>16</v>
      </c>
      <c r="J505" s="7">
        <v>18659759</v>
      </c>
      <c r="K505" s="7" t="s">
        <v>603</v>
      </c>
      <c r="L505" s="7" t="s">
        <v>611</v>
      </c>
      <c r="M505" s="9">
        <v>149900</v>
      </c>
      <c r="N505" s="10" t="str">
        <f t="shared" si="73"/>
        <v>BXGY</v>
      </c>
      <c r="O505" s="9">
        <f t="shared" si="65"/>
        <v>37475</v>
      </c>
      <c r="P505" s="9" t="str">
        <f t="shared" si="68"/>
        <v>PERCENTAGE</v>
      </c>
    </row>
    <row r="506" spans="1:16" s="6" customFormat="1" x14ac:dyDescent="0.25">
      <c r="A506" s="7" t="str">
        <f t="shared" si="66"/>
        <v>2024 ALL D75</v>
      </c>
      <c r="B506" s="8">
        <f t="shared" si="67"/>
        <v>46104</v>
      </c>
      <c r="C506" s="8">
        <f t="shared" si="72"/>
        <v>46113</v>
      </c>
      <c r="D506" s="7">
        <v>3272</v>
      </c>
      <c r="E506" s="7">
        <v>336</v>
      </c>
      <c r="F506" s="7">
        <v>4</v>
      </c>
      <c r="G506" s="7">
        <v>1</v>
      </c>
      <c r="H506" s="7">
        <v>81379</v>
      </c>
      <c r="I506" s="7" t="s">
        <v>16</v>
      </c>
      <c r="J506" s="7">
        <v>18756331</v>
      </c>
      <c r="K506" s="7" t="s">
        <v>446</v>
      </c>
      <c r="L506" s="7" t="s">
        <v>612</v>
      </c>
      <c r="M506" s="9">
        <v>139900</v>
      </c>
      <c r="N506" s="10" t="str">
        <f t="shared" si="73"/>
        <v>BXGY</v>
      </c>
      <c r="O506" s="9">
        <f t="shared" si="65"/>
        <v>34975</v>
      </c>
      <c r="P506" s="9" t="str">
        <f t="shared" si="68"/>
        <v>PERCENTAGE</v>
      </c>
    </row>
    <row r="507" spans="1:16" s="6" customFormat="1" x14ac:dyDescent="0.25">
      <c r="A507" s="7" t="str">
        <f t="shared" si="66"/>
        <v>2024 ALL D75</v>
      </c>
      <c r="B507" s="8">
        <f t="shared" si="67"/>
        <v>46104</v>
      </c>
      <c r="C507" s="8">
        <f t="shared" si="72"/>
        <v>46113</v>
      </c>
      <c r="D507" s="7">
        <v>3272</v>
      </c>
      <c r="E507" s="7">
        <v>336</v>
      </c>
      <c r="F507" s="7">
        <v>4</v>
      </c>
      <c r="G507" s="7">
        <v>1</v>
      </c>
      <c r="H507" s="7">
        <v>81379</v>
      </c>
      <c r="I507" s="7" t="s">
        <v>16</v>
      </c>
      <c r="J507" s="7">
        <v>18756340</v>
      </c>
      <c r="K507" s="7" t="s">
        <v>446</v>
      </c>
      <c r="L507" s="7" t="s">
        <v>613</v>
      </c>
      <c r="M507" s="9">
        <v>139900</v>
      </c>
      <c r="N507" s="10" t="str">
        <f t="shared" si="73"/>
        <v>BXGY</v>
      </c>
      <c r="O507" s="9">
        <f t="shared" si="65"/>
        <v>34975</v>
      </c>
      <c r="P507" s="9" t="str">
        <f t="shared" si="68"/>
        <v>PERCENTAGE</v>
      </c>
    </row>
    <row r="508" spans="1:16" s="6" customFormat="1" x14ac:dyDescent="0.25">
      <c r="A508" s="7" t="str">
        <f t="shared" si="66"/>
        <v>2024 ALL D75</v>
      </c>
      <c r="B508" s="8">
        <f t="shared" si="67"/>
        <v>46104</v>
      </c>
      <c r="C508" s="8">
        <f t="shared" si="72"/>
        <v>46113</v>
      </c>
      <c r="D508" s="7">
        <v>3272</v>
      </c>
      <c r="E508" s="7">
        <v>336</v>
      </c>
      <c r="F508" s="7">
        <v>4</v>
      </c>
      <c r="G508" s="7">
        <v>1</v>
      </c>
      <c r="H508" s="7">
        <v>81379</v>
      </c>
      <c r="I508" s="7" t="s">
        <v>16</v>
      </c>
      <c r="J508" s="7">
        <v>18756377</v>
      </c>
      <c r="K508" s="7" t="s">
        <v>446</v>
      </c>
      <c r="L508" s="7" t="s">
        <v>614</v>
      </c>
      <c r="M508" s="9">
        <v>139900</v>
      </c>
      <c r="N508" s="10" t="str">
        <f t="shared" si="73"/>
        <v>BXGY</v>
      </c>
      <c r="O508" s="9">
        <f t="shared" si="65"/>
        <v>34975</v>
      </c>
      <c r="P508" s="9" t="str">
        <f t="shared" si="68"/>
        <v>PERCENTAGE</v>
      </c>
    </row>
    <row r="509" spans="1:16" s="6" customFormat="1" x14ac:dyDescent="0.25">
      <c r="A509" s="7" t="str">
        <f t="shared" si="66"/>
        <v>2024 ALL D75</v>
      </c>
      <c r="B509" s="8">
        <f t="shared" si="67"/>
        <v>46104</v>
      </c>
      <c r="C509" s="8">
        <f t="shared" si="72"/>
        <v>46113</v>
      </c>
      <c r="D509" s="7">
        <v>3272</v>
      </c>
      <c r="E509" s="7">
        <v>336</v>
      </c>
      <c r="F509" s="7">
        <v>4</v>
      </c>
      <c r="G509" s="7">
        <v>1</v>
      </c>
      <c r="H509" s="7">
        <v>81379</v>
      </c>
      <c r="I509" s="7" t="s">
        <v>16</v>
      </c>
      <c r="J509" s="7">
        <v>18756386</v>
      </c>
      <c r="K509" s="7" t="s">
        <v>446</v>
      </c>
      <c r="L509" s="7" t="s">
        <v>615</v>
      </c>
      <c r="M509" s="9">
        <v>139900</v>
      </c>
      <c r="N509" s="10" t="str">
        <f t="shared" si="73"/>
        <v>BXGY</v>
      </c>
      <c r="O509" s="9">
        <f t="shared" si="65"/>
        <v>34975</v>
      </c>
      <c r="P509" s="9" t="str">
        <f t="shared" si="68"/>
        <v>PERCENTAGE</v>
      </c>
    </row>
    <row r="510" spans="1:16" s="6" customFormat="1" x14ac:dyDescent="0.25">
      <c r="A510" s="7" t="str">
        <f t="shared" si="66"/>
        <v>2024 ALL D75</v>
      </c>
      <c r="B510" s="8">
        <f t="shared" si="67"/>
        <v>46104</v>
      </c>
      <c r="C510" s="8">
        <f t="shared" si="72"/>
        <v>46113</v>
      </c>
      <c r="D510" s="7">
        <v>3272</v>
      </c>
      <c r="E510" s="7">
        <v>336</v>
      </c>
      <c r="F510" s="7">
        <v>4</v>
      </c>
      <c r="G510" s="7">
        <v>1</v>
      </c>
      <c r="H510" s="7">
        <v>81379</v>
      </c>
      <c r="I510" s="7" t="s">
        <v>16</v>
      </c>
      <c r="J510" s="7">
        <v>18756395</v>
      </c>
      <c r="K510" s="7" t="s">
        <v>446</v>
      </c>
      <c r="L510" s="7" t="s">
        <v>616</v>
      </c>
      <c r="M510" s="9">
        <v>139900</v>
      </c>
      <c r="N510" s="10" t="str">
        <f t="shared" si="73"/>
        <v>BXGY</v>
      </c>
      <c r="O510" s="9">
        <f t="shared" si="65"/>
        <v>34975</v>
      </c>
      <c r="P510" s="9" t="str">
        <f t="shared" si="68"/>
        <v>PERCENTAGE</v>
      </c>
    </row>
    <row r="511" spans="1:16" s="6" customFormat="1" x14ac:dyDescent="0.25">
      <c r="A511" s="7" t="str">
        <f t="shared" si="66"/>
        <v>2024 ALL D75</v>
      </c>
      <c r="B511" s="8">
        <f t="shared" si="67"/>
        <v>46104</v>
      </c>
      <c r="C511" s="8">
        <f t="shared" si="72"/>
        <v>46113</v>
      </c>
      <c r="D511" s="7">
        <v>3272</v>
      </c>
      <c r="E511" s="7">
        <v>336</v>
      </c>
      <c r="F511" s="7">
        <v>4</v>
      </c>
      <c r="G511" s="7">
        <v>1</v>
      </c>
      <c r="H511" s="7">
        <v>81379</v>
      </c>
      <c r="I511" s="7" t="s">
        <v>16</v>
      </c>
      <c r="J511" s="7">
        <v>18756402</v>
      </c>
      <c r="K511" s="7" t="s">
        <v>446</v>
      </c>
      <c r="L511" s="7" t="s">
        <v>617</v>
      </c>
      <c r="M511" s="9">
        <v>139900</v>
      </c>
      <c r="N511" s="10" t="str">
        <f t="shared" si="73"/>
        <v>BXGY</v>
      </c>
      <c r="O511" s="9">
        <f t="shared" si="65"/>
        <v>34975</v>
      </c>
      <c r="P511" s="9" t="str">
        <f t="shared" si="68"/>
        <v>PERCENTAGE</v>
      </c>
    </row>
    <row r="512" spans="1:16" s="6" customFormat="1" x14ac:dyDescent="0.25">
      <c r="A512" s="7" t="str">
        <f t="shared" si="66"/>
        <v>2024 ALL D75</v>
      </c>
      <c r="B512" s="8">
        <f t="shared" si="67"/>
        <v>46104</v>
      </c>
      <c r="C512" s="8">
        <f t="shared" si="72"/>
        <v>46113</v>
      </c>
      <c r="D512" s="7">
        <v>3272</v>
      </c>
      <c r="E512" s="7">
        <v>336</v>
      </c>
      <c r="F512" s="7">
        <v>4</v>
      </c>
      <c r="G512" s="7">
        <v>1</v>
      </c>
      <c r="H512" s="7">
        <v>81379</v>
      </c>
      <c r="I512" s="7" t="s">
        <v>16</v>
      </c>
      <c r="J512" s="7">
        <v>18756411</v>
      </c>
      <c r="K512" s="7" t="s">
        <v>446</v>
      </c>
      <c r="L512" s="7" t="s">
        <v>618</v>
      </c>
      <c r="M512" s="9">
        <v>139900</v>
      </c>
      <c r="N512" s="10" t="str">
        <f t="shared" si="73"/>
        <v>BXGY</v>
      </c>
      <c r="O512" s="9">
        <f t="shared" si="65"/>
        <v>34975</v>
      </c>
      <c r="P512" s="9" t="str">
        <f t="shared" si="68"/>
        <v>PERCENTAGE</v>
      </c>
    </row>
    <row r="513" spans="1:16" s="6" customFormat="1" x14ac:dyDescent="0.25">
      <c r="A513" s="7" t="str">
        <f t="shared" si="66"/>
        <v>2024 ALL D75</v>
      </c>
      <c r="B513" s="8">
        <f t="shared" si="67"/>
        <v>46104</v>
      </c>
      <c r="C513" s="8">
        <f t="shared" si="72"/>
        <v>46113</v>
      </c>
      <c r="D513" s="7">
        <v>3272</v>
      </c>
      <c r="E513" s="7">
        <v>336</v>
      </c>
      <c r="F513" s="7">
        <v>4</v>
      </c>
      <c r="G513" s="7">
        <v>1</v>
      </c>
      <c r="H513" s="7">
        <v>81379</v>
      </c>
      <c r="I513" s="7" t="s">
        <v>16</v>
      </c>
      <c r="J513" s="7">
        <v>18756420</v>
      </c>
      <c r="K513" s="7" t="s">
        <v>446</v>
      </c>
      <c r="L513" s="7" t="s">
        <v>619</v>
      </c>
      <c r="M513" s="9">
        <v>139900</v>
      </c>
      <c r="N513" s="10" t="str">
        <f t="shared" si="73"/>
        <v>BXGY</v>
      </c>
      <c r="O513" s="9">
        <f t="shared" si="65"/>
        <v>34975</v>
      </c>
      <c r="P513" s="9" t="str">
        <f t="shared" si="68"/>
        <v>PERCENTAGE</v>
      </c>
    </row>
    <row r="514" spans="1:16" s="6" customFormat="1" x14ac:dyDescent="0.25">
      <c r="A514" s="7" t="str">
        <f t="shared" si="66"/>
        <v>2024 ALL D75</v>
      </c>
      <c r="B514" s="8">
        <f t="shared" si="67"/>
        <v>46104</v>
      </c>
      <c r="C514" s="8">
        <f t="shared" si="72"/>
        <v>46113</v>
      </c>
      <c r="D514" s="7">
        <v>3272</v>
      </c>
      <c r="E514" s="7">
        <v>336</v>
      </c>
      <c r="F514" s="7">
        <v>4</v>
      </c>
      <c r="G514" s="7">
        <v>1</v>
      </c>
      <c r="H514" s="7">
        <v>81379</v>
      </c>
      <c r="I514" s="7" t="s">
        <v>16</v>
      </c>
      <c r="J514" s="7">
        <v>18659848</v>
      </c>
      <c r="K514" s="7" t="s">
        <v>620</v>
      </c>
      <c r="L514" s="7" t="s">
        <v>621</v>
      </c>
      <c r="M514" s="9">
        <v>149900</v>
      </c>
      <c r="N514" s="10" t="str">
        <f t="shared" si="73"/>
        <v>BXGY</v>
      </c>
      <c r="O514" s="9">
        <f t="shared" si="65"/>
        <v>37475</v>
      </c>
      <c r="P514" s="9" t="str">
        <f t="shared" si="68"/>
        <v>PERCENTAGE</v>
      </c>
    </row>
    <row r="515" spans="1:16" s="6" customFormat="1" x14ac:dyDescent="0.25">
      <c r="A515" s="7" t="str">
        <f t="shared" si="66"/>
        <v>2024 ALL D75</v>
      </c>
      <c r="B515" s="8">
        <f t="shared" si="67"/>
        <v>46104</v>
      </c>
      <c r="C515" s="8">
        <f t="shared" si="72"/>
        <v>46113</v>
      </c>
      <c r="D515" s="7">
        <v>3272</v>
      </c>
      <c r="E515" s="7">
        <v>336</v>
      </c>
      <c r="F515" s="7">
        <v>4</v>
      </c>
      <c r="G515" s="7">
        <v>1</v>
      </c>
      <c r="H515" s="7">
        <v>81379</v>
      </c>
      <c r="I515" s="7" t="s">
        <v>16</v>
      </c>
      <c r="J515" s="7">
        <v>18659857</v>
      </c>
      <c r="K515" s="7" t="s">
        <v>620</v>
      </c>
      <c r="L515" s="7" t="s">
        <v>622</v>
      </c>
      <c r="M515" s="9">
        <v>149900</v>
      </c>
      <c r="N515" s="10" t="str">
        <f t="shared" si="73"/>
        <v>BXGY</v>
      </c>
      <c r="O515" s="9">
        <f t="shared" ref="O515:O578" si="74">M515-((75*M515))/100</f>
        <v>37475</v>
      </c>
      <c r="P515" s="9" t="str">
        <f t="shared" si="68"/>
        <v>PERCENTAGE</v>
      </c>
    </row>
    <row r="516" spans="1:16" s="6" customFormat="1" x14ac:dyDescent="0.25">
      <c r="A516" s="7" t="str">
        <f t="shared" ref="A516:A579" si="75">A515</f>
        <v>2024 ALL D75</v>
      </c>
      <c r="B516" s="8">
        <f t="shared" ref="B516:B579" si="76">B515</f>
        <v>46104</v>
      </c>
      <c r="C516" s="8">
        <f t="shared" si="72"/>
        <v>46113</v>
      </c>
      <c r="D516" s="7">
        <v>3272</v>
      </c>
      <c r="E516" s="7">
        <v>336</v>
      </c>
      <c r="F516" s="7">
        <v>4</v>
      </c>
      <c r="G516" s="7">
        <v>1</v>
      </c>
      <c r="H516" s="7">
        <v>81379</v>
      </c>
      <c r="I516" s="7" t="s">
        <v>16</v>
      </c>
      <c r="J516" s="7">
        <v>18659866</v>
      </c>
      <c r="K516" s="7" t="s">
        <v>620</v>
      </c>
      <c r="L516" s="7" t="s">
        <v>623</v>
      </c>
      <c r="M516" s="9">
        <v>149900</v>
      </c>
      <c r="N516" s="10" t="str">
        <f t="shared" si="73"/>
        <v>BXGY</v>
      </c>
      <c r="O516" s="9">
        <f t="shared" si="74"/>
        <v>37475</v>
      </c>
      <c r="P516" s="9" t="str">
        <f t="shared" ref="P516:P579" si="77">P515</f>
        <v>PERCENTAGE</v>
      </c>
    </row>
    <row r="517" spans="1:16" s="6" customFormat="1" x14ac:dyDescent="0.25">
      <c r="A517" s="7" t="str">
        <f t="shared" si="75"/>
        <v>2024 ALL D75</v>
      </c>
      <c r="B517" s="8">
        <f t="shared" si="76"/>
        <v>46104</v>
      </c>
      <c r="C517" s="8">
        <f t="shared" si="72"/>
        <v>46113</v>
      </c>
      <c r="D517" s="7">
        <v>3272</v>
      </c>
      <c r="E517" s="7">
        <v>336</v>
      </c>
      <c r="F517" s="7">
        <v>4</v>
      </c>
      <c r="G517" s="7">
        <v>1</v>
      </c>
      <c r="H517" s="7">
        <v>81379</v>
      </c>
      <c r="I517" s="7" t="s">
        <v>16</v>
      </c>
      <c r="J517" s="7">
        <v>18659875</v>
      </c>
      <c r="K517" s="7" t="s">
        <v>620</v>
      </c>
      <c r="L517" s="7" t="s">
        <v>624</v>
      </c>
      <c r="M517" s="9">
        <v>149900</v>
      </c>
      <c r="N517" s="10" t="str">
        <f t="shared" si="73"/>
        <v>BXGY</v>
      </c>
      <c r="O517" s="9">
        <f t="shared" si="74"/>
        <v>37475</v>
      </c>
      <c r="P517" s="9" t="str">
        <f t="shared" si="77"/>
        <v>PERCENTAGE</v>
      </c>
    </row>
    <row r="518" spans="1:16" s="6" customFormat="1" x14ac:dyDescent="0.25">
      <c r="A518" s="7" t="str">
        <f t="shared" si="75"/>
        <v>2024 ALL D75</v>
      </c>
      <c r="B518" s="8">
        <f t="shared" si="76"/>
        <v>46104</v>
      </c>
      <c r="C518" s="8">
        <f t="shared" si="72"/>
        <v>46113</v>
      </c>
      <c r="D518" s="7">
        <v>3272</v>
      </c>
      <c r="E518" s="7">
        <v>336</v>
      </c>
      <c r="F518" s="7">
        <v>4</v>
      </c>
      <c r="G518" s="7">
        <v>1</v>
      </c>
      <c r="H518" s="7">
        <v>81379</v>
      </c>
      <c r="I518" s="7" t="s">
        <v>16</v>
      </c>
      <c r="J518" s="7">
        <v>18659884</v>
      </c>
      <c r="K518" s="7" t="s">
        <v>620</v>
      </c>
      <c r="L518" s="7" t="s">
        <v>625</v>
      </c>
      <c r="M518" s="9">
        <v>149900</v>
      </c>
      <c r="N518" s="10" t="str">
        <f t="shared" si="73"/>
        <v>BXGY</v>
      </c>
      <c r="O518" s="9">
        <f t="shared" si="74"/>
        <v>37475</v>
      </c>
      <c r="P518" s="9" t="str">
        <f t="shared" si="77"/>
        <v>PERCENTAGE</v>
      </c>
    </row>
    <row r="519" spans="1:16" s="6" customFormat="1" x14ac:dyDescent="0.25">
      <c r="A519" s="7" t="str">
        <f t="shared" si="75"/>
        <v>2024 ALL D75</v>
      </c>
      <c r="B519" s="8">
        <f t="shared" si="76"/>
        <v>46104</v>
      </c>
      <c r="C519" s="8">
        <f t="shared" si="72"/>
        <v>46113</v>
      </c>
      <c r="D519" s="7">
        <v>3272</v>
      </c>
      <c r="E519" s="7">
        <v>336</v>
      </c>
      <c r="F519" s="7">
        <v>4</v>
      </c>
      <c r="G519" s="7">
        <v>1</v>
      </c>
      <c r="H519" s="7">
        <v>81379</v>
      </c>
      <c r="I519" s="7" t="s">
        <v>16</v>
      </c>
      <c r="J519" s="7">
        <v>18659893</v>
      </c>
      <c r="K519" s="7" t="s">
        <v>620</v>
      </c>
      <c r="L519" s="7" t="s">
        <v>626</v>
      </c>
      <c r="M519" s="9">
        <v>149900</v>
      </c>
      <c r="N519" s="10" t="str">
        <f t="shared" si="73"/>
        <v>BXGY</v>
      </c>
      <c r="O519" s="9">
        <f t="shared" si="74"/>
        <v>37475</v>
      </c>
      <c r="P519" s="9" t="str">
        <f t="shared" si="77"/>
        <v>PERCENTAGE</v>
      </c>
    </row>
    <row r="520" spans="1:16" s="6" customFormat="1" x14ac:dyDescent="0.25">
      <c r="A520" s="7" t="str">
        <f t="shared" si="75"/>
        <v>2024 ALL D75</v>
      </c>
      <c r="B520" s="8">
        <f t="shared" si="76"/>
        <v>46104</v>
      </c>
      <c r="C520" s="8">
        <f t="shared" si="72"/>
        <v>46113</v>
      </c>
      <c r="D520" s="7">
        <v>3272</v>
      </c>
      <c r="E520" s="7">
        <v>336</v>
      </c>
      <c r="F520" s="7">
        <v>4</v>
      </c>
      <c r="G520" s="7">
        <v>1</v>
      </c>
      <c r="H520" s="7">
        <v>81379</v>
      </c>
      <c r="I520" s="7" t="s">
        <v>16</v>
      </c>
      <c r="J520" s="7">
        <v>18659900</v>
      </c>
      <c r="K520" s="7" t="s">
        <v>620</v>
      </c>
      <c r="L520" s="7" t="s">
        <v>627</v>
      </c>
      <c r="M520" s="9">
        <v>149900</v>
      </c>
      <c r="N520" s="10" t="str">
        <f t="shared" si="73"/>
        <v>BXGY</v>
      </c>
      <c r="O520" s="9">
        <f t="shared" si="74"/>
        <v>37475</v>
      </c>
      <c r="P520" s="9" t="str">
        <f t="shared" si="77"/>
        <v>PERCENTAGE</v>
      </c>
    </row>
    <row r="521" spans="1:16" s="6" customFormat="1" x14ac:dyDescent="0.25">
      <c r="A521" s="7" t="str">
        <f t="shared" si="75"/>
        <v>2024 ALL D75</v>
      </c>
      <c r="B521" s="8">
        <f t="shared" si="76"/>
        <v>46104</v>
      </c>
      <c r="C521" s="8">
        <f t="shared" si="72"/>
        <v>46113</v>
      </c>
      <c r="D521" s="7">
        <v>3272</v>
      </c>
      <c r="E521" s="7">
        <v>336</v>
      </c>
      <c r="F521" s="7">
        <v>4</v>
      </c>
      <c r="G521" s="7">
        <v>1</v>
      </c>
      <c r="H521" s="7">
        <v>81379</v>
      </c>
      <c r="I521" s="7" t="s">
        <v>16</v>
      </c>
      <c r="J521" s="7">
        <v>18659919</v>
      </c>
      <c r="K521" s="7" t="s">
        <v>620</v>
      </c>
      <c r="L521" s="7" t="s">
        <v>628</v>
      </c>
      <c r="M521" s="9">
        <v>149900</v>
      </c>
      <c r="N521" s="10" t="str">
        <f t="shared" si="73"/>
        <v>BXGY</v>
      </c>
      <c r="O521" s="9">
        <f t="shared" si="74"/>
        <v>37475</v>
      </c>
      <c r="P521" s="9" t="str">
        <f t="shared" si="77"/>
        <v>PERCENTAGE</v>
      </c>
    </row>
    <row r="522" spans="1:16" s="6" customFormat="1" x14ac:dyDescent="0.25">
      <c r="A522" s="7" t="str">
        <f t="shared" si="75"/>
        <v>2024 ALL D75</v>
      </c>
      <c r="B522" s="8">
        <f t="shared" si="76"/>
        <v>46104</v>
      </c>
      <c r="C522" s="8">
        <f t="shared" si="72"/>
        <v>46113</v>
      </c>
      <c r="D522" s="7">
        <v>3272</v>
      </c>
      <c r="E522" s="7">
        <v>336</v>
      </c>
      <c r="F522" s="7">
        <v>4</v>
      </c>
      <c r="G522" s="7">
        <v>1</v>
      </c>
      <c r="H522" s="7">
        <v>81379</v>
      </c>
      <c r="I522" s="7" t="s">
        <v>16</v>
      </c>
      <c r="J522" s="7">
        <v>20513428</v>
      </c>
      <c r="K522" s="7" t="s">
        <v>629</v>
      </c>
      <c r="L522" s="7" t="s">
        <v>630</v>
      </c>
      <c r="M522" s="9">
        <v>149900</v>
      </c>
      <c r="N522" s="10" t="str">
        <f t="shared" si="73"/>
        <v>BXGY</v>
      </c>
      <c r="O522" s="9">
        <f t="shared" si="74"/>
        <v>37475</v>
      </c>
      <c r="P522" s="9" t="str">
        <f t="shared" si="77"/>
        <v>PERCENTAGE</v>
      </c>
    </row>
    <row r="523" spans="1:16" s="6" customFormat="1" x14ac:dyDescent="0.25">
      <c r="A523" s="7" t="str">
        <f t="shared" si="75"/>
        <v>2024 ALL D75</v>
      </c>
      <c r="B523" s="8">
        <f t="shared" si="76"/>
        <v>46104</v>
      </c>
      <c r="C523" s="8">
        <f t="shared" si="72"/>
        <v>46113</v>
      </c>
      <c r="D523" s="7">
        <v>3272</v>
      </c>
      <c r="E523" s="7">
        <v>336</v>
      </c>
      <c r="F523" s="7">
        <v>4</v>
      </c>
      <c r="G523" s="7">
        <v>1</v>
      </c>
      <c r="H523" s="7">
        <v>81379</v>
      </c>
      <c r="I523" s="7" t="s">
        <v>16</v>
      </c>
      <c r="J523" s="7">
        <v>20513437</v>
      </c>
      <c r="K523" s="7" t="s">
        <v>629</v>
      </c>
      <c r="L523" s="7" t="s">
        <v>631</v>
      </c>
      <c r="M523" s="9">
        <v>149900</v>
      </c>
      <c r="N523" s="10" t="str">
        <f t="shared" si="73"/>
        <v>BXGY</v>
      </c>
      <c r="O523" s="9">
        <f t="shared" si="74"/>
        <v>37475</v>
      </c>
      <c r="P523" s="9" t="str">
        <f t="shared" si="77"/>
        <v>PERCENTAGE</v>
      </c>
    </row>
    <row r="524" spans="1:16" s="6" customFormat="1" x14ac:dyDescent="0.25">
      <c r="A524" s="7" t="str">
        <f t="shared" si="75"/>
        <v>2024 ALL D75</v>
      </c>
      <c r="B524" s="8">
        <f t="shared" si="76"/>
        <v>46104</v>
      </c>
      <c r="C524" s="8">
        <f t="shared" si="72"/>
        <v>46113</v>
      </c>
      <c r="D524" s="7">
        <v>3272</v>
      </c>
      <c r="E524" s="7">
        <v>336</v>
      </c>
      <c r="F524" s="7">
        <v>4</v>
      </c>
      <c r="G524" s="7">
        <v>1</v>
      </c>
      <c r="H524" s="7">
        <v>81379</v>
      </c>
      <c r="I524" s="7" t="s">
        <v>16</v>
      </c>
      <c r="J524" s="7">
        <v>20513482</v>
      </c>
      <c r="K524" s="7" t="s">
        <v>629</v>
      </c>
      <c r="L524" s="7" t="s">
        <v>632</v>
      </c>
      <c r="M524" s="9">
        <v>149900</v>
      </c>
      <c r="N524" s="10" t="str">
        <f t="shared" si="73"/>
        <v>BXGY</v>
      </c>
      <c r="O524" s="9">
        <f t="shared" si="74"/>
        <v>37475</v>
      </c>
      <c r="P524" s="9" t="str">
        <f t="shared" si="77"/>
        <v>PERCENTAGE</v>
      </c>
    </row>
    <row r="525" spans="1:16" s="6" customFormat="1" x14ac:dyDescent="0.25">
      <c r="A525" s="7" t="str">
        <f t="shared" si="75"/>
        <v>2024 ALL D75</v>
      </c>
      <c r="B525" s="8">
        <f t="shared" si="76"/>
        <v>46104</v>
      </c>
      <c r="C525" s="8">
        <f t="shared" si="72"/>
        <v>46113</v>
      </c>
      <c r="D525" s="7">
        <v>3272</v>
      </c>
      <c r="E525" s="7">
        <v>336</v>
      </c>
      <c r="F525" s="7">
        <v>4</v>
      </c>
      <c r="G525" s="7">
        <v>1</v>
      </c>
      <c r="H525" s="7">
        <v>81379</v>
      </c>
      <c r="I525" s="7" t="s">
        <v>16</v>
      </c>
      <c r="J525" s="7">
        <v>20513599</v>
      </c>
      <c r="K525" s="7" t="s">
        <v>629</v>
      </c>
      <c r="L525" s="7" t="s">
        <v>633</v>
      </c>
      <c r="M525" s="9">
        <v>149900</v>
      </c>
      <c r="N525" s="10" t="str">
        <f t="shared" si="73"/>
        <v>BXGY</v>
      </c>
      <c r="O525" s="9">
        <f t="shared" si="74"/>
        <v>37475</v>
      </c>
      <c r="P525" s="9" t="str">
        <f t="shared" si="77"/>
        <v>PERCENTAGE</v>
      </c>
    </row>
    <row r="526" spans="1:16" s="6" customFormat="1" x14ac:dyDescent="0.25">
      <c r="A526" s="7" t="str">
        <f t="shared" si="75"/>
        <v>2024 ALL D75</v>
      </c>
      <c r="B526" s="8">
        <f t="shared" si="76"/>
        <v>46104</v>
      </c>
      <c r="C526" s="8">
        <f t="shared" si="72"/>
        <v>46113</v>
      </c>
      <c r="D526" s="7">
        <v>3272</v>
      </c>
      <c r="E526" s="7">
        <v>336</v>
      </c>
      <c r="F526" s="7">
        <v>4</v>
      </c>
      <c r="G526" s="7">
        <v>1</v>
      </c>
      <c r="H526" s="7">
        <v>81379</v>
      </c>
      <c r="I526" s="7" t="s">
        <v>16</v>
      </c>
      <c r="J526" s="7">
        <v>20513606</v>
      </c>
      <c r="K526" s="7" t="s">
        <v>629</v>
      </c>
      <c r="L526" s="7" t="s">
        <v>634</v>
      </c>
      <c r="M526" s="9">
        <v>149900</v>
      </c>
      <c r="N526" s="10" t="str">
        <f t="shared" si="73"/>
        <v>BXGY</v>
      </c>
      <c r="O526" s="9">
        <f t="shared" si="74"/>
        <v>37475</v>
      </c>
      <c r="P526" s="9" t="str">
        <f t="shared" si="77"/>
        <v>PERCENTAGE</v>
      </c>
    </row>
    <row r="527" spans="1:16" s="6" customFormat="1" x14ac:dyDescent="0.25">
      <c r="A527" s="7" t="str">
        <f t="shared" si="75"/>
        <v>2024 ALL D75</v>
      </c>
      <c r="B527" s="8">
        <f t="shared" si="76"/>
        <v>46104</v>
      </c>
      <c r="C527" s="8">
        <f t="shared" si="72"/>
        <v>46113</v>
      </c>
      <c r="D527" s="7">
        <v>3272</v>
      </c>
      <c r="E527" s="7">
        <v>336</v>
      </c>
      <c r="F527" s="7">
        <v>4</v>
      </c>
      <c r="G527" s="7">
        <v>1</v>
      </c>
      <c r="H527" s="7">
        <v>81379</v>
      </c>
      <c r="I527" s="7" t="s">
        <v>16</v>
      </c>
      <c r="J527" s="7">
        <v>20513615</v>
      </c>
      <c r="K527" s="7" t="s">
        <v>629</v>
      </c>
      <c r="L527" s="7" t="s">
        <v>635</v>
      </c>
      <c r="M527" s="9">
        <v>149900</v>
      </c>
      <c r="N527" s="10" t="str">
        <f t="shared" si="73"/>
        <v>BXGY</v>
      </c>
      <c r="O527" s="9">
        <f t="shared" si="74"/>
        <v>37475</v>
      </c>
      <c r="P527" s="9" t="str">
        <f t="shared" si="77"/>
        <v>PERCENTAGE</v>
      </c>
    </row>
    <row r="528" spans="1:16" s="6" customFormat="1" x14ac:dyDescent="0.25">
      <c r="A528" s="7" t="str">
        <f t="shared" si="75"/>
        <v>2024 ALL D75</v>
      </c>
      <c r="B528" s="8">
        <f t="shared" si="76"/>
        <v>46104</v>
      </c>
      <c r="C528" s="8">
        <f t="shared" si="72"/>
        <v>46113</v>
      </c>
      <c r="D528" s="7">
        <v>3272</v>
      </c>
      <c r="E528" s="7">
        <v>336</v>
      </c>
      <c r="F528" s="7">
        <v>4</v>
      </c>
      <c r="G528" s="7">
        <v>1</v>
      </c>
      <c r="H528" s="7">
        <v>81379</v>
      </c>
      <c r="I528" s="7" t="s">
        <v>16</v>
      </c>
      <c r="J528" s="7">
        <v>20513624</v>
      </c>
      <c r="K528" s="7" t="s">
        <v>629</v>
      </c>
      <c r="L528" s="7" t="s">
        <v>636</v>
      </c>
      <c r="M528" s="9">
        <v>149900</v>
      </c>
      <c r="N528" s="10" t="str">
        <f t="shared" si="73"/>
        <v>BXGY</v>
      </c>
      <c r="O528" s="9">
        <f t="shared" si="74"/>
        <v>37475</v>
      </c>
      <c r="P528" s="9" t="str">
        <f t="shared" si="77"/>
        <v>PERCENTAGE</v>
      </c>
    </row>
    <row r="529" spans="1:16" s="6" customFormat="1" x14ac:dyDescent="0.25">
      <c r="A529" s="7" t="str">
        <f t="shared" si="75"/>
        <v>2024 ALL D75</v>
      </c>
      <c r="B529" s="8">
        <f t="shared" si="76"/>
        <v>46104</v>
      </c>
      <c r="C529" s="8">
        <f t="shared" si="72"/>
        <v>46113</v>
      </c>
      <c r="D529" s="7">
        <v>3272</v>
      </c>
      <c r="E529" s="7">
        <v>336</v>
      </c>
      <c r="F529" s="7">
        <v>4</v>
      </c>
      <c r="G529" s="7">
        <v>1</v>
      </c>
      <c r="H529" s="7">
        <v>81379</v>
      </c>
      <c r="I529" s="7" t="s">
        <v>16</v>
      </c>
      <c r="J529" s="7">
        <v>20513633</v>
      </c>
      <c r="K529" s="7" t="s">
        <v>629</v>
      </c>
      <c r="L529" s="7" t="s">
        <v>637</v>
      </c>
      <c r="M529" s="9">
        <v>149900</v>
      </c>
      <c r="N529" s="10" t="str">
        <f t="shared" si="73"/>
        <v>BXGY</v>
      </c>
      <c r="O529" s="9">
        <f t="shared" si="74"/>
        <v>37475</v>
      </c>
      <c r="P529" s="9" t="str">
        <f t="shared" si="77"/>
        <v>PERCENTAGE</v>
      </c>
    </row>
    <row r="530" spans="1:16" s="6" customFormat="1" x14ac:dyDescent="0.25">
      <c r="A530" s="7" t="str">
        <f t="shared" si="75"/>
        <v>2024 ALL D75</v>
      </c>
      <c r="B530" s="8">
        <f t="shared" si="76"/>
        <v>46104</v>
      </c>
      <c r="C530" s="8">
        <f t="shared" si="72"/>
        <v>46113</v>
      </c>
      <c r="D530" s="7">
        <v>3272</v>
      </c>
      <c r="E530" s="7">
        <v>336</v>
      </c>
      <c r="F530" s="7">
        <v>4</v>
      </c>
      <c r="G530" s="7">
        <v>1</v>
      </c>
      <c r="H530" s="7">
        <v>81379</v>
      </c>
      <c r="I530" s="7" t="s">
        <v>16</v>
      </c>
      <c r="J530" s="7">
        <v>20513642</v>
      </c>
      <c r="K530" s="7" t="s">
        <v>638</v>
      </c>
      <c r="L530" s="7" t="s">
        <v>639</v>
      </c>
      <c r="M530" s="9">
        <v>149900</v>
      </c>
      <c r="N530" s="10" t="str">
        <f t="shared" si="73"/>
        <v>BXGY</v>
      </c>
      <c r="O530" s="9">
        <f t="shared" si="74"/>
        <v>37475</v>
      </c>
      <c r="P530" s="9" t="str">
        <f t="shared" si="77"/>
        <v>PERCENTAGE</v>
      </c>
    </row>
    <row r="531" spans="1:16" s="6" customFormat="1" x14ac:dyDescent="0.25">
      <c r="A531" s="7" t="str">
        <f t="shared" si="75"/>
        <v>2024 ALL D75</v>
      </c>
      <c r="B531" s="8">
        <f t="shared" si="76"/>
        <v>46104</v>
      </c>
      <c r="C531" s="8">
        <f t="shared" si="72"/>
        <v>46113</v>
      </c>
      <c r="D531" s="7">
        <v>3272</v>
      </c>
      <c r="E531" s="7">
        <v>336</v>
      </c>
      <c r="F531" s="7">
        <v>4</v>
      </c>
      <c r="G531" s="7">
        <v>1</v>
      </c>
      <c r="H531" s="7">
        <v>81379</v>
      </c>
      <c r="I531" s="7" t="s">
        <v>16</v>
      </c>
      <c r="J531" s="7">
        <v>20513651</v>
      </c>
      <c r="K531" s="7" t="s">
        <v>638</v>
      </c>
      <c r="L531" s="7" t="s">
        <v>640</v>
      </c>
      <c r="M531" s="9">
        <v>149900</v>
      </c>
      <c r="N531" s="10" t="str">
        <f t="shared" si="73"/>
        <v>BXGY</v>
      </c>
      <c r="O531" s="9">
        <f t="shared" si="74"/>
        <v>37475</v>
      </c>
      <c r="P531" s="9" t="str">
        <f t="shared" si="77"/>
        <v>PERCENTAGE</v>
      </c>
    </row>
    <row r="532" spans="1:16" s="6" customFormat="1" x14ac:dyDescent="0.25">
      <c r="A532" s="7" t="str">
        <f t="shared" si="75"/>
        <v>2024 ALL D75</v>
      </c>
      <c r="B532" s="8">
        <f t="shared" si="76"/>
        <v>46104</v>
      </c>
      <c r="C532" s="8">
        <f t="shared" ref="C532:C563" si="78">C531</f>
        <v>46113</v>
      </c>
      <c r="D532" s="7">
        <v>3272</v>
      </c>
      <c r="E532" s="7">
        <v>336</v>
      </c>
      <c r="F532" s="7">
        <v>4</v>
      </c>
      <c r="G532" s="7">
        <v>1</v>
      </c>
      <c r="H532" s="7">
        <v>81379</v>
      </c>
      <c r="I532" s="7" t="s">
        <v>16</v>
      </c>
      <c r="J532" s="7">
        <v>20513713</v>
      </c>
      <c r="K532" s="7" t="s">
        <v>638</v>
      </c>
      <c r="L532" s="7" t="s">
        <v>641</v>
      </c>
      <c r="M532" s="9">
        <v>149900</v>
      </c>
      <c r="N532" s="10" t="str">
        <f t="shared" ref="N532:N563" si="79">N531</f>
        <v>BXGY</v>
      </c>
      <c r="O532" s="9">
        <f t="shared" si="74"/>
        <v>37475</v>
      </c>
      <c r="P532" s="9" t="str">
        <f t="shared" si="77"/>
        <v>PERCENTAGE</v>
      </c>
    </row>
    <row r="533" spans="1:16" s="6" customFormat="1" x14ac:dyDescent="0.25">
      <c r="A533" s="7" t="str">
        <f t="shared" si="75"/>
        <v>2024 ALL D75</v>
      </c>
      <c r="B533" s="8">
        <f t="shared" si="76"/>
        <v>46104</v>
      </c>
      <c r="C533" s="8">
        <f t="shared" si="78"/>
        <v>46113</v>
      </c>
      <c r="D533" s="7">
        <v>3272</v>
      </c>
      <c r="E533" s="7">
        <v>336</v>
      </c>
      <c r="F533" s="7">
        <v>4</v>
      </c>
      <c r="G533" s="7">
        <v>1</v>
      </c>
      <c r="H533" s="7">
        <v>81379</v>
      </c>
      <c r="I533" s="7" t="s">
        <v>16</v>
      </c>
      <c r="J533" s="7">
        <v>20513722</v>
      </c>
      <c r="K533" s="7" t="s">
        <v>638</v>
      </c>
      <c r="L533" s="7" t="s">
        <v>642</v>
      </c>
      <c r="M533" s="9">
        <v>149900</v>
      </c>
      <c r="N533" s="10" t="str">
        <f t="shared" si="79"/>
        <v>BXGY</v>
      </c>
      <c r="O533" s="9">
        <f t="shared" si="74"/>
        <v>37475</v>
      </c>
      <c r="P533" s="9" t="str">
        <f t="shared" si="77"/>
        <v>PERCENTAGE</v>
      </c>
    </row>
    <row r="534" spans="1:16" s="6" customFormat="1" x14ac:dyDescent="0.25">
      <c r="A534" s="7" t="str">
        <f t="shared" si="75"/>
        <v>2024 ALL D75</v>
      </c>
      <c r="B534" s="8">
        <f t="shared" si="76"/>
        <v>46104</v>
      </c>
      <c r="C534" s="8">
        <f t="shared" si="78"/>
        <v>46113</v>
      </c>
      <c r="D534" s="7">
        <v>3272</v>
      </c>
      <c r="E534" s="7">
        <v>336</v>
      </c>
      <c r="F534" s="7">
        <v>4</v>
      </c>
      <c r="G534" s="7">
        <v>1</v>
      </c>
      <c r="H534" s="7">
        <v>81379</v>
      </c>
      <c r="I534" s="7" t="s">
        <v>16</v>
      </c>
      <c r="J534" s="7">
        <v>20513731</v>
      </c>
      <c r="K534" s="7" t="s">
        <v>638</v>
      </c>
      <c r="L534" s="7" t="s">
        <v>643</v>
      </c>
      <c r="M534" s="9">
        <v>149900</v>
      </c>
      <c r="N534" s="10" t="str">
        <f t="shared" si="79"/>
        <v>BXGY</v>
      </c>
      <c r="O534" s="9">
        <f t="shared" si="74"/>
        <v>37475</v>
      </c>
      <c r="P534" s="9" t="str">
        <f t="shared" si="77"/>
        <v>PERCENTAGE</v>
      </c>
    </row>
    <row r="535" spans="1:16" s="6" customFormat="1" x14ac:dyDescent="0.25">
      <c r="A535" s="7" t="str">
        <f t="shared" si="75"/>
        <v>2024 ALL D75</v>
      </c>
      <c r="B535" s="8">
        <f t="shared" si="76"/>
        <v>46104</v>
      </c>
      <c r="C535" s="8">
        <f t="shared" si="78"/>
        <v>46113</v>
      </c>
      <c r="D535" s="7">
        <v>3272</v>
      </c>
      <c r="E535" s="7">
        <v>336</v>
      </c>
      <c r="F535" s="7">
        <v>4</v>
      </c>
      <c r="G535" s="7">
        <v>1</v>
      </c>
      <c r="H535" s="7">
        <v>81379</v>
      </c>
      <c r="I535" s="7" t="s">
        <v>16</v>
      </c>
      <c r="J535" s="7">
        <v>20513740</v>
      </c>
      <c r="K535" s="7" t="s">
        <v>638</v>
      </c>
      <c r="L535" s="7" t="s">
        <v>644</v>
      </c>
      <c r="M535" s="9">
        <v>149900</v>
      </c>
      <c r="N535" s="10" t="str">
        <f t="shared" si="79"/>
        <v>BXGY</v>
      </c>
      <c r="O535" s="9">
        <f t="shared" si="74"/>
        <v>37475</v>
      </c>
      <c r="P535" s="9" t="str">
        <f t="shared" si="77"/>
        <v>PERCENTAGE</v>
      </c>
    </row>
    <row r="536" spans="1:16" s="6" customFormat="1" x14ac:dyDescent="0.25">
      <c r="A536" s="7" t="str">
        <f t="shared" si="75"/>
        <v>2024 ALL D75</v>
      </c>
      <c r="B536" s="8">
        <f t="shared" si="76"/>
        <v>46104</v>
      </c>
      <c r="C536" s="8">
        <f t="shared" si="78"/>
        <v>46113</v>
      </c>
      <c r="D536" s="7">
        <v>3272</v>
      </c>
      <c r="E536" s="7">
        <v>336</v>
      </c>
      <c r="F536" s="7">
        <v>4</v>
      </c>
      <c r="G536" s="7">
        <v>1</v>
      </c>
      <c r="H536" s="7">
        <v>81379</v>
      </c>
      <c r="I536" s="7" t="s">
        <v>16</v>
      </c>
      <c r="J536" s="7">
        <v>20513759</v>
      </c>
      <c r="K536" s="7" t="s">
        <v>638</v>
      </c>
      <c r="L536" s="7" t="s">
        <v>645</v>
      </c>
      <c r="M536" s="9">
        <v>149900</v>
      </c>
      <c r="N536" s="10" t="str">
        <f t="shared" si="79"/>
        <v>BXGY</v>
      </c>
      <c r="O536" s="9">
        <f t="shared" si="74"/>
        <v>37475</v>
      </c>
      <c r="P536" s="9" t="str">
        <f t="shared" si="77"/>
        <v>PERCENTAGE</v>
      </c>
    </row>
    <row r="537" spans="1:16" s="6" customFormat="1" x14ac:dyDescent="0.25">
      <c r="A537" s="7" t="str">
        <f t="shared" si="75"/>
        <v>2024 ALL D75</v>
      </c>
      <c r="B537" s="8">
        <f t="shared" si="76"/>
        <v>46104</v>
      </c>
      <c r="C537" s="8">
        <f t="shared" si="78"/>
        <v>46113</v>
      </c>
      <c r="D537" s="7">
        <v>3272</v>
      </c>
      <c r="E537" s="7">
        <v>336</v>
      </c>
      <c r="F537" s="7">
        <v>4</v>
      </c>
      <c r="G537" s="7">
        <v>1</v>
      </c>
      <c r="H537" s="7">
        <v>81379</v>
      </c>
      <c r="I537" s="7" t="s">
        <v>16</v>
      </c>
      <c r="J537" s="7">
        <v>20513768</v>
      </c>
      <c r="K537" s="7" t="s">
        <v>638</v>
      </c>
      <c r="L537" s="7" t="s">
        <v>646</v>
      </c>
      <c r="M537" s="9">
        <v>149900</v>
      </c>
      <c r="N537" s="10" t="str">
        <f t="shared" si="79"/>
        <v>BXGY</v>
      </c>
      <c r="O537" s="9">
        <f t="shared" si="74"/>
        <v>37475</v>
      </c>
      <c r="P537" s="9" t="str">
        <f t="shared" si="77"/>
        <v>PERCENTAGE</v>
      </c>
    </row>
    <row r="538" spans="1:16" s="6" customFormat="1" x14ac:dyDescent="0.25">
      <c r="A538" s="7" t="str">
        <f t="shared" si="75"/>
        <v>2024 ALL D75</v>
      </c>
      <c r="B538" s="8">
        <f t="shared" si="76"/>
        <v>46104</v>
      </c>
      <c r="C538" s="8">
        <f t="shared" si="78"/>
        <v>46113</v>
      </c>
      <c r="D538" s="7">
        <v>3272</v>
      </c>
      <c r="E538" s="7">
        <v>336</v>
      </c>
      <c r="F538" s="7">
        <v>4</v>
      </c>
      <c r="G538" s="7">
        <v>1</v>
      </c>
      <c r="H538" s="7">
        <v>81379</v>
      </c>
      <c r="I538" s="7" t="s">
        <v>16</v>
      </c>
      <c r="J538" s="7">
        <v>20513777</v>
      </c>
      <c r="K538" s="7" t="s">
        <v>647</v>
      </c>
      <c r="L538" s="7" t="s">
        <v>648</v>
      </c>
      <c r="M538" s="9">
        <v>139900</v>
      </c>
      <c r="N538" s="10" t="str">
        <f t="shared" si="79"/>
        <v>BXGY</v>
      </c>
      <c r="O538" s="9">
        <f t="shared" si="74"/>
        <v>34975</v>
      </c>
      <c r="P538" s="9" t="str">
        <f t="shared" si="77"/>
        <v>PERCENTAGE</v>
      </c>
    </row>
    <row r="539" spans="1:16" s="6" customFormat="1" x14ac:dyDescent="0.25">
      <c r="A539" s="7" t="str">
        <f t="shared" si="75"/>
        <v>2024 ALL D75</v>
      </c>
      <c r="B539" s="8">
        <f t="shared" si="76"/>
        <v>46104</v>
      </c>
      <c r="C539" s="8">
        <f t="shared" si="78"/>
        <v>46113</v>
      </c>
      <c r="D539" s="7">
        <v>3272</v>
      </c>
      <c r="E539" s="7">
        <v>336</v>
      </c>
      <c r="F539" s="7">
        <v>4</v>
      </c>
      <c r="G539" s="7">
        <v>1</v>
      </c>
      <c r="H539" s="7">
        <v>81379</v>
      </c>
      <c r="I539" s="7" t="s">
        <v>16</v>
      </c>
      <c r="J539" s="7">
        <v>20513839</v>
      </c>
      <c r="K539" s="7" t="s">
        <v>647</v>
      </c>
      <c r="L539" s="7" t="s">
        <v>649</v>
      </c>
      <c r="M539" s="9">
        <v>139900</v>
      </c>
      <c r="N539" s="10" t="str">
        <f t="shared" si="79"/>
        <v>BXGY</v>
      </c>
      <c r="O539" s="9">
        <f t="shared" si="74"/>
        <v>34975</v>
      </c>
      <c r="P539" s="9" t="str">
        <f t="shared" si="77"/>
        <v>PERCENTAGE</v>
      </c>
    </row>
    <row r="540" spans="1:16" s="6" customFormat="1" x14ac:dyDescent="0.25">
      <c r="A540" s="7" t="str">
        <f t="shared" si="75"/>
        <v>2024 ALL D75</v>
      </c>
      <c r="B540" s="8">
        <f t="shared" si="76"/>
        <v>46104</v>
      </c>
      <c r="C540" s="8">
        <f t="shared" si="78"/>
        <v>46113</v>
      </c>
      <c r="D540" s="7">
        <v>3272</v>
      </c>
      <c r="E540" s="7">
        <v>336</v>
      </c>
      <c r="F540" s="7">
        <v>4</v>
      </c>
      <c r="G540" s="7">
        <v>1</v>
      </c>
      <c r="H540" s="7">
        <v>81379</v>
      </c>
      <c r="I540" s="7" t="s">
        <v>16</v>
      </c>
      <c r="J540" s="7">
        <v>20513919</v>
      </c>
      <c r="K540" s="7" t="s">
        <v>647</v>
      </c>
      <c r="L540" s="7" t="s">
        <v>650</v>
      </c>
      <c r="M540" s="9">
        <v>139900</v>
      </c>
      <c r="N540" s="10" t="str">
        <f t="shared" si="79"/>
        <v>BXGY</v>
      </c>
      <c r="O540" s="9">
        <f t="shared" si="74"/>
        <v>34975</v>
      </c>
      <c r="P540" s="9" t="str">
        <f t="shared" si="77"/>
        <v>PERCENTAGE</v>
      </c>
    </row>
    <row r="541" spans="1:16" s="6" customFormat="1" x14ac:dyDescent="0.25">
      <c r="A541" s="7" t="str">
        <f t="shared" si="75"/>
        <v>2024 ALL D75</v>
      </c>
      <c r="B541" s="8">
        <f t="shared" si="76"/>
        <v>46104</v>
      </c>
      <c r="C541" s="8">
        <f t="shared" si="78"/>
        <v>46113</v>
      </c>
      <c r="D541" s="7">
        <v>3272</v>
      </c>
      <c r="E541" s="7">
        <v>336</v>
      </c>
      <c r="F541" s="7">
        <v>4</v>
      </c>
      <c r="G541" s="7">
        <v>1</v>
      </c>
      <c r="H541" s="7">
        <v>81379</v>
      </c>
      <c r="I541" s="7" t="s">
        <v>16</v>
      </c>
      <c r="J541" s="7">
        <v>20513991</v>
      </c>
      <c r="K541" s="7" t="s">
        <v>647</v>
      </c>
      <c r="L541" s="7" t="s">
        <v>651</v>
      </c>
      <c r="M541" s="9">
        <v>139900</v>
      </c>
      <c r="N541" s="10" t="str">
        <f t="shared" si="79"/>
        <v>BXGY</v>
      </c>
      <c r="O541" s="9">
        <f t="shared" si="74"/>
        <v>34975</v>
      </c>
      <c r="P541" s="9" t="str">
        <f t="shared" si="77"/>
        <v>PERCENTAGE</v>
      </c>
    </row>
    <row r="542" spans="1:16" s="6" customFormat="1" x14ac:dyDescent="0.25">
      <c r="A542" s="7" t="str">
        <f t="shared" si="75"/>
        <v>2024 ALL D75</v>
      </c>
      <c r="B542" s="8">
        <f t="shared" si="76"/>
        <v>46104</v>
      </c>
      <c r="C542" s="8">
        <f t="shared" si="78"/>
        <v>46113</v>
      </c>
      <c r="D542" s="7">
        <v>3272</v>
      </c>
      <c r="E542" s="7">
        <v>336</v>
      </c>
      <c r="F542" s="7">
        <v>4</v>
      </c>
      <c r="G542" s="7">
        <v>1</v>
      </c>
      <c r="H542" s="7">
        <v>81379</v>
      </c>
      <c r="I542" s="7" t="s">
        <v>16</v>
      </c>
      <c r="J542" s="7">
        <v>20514016</v>
      </c>
      <c r="K542" s="7" t="s">
        <v>647</v>
      </c>
      <c r="L542" s="7" t="s">
        <v>652</v>
      </c>
      <c r="M542" s="9">
        <v>139900</v>
      </c>
      <c r="N542" s="10" t="str">
        <f t="shared" si="79"/>
        <v>BXGY</v>
      </c>
      <c r="O542" s="9">
        <f t="shared" si="74"/>
        <v>34975</v>
      </c>
      <c r="P542" s="9" t="str">
        <f t="shared" si="77"/>
        <v>PERCENTAGE</v>
      </c>
    </row>
    <row r="543" spans="1:16" s="6" customFormat="1" x14ac:dyDescent="0.25">
      <c r="A543" s="7" t="str">
        <f t="shared" si="75"/>
        <v>2024 ALL D75</v>
      </c>
      <c r="B543" s="8">
        <f t="shared" si="76"/>
        <v>46104</v>
      </c>
      <c r="C543" s="8">
        <f t="shared" si="78"/>
        <v>46113</v>
      </c>
      <c r="D543" s="7">
        <v>3272</v>
      </c>
      <c r="E543" s="7">
        <v>336</v>
      </c>
      <c r="F543" s="7">
        <v>4</v>
      </c>
      <c r="G543" s="7">
        <v>1</v>
      </c>
      <c r="H543" s="7">
        <v>81379</v>
      </c>
      <c r="I543" s="7" t="s">
        <v>16</v>
      </c>
      <c r="J543" s="7">
        <v>20514089</v>
      </c>
      <c r="K543" s="7" t="s">
        <v>647</v>
      </c>
      <c r="L543" s="7" t="s">
        <v>653</v>
      </c>
      <c r="M543" s="9">
        <v>139900</v>
      </c>
      <c r="N543" s="10" t="str">
        <f t="shared" si="79"/>
        <v>BXGY</v>
      </c>
      <c r="O543" s="9">
        <f t="shared" si="74"/>
        <v>34975</v>
      </c>
      <c r="P543" s="9" t="str">
        <f t="shared" si="77"/>
        <v>PERCENTAGE</v>
      </c>
    </row>
    <row r="544" spans="1:16" s="6" customFormat="1" x14ac:dyDescent="0.25">
      <c r="A544" s="7" t="str">
        <f t="shared" si="75"/>
        <v>2024 ALL D75</v>
      </c>
      <c r="B544" s="8">
        <f t="shared" si="76"/>
        <v>46104</v>
      </c>
      <c r="C544" s="8">
        <f t="shared" si="78"/>
        <v>46113</v>
      </c>
      <c r="D544" s="7">
        <v>3272</v>
      </c>
      <c r="E544" s="7">
        <v>336</v>
      </c>
      <c r="F544" s="7">
        <v>4</v>
      </c>
      <c r="G544" s="7">
        <v>1</v>
      </c>
      <c r="H544" s="7">
        <v>81379</v>
      </c>
      <c r="I544" s="7" t="s">
        <v>16</v>
      </c>
      <c r="J544" s="7">
        <v>20514098</v>
      </c>
      <c r="K544" s="7" t="s">
        <v>647</v>
      </c>
      <c r="L544" s="7" t="s">
        <v>654</v>
      </c>
      <c r="M544" s="9">
        <v>139900</v>
      </c>
      <c r="N544" s="10" t="str">
        <f t="shared" si="79"/>
        <v>BXGY</v>
      </c>
      <c r="O544" s="9">
        <f t="shared" si="74"/>
        <v>34975</v>
      </c>
      <c r="P544" s="9" t="str">
        <f t="shared" si="77"/>
        <v>PERCENTAGE</v>
      </c>
    </row>
    <row r="545" spans="1:16" s="6" customFormat="1" x14ac:dyDescent="0.25">
      <c r="A545" s="7" t="str">
        <f t="shared" si="75"/>
        <v>2024 ALL D75</v>
      </c>
      <c r="B545" s="8">
        <f t="shared" si="76"/>
        <v>46104</v>
      </c>
      <c r="C545" s="8">
        <f t="shared" si="78"/>
        <v>46113</v>
      </c>
      <c r="D545" s="7">
        <v>3272</v>
      </c>
      <c r="E545" s="7">
        <v>336</v>
      </c>
      <c r="F545" s="7">
        <v>4</v>
      </c>
      <c r="G545" s="7">
        <v>1</v>
      </c>
      <c r="H545" s="7">
        <v>81379</v>
      </c>
      <c r="I545" s="7" t="s">
        <v>16</v>
      </c>
      <c r="J545" s="7">
        <v>20514105</v>
      </c>
      <c r="K545" s="7" t="s">
        <v>647</v>
      </c>
      <c r="L545" s="7" t="s">
        <v>655</v>
      </c>
      <c r="M545" s="9">
        <v>139900</v>
      </c>
      <c r="N545" s="10" t="str">
        <f t="shared" si="79"/>
        <v>BXGY</v>
      </c>
      <c r="O545" s="9">
        <f t="shared" si="74"/>
        <v>34975</v>
      </c>
      <c r="P545" s="9" t="str">
        <f t="shared" si="77"/>
        <v>PERCENTAGE</v>
      </c>
    </row>
    <row r="546" spans="1:16" s="6" customFormat="1" x14ac:dyDescent="0.25">
      <c r="A546" s="7" t="str">
        <f t="shared" si="75"/>
        <v>2024 ALL D75</v>
      </c>
      <c r="B546" s="8">
        <f t="shared" si="76"/>
        <v>46104</v>
      </c>
      <c r="C546" s="8">
        <f t="shared" si="78"/>
        <v>46113</v>
      </c>
      <c r="D546" s="7">
        <v>3272</v>
      </c>
      <c r="E546" s="7">
        <v>336</v>
      </c>
      <c r="F546" s="7">
        <v>4</v>
      </c>
      <c r="G546" s="7">
        <v>1</v>
      </c>
      <c r="H546" s="7">
        <v>81379</v>
      </c>
      <c r="I546" s="7" t="s">
        <v>16</v>
      </c>
      <c r="J546" s="7">
        <v>16623924</v>
      </c>
      <c r="K546" s="7" t="s">
        <v>656</v>
      </c>
      <c r="L546" s="7" t="s">
        <v>657</v>
      </c>
      <c r="M546" s="9">
        <v>149900</v>
      </c>
      <c r="N546" s="10" t="str">
        <f t="shared" si="79"/>
        <v>BXGY</v>
      </c>
      <c r="O546" s="9">
        <f t="shared" si="74"/>
        <v>37475</v>
      </c>
      <c r="P546" s="9" t="str">
        <f t="shared" si="77"/>
        <v>PERCENTAGE</v>
      </c>
    </row>
    <row r="547" spans="1:16" s="6" customFormat="1" x14ac:dyDescent="0.25">
      <c r="A547" s="7" t="str">
        <f t="shared" si="75"/>
        <v>2024 ALL D75</v>
      </c>
      <c r="B547" s="8">
        <f t="shared" si="76"/>
        <v>46104</v>
      </c>
      <c r="C547" s="8">
        <f t="shared" si="78"/>
        <v>46113</v>
      </c>
      <c r="D547" s="7">
        <v>3272</v>
      </c>
      <c r="E547" s="7">
        <v>336</v>
      </c>
      <c r="F547" s="7">
        <v>4</v>
      </c>
      <c r="G547" s="7">
        <v>1</v>
      </c>
      <c r="H547" s="7">
        <v>81379</v>
      </c>
      <c r="I547" s="7" t="s">
        <v>16</v>
      </c>
      <c r="J547" s="7">
        <v>16623933</v>
      </c>
      <c r="K547" s="7" t="s">
        <v>656</v>
      </c>
      <c r="L547" s="7" t="s">
        <v>658</v>
      </c>
      <c r="M547" s="9">
        <v>149900</v>
      </c>
      <c r="N547" s="10" t="str">
        <f t="shared" si="79"/>
        <v>BXGY</v>
      </c>
      <c r="O547" s="9">
        <f t="shared" si="74"/>
        <v>37475</v>
      </c>
      <c r="P547" s="9" t="str">
        <f t="shared" si="77"/>
        <v>PERCENTAGE</v>
      </c>
    </row>
    <row r="548" spans="1:16" s="6" customFormat="1" x14ac:dyDescent="0.25">
      <c r="A548" s="7" t="str">
        <f t="shared" si="75"/>
        <v>2024 ALL D75</v>
      </c>
      <c r="B548" s="8">
        <f t="shared" si="76"/>
        <v>46104</v>
      </c>
      <c r="C548" s="8">
        <f t="shared" si="78"/>
        <v>46113</v>
      </c>
      <c r="D548" s="7">
        <v>3272</v>
      </c>
      <c r="E548" s="7">
        <v>336</v>
      </c>
      <c r="F548" s="7">
        <v>4</v>
      </c>
      <c r="G548" s="7">
        <v>1</v>
      </c>
      <c r="H548" s="7">
        <v>81379</v>
      </c>
      <c r="I548" s="7" t="s">
        <v>16</v>
      </c>
      <c r="J548" s="7">
        <v>16623942</v>
      </c>
      <c r="K548" s="7" t="s">
        <v>656</v>
      </c>
      <c r="L548" s="7" t="s">
        <v>659</v>
      </c>
      <c r="M548" s="9">
        <v>149900</v>
      </c>
      <c r="N548" s="10" t="str">
        <f t="shared" si="79"/>
        <v>BXGY</v>
      </c>
      <c r="O548" s="9">
        <f t="shared" si="74"/>
        <v>37475</v>
      </c>
      <c r="P548" s="9" t="str">
        <f t="shared" si="77"/>
        <v>PERCENTAGE</v>
      </c>
    </row>
    <row r="549" spans="1:16" s="6" customFormat="1" x14ac:dyDescent="0.25">
      <c r="A549" s="7" t="str">
        <f t="shared" si="75"/>
        <v>2024 ALL D75</v>
      </c>
      <c r="B549" s="8">
        <f t="shared" si="76"/>
        <v>46104</v>
      </c>
      <c r="C549" s="8">
        <f t="shared" si="78"/>
        <v>46113</v>
      </c>
      <c r="D549" s="7">
        <v>3272</v>
      </c>
      <c r="E549" s="7">
        <v>336</v>
      </c>
      <c r="F549" s="7">
        <v>4</v>
      </c>
      <c r="G549" s="7">
        <v>1</v>
      </c>
      <c r="H549" s="7">
        <v>81379</v>
      </c>
      <c r="I549" s="7" t="s">
        <v>16</v>
      </c>
      <c r="J549" s="7">
        <v>16623951</v>
      </c>
      <c r="K549" s="7" t="s">
        <v>656</v>
      </c>
      <c r="L549" s="7" t="s">
        <v>660</v>
      </c>
      <c r="M549" s="9">
        <v>149900</v>
      </c>
      <c r="N549" s="10" t="str">
        <f t="shared" si="79"/>
        <v>BXGY</v>
      </c>
      <c r="O549" s="9">
        <f t="shared" si="74"/>
        <v>37475</v>
      </c>
      <c r="P549" s="9" t="str">
        <f t="shared" si="77"/>
        <v>PERCENTAGE</v>
      </c>
    </row>
    <row r="550" spans="1:16" s="6" customFormat="1" x14ac:dyDescent="0.25">
      <c r="A550" s="7" t="str">
        <f t="shared" si="75"/>
        <v>2024 ALL D75</v>
      </c>
      <c r="B550" s="8">
        <f t="shared" si="76"/>
        <v>46104</v>
      </c>
      <c r="C550" s="8">
        <f t="shared" si="78"/>
        <v>46113</v>
      </c>
      <c r="D550" s="7">
        <v>3272</v>
      </c>
      <c r="E550" s="7">
        <v>336</v>
      </c>
      <c r="F550" s="7">
        <v>4</v>
      </c>
      <c r="G550" s="7">
        <v>1</v>
      </c>
      <c r="H550" s="7">
        <v>81379</v>
      </c>
      <c r="I550" s="7" t="s">
        <v>16</v>
      </c>
      <c r="J550" s="7">
        <v>16623960</v>
      </c>
      <c r="K550" s="7" t="s">
        <v>656</v>
      </c>
      <c r="L550" s="7" t="s">
        <v>661</v>
      </c>
      <c r="M550" s="9">
        <v>149900</v>
      </c>
      <c r="N550" s="10" t="str">
        <f t="shared" si="79"/>
        <v>BXGY</v>
      </c>
      <c r="O550" s="9">
        <f t="shared" si="74"/>
        <v>37475</v>
      </c>
      <c r="P550" s="9" t="str">
        <f t="shared" si="77"/>
        <v>PERCENTAGE</v>
      </c>
    </row>
    <row r="551" spans="1:16" s="6" customFormat="1" x14ac:dyDescent="0.25">
      <c r="A551" s="7" t="str">
        <f t="shared" si="75"/>
        <v>2024 ALL D75</v>
      </c>
      <c r="B551" s="8">
        <f t="shared" si="76"/>
        <v>46104</v>
      </c>
      <c r="C551" s="8">
        <f t="shared" si="78"/>
        <v>46113</v>
      </c>
      <c r="D551" s="7">
        <v>3272</v>
      </c>
      <c r="E551" s="7">
        <v>336</v>
      </c>
      <c r="F551" s="7">
        <v>4</v>
      </c>
      <c r="G551" s="7">
        <v>1</v>
      </c>
      <c r="H551" s="7">
        <v>81379</v>
      </c>
      <c r="I551" s="7" t="s">
        <v>16</v>
      </c>
      <c r="J551" s="7">
        <v>16623979</v>
      </c>
      <c r="K551" s="7" t="s">
        <v>656</v>
      </c>
      <c r="L551" s="7" t="s">
        <v>662</v>
      </c>
      <c r="M551" s="9">
        <v>149900</v>
      </c>
      <c r="N551" s="10" t="str">
        <f t="shared" si="79"/>
        <v>BXGY</v>
      </c>
      <c r="O551" s="9">
        <f t="shared" si="74"/>
        <v>37475</v>
      </c>
      <c r="P551" s="9" t="str">
        <f t="shared" si="77"/>
        <v>PERCENTAGE</v>
      </c>
    </row>
    <row r="552" spans="1:16" s="6" customFormat="1" x14ac:dyDescent="0.25">
      <c r="A552" s="7" t="str">
        <f t="shared" si="75"/>
        <v>2024 ALL D75</v>
      </c>
      <c r="B552" s="8">
        <f t="shared" si="76"/>
        <v>46104</v>
      </c>
      <c r="C552" s="8">
        <f t="shared" si="78"/>
        <v>46113</v>
      </c>
      <c r="D552" s="7">
        <v>3272</v>
      </c>
      <c r="E552" s="7">
        <v>336</v>
      </c>
      <c r="F552" s="7">
        <v>4</v>
      </c>
      <c r="G552" s="7">
        <v>1</v>
      </c>
      <c r="H552" s="7">
        <v>81379</v>
      </c>
      <c r="I552" s="7" t="s">
        <v>16</v>
      </c>
      <c r="J552" s="7">
        <v>16623988</v>
      </c>
      <c r="K552" s="7" t="s">
        <v>656</v>
      </c>
      <c r="L552" s="7" t="s">
        <v>663</v>
      </c>
      <c r="M552" s="9">
        <v>149900</v>
      </c>
      <c r="N552" s="10" t="str">
        <f t="shared" si="79"/>
        <v>BXGY</v>
      </c>
      <c r="O552" s="9">
        <f t="shared" si="74"/>
        <v>37475</v>
      </c>
      <c r="P552" s="9" t="str">
        <f t="shared" si="77"/>
        <v>PERCENTAGE</v>
      </c>
    </row>
    <row r="553" spans="1:16" s="6" customFormat="1" x14ac:dyDescent="0.25">
      <c r="A553" s="7" t="str">
        <f t="shared" si="75"/>
        <v>2024 ALL D75</v>
      </c>
      <c r="B553" s="8">
        <f t="shared" si="76"/>
        <v>46104</v>
      </c>
      <c r="C553" s="8">
        <f t="shared" si="78"/>
        <v>46113</v>
      </c>
      <c r="D553" s="7">
        <v>3272</v>
      </c>
      <c r="E553" s="7">
        <v>336</v>
      </c>
      <c r="F553" s="7">
        <v>4</v>
      </c>
      <c r="G553" s="7">
        <v>1</v>
      </c>
      <c r="H553" s="7">
        <v>81379</v>
      </c>
      <c r="I553" s="7" t="s">
        <v>16</v>
      </c>
      <c r="J553" s="7">
        <v>16623997</v>
      </c>
      <c r="K553" s="7" t="s">
        <v>656</v>
      </c>
      <c r="L553" s="7" t="s">
        <v>664</v>
      </c>
      <c r="M553" s="9">
        <v>149900</v>
      </c>
      <c r="N553" s="10" t="str">
        <f t="shared" si="79"/>
        <v>BXGY</v>
      </c>
      <c r="O553" s="9">
        <f t="shared" si="74"/>
        <v>37475</v>
      </c>
      <c r="P553" s="9" t="str">
        <f t="shared" si="77"/>
        <v>PERCENTAGE</v>
      </c>
    </row>
    <row r="554" spans="1:16" s="6" customFormat="1" x14ac:dyDescent="0.25">
      <c r="A554" s="7" t="str">
        <f t="shared" si="75"/>
        <v>2024 ALL D75</v>
      </c>
      <c r="B554" s="8">
        <f t="shared" si="76"/>
        <v>46104</v>
      </c>
      <c r="C554" s="8">
        <f t="shared" si="78"/>
        <v>46113</v>
      </c>
      <c r="D554" s="7">
        <v>3272</v>
      </c>
      <c r="E554" s="7">
        <v>336</v>
      </c>
      <c r="F554" s="7">
        <v>4</v>
      </c>
      <c r="G554" s="7">
        <v>1</v>
      </c>
      <c r="H554" s="7">
        <v>81379</v>
      </c>
      <c r="I554" s="7" t="s">
        <v>16</v>
      </c>
      <c r="J554" s="7">
        <v>16624003</v>
      </c>
      <c r="K554" s="7" t="s">
        <v>665</v>
      </c>
      <c r="L554" s="7" t="s">
        <v>666</v>
      </c>
      <c r="M554" s="9">
        <v>179900</v>
      </c>
      <c r="N554" s="10" t="str">
        <f t="shared" si="79"/>
        <v>BXGY</v>
      </c>
      <c r="O554" s="9">
        <f t="shared" si="74"/>
        <v>44975</v>
      </c>
      <c r="P554" s="9" t="str">
        <f t="shared" si="77"/>
        <v>PERCENTAGE</v>
      </c>
    </row>
    <row r="555" spans="1:16" s="6" customFormat="1" x14ac:dyDescent="0.25">
      <c r="A555" s="7" t="str">
        <f t="shared" si="75"/>
        <v>2024 ALL D75</v>
      </c>
      <c r="B555" s="8">
        <f t="shared" si="76"/>
        <v>46104</v>
      </c>
      <c r="C555" s="8">
        <f t="shared" si="78"/>
        <v>46113</v>
      </c>
      <c r="D555" s="7">
        <v>3272</v>
      </c>
      <c r="E555" s="7">
        <v>336</v>
      </c>
      <c r="F555" s="7">
        <v>4</v>
      </c>
      <c r="G555" s="7">
        <v>1</v>
      </c>
      <c r="H555" s="7">
        <v>81379</v>
      </c>
      <c r="I555" s="7" t="s">
        <v>16</v>
      </c>
      <c r="J555" s="7">
        <v>16624012</v>
      </c>
      <c r="K555" s="7" t="s">
        <v>665</v>
      </c>
      <c r="L555" s="7" t="s">
        <v>667</v>
      </c>
      <c r="M555" s="9">
        <v>179900</v>
      </c>
      <c r="N555" s="10" t="str">
        <f t="shared" si="79"/>
        <v>BXGY</v>
      </c>
      <c r="O555" s="9">
        <f t="shared" si="74"/>
        <v>44975</v>
      </c>
      <c r="P555" s="9" t="str">
        <f t="shared" si="77"/>
        <v>PERCENTAGE</v>
      </c>
    </row>
    <row r="556" spans="1:16" s="6" customFormat="1" x14ac:dyDescent="0.25">
      <c r="A556" s="7" t="str">
        <f t="shared" si="75"/>
        <v>2024 ALL D75</v>
      </c>
      <c r="B556" s="8">
        <f t="shared" si="76"/>
        <v>46104</v>
      </c>
      <c r="C556" s="8">
        <f t="shared" si="78"/>
        <v>46113</v>
      </c>
      <c r="D556" s="7">
        <v>3272</v>
      </c>
      <c r="E556" s="7">
        <v>336</v>
      </c>
      <c r="F556" s="7">
        <v>4</v>
      </c>
      <c r="G556" s="7">
        <v>1</v>
      </c>
      <c r="H556" s="7">
        <v>81379</v>
      </c>
      <c r="I556" s="7" t="s">
        <v>16</v>
      </c>
      <c r="J556" s="7">
        <v>16624021</v>
      </c>
      <c r="K556" s="7" t="s">
        <v>665</v>
      </c>
      <c r="L556" s="7" t="s">
        <v>668</v>
      </c>
      <c r="M556" s="9">
        <v>179900</v>
      </c>
      <c r="N556" s="10" t="str">
        <f t="shared" si="79"/>
        <v>BXGY</v>
      </c>
      <c r="O556" s="9">
        <f t="shared" si="74"/>
        <v>44975</v>
      </c>
      <c r="P556" s="9" t="str">
        <f t="shared" si="77"/>
        <v>PERCENTAGE</v>
      </c>
    </row>
    <row r="557" spans="1:16" s="6" customFormat="1" x14ac:dyDescent="0.25">
      <c r="A557" s="7" t="str">
        <f t="shared" si="75"/>
        <v>2024 ALL D75</v>
      </c>
      <c r="B557" s="8">
        <f t="shared" si="76"/>
        <v>46104</v>
      </c>
      <c r="C557" s="8">
        <f t="shared" si="78"/>
        <v>46113</v>
      </c>
      <c r="D557" s="7">
        <v>3272</v>
      </c>
      <c r="E557" s="7">
        <v>336</v>
      </c>
      <c r="F557" s="7">
        <v>4</v>
      </c>
      <c r="G557" s="7">
        <v>1</v>
      </c>
      <c r="H557" s="7">
        <v>81379</v>
      </c>
      <c r="I557" s="7" t="s">
        <v>16</v>
      </c>
      <c r="J557" s="7">
        <v>16624030</v>
      </c>
      <c r="K557" s="7" t="s">
        <v>665</v>
      </c>
      <c r="L557" s="7" t="s">
        <v>669</v>
      </c>
      <c r="M557" s="9">
        <v>179900</v>
      </c>
      <c r="N557" s="10" t="str">
        <f t="shared" si="79"/>
        <v>BXGY</v>
      </c>
      <c r="O557" s="9">
        <f t="shared" si="74"/>
        <v>44975</v>
      </c>
      <c r="P557" s="9" t="str">
        <f t="shared" si="77"/>
        <v>PERCENTAGE</v>
      </c>
    </row>
    <row r="558" spans="1:16" s="6" customFormat="1" x14ac:dyDescent="0.25">
      <c r="A558" s="7" t="str">
        <f t="shared" si="75"/>
        <v>2024 ALL D75</v>
      </c>
      <c r="B558" s="8">
        <f t="shared" si="76"/>
        <v>46104</v>
      </c>
      <c r="C558" s="8">
        <f t="shared" si="78"/>
        <v>46113</v>
      </c>
      <c r="D558" s="7">
        <v>3272</v>
      </c>
      <c r="E558" s="7">
        <v>336</v>
      </c>
      <c r="F558" s="7">
        <v>4</v>
      </c>
      <c r="G558" s="7">
        <v>1</v>
      </c>
      <c r="H558" s="7">
        <v>81379</v>
      </c>
      <c r="I558" s="7" t="s">
        <v>16</v>
      </c>
      <c r="J558" s="7">
        <v>16624049</v>
      </c>
      <c r="K558" s="7" t="s">
        <v>665</v>
      </c>
      <c r="L558" s="7" t="s">
        <v>670</v>
      </c>
      <c r="M558" s="9">
        <v>179900</v>
      </c>
      <c r="N558" s="10" t="str">
        <f t="shared" si="79"/>
        <v>BXGY</v>
      </c>
      <c r="O558" s="9">
        <f t="shared" si="74"/>
        <v>44975</v>
      </c>
      <c r="P558" s="9" t="str">
        <f t="shared" si="77"/>
        <v>PERCENTAGE</v>
      </c>
    </row>
    <row r="559" spans="1:16" s="6" customFormat="1" x14ac:dyDescent="0.25">
      <c r="A559" s="7" t="str">
        <f t="shared" si="75"/>
        <v>2024 ALL D75</v>
      </c>
      <c r="B559" s="8">
        <f t="shared" si="76"/>
        <v>46104</v>
      </c>
      <c r="C559" s="8">
        <f t="shared" si="78"/>
        <v>46113</v>
      </c>
      <c r="D559" s="7">
        <v>3272</v>
      </c>
      <c r="E559" s="7">
        <v>336</v>
      </c>
      <c r="F559" s="7">
        <v>4</v>
      </c>
      <c r="G559" s="7">
        <v>1</v>
      </c>
      <c r="H559" s="7">
        <v>81379</v>
      </c>
      <c r="I559" s="7" t="s">
        <v>16</v>
      </c>
      <c r="J559" s="7">
        <v>16624058</v>
      </c>
      <c r="K559" s="7" t="s">
        <v>665</v>
      </c>
      <c r="L559" s="7" t="s">
        <v>671</v>
      </c>
      <c r="M559" s="9">
        <v>179900</v>
      </c>
      <c r="N559" s="10" t="str">
        <f t="shared" si="79"/>
        <v>BXGY</v>
      </c>
      <c r="O559" s="9">
        <f t="shared" si="74"/>
        <v>44975</v>
      </c>
      <c r="P559" s="9" t="str">
        <f t="shared" si="77"/>
        <v>PERCENTAGE</v>
      </c>
    </row>
    <row r="560" spans="1:16" s="6" customFormat="1" x14ac:dyDescent="0.25">
      <c r="A560" s="7" t="str">
        <f t="shared" si="75"/>
        <v>2024 ALL D75</v>
      </c>
      <c r="B560" s="8">
        <f t="shared" si="76"/>
        <v>46104</v>
      </c>
      <c r="C560" s="8">
        <f t="shared" si="78"/>
        <v>46113</v>
      </c>
      <c r="D560" s="7">
        <v>3272</v>
      </c>
      <c r="E560" s="7">
        <v>336</v>
      </c>
      <c r="F560" s="7">
        <v>4</v>
      </c>
      <c r="G560" s="7">
        <v>1</v>
      </c>
      <c r="H560" s="7">
        <v>81379</v>
      </c>
      <c r="I560" s="7" t="s">
        <v>16</v>
      </c>
      <c r="J560" s="7">
        <v>16624129</v>
      </c>
      <c r="K560" s="7" t="s">
        <v>672</v>
      </c>
      <c r="L560" s="7" t="s">
        <v>673</v>
      </c>
      <c r="M560" s="9">
        <v>149900</v>
      </c>
      <c r="N560" s="10" t="str">
        <f t="shared" si="79"/>
        <v>BXGY</v>
      </c>
      <c r="O560" s="9">
        <f t="shared" si="74"/>
        <v>37475</v>
      </c>
      <c r="P560" s="9" t="str">
        <f t="shared" si="77"/>
        <v>PERCENTAGE</v>
      </c>
    </row>
    <row r="561" spans="1:16" s="6" customFormat="1" x14ac:dyDescent="0.25">
      <c r="A561" s="7" t="str">
        <f t="shared" si="75"/>
        <v>2024 ALL D75</v>
      </c>
      <c r="B561" s="8">
        <f t="shared" si="76"/>
        <v>46104</v>
      </c>
      <c r="C561" s="8">
        <f t="shared" si="78"/>
        <v>46113</v>
      </c>
      <c r="D561" s="7">
        <v>3272</v>
      </c>
      <c r="E561" s="7">
        <v>336</v>
      </c>
      <c r="F561" s="7">
        <v>4</v>
      </c>
      <c r="G561" s="7">
        <v>1</v>
      </c>
      <c r="H561" s="7">
        <v>81379</v>
      </c>
      <c r="I561" s="7" t="s">
        <v>16</v>
      </c>
      <c r="J561" s="7">
        <v>16624138</v>
      </c>
      <c r="K561" s="7" t="s">
        <v>672</v>
      </c>
      <c r="L561" s="7" t="s">
        <v>674</v>
      </c>
      <c r="M561" s="9">
        <v>149900</v>
      </c>
      <c r="N561" s="10" t="str">
        <f t="shared" si="79"/>
        <v>BXGY</v>
      </c>
      <c r="O561" s="9">
        <f t="shared" si="74"/>
        <v>37475</v>
      </c>
      <c r="P561" s="9" t="str">
        <f t="shared" si="77"/>
        <v>PERCENTAGE</v>
      </c>
    </row>
    <row r="562" spans="1:16" s="6" customFormat="1" x14ac:dyDescent="0.25">
      <c r="A562" s="7" t="str">
        <f t="shared" si="75"/>
        <v>2024 ALL D75</v>
      </c>
      <c r="B562" s="8">
        <f t="shared" si="76"/>
        <v>46104</v>
      </c>
      <c r="C562" s="8">
        <f t="shared" si="78"/>
        <v>46113</v>
      </c>
      <c r="D562" s="7">
        <v>3272</v>
      </c>
      <c r="E562" s="7">
        <v>336</v>
      </c>
      <c r="F562" s="7">
        <v>4</v>
      </c>
      <c r="G562" s="7">
        <v>1</v>
      </c>
      <c r="H562" s="7">
        <v>81379</v>
      </c>
      <c r="I562" s="7" t="s">
        <v>16</v>
      </c>
      <c r="J562" s="7">
        <v>16624147</v>
      </c>
      <c r="K562" s="7" t="s">
        <v>672</v>
      </c>
      <c r="L562" s="7" t="s">
        <v>675</v>
      </c>
      <c r="M562" s="9">
        <v>149900</v>
      </c>
      <c r="N562" s="10" t="str">
        <f t="shared" si="79"/>
        <v>BXGY</v>
      </c>
      <c r="O562" s="9">
        <f t="shared" si="74"/>
        <v>37475</v>
      </c>
      <c r="P562" s="9" t="str">
        <f t="shared" si="77"/>
        <v>PERCENTAGE</v>
      </c>
    </row>
    <row r="563" spans="1:16" s="6" customFormat="1" x14ac:dyDescent="0.25">
      <c r="A563" s="7" t="str">
        <f t="shared" si="75"/>
        <v>2024 ALL D75</v>
      </c>
      <c r="B563" s="8">
        <f t="shared" si="76"/>
        <v>46104</v>
      </c>
      <c r="C563" s="8">
        <f t="shared" si="78"/>
        <v>46113</v>
      </c>
      <c r="D563" s="7">
        <v>3272</v>
      </c>
      <c r="E563" s="7">
        <v>336</v>
      </c>
      <c r="F563" s="7">
        <v>4</v>
      </c>
      <c r="G563" s="7">
        <v>1</v>
      </c>
      <c r="H563" s="7">
        <v>81379</v>
      </c>
      <c r="I563" s="7" t="s">
        <v>16</v>
      </c>
      <c r="J563" s="7">
        <v>16624156</v>
      </c>
      <c r="K563" s="7" t="s">
        <v>672</v>
      </c>
      <c r="L563" s="7" t="s">
        <v>676</v>
      </c>
      <c r="M563" s="9">
        <v>149900</v>
      </c>
      <c r="N563" s="10" t="str">
        <f t="shared" si="79"/>
        <v>BXGY</v>
      </c>
      <c r="O563" s="9">
        <f t="shared" si="74"/>
        <v>37475</v>
      </c>
      <c r="P563" s="9" t="str">
        <f t="shared" si="77"/>
        <v>PERCENTAGE</v>
      </c>
    </row>
    <row r="564" spans="1:16" s="6" customFormat="1" x14ac:dyDescent="0.25">
      <c r="A564" s="7" t="str">
        <f t="shared" si="75"/>
        <v>2024 ALL D75</v>
      </c>
      <c r="B564" s="8">
        <f t="shared" si="76"/>
        <v>46104</v>
      </c>
      <c r="C564" s="8">
        <f t="shared" ref="C564:C595" si="80">C563</f>
        <v>46113</v>
      </c>
      <c r="D564" s="7">
        <v>3272</v>
      </c>
      <c r="E564" s="7">
        <v>336</v>
      </c>
      <c r="F564" s="7">
        <v>4</v>
      </c>
      <c r="G564" s="7">
        <v>1</v>
      </c>
      <c r="H564" s="7">
        <v>81379</v>
      </c>
      <c r="I564" s="7" t="s">
        <v>16</v>
      </c>
      <c r="J564" s="7">
        <v>16624165</v>
      </c>
      <c r="K564" s="7" t="s">
        <v>672</v>
      </c>
      <c r="L564" s="7" t="s">
        <v>677</v>
      </c>
      <c r="M564" s="9">
        <v>149900</v>
      </c>
      <c r="N564" s="10" t="str">
        <f t="shared" ref="N564:N595" si="81">N563</f>
        <v>BXGY</v>
      </c>
      <c r="O564" s="9">
        <f t="shared" si="74"/>
        <v>37475</v>
      </c>
      <c r="P564" s="9" t="str">
        <f t="shared" si="77"/>
        <v>PERCENTAGE</v>
      </c>
    </row>
    <row r="565" spans="1:16" s="6" customFormat="1" x14ac:dyDescent="0.25">
      <c r="A565" s="7" t="str">
        <f t="shared" si="75"/>
        <v>2024 ALL D75</v>
      </c>
      <c r="B565" s="8">
        <f t="shared" si="76"/>
        <v>46104</v>
      </c>
      <c r="C565" s="8">
        <f t="shared" si="80"/>
        <v>46113</v>
      </c>
      <c r="D565" s="7">
        <v>3272</v>
      </c>
      <c r="E565" s="7">
        <v>336</v>
      </c>
      <c r="F565" s="7">
        <v>4</v>
      </c>
      <c r="G565" s="7">
        <v>1</v>
      </c>
      <c r="H565" s="7">
        <v>81379</v>
      </c>
      <c r="I565" s="7" t="s">
        <v>16</v>
      </c>
      <c r="J565" s="7">
        <v>16624174</v>
      </c>
      <c r="K565" s="7" t="s">
        <v>672</v>
      </c>
      <c r="L565" s="7" t="s">
        <v>678</v>
      </c>
      <c r="M565" s="9">
        <v>149900</v>
      </c>
      <c r="N565" s="10" t="str">
        <f t="shared" si="81"/>
        <v>BXGY</v>
      </c>
      <c r="O565" s="9">
        <f t="shared" si="74"/>
        <v>37475</v>
      </c>
      <c r="P565" s="9" t="str">
        <f t="shared" si="77"/>
        <v>PERCENTAGE</v>
      </c>
    </row>
    <row r="566" spans="1:16" s="6" customFormat="1" x14ac:dyDescent="0.25">
      <c r="A566" s="7" t="str">
        <f t="shared" si="75"/>
        <v>2024 ALL D75</v>
      </c>
      <c r="B566" s="8">
        <f t="shared" si="76"/>
        <v>46104</v>
      </c>
      <c r="C566" s="8">
        <f t="shared" si="80"/>
        <v>46113</v>
      </c>
      <c r="D566" s="7">
        <v>3272</v>
      </c>
      <c r="E566" s="7">
        <v>336</v>
      </c>
      <c r="F566" s="7">
        <v>4</v>
      </c>
      <c r="G566" s="7">
        <v>1</v>
      </c>
      <c r="H566" s="7">
        <v>81379</v>
      </c>
      <c r="I566" s="7" t="s">
        <v>16</v>
      </c>
      <c r="J566" s="7">
        <v>16624183</v>
      </c>
      <c r="K566" s="7" t="s">
        <v>672</v>
      </c>
      <c r="L566" s="7" t="s">
        <v>679</v>
      </c>
      <c r="M566" s="9">
        <v>149900</v>
      </c>
      <c r="N566" s="10" t="str">
        <f t="shared" si="81"/>
        <v>BXGY</v>
      </c>
      <c r="O566" s="9">
        <f t="shared" si="74"/>
        <v>37475</v>
      </c>
      <c r="P566" s="9" t="str">
        <f t="shared" si="77"/>
        <v>PERCENTAGE</v>
      </c>
    </row>
    <row r="567" spans="1:16" s="6" customFormat="1" x14ac:dyDescent="0.25">
      <c r="A567" s="7" t="str">
        <f t="shared" si="75"/>
        <v>2024 ALL D75</v>
      </c>
      <c r="B567" s="8">
        <f t="shared" si="76"/>
        <v>46104</v>
      </c>
      <c r="C567" s="8">
        <f t="shared" si="80"/>
        <v>46113</v>
      </c>
      <c r="D567" s="7">
        <v>3272</v>
      </c>
      <c r="E567" s="7">
        <v>336</v>
      </c>
      <c r="F567" s="7">
        <v>4</v>
      </c>
      <c r="G567" s="7">
        <v>1</v>
      </c>
      <c r="H567" s="7">
        <v>81379</v>
      </c>
      <c r="I567" s="7" t="s">
        <v>16</v>
      </c>
      <c r="J567" s="7">
        <v>16624192</v>
      </c>
      <c r="K567" s="7" t="s">
        <v>672</v>
      </c>
      <c r="L567" s="7" t="s">
        <v>680</v>
      </c>
      <c r="M567" s="9">
        <v>149900</v>
      </c>
      <c r="N567" s="10" t="str">
        <f t="shared" si="81"/>
        <v>BXGY</v>
      </c>
      <c r="O567" s="9">
        <f t="shared" si="74"/>
        <v>37475</v>
      </c>
      <c r="P567" s="9" t="str">
        <f t="shared" si="77"/>
        <v>PERCENTAGE</v>
      </c>
    </row>
    <row r="568" spans="1:16" s="6" customFormat="1" x14ac:dyDescent="0.25">
      <c r="A568" s="7" t="str">
        <f t="shared" si="75"/>
        <v>2024 ALL D75</v>
      </c>
      <c r="B568" s="8">
        <f t="shared" si="76"/>
        <v>46104</v>
      </c>
      <c r="C568" s="8">
        <f t="shared" si="80"/>
        <v>46113</v>
      </c>
      <c r="D568" s="7">
        <v>3272</v>
      </c>
      <c r="E568" s="7">
        <v>336</v>
      </c>
      <c r="F568" s="7">
        <v>4</v>
      </c>
      <c r="G568" s="7">
        <v>1</v>
      </c>
      <c r="H568" s="7">
        <v>81379</v>
      </c>
      <c r="I568" s="7" t="s">
        <v>16</v>
      </c>
      <c r="J568" s="7">
        <v>18756439</v>
      </c>
      <c r="K568" s="7" t="s">
        <v>681</v>
      </c>
      <c r="L568" s="7" t="s">
        <v>682</v>
      </c>
      <c r="M568" s="9">
        <v>139900</v>
      </c>
      <c r="N568" s="10" t="str">
        <f t="shared" si="81"/>
        <v>BXGY</v>
      </c>
      <c r="O568" s="9">
        <f t="shared" si="74"/>
        <v>34975</v>
      </c>
      <c r="P568" s="9" t="str">
        <f t="shared" si="77"/>
        <v>PERCENTAGE</v>
      </c>
    </row>
    <row r="569" spans="1:16" s="6" customFormat="1" x14ac:dyDescent="0.25">
      <c r="A569" s="7" t="str">
        <f t="shared" si="75"/>
        <v>2024 ALL D75</v>
      </c>
      <c r="B569" s="8">
        <f t="shared" si="76"/>
        <v>46104</v>
      </c>
      <c r="C569" s="8">
        <f t="shared" si="80"/>
        <v>46113</v>
      </c>
      <c r="D569" s="7">
        <v>3272</v>
      </c>
      <c r="E569" s="7">
        <v>336</v>
      </c>
      <c r="F569" s="7">
        <v>4</v>
      </c>
      <c r="G569" s="7">
        <v>1</v>
      </c>
      <c r="H569" s="7">
        <v>81379</v>
      </c>
      <c r="I569" s="7" t="s">
        <v>16</v>
      </c>
      <c r="J569" s="7">
        <v>18756448</v>
      </c>
      <c r="K569" s="7" t="s">
        <v>681</v>
      </c>
      <c r="L569" s="7" t="s">
        <v>683</v>
      </c>
      <c r="M569" s="9">
        <v>139900</v>
      </c>
      <c r="N569" s="10" t="str">
        <f t="shared" si="81"/>
        <v>BXGY</v>
      </c>
      <c r="O569" s="9">
        <f t="shared" si="74"/>
        <v>34975</v>
      </c>
      <c r="P569" s="9" t="str">
        <f t="shared" si="77"/>
        <v>PERCENTAGE</v>
      </c>
    </row>
    <row r="570" spans="1:16" s="6" customFormat="1" x14ac:dyDescent="0.25">
      <c r="A570" s="7" t="str">
        <f t="shared" si="75"/>
        <v>2024 ALL D75</v>
      </c>
      <c r="B570" s="8">
        <f t="shared" si="76"/>
        <v>46104</v>
      </c>
      <c r="C570" s="8">
        <f t="shared" si="80"/>
        <v>46113</v>
      </c>
      <c r="D570" s="7">
        <v>3272</v>
      </c>
      <c r="E570" s="7">
        <v>336</v>
      </c>
      <c r="F570" s="7">
        <v>4</v>
      </c>
      <c r="G570" s="7">
        <v>1</v>
      </c>
      <c r="H570" s="7">
        <v>81379</v>
      </c>
      <c r="I570" s="7" t="s">
        <v>16</v>
      </c>
      <c r="J570" s="7">
        <v>18756457</v>
      </c>
      <c r="K570" s="7" t="s">
        <v>681</v>
      </c>
      <c r="L570" s="7" t="s">
        <v>684</v>
      </c>
      <c r="M570" s="9">
        <v>139900</v>
      </c>
      <c r="N570" s="10" t="str">
        <f t="shared" si="81"/>
        <v>BXGY</v>
      </c>
      <c r="O570" s="9">
        <f t="shared" si="74"/>
        <v>34975</v>
      </c>
      <c r="P570" s="9" t="str">
        <f t="shared" si="77"/>
        <v>PERCENTAGE</v>
      </c>
    </row>
    <row r="571" spans="1:16" s="6" customFormat="1" x14ac:dyDescent="0.25">
      <c r="A571" s="7" t="str">
        <f t="shared" si="75"/>
        <v>2024 ALL D75</v>
      </c>
      <c r="B571" s="8">
        <f t="shared" si="76"/>
        <v>46104</v>
      </c>
      <c r="C571" s="8">
        <f t="shared" si="80"/>
        <v>46113</v>
      </c>
      <c r="D571" s="7">
        <v>3272</v>
      </c>
      <c r="E571" s="7">
        <v>336</v>
      </c>
      <c r="F571" s="7">
        <v>4</v>
      </c>
      <c r="G571" s="7">
        <v>1</v>
      </c>
      <c r="H571" s="7">
        <v>81379</v>
      </c>
      <c r="I571" s="7" t="s">
        <v>16</v>
      </c>
      <c r="J571" s="7">
        <v>18756466</v>
      </c>
      <c r="K571" s="7" t="s">
        <v>681</v>
      </c>
      <c r="L571" s="7" t="s">
        <v>685</v>
      </c>
      <c r="M571" s="9">
        <v>139900</v>
      </c>
      <c r="N571" s="10" t="str">
        <f t="shared" si="81"/>
        <v>BXGY</v>
      </c>
      <c r="O571" s="9">
        <f t="shared" si="74"/>
        <v>34975</v>
      </c>
      <c r="P571" s="9" t="str">
        <f t="shared" si="77"/>
        <v>PERCENTAGE</v>
      </c>
    </row>
    <row r="572" spans="1:16" s="6" customFormat="1" x14ac:dyDescent="0.25">
      <c r="A572" s="7" t="str">
        <f t="shared" si="75"/>
        <v>2024 ALL D75</v>
      </c>
      <c r="B572" s="8">
        <f t="shared" si="76"/>
        <v>46104</v>
      </c>
      <c r="C572" s="8">
        <f t="shared" si="80"/>
        <v>46113</v>
      </c>
      <c r="D572" s="7">
        <v>3272</v>
      </c>
      <c r="E572" s="7">
        <v>336</v>
      </c>
      <c r="F572" s="7">
        <v>4</v>
      </c>
      <c r="G572" s="7">
        <v>1</v>
      </c>
      <c r="H572" s="7">
        <v>81379</v>
      </c>
      <c r="I572" s="7" t="s">
        <v>16</v>
      </c>
      <c r="J572" s="7">
        <v>18756475</v>
      </c>
      <c r="K572" s="7" t="s">
        <v>681</v>
      </c>
      <c r="L572" s="7" t="s">
        <v>686</v>
      </c>
      <c r="M572" s="9">
        <v>139900</v>
      </c>
      <c r="N572" s="10" t="str">
        <f t="shared" si="81"/>
        <v>BXGY</v>
      </c>
      <c r="O572" s="9">
        <f t="shared" si="74"/>
        <v>34975</v>
      </c>
      <c r="P572" s="9" t="str">
        <f t="shared" si="77"/>
        <v>PERCENTAGE</v>
      </c>
    </row>
    <row r="573" spans="1:16" s="6" customFormat="1" x14ac:dyDescent="0.25">
      <c r="A573" s="7" t="str">
        <f t="shared" si="75"/>
        <v>2024 ALL D75</v>
      </c>
      <c r="B573" s="8">
        <f t="shared" si="76"/>
        <v>46104</v>
      </c>
      <c r="C573" s="8">
        <f t="shared" si="80"/>
        <v>46113</v>
      </c>
      <c r="D573" s="7">
        <v>3272</v>
      </c>
      <c r="E573" s="7">
        <v>336</v>
      </c>
      <c r="F573" s="7">
        <v>4</v>
      </c>
      <c r="G573" s="7">
        <v>1</v>
      </c>
      <c r="H573" s="7">
        <v>81379</v>
      </c>
      <c r="I573" s="7" t="s">
        <v>16</v>
      </c>
      <c r="J573" s="7">
        <v>18756484</v>
      </c>
      <c r="K573" s="7" t="s">
        <v>681</v>
      </c>
      <c r="L573" s="7" t="s">
        <v>687</v>
      </c>
      <c r="M573" s="9">
        <v>139900</v>
      </c>
      <c r="N573" s="10" t="str">
        <f t="shared" si="81"/>
        <v>BXGY</v>
      </c>
      <c r="O573" s="9">
        <f t="shared" si="74"/>
        <v>34975</v>
      </c>
      <c r="P573" s="9" t="str">
        <f t="shared" si="77"/>
        <v>PERCENTAGE</v>
      </c>
    </row>
    <row r="574" spans="1:16" s="6" customFormat="1" x14ac:dyDescent="0.25">
      <c r="A574" s="7" t="str">
        <f t="shared" si="75"/>
        <v>2024 ALL D75</v>
      </c>
      <c r="B574" s="8">
        <f t="shared" si="76"/>
        <v>46104</v>
      </c>
      <c r="C574" s="8">
        <f t="shared" si="80"/>
        <v>46113</v>
      </c>
      <c r="D574" s="7">
        <v>3272</v>
      </c>
      <c r="E574" s="7">
        <v>336</v>
      </c>
      <c r="F574" s="7">
        <v>4</v>
      </c>
      <c r="G574" s="7">
        <v>1</v>
      </c>
      <c r="H574" s="7">
        <v>81379</v>
      </c>
      <c r="I574" s="7" t="s">
        <v>16</v>
      </c>
      <c r="J574" s="7">
        <v>18756493</v>
      </c>
      <c r="K574" s="7" t="s">
        <v>681</v>
      </c>
      <c r="L574" s="7" t="s">
        <v>688</v>
      </c>
      <c r="M574" s="9">
        <v>139900</v>
      </c>
      <c r="N574" s="10" t="str">
        <f t="shared" si="81"/>
        <v>BXGY</v>
      </c>
      <c r="O574" s="9">
        <f t="shared" si="74"/>
        <v>34975</v>
      </c>
      <c r="P574" s="9" t="str">
        <f t="shared" si="77"/>
        <v>PERCENTAGE</v>
      </c>
    </row>
    <row r="575" spans="1:16" s="6" customFormat="1" x14ac:dyDescent="0.25">
      <c r="A575" s="7" t="str">
        <f t="shared" si="75"/>
        <v>2024 ALL D75</v>
      </c>
      <c r="B575" s="8">
        <f t="shared" si="76"/>
        <v>46104</v>
      </c>
      <c r="C575" s="8">
        <f t="shared" si="80"/>
        <v>46113</v>
      </c>
      <c r="D575" s="7">
        <v>3272</v>
      </c>
      <c r="E575" s="7">
        <v>336</v>
      </c>
      <c r="F575" s="7">
        <v>4</v>
      </c>
      <c r="G575" s="7">
        <v>1</v>
      </c>
      <c r="H575" s="7">
        <v>81379</v>
      </c>
      <c r="I575" s="7" t="s">
        <v>16</v>
      </c>
      <c r="J575" s="7">
        <v>18756500</v>
      </c>
      <c r="K575" s="7" t="s">
        <v>681</v>
      </c>
      <c r="L575" s="7" t="s">
        <v>689</v>
      </c>
      <c r="M575" s="9">
        <v>139900</v>
      </c>
      <c r="N575" s="10" t="str">
        <f t="shared" si="81"/>
        <v>BXGY</v>
      </c>
      <c r="O575" s="9">
        <f t="shared" si="74"/>
        <v>34975</v>
      </c>
      <c r="P575" s="9" t="str">
        <f t="shared" si="77"/>
        <v>PERCENTAGE</v>
      </c>
    </row>
    <row r="576" spans="1:16" s="6" customFormat="1" x14ac:dyDescent="0.25">
      <c r="A576" s="7" t="str">
        <f t="shared" si="75"/>
        <v>2024 ALL D75</v>
      </c>
      <c r="B576" s="8">
        <f t="shared" si="76"/>
        <v>46104</v>
      </c>
      <c r="C576" s="8">
        <f t="shared" si="80"/>
        <v>46113</v>
      </c>
      <c r="D576" s="7">
        <v>3272</v>
      </c>
      <c r="E576" s="7">
        <v>336</v>
      </c>
      <c r="F576" s="7">
        <v>4</v>
      </c>
      <c r="G576" s="7">
        <v>4</v>
      </c>
      <c r="H576" s="7">
        <v>81379</v>
      </c>
      <c r="I576" s="7" t="s">
        <v>16</v>
      </c>
      <c r="J576" s="7">
        <v>16624281</v>
      </c>
      <c r="K576" s="7" t="s">
        <v>690</v>
      </c>
      <c r="L576" s="7" t="s">
        <v>691</v>
      </c>
      <c r="M576" s="9">
        <v>169900</v>
      </c>
      <c r="N576" s="10" t="str">
        <f t="shared" si="81"/>
        <v>BXGY</v>
      </c>
      <c r="O576" s="9">
        <f t="shared" si="74"/>
        <v>42475</v>
      </c>
      <c r="P576" s="9" t="str">
        <f t="shared" si="77"/>
        <v>PERCENTAGE</v>
      </c>
    </row>
    <row r="577" spans="1:16" s="6" customFormat="1" x14ac:dyDescent="0.25">
      <c r="A577" s="7" t="str">
        <f t="shared" si="75"/>
        <v>2024 ALL D75</v>
      </c>
      <c r="B577" s="8">
        <f t="shared" si="76"/>
        <v>46104</v>
      </c>
      <c r="C577" s="8">
        <f t="shared" si="80"/>
        <v>46113</v>
      </c>
      <c r="D577" s="7">
        <v>3272</v>
      </c>
      <c r="E577" s="7">
        <v>336</v>
      </c>
      <c r="F577" s="7">
        <v>4</v>
      </c>
      <c r="G577" s="7">
        <v>4</v>
      </c>
      <c r="H577" s="7">
        <v>81379</v>
      </c>
      <c r="I577" s="7" t="s">
        <v>16</v>
      </c>
      <c r="J577" s="7">
        <v>16624290</v>
      </c>
      <c r="K577" s="7" t="s">
        <v>690</v>
      </c>
      <c r="L577" s="7" t="s">
        <v>692</v>
      </c>
      <c r="M577" s="9">
        <v>169900</v>
      </c>
      <c r="N577" s="10" t="str">
        <f t="shared" si="81"/>
        <v>BXGY</v>
      </c>
      <c r="O577" s="9">
        <f t="shared" si="74"/>
        <v>42475</v>
      </c>
      <c r="P577" s="9" t="str">
        <f t="shared" si="77"/>
        <v>PERCENTAGE</v>
      </c>
    </row>
    <row r="578" spans="1:16" s="6" customFormat="1" x14ac:dyDescent="0.25">
      <c r="A578" s="7" t="str">
        <f t="shared" si="75"/>
        <v>2024 ALL D75</v>
      </c>
      <c r="B578" s="8">
        <f t="shared" si="76"/>
        <v>46104</v>
      </c>
      <c r="C578" s="8">
        <f t="shared" si="80"/>
        <v>46113</v>
      </c>
      <c r="D578" s="7">
        <v>3272</v>
      </c>
      <c r="E578" s="7">
        <v>336</v>
      </c>
      <c r="F578" s="7">
        <v>4</v>
      </c>
      <c r="G578" s="7">
        <v>4</v>
      </c>
      <c r="H578" s="7">
        <v>81379</v>
      </c>
      <c r="I578" s="7" t="s">
        <v>16</v>
      </c>
      <c r="J578" s="7">
        <v>16624307</v>
      </c>
      <c r="K578" s="7" t="s">
        <v>690</v>
      </c>
      <c r="L578" s="7" t="s">
        <v>693</v>
      </c>
      <c r="M578" s="9">
        <v>169900</v>
      </c>
      <c r="N578" s="10" t="str">
        <f t="shared" si="81"/>
        <v>BXGY</v>
      </c>
      <c r="O578" s="9">
        <f t="shared" si="74"/>
        <v>42475</v>
      </c>
      <c r="P578" s="9" t="str">
        <f t="shared" si="77"/>
        <v>PERCENTAGE</v>
      </c>
    </row>
    <row r="579" spans="1:16" s="6" customFormat="1" x14ac:dyDescent="0.25">
      <c r="A579" s="7" t="str">
        <f t="shared" si="75"/>
        <v>2024 ALL D75</v>
      </c>
      <c r="B579" s="8">
        <f t="shared" si="76"/>
        <v>46104</v>
      </c>
      <c r="C579" s="8">
        <f t="shared" si="80"/>
        <v>46113</v>
      </c>
      <c r="D579" s="7">
        <v>3272</v>
      </c>
      <c r="E579" s="7">
        <v>336</v>
      </c>
      <c r="F579" s="7">
        <v>4</v>
      </c>
      <c r="G579" s="7">
        <v>4</v>
      </c>
      <c r="H579" s="7">
        <v>81379</v>
      </c>
      <c r="I579" s="7" t="s">
        <v>16</v>
      </c>
      <c r="J579" s="7">
        <v>16624316</v>
      </c>
      <c r="K579" s="7" t="s">
        <v>690</v>
      </c>
      <c r="L579" s="7" t="s">
        <v>694</v>
      </c>
      <c r="M579" s="9">
        <v>169900</v>
      </c>
      <c r="N579" s="10" t="str">
        <f t="shared" si="81"/>
        <v>BXGY</v>
      </c>
      <c r="O579" s="9">
        <f t="shared" ref="O579:O642" si="82">M579-((75*M579))/100</f>
        <v>42475</v>
      </c>
      <c r="P579" s="9" t="str">
        <f t="shared" si="77"/>
        <v>PERCENTAGE</v>
      </c>
    </row>
    <row r="580" spans="1:16" s="6" customFormat="1" x14ac:dyDescent="0.25">
      <c r="A580" s="7" t="str">
        <f t="shared" ref="A580:A643" si="83">A579</f>
        <v>2024 ALL D75</v>
      </c>
      <c r="B580" s="8">
        <f t="shared" ref="B580:B643" si="84">B579</f>
        <v>46104</v>
      </c>
      <c r="C580" s="8">
        <f t="shared" si="80"/>
        <v>46113</v>
      </c>
      <c r="D580" s="7">
        <v>3272</v>
      </c>
      <c r="E580" s="7">
        <v>336</v>
      </c>
      <c r="F580" s="7">
        <v>4</v>
      </c>
      <c r="G580" s="7">
        <v>4</v>
      </c>
      <c r="H580" s="7">
        <v>81379</v>
      </c>
      <c r="I580" s="7" t="s">
        <v>16</v>
      </c>
      <c r="J580" s="7">
        <v>16624325</v>
      </c>
      <c r="K580" s="7" t="s">
        <v>690</v>
      </c>
      <c r="L580" s="7" t="s">
        <v>695</v>
      </c>
      <c r="M580" s="9">
        <v>169900</v>
      </c>
      <c r="N580" s="10" t="str">
        <f t="shared" si="81"/>
        <v>BXGY</v>
      </c>
      <c r="O580" s="9">
        <f t="shared" si="82"/>
        <v>42475</v>
      </c>
      <c r="P580" s="9" t="str">
        <f t="shared" ref="P580:P643" si="85">P579</f>
        <v>PERCENTAGE</v>
      </c>
    </row>
    <row r="581" spans="1:16" s="6" customFormat="1" x14ac:dyDescent="0.25">
      <c r="A581" s="7" t="str">
        <f t="shared" si="83"/>
        <v>2024 ALL D75</v>
      </c>
      <c r="B581" s="8">
        <f t="shared" si="84"/>
        <v>46104</v>
      </c>
      <c r="C581" s="8">
        <f t="shared" si="80"/>
        <v>46113</v>
      </c>
      <c r="D581" s="7">
        <v>3272</v>
      </c>
      <c r="E581" s="7">
        <v>336</v>
      </c>
      <c r="F581" s="7">
        <v>4</v>
      </c>
      <c r="G581" s="7">
        <v>4</v>
      </c>
      <c r="H581" s="7">
        <v>81379</v>
      </c>
      <c r="I581" s="7" t="s">
        <v>16</v>
      </c>
      <c r="J581" s="7">
        <v>16624334</v>
      </c>
      <c r="K581" s="7" t="s">
        <v>690</v>
      </c>
      <c r="L581" s="7" t="s">
        <v>696</v>
      </c>
      <c r="M581" s="9">
        <v>169900</v>
      </c>
      <c r="N581" s="10" t="str">
        <f t="shared" si="81"/>
        <v>BXGY</v>
      </c>
      <c r="O581" s="9">
        <f t="shared" si="82"/>
        <v>42475</v>
      </c>
      <c r="P581" s="9" t="str">
        <f t="shared" si="85"/>
        <v>PERCENTAGE</v>
      </c>
    </row>
    <row r="582" spans="1:16" s="6" customFormat="1" x14ac:dyDescent="0.25">
      <c r="A582" s="7" t="str">
        <f t="shared" si="83"/>
        <v>2024 ALL D75</v>
      </c>
      <c r="B582" s="8">
        <f t="shared" si="84"/>
        <v>46104</v>
      </c>
      <c r="C582" s="8">
        <f t="shared" si="80"/>
        <v>46113</v>
      </c>
      <c r="D582" s="7">
        <v>3272</v>
      </c>
      <c r="E582" s="7">
        <v>336</v>
      </c>
      <c r="F582" s="7">
        <v>4</v>
      </c>
      <c r="G582" s="7">
        <v>1</v>
      </c>
      <c r="H582" s="7">
        <v>81676</v>
      </c>
      <c r="I582" s="7" t="s">
        <v>16</v>
      </c>
      <c r="J582" s="7">
        <v>15499375</v>
      </c>
      <c r="K582" s="7" t="s">
        <v>697</v>
      </c>
      <c r="L582" s="7" t="s">
        <v>698</v>
      </c>
      <c r="M582" s="9">
        <v>129900</v>
      </c>
      <c r="N582" s="10" t="str">
        <f t="shared" si="81"/>
        <v>BXGY</v>
      </c>
      <c r="O582" s="9">
        <f t="shared" si="82"/>
        <v>32475</v>
      </c>
      <c r="P582" s="9" t="str">
        <f t="shared" si="85"/>
        <v>PERCENTAGE</v>
      </c>
    </row>
    <row r="583" spans="1:16" s="6" customFormat="1" x14ac:dyDescent="0.25">
      <c r="A583" s="7" t="str">
        <f t="shared" si="83"/>
        <v>2024 ALL D75</v>
      </c>
      <c r="B583" s="8">
        <f t="shared" si="84"/>
        <v>46104</v>
      </c>
      <c r="C583" s="8">
        <f t="shared" si="80"/>
        <v>46113</v>
      </c>
      <c r="D583" s="7">
        <v>3272</v>
      </c>
      <c r="E583" s="7">
        <v>336</v>
      </c>
      <c r="F583" s="7">
        <v>4</v>
      </c>
      <c r="G583" s="7">
        <v>1</v>
      </c>
      <c r="H583" s="7">
        <v>81676</v>
      </c>
      <c r="I583" s="7" t="s">
        <v>16</v>
      </c>
      <c r="J583" s="7">
        <v>15499384</v>
      </c>
      <c r="K583" s="7" t="s">
        <v>697</v>
      </c>
      <c r="L583" s="7" t="s">
        <v>699</v>
      </c>
      <c r="M583" s="9">
        <v>129900</v>
      </c>
      <c r="N583" s="10" t="str">
        <f t="shared" si="81"/>
        <v>BXGY</v>
      </c>
      <c r="O583" s="9">
        <f t="shared" si="82"/>
        <v>32475</v>
      </c>
      <c r="P583" s="9" t="str">
        <f t="shared" si="85"/>
        <v>PERCENTAGE</v>
      </c>
    </row>
    <row r="584" spans="1:16" s="6" customFormat="1" x14ac:dyDescent="0.25">
      <c r="A584" s="7" t="str">
        <f t="shared" si="83"/>
        <v>2024 ALL D75</v>
      </c>
      <c r="B584" s="8">
        <f t="shared" si="84"/>
        <v>46104</v>
      </c>
      <c r="C584" s="8">
        <f t="shared" si="80"/>
        <v>46113</v>
      </c>
      <c r="D584" s="7">
        <v>3272</v>
      </c>
      <c r="E584" s="7">
        <v>336</v>
      </c>
      <c r="F584" s="7">
        <v>4</v>
      </c>
      <c r="G584" s="7">
        <v>1</v>
      </c>
      <c r="H584" s="7">
        <v>81676</v>
      </c>
      <c r="I584" s="7" t="s">
        <v>16</v>
      </c>
      <c r="J584" s="7">
        <v>15499393</v>
      </c>
      <c r="K584" s="7" t="s">
        <v>697</v>
      </c>
      <c r="L584" s="7" t="s">
        <v>700</v>
      </c>
      <c r="M584" s="9">
        <v>129900</v>
      </c>
      <c r="N584" s="10" t="str">
        <f t="shared" si="81"/>
        <v>BXGY</v>
      </c>
      <c r="O584" s="9">
        <f t="shared" si="82"/>
        <v>32475</v>
      </c>
      <c r="P584" s="9" t="str">
        <f t="shared" si="85"/>
        <v>PERCENTAGE</v>
      </c>
    </row>
    <row r="585" spans="1:16" s="6" customFormat="1" x14ac:dyDescent="0.25">
      <c r="A585" s="7" t="str">
        <f t="shared" si="83"/>
        <v>2024 ALL D75</v>
      </c>
      <c r="B585" s="8">
        <f t="shared" si="84"/>
        <v>46104</v>
      </c>
      <c r="C585" s="8">
        <f t="shared" si="80"/>
        <v>46113</v>
      </c>
      <c r="D585" s="7">
        <v>3272</v>
      </c>
      <c r="E585" s="7">
        <v>336</v>
      </c>
      <c r="F585" s="7">
        <v>4</v>
      </c>
      <c r="G585" s="7">
        <v>1</v>
      </c>
      <c r="H585" s="7">
        <v>81676</v>
      </c>
      <c r="I585" s="7" t="s">
        <v>16</v>
      </c>
      <c r="J585" s="7">
        <v>15499400</v>
      </c>
      <c r="K585" s="7" t="s">
        <v>697</v>
      </c>
      <c r="L585" s="7" t="s">
        <v>701</v>
      </c>
      <c r="M585" s="9">
        <v>129900</v>
      </c>
      <c r="N585" s="10" t="str">
        <f t="shared" si="81"/>
        <v>BXGY</v>
      </c>
      <c r="O585" s="9">
        <f t="shared" si="82"/>
        <v>32475</v>
      </c>
      <c r="P585" s="9" t="str">
        <f t="shared" si="85"/>
        <v>PERCENTAGE</v>
      </c>
    </row>
    <row r="586" spans="1:16" s="6" customFormat="1" x14ac:dyDescent="0.25">
      <c r="A586" s="7" t="str">
        <f t="shared" si="83"/>
        <v>2024 ALL D75</v>
      </c>
      <c r="B586" s="8">
        <f t="shared" si="84"/>
        <v>46104</v>
      </c>
      <c r="C586" s="8">
        <f t="shared" si="80"/>
        <v>46113</v>
      </c>
      <c r="D586" s="7">
        <v>3272</v>
      </c>
      <c r="E586" s="7">
        <v>336</v>
      </c>
      <c r="F586" s="7">
        <v>4</v>
      </c>
      <c r="G586" s="7">
        <v>1</v>
      </c>
      <c r="H586" s="7">
        <v>81676</v>
      </c>
      <c r="I586" s="7" t="s">
        <v>16</v>
      </c>
      <c r="J586" s="7">
        <v>15499419</v>
      </c>
      <c r="K586" s="7" t="s">
        <v>697</v>
      </c>
      <c r="L586" s="7" t="s">
        <v>702</v>
      </c>
      <c r="M586" s="9">
        <v>129900</v>
      </c>
      <c r="N586" s="10" t="str">
        <f t="shared" si="81"/>
        <v>BXGY</v>
      </c>
      <c r="O586" s="9">
        <f t="shared" si="82"/>
        <v>32475</v>
      </c>
      <c r="P586" s="9" t="str">
        <f t="shared" si="85"/>
        <v>PERCENTAGE</v>
      </c>
    </row>
    <row r="587" spans="1:16" s="6" customFormat="1" x14ac:dyDescent="0.25">
      <c r="A587" s="7" t="str">
        <f t="shared" si="83"/>
        <v>2024 ALL D75</v>
      </c>
      <c r="B587" s="8">
        <f t="shared" si="84"/>
        <v>46104</v>
      </c>
      <c r="C587" s="8">
        <f t="shared" si="80"/>
        <v>46113</v>
      </c>
      <c r="D587" s="7">
        <v>3272</v>
      </c>
      <c r="E587" s="7">
        <v>336</v>
      </c>
      <c r="F587" s="7">
        <v>4</v>
      </c>
      <c r="G587" s="7">
        <v>1</v>
      </c>
      <c r="H587" s="7">
        <v>81588</v>
      </c>
      <c r="I587" s="7" t="s">
        <v>16</v>
      </c>
      <c r="J587" s="7">
        <v>20514338</v>
      </c>
      <c r="K587" s="7" t="s">
        <v>703</v>
      </c>
      <c r="L587" s="7" t="s">
        <v>704</v>
      </c>
      <c r="M587" s="9">
        <v>149900</v>
      </c>
      <c r="N587" s="10" t="str">
        <f t="shared" si="81"/>
        <v>BXGY</v>
      </c>
      <c r="O587" s="9">
        <f t="shared" si="82"/>
        <v>37475</v>
      </c>
      <c r="P587" s="9" t="str">
        <f t="shared" si="85"/>
        <v>PERCENTAGE</v>
      </c>
    </row>
    <row r="588" spans="1:16" s="6" customFormat="1" x14ac:dyDescent="0.25">
      <c r="A588" s="7" t="str">
        <f t="shared" si="83"/>
        <v>2024 ALL D75</v>
      </c>
      <c r="B588" s="8">
        <f t="shared" si="84"/>
        <v>46104</v>
      </c>
      <c r="C588" s="8">
        <f t="shared" si="80"/>
        <v>46113</v>
      </c>
      <c r="D588" s="7">
        <v>3272</v>
      </c>
      <c r="E588" s="7">
        <v>336</v>
      </c>
      <c r="F588" s="7">
        <v>4</v>
      </c>
      <c r="G588" s="7">
        <v>1</v>
      </c>
      <c r="H588" s="7">
        <v>81588</v>
      </c>
      <c r="I588" s="7" t="s">
        <v>16</v>
      </c>
      <c r="J588" s="7">
        <v>20514347</v>
      </c>
      <c r="K588" s="7" t="s">
        <v>703</v>
      </c>
      <c r="L588" s="7" t="s">
        <v>705</v>
      </c>
      <c r="M588" s="9">
        <v>149900</v>
      </c>
      <c r="N588" s="10" t="str">
        <f t="shared" si="81"/>
        <v>BXGY</v>
      </c>
      <c r="O588" s="9">
        <f t="shared" si="82"/>
        <v>37475</v>
      </c>
      <c r="P588" s="9" t="str">
        <f t="shared" si="85"/>
        <v>PERCENTAGE</v>
      </c>
    </row>
    <row r="589" spans="1:16" s="6" customFormat="1" x14ac:dyDescent="0.25">
      <c r="A589" s="7" t="str">
        <f t="shared" si="83"/>
        <v>2024 ALL D75</v>
      </c>
      <c r="B589" s="8">
        <f t="shared" si="84"/>
        <v>46104</v>
      </c>
      <c r="C589" s="8">
        <f t="shared" si="80"/>
        <v>46113</v>
      </c>
      <c r="D589" s="7">
        <v>3272</v>
      </c>
      <c r="E589" s="7">
        <v>336</v>
      </c>
      <c r="F589" s="7">
        <v>4</v>
      </c>
      <c r="G589" s="7">
        <v>1</v>
      </c>
      <c r="H589" s="7">
        <v>81588</v>
      </c>
      <c r="I589" s="7" t="s">
        <v>16</v>
      </c>
      <c r="J589" s="7">
        <v>20514356</v>
      </c>
      <c r="K589" s="7" t="s">
        <v>703</v>
      </c>
      <c r="L589" s="7" t="s">
        <v>706</v>
      </c>
      <c r="M589" s="9">
        <v>149900</v>
      </c>
      <c r="N589" s="10" t="str">
        <f t="shared" si="81"/>
        <v>BXGY</v>
      </c>
      <c r="O589" s="9">
        <f t="shared" si="82"/>
        <v>37475</v>
      </c>
      <c r="P589" s="9" t="str">
        <f t="shared" si="85"/>
        <v>PERCENTAGE</v>
      </c>
    </row>
    <row r="590" spans="1:16" s="6" customFormat="1" x14ac:dyDescent="0.25">
      <c r="A590" s="7" t="str">
        <f t="shared" si="83"/>
        <v>2024 ALL D75</v>
      </c>
      <c r="B590" s="8">
        <f t="shared" si="84"/>
        <v>46104</v>
      </c>
      <c r="C590" s="8">
        <f t="shared" si="80"/>
        <v>46113</v>
      </c>
      <c r="D590" s="7">
        <v>3272</v>
      </c>
      <c r="E590" s="7">
        <v>336</v>
      </c>
      <c r="F590" s="7">
        <v>4</v>
      </c>
      <c r="G590" s="7">
        <v>1</v>
      </c>
      <c r="H590" s="7">
        <v>81588</v>
      </c>
      <c r="I590" s="7" t="s">
        <v>16</v>
      </c>
      <c r="J590" s="7">
        <v>20514365</v>
      </c>
      <c r="K590" s="7" t="s">
        <v>703</v>
      </c>
      <c r="L590" s="7" t="s">
        <v>707</v>
      </c>
      <c r="M590" s="9">
        <v>149900</v>
      </c>
      <c r="N590" s="10" t="str">
        <f t="shared" si="81"/>
        <v>BXGY</v>
      </c>
      <c r="O590" s="9">
        <f t="shared" si="82"/>
        <v>37475</v>
      </c>
      <c r="P590" s="9" t="str">
        <f t="shared" si="85"/>
        <v>PERCENTAGE</v>
      </c>
    </row>
    <row r="591" spans="1:16" s="6" customFormat="1" x14ac:dyDescent="0.25">
      <c r="A591" s="7" t="str">
        <f t="shared" si="83"/>
        <v>2024 ALL D75</v>
      </c>
      <c r="B591" s="8">
        <f t="shared" si="84"/>
        <v>46104</v>
      </c>
      <c r="C591" s="8">
        <f t="shared" si="80"/>
        <v>46113</v>
      </c>
      <c r="D591" s="7">
        <v>3272</v>
      </c>
      <c r="E591" s="7">
        <v>336</v>
      </c>
      <c r="F591" s="7">
        <v>4</v>
      </c>
      <c r="G591" s="7">
        <v>1</v>
      </c>
      <c r="H591" s="7">
        <v>81588</v>
      </c>
      <c r="I591" s="7" t="s">
        <v>16</v>
      </c>
      <c r="J591" s="7">
        <v>20514374</v>
      </c>
      <c r="K591" s="7" t="s">
        <v>703</v>
      </c>
      <c r="L591" s="7" t="s">
        <v>708</v>
      </c>
      <c r="M591" s="9">
        <v>149900</v>
      </c>
      <c r="N591" s="10" t="str">
        <f t="shared" si="81"/>
        <v>BXGY</v>
      </c>
      <c r="O591" s="9">
        <f t="shared" si="82"/>
        <v>37475</v>
      </c>
      <c r="P591" s="9" t="str">
        <f t="shared" si="85"/>
        <v>PERCENTAGE</v>
      </c>
    </row>
    <row r="592" spans="1:16" s="6" customFormat="1" x14ac:dyDescent="0.25">
      <c r="A592" s="7" t="str">
        <f t="shared" si="83"/>
        <v>2024 ALL D75</v>
      </c>
      <c r="B592" s="8">
        <f t="shared" si="84"/>
        <v>46104</v>
      </c>
      <c r="C592" s="8">
        <f t="shared" si="80"/>
        <v>46113</v>
      </c>
      <c r="D592" s="7">
        <v>3272</v>
      </c>
      <c r="E592" s="7">
        <v>336</v>
      </c>
      <c r="F592" s="7">
        <v>4</v>
      </c>
      <c r="G592" s="7">
        <v>1</v>
      </c>
      <c r="H592" s="7">
        <v>81588</v>
      </c>
      <c r="I592" s="7" t="s">
        <v>16</v>
      </c>
      <c r="J592" s="7">
        <v>20514383</v>
      </c>
      <c r="K592" s="7" t="s">
        <v>703</v>
      </c>
      <c r="L592" s="7" t="s">
        <v>709</v>
      </c>
      <c r="M592" s="9">
        <v>149900</v>
      </c>
      <c r="N592" s="10" t="str">
        <f t="shared" si="81"/>
        <v>BXGY</v>
      </c>
      <c r="O592" s="9">
        <f t="shared" si="82"/>
        <v>37475</v>
      </c>
      <c r="P592" s="9" t="str">
        <f t="shared" si="85"/>
        <v>PERCENTAGE</v>
      </c>
    </row>
    <row r="593" spans="1:16" s="6" customFormat="1" x14ac:dyDescent="0.25">
      <c r="A593" s="7" t="str">
        <f t="shared" si="83"/>
        <v>2024 ALL D75</v>
      </c>
      <c r="B593" s="8">
        <f t="shared" si="84"/>
        <v>46104</v>
      </c>
      <c r="C593" s="8">
        <f t="shared" si="80"/>
        <v>46113</v>
      </c>
      <c r="D593" s="7">
        <v>3272</v>
      </c>
      <c r="E593" s="7">
        <v>336</v>
      </c>
      <c r="F593" s="7">
        <v>4</v>
      </c>
      <c r="G593" s="7">
        <v>1</v>
      </c>
      <c r="H593" s="7">
        <v>81588</v>
      </c>
      <c r="I593" s="7" t="s">
        <v>16</v>
      </c>
      <c r="J593" s="7">
        <v>20514669</v>
      </c>
      <c r="K593" s="7" t="s">
        <v>710</v>
      </c>
      <c r="L593" s="7" t="s">
        <v>711</v>
      </c>
      <c r="M593" s="9">
        <v>149900</v>
      </c>
      <c r="N593" s="10" t="str">
        <f t="shared" si="81"/>
        <v>BXGY</v>
      </c>
      <c r="O593" s="9">
        <f t="shared" si="82"/>
        <v>37475</v>
      </c>
      <c r="P593" s="9" t="str">
        <f t="shared" si="85"/>
        <v>PERCENTAGE</v>
      </c>
    </row>
    <row r="594" spans="1:16" s="6" customFormat="1" x14ac:dyDescent="0.25">
      <c r="A594" s="7" t="str">
        <f t="shared" si="83"/>
        <v>2024 ALL D75</v>
      </c>
      <c r="B594" s="8">
        <f t="shared" si="84"/>
        <v>46104</v>
      </c>
      <c r="C594" s="8">
        <f t="shared" si="80"/>
        <v>46113</v>
      </c>
      <c r="D594" s="7">
        <v>3272</v>
      </c>
      <c r="E594" s="7">
        <v>336</v>
      </c>
      <c r="F594" s="7">
        <v>4</v>
      </c>
      <c r="G594" s="7">
        <v>1</v>
      </c>
      <c r="H594" s="7">
        <v>81588</v>
      </c>
      <c r="I594" s="7" t="s">
        <v>16</v>
      </c>
      <c r="J594" s="7">
        <v>20514712</v>
      </c>
      <c r="K594" s="7" t="s">
        <v>710</v>
      </c>
      <c r="L594" s="7" t="s">
        <v>712</v>
      </c>
      <c r="M594" s="9">
        <v>149900</v>
      </c>
      <c r="N594" s="10" t="str">
        <f t="shared" si="81"/>
        <v>BXGY</v>
      </c>
      <c r="O594" s="9">
        <f t="shared" si="82"/>
        <v>37475</v>
      </c>
      <c r="P594" s="9" t="str">
        <f t="shared" si="85"/>
        <v>PERCENTAGE</v>
      </c>
    </row>
    <row r="595" spans="1:16" s="6" customFormat="1" x14ac:dyDescent="0.25">
      <c r="A595" s="7" t="str">
        <f t="shared" si="83"/>
        <v>2024 ALL D75</v>
      </c>
      <c r="B595" s="8">
        <f t="shared" si="84"/>
        <v>46104</v>
      </c>
      <c r="C595" s="8">
        <f t="shared" si="80"/>
        <v>46113</v>
      </c>
      <c r="D595" s="7">
        <v>3272</v>
      </c>
      <c r="E595" s="7">
        <v>336</v>
      </c>
      <c r="F595" s="7">
        <v>4</v>
      </c>
      <c r="G595" s="7">
        <v>1</v>
      </c>
      <c r="H595" s="7">
        <v>81588</v>
      </c>
      <c r="I595" s="7" t="s">
        <v>16</v>
      </c>
      <c r="J595" s="7">
        <v>20514801</v>
      </c>
      <c r="K595" s="7" t="s">
        <v>710</v>
      </c>
      <c r="L595" s="7" t="s">
        <v>713</v>
      </c>
      <c r="M595" s="9">
        <v>149900</v>
      </c>
      <c r="N595" s="10" t="str">
        <f t="shared" si="81"/>
        <v>BXGY</v>
      </c>
      <c r="O595" s="9">
        <f t="shared" si="82"/>
        <v>37475</v>
      </c>
      <c r="P595" s="9" t="str">
        <f t="shared" si="85"/>
        <v>PERCENTAGE</v>
      </c>
    </row>
    <row r="596" spans="1:16" s="6" customFormat="1" x14ac:dyDescent="0.25">
      <c r="A596" s="7" t="str">
        <f t="shared" si="83"/>
        <v>2024 ALL D75</v>
      </c>
      <c r="B596" s="8">
        <f t="shared" si="84"/>
        <v>46104</v>
      </c>
      <c r="C596" s="8">
        <f t="shared" ref="C596:C627" si="86">C595</f>
        <v>46113</v>
      </c>
      <c r="D596" s="7">
        <v>3272</v>
      </c>
      <c r="E596" s="7">
        <v>336</v>
      </c>
      <c r="F596" s="7">
        <v>4</v>
      </c>
      <c r="G596" s="7">
        <v>1</v>
      </c>
      <c r="H596" s="7">
        <v>81588</v>
      </c>
      <c r="I596" s="7" t="s">
        <v>16</v>
      </c>
      <c r="J596" s="7">
        <v>20514829</v>
      </c>
      <c r="K596" s="7" t="s">
        <v>710</v>
      </c>
      <c r="L596" s="7" t="s">
        <v>714</v>
      </c>
      <c r="M596" s="9">
        <v>149900</v>
      </c>
      <c r="N596" s="10" t="str">
        <f t="shared" ref="N596:N627" si="87">N595</f>
        <v>BXGY</v>
      </c>
      <c r="O596" s="9">
        <f t="shared" si="82"/>
        <v>37475</v>
      </c>
      <c r="P596" s="9" t="str">
        <f t="shared" si="85"/>
        <v>PERCENTAGE</v>
      </c>
    </row>
    <row r="597" spans="1:16" s="6" customFormat="1" x14ac:dyDescent="0.25">
      <c r="A597" s="7" t="str">
        <f t="shared" si="83"/>
        <v>2024 ALL D75</v>
      </c>
      <c r="B597" s="8">
        <f t="shared" si="84"/>
        <v>46104</v>
      </c>
      <c r="C597" s="8">
        <f t="shared" si="86"/>
        <v>46113</v>
      </c>
      <c r="D597" s="7">
        <v>3272</v>
      </c>
      <c r="E597" s="7">
        <v>336</v>
      </c>
      <c r="F597" s="7">
        <v>4</v>
      </c>
      <c r="G597" s="7">
        <v>1</v>
      </c>
      <c r="H597" s="7">
        <v>81588</v>
      </c>
      <c r="I597" s="7" t="s">
        <v>16</v>
      </c>
      <c r="J597" s="7">
        <v>20514838</v>
      </c>
      <c r="K597" s="7" t="s">
        <v>710</v>
      </c>
      <c r="L597" s="7" t="s">
        <v>715</v>
      </c>
      <c r="M597" s="9">
        <v>149900</v>
      </c>
      <c r="N597" s="10" t="str">
        <f t="shared" si="87"/>
        <v>BXGY</v>
      </c>
      <c r="O597" s="9">
        <f t="shared" si="82"/>
        <v>37475</v>
      </c>
      <c r="P597" s="9" t="str">
        <f t="shared" si="85"/>
        <v>PERCENTAGE</v>
      </c>
    </row>
    <row r="598" spans="1:16" s="6" customFormat="1" x14ac:dyDescent="0.25">
      <c r="A598" s="7" t="str">
        <f t="shared" si="83"/>
        <v>2024 ALL D75</v>
      </c>
      <c r="B598" s="8">
        <f t="shared" si="84"/>
        <v>46104</v>
      </c>
      <c r="C598" s="8">
        <f t="shared" si="86"/>
        <v>46113</v>
      </c>
      <c r="D598" s="7">
        <v>3272</v>
      </c>
      <c r="E598" s="7">
        <v>336</v>
      </c>
      <c r="F598" s="7">
        <v>4</v>
      </c>
      <c r="G598" s="7">
        <v>1</v>
      </c>
      <c r="H598" s="7">
        <v>81588</v>
      </c>
      <c r="I598" s="7" t="s">
        <v>16</v>
      </c>
      <c r="J598" s="7">
        <v>20514847</v>
      </c>
      <c r="K598" s="7" t="s">
        <v>710</v>
      </c>
      <c r="L598" s="7" t="s">
        <v>716</v>
      </c>
      <c r="M598" s="9">
        <v>149900</v>
      </c>
      <c r="N598" s="10" t="str">
        <f t="shared" si="87"/>
        <v>BXGY</v>
      </c>
      <c r="O598" s="9">
        <f t="shared" si="82"/>
        <v>37475</v>
      </c>
      <c r="P598" s="9" t="str">
        <f t="shared" si="85"/>
        <v>PERCENTAGE</v>
      </c>
    </row>
    <row r="599" spans="1:16" s="6" customFormat="1" x14ac:dyDescent="0.25">
      <c r="A599" s="7" t="str">
        <f t="shared" si="83"/>
        <v>2024 ALL D75</v>
      </c>
      <c r="B599" s="8">
        <f t="shared" si="84"/>
        <v>46104</v>
      </c>
      <c r="C599" s="8">
        <f t="shared" si="86"/>
        <v>46113</v>
      </c>
      <c r="D599" s="7">
        <v>3272</v>
      </c>
      <c r="E599" s="7">
        <v>336</v>
      </c>
      <c r="F599" s="7">
        <v>4</v>
      </c>
      <c r="G599" s="7">
        <v>1</v>
      </c>
      <c r="H599" s="7">
        <v>81588</v>
      </c>
      <c r="I599" s="7" t="s">
        <v>16</v>
      </c>
      <c r="J599" s="7">
        <v>20514114</v>
      </c>
      <c r="K599" s="7" t="s">
        <v>717</v>
      </c>
      <c r="L599" s="7" t="s">
        <v>718</v>
      </c>
      <c r="M599" s="9">
        <v>139900</v>
      </c>
      <c r="N599" s="10" t="str">
        <f t="shared" si="87"/>
        <v>BXGY</v>
      </c>
      <c r="O599" s="9">
        <f t="shared" si="82"/>
        <v>34975</v>
      </c>
      <c r="P599" s="9" t="str">
        <f t="shared" si="85"/>
        <v>PERCENTAGE</v>
      </c>
    </row>
    <row r="600" spans="1:16" s="6" customFormat="1" x14ac:dyDescent="0.25">
      <c r="A600" s="7" t="str">
        <f t="shared" si="83"/>
        <v>2024 ALL D75</v>
      </c>
      <c r="B600" s="8">
        <f t="shared" si="84"/>
        <v>46104</v>
      </c>
      <c r="C600" s="8">
        <f t="shared" si="86"/>
        <v>46113</v>
      </c>
      <c r="D600" s="7">
        <v>3272</v>
      </c>
      <c r="E600" s="7">
        <v>336</v>
      </c>
      <c r="F600" s="7">
        <v>4</v>
      </c>
      <c r="G600" s="7">
        <v>1</v>
      </c>
      <c r="H600" s="7">
        <v>81588</v>
      </c>
      <c r="I600" s="7" t="s">
        <v>16</v>
      </c>
      <c r="J600" s="7">
        <v>20514123</v>
      </c>
      <c r="K600" s="7" t="s">
        <v>717</v>
      </c>
      <c r="L600" s="7" t="s">
        <v>719</v>
      </c>
      <c r="M600" s="9">
        <v>139900</v>
      </c>
      <c r="N600" s="10" t="str">
        <f t="shared" si="87"/>
        <v>BXGY</v>
      </c>
      <c r="O600" s="9">
        <f t="shared" si="82"/>
        <v>34975</v>
      </c>
      <c r="P600" s="9" t="str">
        <f t="shared" si="85"/>
        <v>PERCENTAGE</v>
      </c>
    </row>
    <row r="601" spans="1:16" s="6" customFormat="1" x14ac:dyDescent="0.25">
      <c r="A601" s="7" t="str">
        <f t="shared" si="83"/>
        <v>2024 ALL D75</v>
      </c>
      <c r="B601" s="8">
        <f t="shared" si="84"/>
        <v>46104</v>
      </c>
      <c r="C601" s="8">
        <f t="shared" si="86"/>
        <v>46113</v>
      </c>
      <c r="D601" s="7">
        <v>3272</v>
      </c>
      <c r="E601" s="7">
        <v>336</v>
      </c>
      <c r="F601" s="7">
        <v>4</v>
      </c>
      <c r="G601" s="7">
        <v>1</v>
      </c>
      <c r="H601" s="7">
        <v>81588</v>
      </c>
      <c r="I601" s="7" t="s">
        <v>16</v>
      </c>
      <c r="J601" s="7">
        <v>20514132</v>
      </c>
      <c r="K601" s="7" t="s">
        <v>717</v>
      </c>
      <c r="L601" s="7" t="s">
        <v>720</v>
      </c>
      <c r="M601" s="9">
        <v>139900</v>
      </c>
      <c r="N601" s="10" t="str">
        <f t="shared" si="87"/>
        <v>BXGY</v>
      </c>
      <c r="O601" s="9">
        <f t="shared" si="82"/>
        <v>34975</v>
      </c>
      <c r="P601" s="9" t="str">
        <f t="shared" si="85"/>
        <v>PERCENTAGE</v>
      </c>
    </row>
    <row r="602" spans="1:16" s="6" customFormat="1" x14ac:dyDescent="0.25">
      <c r="A602" s="7" t="str">
        <f t="shared" si="83"/>
        <v>2024 ALL D75</v>
      </c>
      <c r="B602" s="8">
        <f t="shared" si="84"/>
        <v>46104</v>
      </c>
      <c r="C602" s="8">
        <f t="shared" si="86"/>
        <v>46113</v>
      </c>
      <c r="D602" s="7">
        <v>3272</v>
      </c>
      <c r="E602" s="7">
        <v>336</v>
      </c>
      <c r="F602" s="7">
        <v>4</v>
      </c>
      <c r="G602" s="7">
        <v>1</v>
      </c>
      <c r="H602" s="7">
        <v>81588</v>
      </c>
      <c r="I602" s="7" t="s">
        <v>16</v>
      </c>
      <c r="J602" s="7">
        <v>20514249</v>
      </c>
      <c r="K602" s="7" t="s">
        <v>717</v>
      </c>
      <c r="L602" s="7" t="s">
        <v>721</v>
      </c>
      <c r="M602" s="9">
        <v>139900</v>
      </c>
      <c r="N602" s="10" t="str">
        <f t="shared" si="87"/>
        <v>BXGY</v>
      </c>
      <c r="O602" s="9">
        <f t="shared" si="82"/>
        <v>34975</v>
      </c>
      <c r="P602" s="9" t="str">
        <f t="shared" si="85"/>
        <v>PERCENTAGE</v>
      </c>
    </row>
    <row r="603" spans="1:16" s="6" customFormat="1" x14ac:dyDescent="0.25">
      <c r="A603" s="7" t="str">
        <f t="shared" si="83"/>
        <v>2024 ALL D75</v>
      </c>
      <c r="B603" s="8">
        <f t="shared" si="84"/>
        <v>46104</v>
      </c>
      <c r="C603" s="8">
        <f t="shared" si="86"/>
        <v>46113</v>
      </c>
      <c r="D603" s="7">
        <v>3272</v>
      </c>
      <c r="E603" s="7">
        <v>336</v>
      </c>
      <c r="F603" s="7">
        <v>4</v>
      </c>
      <c r="G603" s="7">
        <v>1</v>
      </c>
      <c r="H603" s="7">
        <v>81588</v>
      </c>
      <c r="I603" s="7" t="s">
        <v>16</v>
      </c>
      <c r="J603" s="7">
        <v>20514285</v>
      </c>
      <c r="K603" s="7" t="s">
        <v>717</v>
      </c>
      <c r="L603" s="7" t="s">
        <v>722</v>
      </c>
      <c r="M603" s="9">
        <v>139900</v>
      </c>
      <c r="N603" s="10" t="str">
        <f t="shared" si="87"/>
        <v>BXGY</v>
      </c>
      <c r="O603" s="9">
        <f t="shared" si="82"/>
        <v>34975</v>
      </c>
      <c r="P603" s="9" t="str">
        <f t="shared" si="85"/>
        <v>PERCENTAGE</v>
      </c>
    </row>
    <row r="604" spans="1:16" s="6" customFormat="1" x14ac:dyDescent="0.25">
      <c r="A604" s="7" t="str">
        <f t="shared" si="83"/>
        <v>2024 ALL D75</v>
      </c>
      <c r="B604" s="8">
        <f t="shared" si="84"/>
        <v>46104</v>
      </c>
      <c r="C604" s="8">
        <f t="shared" si="86"/>
        <v>46113</v>
      </c>
      <c r="D604" s="7">
        <v>3272</v>
      </c>
      <c r="E604" s="7">
        <v>336</v>
      </c>
      <c r="F604" s="7">
        <v>4</v>
      </c>
      <c r="G604" s="7">
        <v>1</v>
      </c>
      <c r="H604" s="7">
        <v>81588</v>
      </c>
      <c r="I604" s="7" t="s">
        <v>16</v>
      </c>
      <c r="J604" s="7">
        <v>20514301</v>
      </c>
      <c r="K604" s="7" t="s">
        <v>717</v>
      </c>
      <c r="L604" s="7" t="s">
        <v>723</v>
      </c>
      <c r="M604" s="9">
        <v>139900</v>
      </c>
      <c r="N604" s="10" t="str">
        <f t="shared" si="87"/>
        <v>BXGY</v>
      </c>
      <c r="O604" s="9">
        <f t="shared" si="82"/>
        <v>34975</v>
      </c>
      <c r="P604" s="9" t="str">
        <f t="shared" si="85"/>
        <v>PERCENTAGE</v>
      </c>
    </row>
    <row r="605" spans="1:16" s="6" customFormat="1" x14ac:dyDescent="0.25">
      <c r="A605" s="7" t="str">
        <f t="shared" si="83"/>
        <v>2024 ALL D75</v>
      </c>
      <c r="B605" s="8">
        <f t="shared" si="84"/>
        <v>46104</v>
      </c>
      <c r="C605" s="8">
        <f t="shared" si="86"/>
        <v>46113</v>
      </c>
      <c r="D605" s="7">
        <v>3272</v>
      </c>
      <c r="E605" s="7">
        <v>336</v>
      </c>
      <c r="F605" s="7">
        <v>4</v>
      </c>
      <c r="G605" s="7">
        <v>1</v>
      </c>
      <c r="H605" s="7">
        <v>81588</v>
      </c>
      <c r="I605" s="7" t="s">
        <v>16</v>
      </c>
      <c r="J605" s="7">
        <v>20514310</v>
      </c>
      <c r="K605" s="7" t="s">
        <v>717</v>
      </c>
      <c r="L605" s="7" t="s">
        <v>724</v>
      </c>
      <c r="M605" s="9">
        <v>139900</v>
      </c>
      <c r="N605" s="10" t="str">
        <f t="shared" si="87"/>
        <v>BXGY</v>
      </c>
      <c r="O605" s="9">
        <f t="shared" si="82"/>
        <v>34975</v>
      </c>
      <c r="P605" s="9" t="str">
        <f t="shared" si="85"/>
        <v>PERCENTAGE</v>
      </c>
    </row>
    <row r="606" spans="1:16" s="6" customFormat="1" x14ac:dyDescent="0.25">
      <c r="A606" s="7" t="str">
        <f t="shared" si="83"/>
        <v>2024 ALL D75</v>
      </c>
      <c r="B606" s="8">
        <f t="shared" si="84"/>
        <v>46104</v>
      </c>
      <c r="C606" s="8">
        <f t="shared" si="86"/>
        <v>46113</v>
      </c>
      <c r="D606" s="7">
        <v>3272</v>
      </c>
      <c r="E606" s="7">
        <v>336</v>
      </c>
      <c r="F606" s="7">
        <v>4</v>
      </c>
      <c r="G606" s="7">
        <v>1</v>
      </c>
      <c r="H606" s="7">
        <v>81588</v>
      </c>
      <c r="I606" s="7" t="s">
        <v>16</v>
      </c>
      <c r="J606" s="7">
        <v>20514329</v>
      </c>
      <c r="K606" s="7" t="s">
        <v>717</v>
      </c>
      <c r="L606" s="7" t="s">
        <v>725</v>
      </c>
      <c r="M606" s="9">
        <v>139900</v>
      </c>
      <c r="N606" s="10" t="str">
        <f t="shared" si="87"/>
        <v>BXGY</v>
      </c>
      <c r="O606" s="9">
        <f t="shared" si="82"/>
        <v>34975</v>
      </c>
      <c r="P606" s="9" t="str">
        <f t="shared" si="85"/>
        <v>PERCENTAGE</v>
      </c>
    </row>
    <row r="607" spans="1:16" s="6" customFormat="1" x14ac:dyDescent="0.25">
      <c r="A607" s="7" t="str">
        <f t="shared" si="83"/>
        <v>2024 ALL D75</v>
      </c>
      <c r="B607" s="8">
        <f t="shared" si="84"/>
        <v>46104</v>
      </c>
      <c r="C607" s="8">
        <f t="shared" si="86"/>
        <v>46113</v>
      </c>
      <c r="D607" s="7">
        <v>3272</v>
      </c>
      <c r="E607" s="7">
        <v>336</v>
      </c>
      <c r="F607" s="7">
        <v>4</v>
      </c>
      <c r="G607" s="7">
        <v>1</v>
      </c>
      <c r="H607" s="7">
        <v>81588</v>
      </c>
      <c r="I607" s="7" t="s">
        <v>16</v>
      </c>
      <c r="J607" s="7">
        <v>20514392</v>
      </c>
      <c r="K607" s="7" t="s">
        <v>726</v>
      </c>
      <c r="L607" s="7" t="s">
        <v>727</v>
      </c>
      <c r="M607" s="9">
        <v>149900</v>
      </c>
      <c r="N607" s="10" t="str">
        <f t="shared" si="87"/>
        <v>BXGY</v>
      </c>
      <c r="O607" s="9">
        <f t="shared" si="82"/>
        <v>37475</v>
      </c>
      <c r="P607" s="9" t="str">
        <f t="shared" si="85"/>
        <v>PERCENTAGE</v>
      </c>
    </row>
    <row r="608" spans="1:16" s="6" customFormat="1" x14ac:dyDescent="0.25">
      <c r="A608" s="7" t="str">
        <f t="shared" si="83"/>
        <v>2024 ALL D75</v>
      </c>
      <c r="B608" s="8">
        <f t="shared" si="84"/>
        <v>46104</v>
      </c>
      <c r="C608" s="8">
        <f t="shared" si="86"/>
        <v>46113</v>
      </c>
      <c r="D608" s="7">
        <v>3272</v>
      </c>
      <c r="E608" s="7">
        <v>336</v>
      </c>
      <c r="F608" s="7">
        <v>4</v>
      </c>
      <c r="G608" s="7">
        <v>1</v>
      </c>
      <c r="H608" s="7">
        <v>81588</v>
      </c>
      <c r="I608" s="7" t="s">
        <v>16</v>
      </c>
      <c r="J608" s="7">
        <v>20514454</v>
      </c>
      <c r="K608" s="7" t="s">
        <v>726</v>
      </c>
      <c r="L608" s="7" t="s">
        <v>728</v>
      </c>
      <c r="M608" s="9">
        <v>149900</v>
      </c>
      <c r="N608" s="10" t="str">
        <f t="shared" si="87"/>
        <v>BXGY</v>
      </c>
      <c r="O608" s="9">
        <f t="shared" si="82"/>
        <v>37475</v>
      </c>
      <c r="P608" s="9" t="str">
        <f t="shared" si="85"/>
        <v>PERCENTAGE</v>
      </c>
    </row>
    <row r="609" spans="1:16" s="6" customFormat="1" x14ac:dyDescent="0.25">
      <c r="A609" s="7" t="str">
        <f t="shared" si="83"/>
        <v>2024 ALL D75</v>
      </c>
      <c r="B609" s="8">
        <f t="shared" si="84"/>
        <v>46104</v>
      </c>
      <c r="C609" s="8">
        <f t="shared" si="86"/>
        <v>46113</v>
      </c>
      <c r="D609" s="7">
        <v>3272</v>
      </c>
      <c r="E609" s="7">
        <v>336</v>
      </c>
      <c r="F609" s="7">
        <v>4</v>
      </c>
      <c r="G609" s="7">
        <v>1</v>
      </c>
      <c r="H609" s="7">
        <v>81588</v>
      </c>
      <c r="I609" s="7" t="s">
        <v>16</v>
      </c>
      <c r="J609" s="7">
        <v>20514534</v>
      </c>
      <c r="K609" s="7" t="s">
        <v>726</v>
      </c>
      <c r="L609" s="7" t="s">
        <v>729</v>
      </c>
      <c r="M609" s="9">
        <v>149900</v>
      </c>
      <c r="N609" s="10" t="str">
        <f t="shared" si="87"/>
        <v>BXGY</v>
      </c>
      <c r="O609" s="9">
        <f t="shared" si="82"/>
        <v>37475</v>
      </c>
      <c r="P609" s="9" t="str">
        <f t="shared" si="85"/>
        <v>PERCENTAGE</v>
      </c>
    </row>
    <row r="610" spans="1:16" s="6" customFormat="1" x14ac:dyDescent="0.25">
      <c r="A610" s="7" t="str">
        <f t="shared" si="83"/>
        <v>2024 ALL D75</v>
      </c>
      <c r="B610" s="8">
        <f t="shared" si="84"/>
        <v>46104</v>
      </c>
      <c r="C610" s="8">
        <f t="shared" si="86"/>
        <v>46113</v>
      </c>
      <c r="D610" s="7">
        <v>3272</v>
      </c>
      <c r="E610" s="7">
        <v>336</v>
      </c>
      <c r="F610" s="7">
        <v>4</v>
      </c>
      <c r="G610" s="7">
        <v>1</v>
      </c>
      <c r="H610" s="7">
        <v>81588</v>
      </c>
      <c r="I610" s="7" t="s">
        <v>16</v>
      </c>
      <c r="J610" s="7">
        <v>20514561</v>
      </c>
      <c r="K610" s="7" t="s">
        <v>726</v>
      </c>
      <c r="L610" s="7" t="s">
        <v>730</v>
      </c>
      <c r="M610" s="9">
        <v>149900</v>
      </c>
      <c r="N610" s="10" t="str">
        <f t="shared" si="87"/>
        <v>BXGY</v>
      </c>
      <c r="O610" s="9">
        <f t="shared" si="82"/>
        <v>37475</v>
      </c>
      <c r="P610" s="9" t="str">
        <f t="shared" si="85"/>
        <v>PERCENTAGE</v>
      </c>
    </row>
    <row r="611" spans="1:16" s="6" customFormat="1" x14ac:dyDescent="0.25">
      <c r="A611" s="7" t="str">
        <f t="shared" si="83"/>
        <v>2024 ALL D75</v>
      </c>
      <c r="B611" s="8">
        <f t="shared" si="84"/>
        <v>46104</v>
      </c>
      <c r="C611" s="8">
        <f t="shared" si="86"/>
        <v>46113</v>
      </c>
      <c r="D611" s="7">
        <v>3272</v>
      </c>
      <c r="E611" s="7">
        <v>336</v>
      </c>
      <c r="F611" s="7">
        <v>4</v>
      </c>
      <c r="G611" s="7">
        <v>1</v>
      </c>
      <c r="H611" s="7">
        <v>81588</v>
      </c>
      <c r="I611" s="7" t="s">
        <v>16</v>
      </c>
      <c r="J611" s="7">
        <v>20514570</v>
      </c>
      <c r="K611" s="7" t="s">
        <v>726</v>
      </c>
      <c r="L611" s="7" t="s">
        <v>731</v>
      </c>
      <c r="M611" s="9">
        <v>149900</v>
      </c>
      <c r="N611" s="10" t="str">
        <f t="shared" si="87"/>
        <v>BXGY</v>
      </c>
      <c r="O611" s="9">
        <f t="shared" si="82"/>
        <v>37475</v>
      </c>
      <c r="P611" s="9" t="str">
        <f t="shared" si="85"/>
        <v>PERCENTAGE</v>
      </c>
    </row>
    <row r="612" spans="1:16" s="6" customFormat="1" x14ac:dyDescent="0.25">
      <c r="A612" s="7" t="str">
        <f t="shared" si="83"/>
        <v>2024 ALL D75</v>
      </c>
      <c r="B612" s="8">
        <f t="shared" si="84"/>
        <v>46104</v>
      </c>
      <c r="C612" s="8">
        <f t="shared" si="86"/>
        <v>46113</v>
      </c>
      <c r="D612" s="7">
        <v>3272</v>
      </c>
      <c r="E612" s="7">
        <v>336</v>
      </c>
      <c r="F612" s="7">
        <v>4</v>
      </c>
      <c r="G612" s="7">
        <v>1</v>
      </c>
      <c r="H612" s="7">
        <v>81588</v>
      </c>
      <c r="I612" s="7" t="s">
        <v>16</v>
      </c>
      <c r="J612" s="7">
        <v>20514598</v>
      </c>
      <c r="K612" s="7" t="s">
        <v>726</v>
      </c>
      <c r="L612" s="7" t="s">
        <v>732</v>
      </c>
      <c r="M612" s="9">
        <v>149900</v>
      </c>
      <c r="N612" s="10" t="str">
        <f t="shared" si="87"/>
        <v>BXGY</v>
      </c>
      <c r="O612" s="9">
        <f t="shared" si="82"/>
        <v>37475</v>
      </c>
      <c r="P612" s="9" t="str">
        <f t="shared" si="85"/>
        <v>PERCENTAGE</v>
      </c>
    </row>
    <row r="613" spans="1:16" s="6" customFormat="1" x14ac:dyDescent="0.25">
      <c r="A613" s="7" t="str">
        <f t="shared" si="83"/>
        <v>2024 ALL D75</v>
      </c>
      <c r="B613" s="8">
        <f t="shared" si="84"/>
        <v>46104</v>
      </c>
      <c r="C613" s="8">
        <f t="shared" si="86"/>
        <v>46113</v>
      </c>
      <c r="D613" s="7">
        <v>3272</v>
      </c>
      <c r="E613" s="7">
        <v>336</v>
      </c>
      <c r="F613" s="7">
        <v>4</v>
      </c>
      <c r="G613" s="7">
        <v>1</v>
      </c>
      <c r="H613" s="7">
        <v>81588</v>
      </c>
      <c r="I613" s="7" t="s">
        <v>16</v>
      </c>
      <c r="J613" s="7">
        <v>20514614</v>
      </c>
      <c r="K613" s="7" t="s">
        <v>726</v>
      </c>
      <c r="L613" s="7" t="s">
        <v>733</v>
      </c>
      <c r="M613" s="9">
        <v>149900</v>
      </c>
      <c r="N613" s="10" t="str">
        <f t="shared" si="87"/>
        <v>BXGY</v>
      </c>
      <c r="O613" s="9">
        <f t="shared" si="82"/>
        <v>37475</v>
      </c>
      <c r="P613" s="9" t="str">
        <f t="shared" si="85"/>
        <v>PERCENTAGE</v>
      </c>
    </row>
    <row r="614" spans="1:16" s="6" customFormat="1" x14ac:dyDescent="0.25">
      <c r="A614" s="7" t="str">
        <f t="shared" si="83"/>
        <v>2024 ALL D75</v>
      </c>
      <c r="B614" s="8">
        <f t="shared" si="84"/>
        <v>46104</v>
      </c>
      <c r="C614" s="8">
        <f t="shared" si="86"/>
        <v>46113</v>
      </c>
      <c r="D614" s="7">
        <v>3272</v>
      </c>
      <c r="E614" s="7">
        <v>336</v>
      </c>
      <c r="F614" s="7">
        <v>4</v>
      </c>
      <c r="G614" s="7">
        <v>1</v>
      </c>
      <c r="H614" s="7">
        <v>81588</v>
      </c>
      <c r="I614" s="7" t="s">
        <v>16</v>
      </c>
      <c r="J614" s="7">
        <v>20514632</v>
      </c>
      <c r="K614" s="7" t="s">
        <v>726</v>
      </c>
      <c r="L614" s="7" t="s">
        <v>734</v>
      </c>
      <c r="M614" s="9">
        <v>149900</v>
      </c>
      <c r="N614" s="10" t="str">
        <f t="shared" si="87"/>
        <v>BXGY</v>
      </c>
      <c r="O614" s="9">
        <f t="shared" si="82"/>
        <v>37475</v>
      </c>
      <c r="P614" s="9" t="str">
        <f t="shared" si="85"/>
        <v>PERCENTAGE</v>
      </c>
    </row>
    <row r="615" spans="1:16" s="6" customFormat="1" x14ac:dyDescent="0.25">
      <c r="A615" s="7" t="str">
        <f t="shared" si="83"/>
        <v>2024 ALL D75</v>
      </c>
      <c r="B615" s="8">
        <f t="shared" si="84"/>
        <v>46104</v>
      </c>
      <c r="C615" s="8">
        <f t="shared" si="86"/>
        <v>46113</v>
      </c>
      <c r="D615" s="7">
        <v>3272</v>
      </c>
      <c r="E615" s="7">
        <v>336</v>
      </c>
      <c r="F615" s="7">
        <v>4</v>
      </c>
      <c r="G615" s="7">
        <v>1</v>
      </c>
      <c r="H615" s="7">
        <v>81588</v>
      </c>
      <c r="I615" s="7" t="s">
        <v>16</v>
      </c>
      <c r="J615" s="7">
        <v>20515113</v>
      </c>
      <c r="K615" s="7" t="s">
        <v>735</v>
      </c>
      <c r="L615" s="7" t="s">
        <v>736</v>
      </c>
      <c r="M615" s="9">
        <v>139900</v>
      </c>
      <c r="N615" s="10" t="str">
        <f t="shared" si="87"/>
        <v>BXGY</v>
      </c>
      <c r="O615" s="9">
        <f t="shared" si="82"/>
        <v>34975</v>
      </c>
      <c r="P615" s="9" t="str">
        <f t="shared" si="85"/>
        <v>PERCENTAGE</v>
      </c>
    </row>
    <row r="616" spans="1:16" s="6" customFormat="1" x14ac:dyDescent="0.25">
      <c r="A616" s="7" t="str">
        <f t="shared" si="83"/>
        <v>2024 ALL D75</v>
      </c>
      <c r="B616" s="8">
        <f t="shared" si="84"/>
        <v>46104</v>
      </c>
      <c r="C616" s="8">
        <f t="shared" si="86"/>
        <v>46113</v>
      </c>
      <c r="D616" s="7">
        <v>3272</v>
      </c>
      <c r="E616" s="7">
        <v>336</v>
      </c>
      <c r="F616" s="7">
        <v>4</v>
      </c>
      <c r="G616" s="7">
        <v>1</v>
      </c>
      <c r="H616" s="7">
        <v>81588</v>
      </c>
      <c r="I616" s="7" t="s">
        <v>16</v>
      </c>
      <c r="J616" s="7">
        <v>20515122</v>
      </c>
      <c r="K616" s="7" t="s">
        <v>735</v>
      </c>
      <c r="L616" s="7" t="s">
        <v>737</v>
      </c>
      <c r="M616" s="9">
        <v>139900</v>
      </c>
      <c r="N616" s="10" t="str">
        <f t="shared" si="87"/>
        <v>BXGY</v>
      </c>
      <c r="O616" s="9">
        <f t="shared" si="82"/>
        <v>34975</v>
      </c>
      <c r="P616" s="9" t="str">
        <f t="shared" si="85"/>
        <v>PERCENTAGE</v>
      </c>
    </row>
    <row r="617" spans="1:16" s="6" customFormat="1" x14ac:dyDescent="0.25">
      <c r="A617" s="7" t="str">
        <f t="shared" si="83"/>
        <v>2024 ALL D75</v>
      </c>
      <c r="B617" s="8">
        <f t="shared" si="84"/>
        <v>46104</v>
      </c>
      <c r="C617" s="8">
        <f t="shared" si="86"/>
        <v>46113</v>
      </c>
      <c r="D617" s="7">
        <v>3272</v>
      </c>
      <c r="E617" s="7">
        <v>336</v>
      </c>
      <c r="F617" s="7">
        <v>4</v>
      </c>
      <c r="G617" s="7">
        <v>1</v>
      </c>
      <c r="H617" s="7">
        <v>81588</v>
      </c>
      <c r="I617" s="7" t="s">
        <v>16</v>
      </c>
      <c r="J617" s="7">
        <v>20515140</v>
      </c>
      <c r="K617" s="7" t="s">
        <v>735</v>
      </c>
      <c r="L617" s="7" t="s">
        <v>738</v>
      </c>
      <c r="M617" s="9">
        <v>139900</v>
      </c>
      <c r="N617" s="10" t="str">
        <f t="shared" si="87"/>
        <v>BXGY</v>
      </c>
      <c r="O617" s="9">
        <f t="shared" si="82"/>
        <v>34975</v>
      </c>
      <c r="P617" s="9" t="str">
        <f t="shared" si="85"/>
        <v>PERCENTAGE</v>
      </c>
    </row>
    <row r="618" spans="1:16" s="6" customFormat="1" x14ac:dyDescent="0.25">
      <c r="A618" s="7" t="str">
        <f t="shared" si="83"/>
        <v>2024 ALL D75</v>
      </c>
      <c r="B618" s="8">
        <f t="shared" si="84"/>
        <v>46104</v>
      </c>
      <c r="C618" s="8">
        <f t="shared" si="86"/>
        <v>46113</v>
      </c>
      <c r="D618" s="7">
        <v>3272</v>
      </c>
      <c r="E618" s="7">
        <v>336</v>
      </c>
      <c r="F618" s="7">
        <v>4</v>
      </c>
      <c r="G618" s="7">
        <v>1</v>
      </c>
      <c r="H618" s="7">
        <v>81588</v>
      </c>
      <c r="I618" s="7" t="s">
        <v>16</v>
      </c>
      <c r="J618" s="7">
        <v>20515159</v>
      </c>
      <c r="K618" s="7" t="s">
        <v>735</v>
      </c>
      <c r="L618" s="7" t="s">
        <v>739</v>
      </c>
      <c r="M618" s="9">
        <v>139900</v>
      </c>
      <c r="N618" s="10" t="str">
        <f t="shared" si="87"/>
        <v>BXGY</v>
      </c>
      <c r="O618" s="9">
        <f t="shared" si="82"/>
        <v>34975</v>
      </c>
      <c r="P618" s="9" t="str">
        <f t="shared" si="85"/>
        <v>PERCENTAGE</v>
      </c>
    </row>
    <row r="619" spans="1:16" s="6" customFormat="1" x14ac:dyDescent="0.25">
      <c r="A619" s="7" t="str">
        <f t="shared" si="83"/>
        <v>2024 ALL D75</v>
      </c>
      <c r="B619" s="8">
        <f t="shared" si="84"/>
        <v>46104</v>
      </c>
      <c r="C619" s="8">
        <f t="shared" si="86"/>
        <v>46113</v>
      </c>
      <c r="D619" s="7">
        <v>3272</v>
      </c>
      <c r="E619" s="7">
        <v>336</v>
      </c>
      <c r="F619" s="7">
        <v>4</v>
      </c>
      <c r="G619" s="7">
        <v>1</v>
      </c>
      <c r="H619" s="7">
        <v>81588</v>
      </c>
      <c r="I619" s="7" t="s">
        <v>16</v>
      </c>
      <c r="J619" s="7">
        <v>20515168</v>
      </c>
      <c r="K619" s="7" t="s">
        <v>735</v>
      </c>
      <c r="L619" s="7" t="s">
        <v>740</v>
      </c>
      <c r="M619" s="9">
        <v>139900</v>
      </c>
      <c r="N619" s="10" t="str">
        <f t="shared" si="87"/>
        <v>BXGY</v>
      </c>
      <c r="O619" s="9">
        <f t="shared" si="82"/>
        <v>34975</v>
      </c>
      <c r="P619" s="9" t="str">
        <f t="shared" si="85"/>
        <v>PERCENTAGE</v>
      </c>
    </row>
    <row r="620" spans="1:16" s="6" customFormat="1" x14ac:dyDescent="0.25">
      <c r="A620" s="7" t="str">
        <f t="shared" si="83"/>
        <v>2024 ALL D75</v>
      </c>
      <c r="B620" s="8">
        <f t="shared" si="84"/>
        <v>46104</v>
      </c>
      <c r="C620" s="8">
        <f t="shared" si="86"/>
        <v>46113</v>
      </c>
      <c r="D620" s="7">
        <v>3272</v>
      </c>
      <c r="E620" s="7">
        <v>336</v>
      </c>
      <c r="F620" s="7">
        <v>4</v>
      </c>
      <c r="G620" s="7">
        <v>1</v>
      </c>
      <c r="H620" s="7">
        <v>81588</v>
      </c>
      <c r="I620" s="7" t="s">
        <v>16</v>
      </c>
      <c r="J620" s="7">
        <v>20515177</v>
      </c>
      <c r="K620" s="7" t="s">
        <v>735</v>
      </c>
      <c r="L620" s="7" t="s">
        <v>741</v>
      </c>
      <c r="M620" s="9">
        <v>139900</v>
      </c>
      <c r="N620" s="10" t="str">
        <f t="shared" si="87"/>
        <v>BXGY</v>
      </c>
      <c r="O620" s="9">
        <f t="shared" si="82"/>
        <v>34975</v>
      </c>
      <c r="P620" s="9" t="str">
        <f t="shared" si="85"/>
        <v>PERCENTAGE</v>
      </c>
    </row>
    <row r="621" spans="1:16" s="6" customFormat="1" x14ac:dyDescent="0.25">
      <c r="A621" s="7" t="str">
        <f t="shared" si="83"/>
        <v>2024 ALL D75</v>
      </c>
      <c r="B621" s="8">
        <f t="shared" si="84"/>
        <v>46104</v>
      </c>
      <c r="C621" s="8">
        <f t="shared" si="86"/>
        <v>46113</v>
      </c>
      <c r="D621" s="7">
        <v>3272</v>
      </c>
      <c r="E621" s="7">
        <v>336</v>
      </c>
      <c r="F621" s="7">
        <v>4</v>
      </c>
      <c r="G621" s="7">
        <v>1</v>
      </c>
      <c r="H621" s="7">
        <v>81588</v>
      </c>
      <c r="I621" s="7" t="s">
        <v>16</v>
      </c>
      <c r="J621" s="7">
        <v>20515186</v>
      </c>
      <c r="K621" s="7" t="s">
        <v>735</v>
      </c>
      <c r="L621" s="7" t="s">
        <v>742</v>
      </c>
      <c r="M621" s="9">
        <v>139900</v>
      </c>
      <c r="N621" s="10" t="str">
        <f t="shared" si="87"/>
        <v>BXGY</v>
      </c>
      <c r="O621" s="9">
        <f t="shared" si="82"/>
        <v>34975</v>
      </c>
      <c r="P621" s="9" t="str">
        <f t="shared" si="85"/>
        <v>PERCENTAGE</v>
      </c>
    </row>
    <row r="622" spans="1:16" s="6" customFormat="1" x14ac:dyDescent="0.25">
      <c r="A622" s="7" t="str">
        <f t="shared" si="83"/>
        <v>2024 ALL D75</v>
      </c>
      <c r="B622" s="8">
        <f t="shared" si="84"/>
        <v>46104</v>
      </c>
      <c r="C622" s="8">
        <f t="shared" si="86"/>
        <v>46113</v>
      </c>
      <c r="D622" s="7">
        <v>3272</v>
      </c>
      <c r="E622" s="7">
        <v>336</v>
      </c>
      <c r="F622" s="7">
        <v>4</v>
      </c>
      <c r="G622" s="7">
        <v>1</v>
      </c>
      <c r="H622" s="7">
        <v>81588</v>
      </c>
      <c r="I622" s="7" t="s">
        <v>16</v>
      </c>
      <c r="J622" s="7">
        <v>20515195</v>
      </c>
      <c r="K622" s="7" t="s">
        <v>735</v>
      </c>
      <c r="L622" s="7" t="s">
        <v>743</v>
      </c>
      <c r="M622" s="9">
        <v>139900</v>
      </c>
      <c r="N622" s="10" t="str">
        <f t="shared" si="87"/>
        <v>BXGY</v>
      </c>
      <c r="O622" s="9">
        <f t="shared" si="82"/>
        <v>34975</v>
      </c>
      <c r="P622" s="9" t="str">
        <f t="shared" si="85"/>
        <v>PERCENTAGE</v>
      </c>
    </row>
    <row r="623" spans="1:16" s="6" customFormat="1" x14ac:dyDescent="0.25">
      <c r="A623" s="7" t="str">
        <f t="shared" si="83"/>
        <v>2024 ALL D75</v>
      </c>
      <c r="B623" s="8">
        <f t="shared" si="84"/>
        <v>46104</v>
      </c>
      <c r="C623" s="8">
        <f t="shared" si="86"/>
        <v>46113</v>
      </c>
      <c r="D623" s="7">
        <v>3272</v>
      </c>
      <c r="E623" s="7">
        <v>336</v>
      </c>
      <c r="F623" s="7">
        <v>4</v>
      </c>
      <c r="G623" s="7">
        <v>1</v>
      </c>
      <c r="H623" s="7">
        <v>81588</v>
      </c>
      <c r="I623" s="7" t="s">
        <v>16</v>
      </c>
      <c r="J623" s="7">
        <v>20515202</v>
      </c>
      <c r="K623" s="7" t="s">
        <v>744</v>
      </c>
      <c r="L623" s="7" t="s">
        <v>745</v>
      </c>
      <c r="M623" s="9">
        <v>149900</v>
      </c>
      <c r="N623" s="10" t="str">
        <f t="shared" si="87"/>
        <v>BXGY</v>
      </c>
      <c r="O623" s="9">
        <f t="shared" si="82"/>
        <v>37475</v>
      </c>
      <c r="P623" s="9" t="str">
        <f t="shared" si="85"/>
        <v>PERCENTAGE</v>
      </c>
    </row>
    <row r="624" spans="1:16" s="6" customFormat="1" x14ac:dyDescent="0.25">
      <c r="A624" s="7" t="str">
        <f t="shared" si="83"/>
        <v>2024 ALL D75</v>
      </c>
      <c r="B624" s="8">
        <f t="shared" si="84"/>
        <v>46104</v>
      </c>
      <c r="C624" s="8">
        <f t="shared" si="86"/>
        <v>46113</v>
      </c>
      <c r="D624" s="7">
        <v>3272</v>
      </c>
      <c r="E624" s="7">
        <v>336</v>
      </c>
      <c r="F624" s="7">
        <v>4</v>
      </c>
      <c r="G624" s="7">
        <v>1</v>
      </c>
      <c r="H624" s="7">
        <v>81588</v>
      </c>
      <c r="I624" s="7" t="s">
        <v>16</v>
      </c>
      <c r="J624" s="7">
        <v>20515211</v>
      </c>
      <c r="K624" s="7" t="s">
        <v>744</v>
      </c>
      <c r="L624" s="7" t="s">
        <v>746</v>
      </c>
      <c r="M624" s="9">
        <v>149900</v>
      </c>
      <c r="N624" s="10" t="str">
        <f t="shared" si="87"/>
        <v>BXGY</v>
      </c>
      <c r="O624" s="9">
        <f t="shared" si="82"/>
        <v>37475</v>
      </c>
      <c r="P624" s="9" t="str">
        <f t="shared" si="85"/>
        <v>PERCENTAGE</v>
      </c>
    </row>
    <row r="625" spans="1:16" s="6" customFormat="1" x14ac:dyDescent="0.25">
      <c r="A625" s="7" t="str">
        <f t="shared" si="83"/>
        <v>2024 ALL D75</v>
      </c>
      <c r="B625" s="8">
        <f t="shared" si="84"/>
        <v>46104</v>
      </c>
      <c r="C625" s="8">
        <f t="shared" si="86"/>
        <v>46113</v>
      </c>
      <c r="D625" s="7">
        <v>3272</v>
      </c>
      <c r="E625" s="7">
        <v>336</v>
      </c>
      <c r="F625" s="7">
        <v>4</v>
      </c>
      <c r="G625" s="7">
        <v>1</v>
      </c>
      <c r="H625" s="7">
        <v>81588</v>
      </c>
      <c r="I625" s="7" t="s">
        <v>16</v>
      </c>
      <c r="J625" s="7">
        <v>20515220</v>
      </c>
      <c r="K625" s="7" t="s">
        <v>744</v>
      </c>
      <c r="L625" s="7" t="s">
        <v>747</v>
      </c>
      <c r="M625" s="9">
        <v>149900</v>
      </c>
      <c r="N625" s="10" t="str">
        <f t="shared" si="87"/>
        <v>BXGY</v>
      </c>
      <c r="O625" s="9">
        <f t="shared" si="82"/>
        <v>37475</v>
      </c>
      <c r="P625" s="9" t="str">
        <f t="shared" si="85"/>
        <v>PERCENTAGE</v>
      </c>
    </row>
    <row r="626" spans="1:16" s="6" customFormat="1" x14ac:dyDescent="0.25">
      <c r="A626" s="7" t="str">
        <f t="shared" si="83"/>
        <v>2024 ALL D75</v>
      </c>
      <c r="B626" s="8">
        <f t="shared" si="84"/>
        <v>46104</v>
      </c>
      <c r="C626" s="8">
        <f t="shared" si="86"/>
        <v>46113</v>
      </c>
      <c r="D626" s="7">
        <v>3272</v>
      </c>
      <c r="E626" s="7">
        <v>336</v>
      </c>
      <c r="F626" s="7">
        <v>4</v>
      </c>
      <c r="G626" s="7">
        <v>1</v>
      </c>
      <c r="H626" s="7">
        <v>81588</v>
      </c>
      <c r="I626" s="7" t="s">
        <v>16</v>
      </c>
      <c r="J626" s="7">
        <v>20515239</v>
      </c>
      <c r="K626" s="7" t="s">
        <v>744</v>
      </c>
      <c r="L626" s="7" t="s">
        <v>748</v>
      </c>
      <c r="M626" s="9">
        <v>149900</v>
      </c>
      <c r="N626" s="10" t="str">
        <f t="shared" si="87"/>
        <v>BXGY</v>
      </c>
      <c r="O626" s="9">
        <f t="shared" si="82"/>
        <v>37475</v>
      </c>
      <c r="P626" s="9" t="str">
        <f t="shared" si="85"/>
        <v>PERCENTAGE</v>
      </c>
    </row>
    <row r="627" spans="1:16" s="6" customFormat="1" x14ac:dyDescent="0.25">
      <c r="A627" s="7" t="str">
        <f t="shared" si="83"/>
        <v>2024 ALL D75</v>
      </c>
      <c r="B627" s="8">
        <f t="shared" si="84"/>
        <v>46104</v>
      </c>
      <c r="C627" s="8">
        <f t="shared" si="86"/>
        <v>46113</v>
      </c>
      <c r="D627" s="7">
        <v>3272</v>
      </c>
      <c r="E627" s="7">
        <v>336</v>
      </c>
      <c r="F627" s="7">
        <v>4</v>
      </c>
      <c r="G627" s="7">
        <v>1</v>
      </c>
      <c r="H627" s="7">
        <v>81588</v>
      </c>
      <c r="I627" s="7" t="s">
        <v>16</v>
      </c>
      <c r="J627" s="7">
        <v>20515248</v>
      </c>
      <c r="K627" s="7" t="s">
        <v>744</v>
      </c>
      <c r="L627" s="7" t="s">
        <v>749</v>
      </c>
      <c r="M627" s="9">
        <v>149900</v>
      </c>
      <c r="N627" s="10" t="str">
        <f t="shared" si="87"/>
        <v>BXGY</v>
      </c>
      <c r="O627" s="9">
        <f t="shared" si="82"/>
        <v>37475</v>
      </c>
      <c r="P627" s="9" t="str">
        <f t="shared" si="85"/>
        <v>PERCENTAGE</v>
      </c>
    </row>
    <row r="628" spans="1:16" s="6" customFormat="1" x14ac:dyDescent="0.25">
      <c r="A628" s="7" t="str">
        <f t="shared" si="83"/>
        <v>2024 ALL D75</v>
      </c>
      <c r="B628" s="8">
        <f t="shared" si="84"/>
        <v>46104</v>
      </c>
      <c r="C628" s="8">
        <f t="shared" ref="C628:C659" si="88">C627</f>
        <v>46113</v>
      </c>
      <c r="D628" s="7">
        <v>3272</v>
      </c>
      <c r="E628" s="7">
        <v>336</v>
      </c>
      <c r="F628" s="7">
        <v>4</v>
      </c>
      <c r="G628" s="7">
        <v>1</v>
      </c>
      <c r="H628" s="7">
        <v>81588</v>
      </c>
      <c r="I628" s="7" t="s">
        <v>16</v>
      </c>
      <c r="J628" s="7">
        <v>20515257</v>
      </c>
      <c r="K628" s="7" t="s">
        <v>744</v>
      </c>
      <c r="L628" s="7" t="s">
        <v>750</v>
      </c>
      <c r="M628" s="9">
        <v>149900</v>
      </c>
      <c r="N628" s="10" t="str">
        <f t="shared" ref="N628:N659" si="89">N627</f>
        <v>BXGY</v>
      </c>
      <c r="O628" s="9">
        <f t="shared" si="82"/>
        <v>37475</v>
      </c>
      <c r="P628" s="9" t="str">
        <f t="shared" si="85"/>
        <v>PERCENTAGE</v>
      </c>
    </row>
    <row r="629" spans="1:16" s="6" customFormat="1" x14ac:dyDescent="0.25">
      <c r="A629" s="7" t="str">
        <f t="shared" si="83"/>
        <v>2024 ALL D75</v>
      </c>
      <c r="B629" s="8">
        <f t="shared" si="84"/>
        <v>46104</v>
      </c>
      <c r="C629" s="8">
        <f t="shared" si="88"/>
        <v>46113</v>
      </c>
      <c r="D629" s="7">
        <v>3272</v>
      </c>
      <c r="E629" s="7">
        <v>336</v>
      </c>
      <c r="F629" s="7">
        <v>4</v>
      </c>
      <c r="G629" s="7">
        <v>1</v>
      </c>
      <c r="H629" s="7">
        <v>81588</v>
      </c>
      <c r="I629" s="7" t="s">
        <v>16</v>
      </c>
      <c r="J629" s="7">
        <v>20515266</v>
      </c>
      <c r="K629" s="7" t="s">
        <v>744</v>
      </c>
      <c r="L629" s="7" t="s">
        <v>751</v>
      </c>
      <c r="M629" s="9">
        <v>149900</v>
      </c>
      <c r="N629" s="10" t="str">
        <f t="shared" si="89"/>
        <v>BXGY</v>
      </c>
      <c r="O629" s="9">
        <f t="shared" si="82"/>
        <v>37475</v>
      </c>
      <c r="P629" s="9" t="str">
        <f t="shared" si="85"/>
        <v>PERCENTAGE</v>
      </c>
    </row>
    <row r="630" spans="1:16" s="6" customFormat="1" x14ac:dyDescent="0.25">
      <c r="A630" s="7" t="str">
        <f t="shared" si="83"/>
        <v>2024 ALL D75</v>
      </c>
      <c r="B630" s="8">
        <f t="shared" si="84"/>
        <v>46104</v>
      </c>
      <c r="C630" s="8">
        <f t="shared" si="88"/>
        <v>46113</v>
      </c>
      <c r="D630" s="7">
        <v>3272</v>
      </c>
      <c r="E630" s="7">
        <v>336</v>
      </c>
      <c r="F630" s="7">
        <v>4</v>
      </c>
      <c r="G630" s="7">
        <v>1</v>
      </c>
      <c r="H630" s="7">
        <v>81588</v>
      </c>
      <c r="I630" s="7" t="s">
        <v>16</v>
      </c>
      <c r="J630" s="7">
        <v>20515275</v>
      </c>
      <c r="K630" s="7" t="s">
        <v>744</v>
      </c>
      <c r="L630" s="7" t="s">
        <v>752</v>
      </c>
      <c r="M630" s="9">
        <v>149900</v>
      </c>
      <c r="N630" s="10" t="str">
        <f t="shared" si="89"/>
        <v>BXGY</v>
      </c>
      <c r="O630" s="9">
        <f t="shared" si="82"/>
        <v>37475</v>
      </c>
      <c r="P630" s="9" t="str">
        <f t="shared" si="85"/>
        <v>PERCENTAGE</v>
      </c>
    </row>
    <row r="631" spans="1:16" s="6" customFormat="1" x14ac:dyDescent="0.25">
      <c r="A631" s="7" t="str">
        <f t="shared" si="83"/>
        <v>2024 ALL D75</v>
      </c>
      <c r="B631" s="8">
        <f t="shared" si="84"/>
        <v>46104</v>
      </c>
      <c r="C631" s="8">
        <f t="shared" si="88"/>
        <v>46113</v>
      </c>
      <c r="D631" s="7">
        <v>3272</v>
      </c>
      <c r="E631" s="7">
        <v>336</v>
      </c>
      <c r="F631" s="7">
        <v>4</v>
      </c>
      <c r="G631" s="7">
        <v>4</v>
      </c>
      <c r="H631" s="7">
        <v>81588</v>
      </c>
      <c r="I631" s="7" t="s">
        <v>16</v>
      </c>
      <c r="J631" s="7">
        <v>20514945</v>
      </c>
      <c r="K631" s="7" t="s">
        <v>753</v>
      </c>
      <c r="L631" s="7" t="s">
        <v>754</v>
      </c>
      <c r="M631" s="9">
        <v>159900</v>
      </c>
      <c r="N631" s="10" t="str">
        <f t="shared" si="89"/>
        <v>BXGY</v>
      </c>
      <c r="O631" s="9">
        <f t="shared" si="82"/>
        <v>39975</v>
      </c>
      <c r="P631" s="9" t="str">
        <f t="shared" si="85"/>
        <v>PERCENTAGE</v>
      </c>
    </row>
    <row r="632" spans="1:16" s="6" customFormat="1" x14ac:dyDescent="0.25">
      <c r="A632" s="7" t="str">
        <f t="shared" si="83"/>
        <v>2024 ALL D75</v>
      </c>
      <c r="B632" s="8">
        <f t="shared" si="84"/>
        <v>46104</v>
      </c>
      <c r="C632" s="8">
        <f t="shared" si="88"/>
        <v>46113</v>
      </c>
      <c r="D632" s="7">
        <v>3272</v>
      </c>
      <c r="E632" s="7">
        <v>336</v>
      </c>
      <c r="F632" s="7">
        <v>4</v>
      </c>
      <c r="G632" s="7">
        <v>4</v>
      </c>
      <c r="H632" s="7">
        <v>81588</v>
      </c>
      <c r="I632" s="7" t="s">
        <v>16</v>
      </c>
      <c r="J632" s="7">
        <v>20514963</v>
      </c>
      <c r="K632" s="7" t="s">
        <v>753</v>
      </c>
      <c r="L632" s="7" t="s">
        <v>755</v>
      </c>
      <c r="M632" s="9">
        <v>159900</v>
      </c>
      <c r="N632" s="10" t="str">
        <f t="shared" si="89"/>
        <v>BXGY</v>
      </c>
      <c r="O632" s="9">
        <f t="shared" si="82"/>
        <v>39975</v>
      </c>
      <c r="P632" s="9" t="str">
        <f t="shared" si="85"/>
        <v>PERCENTAGE</v>
      </c>
    </row>
    <row r="633" spans="1:16" s="6" customFormat="1" x14ac:dyDescent="0.25">
      <c r="A633" s="7" t="str">
        <f t="shared" si="83"/>
        <v>2024 ALL D75</v>
      </c>
      <c r="B633" s="8">
        <f t="shared" si="84"/>
        <v>46104</v>
      </c>
      <c r="C633" s="8">
        <f t="shared" si="88"/>
        <v>46113</v>
      </c>
      <c r="D633" s="7">
        <v>3272</v>
      </c>
      <c r="E633" s="7">
        <v>336</v>
      </c>
      <c r="F633" s="7">
        <v>4</v>
      </c>
      <c r="G633" s="7">
        <v>4</v>
      </c>
      <c r="H633" s="7">
        <v>81588</v>
      </c>
      <c r="I633" s="7" t="s">
        <v>16</v>
      </c>
      <c r="J633" s="7">
        <v>20514972</v>
      </c>
      <c r="K633" s="7" t="s">
        <v>753</v>
      </c>
      <c r="L633" s="7" t="s">
        <v>756</v>
      </c>
      <c r="M633" s="9">
        <v>159900</v>
      </c>
      <c r="N633" s="10" t="str">
        <f t="shared" si="89"/>
        <v>BXGY</v>
      </c>
      <c r="O633" s="9">
        <f t="shared" si="82"/>
        <v>39975</v>
      </c>
      <c r="P633" s="9" t="str">
        <f t="shared" si="85"/>
        <v>PERCENTAGE</v>
      </c>
    </row>
    <row r="634" spans="1:16" s="6" customFormat="1" x14ac:dyDescent="0.25">
      <c r="A634" s="7" t="str">
        <f t="shared" si="83"/>
        <v>2024 ALL D75</v>
      </c>
      <c r="B634" s="8">
        <f t="shared" si="84"/>
        <v>46104</v>
      </c>
      <c r="C634" s="8">
        <f t="shared" si="88"/>
        <v>46113</v>
      </c>
      <c r="D634" s="7">
        <v>3272</v>
      </c>
      <c r="E634" s="7">
        <v>336</v>
      </c>
      <c r="F634" s="7">
        <v>4</v>
      </c>
      <c r="G634" s="7">
        <v>4</v>
      </c>
      <c r="H634" s="7">
        <v>81588</v>
      </c>
      <c r="I634" s="7" t="s">
        <v>16</v>
      </c>
      <c r="J634" s="7">
        <v>20514981</v>
      </c>
      <c r="K634" s="7" t="s">
        <v>753</v>
      </c>
      <c r="L634" s="7" t="s">
        <v>757</v>
      </c>
      <c r="M634" s="9">
        <v>159900</v>
      </c>
      <c r="N634" s="10" t="str">
        <f t="shared" si="89"/>
        <v>BXGY</v>
      </c>
      <c r="O634" s="9">
        <f t="shared" si="82"/>
        <v>39975</v>
      </c>
      <c r="P634" s="9" t="str">
        <f t="shared" si="85"/>
        <v>PERCENTAGE</v>
      </c>
    </row>
    <row r="635" spans="1:16" s="6" customFormat="1" x14ac:dyDescent="0.25">
      <c r="A635" s="7" t="str">
        <f t="shared" si="83"/>
        <v>2024 ALL D75</v>
      </c>
      <c r="B635" s="8">
        <f t="shared" si="84"/>
        <v>46104</v>
      </c>
      <c r="C635" s="8">
        <f t="shared" si="88"/>
        <v>46113</v>
      </c>
      <c r="D635" s="7">
        <v>3272</v>
      </c>
      <c r="E635" s="7">
        <v>336</v>
      </c>
      <c r="F635" s="7">
        <v>4</v>
      </c>
      <c r="G635" s="7">
        <v>4</v>
      </c>
      <c r="H635" s="7">
        <v>81588</v>
      </c>
      <c r="I635" s="7" t="s">
        <v>16</v>
      </c>
      <c r="J635" s="7">
        <v>20514990</v>
      </c>
      <c r="K635" s="7" t="s">
        <v>753</v>
      </c>
      <c r="L635" s="7" t="s">
        <v>758</v>
      </c>
      <c r="M635" s="9">
        <v>159900</v>
      </c>
      <c r="N635" s="10" t="str">
        <f t="shared" si="89"/>
        <v>BXGY</v>
      </c>
      <c r="O635" s="9">
        <f t="shared" si="82"/>
        <v>39975</v>
      </c>
      <c r="P635" s="9" t="str">
        <f t="shared" si="85"/>
        <v>PERCENTAGE</v>
      </c>
    </row>
    <row r="636" spans="1:16" s="6" customFormat="1" x14ac:dyDescent="0.25">
      <c r="A636" s="7" t="str">
        <f t="shared" si="83"/>
        <v>2024 ALL D75</v>
      </c>
      <c r="B636" s="8">
        <f t="shared" si="84"/>
        <v>46104</v>
      </c>
      <c r="C636" s="8">
        <f t="shared" si="88"/>
        <v>46113</v>
      </c>
      <c r="D636" s="7">
        <v>3272</v>
      </c>
      <c r="E636" s="7">
        <v>336</v>
      </c>
      <c r="F636" s="7">
        <v>4</v>
      </c>
      <c r="G636" s="7">
        <v>4</v>
      </c>
      <c r="H636" s="7">
        <v>81588</v>
      </c>
      <c r="I636" s="7" t="s">
        <v>16</v>
      </c>
      <c r="J636" s="7">
        <v>20515006</v>
      </c>
      <c r="K636" s="7" t="s">
        <v>753</v>
      </c>
      <c r="L636" s="7" t="s">
        <v>759</v>
      </c>
      <c r="M636" s="9">
        <v>159900</v>
      </c>
      <c r="N636" s="10" t="str">
        <f t="shared" si="89"/>
        <v>BXGY</v>
      </c>
      <c r="O636" s="9">
        <f t="shared" si="82"/>
        <v>39975</v>
      </c>
      <c r="P636" s="9" t="str">
        <f t="shared" si="85"/>
        <v>PERCENTAGE</v>
      </c>
    </row>
    <row r="637" spans="1:16" s="6" customFormat="1" x14ac:dyDescent="0.25">
      <c r="A637" s="7" t="str">
        <f t="shared" si="83"/>
        <v>2024 ALL D75</v>
      </c>
      <c r="B637" s="8">
        <f t="shared" si="84"/>
        <v>46104</v>
      </c>
      <c r="C637" s="8">
        <f t="shared" si="88"/>
        <v>46113</v>
      </c>
      <c r="D637" s="7">
        <v>3272</v>
      </c>
      <c r="E637" s="7">
        <v>336</v>
      </c>
      <c r="F637" s="7">
        <v>4</v>
      </c>
      <c r="G637" s="7">
        <v>4</v>
      </c>
      <c r="H637" s="7">
        <v>81588</v>
      </c>
      <c r="I637" s="7" t="s">
        <v>16</v>
      </c>
      <c r="J637" s="7">
        <v>20515015</v>
      </c>
      <c r="K637" s="7" t="s">
        <v>753</v>
      </c>
      <c r="L637" s="7" t="s">
        <v>760</v>
      </c>
      <c r="M637" s="9">
        <v>159900</v>
      </c>
      <c r="N637" s="10" t="str">
        <f t="shared" si="89"/>
        <v>BXGY</v>
      </c>
      <c r="O637" s="9">
        <f t="shared" si="82"/>
        <v>39975</v>
      </c>
      <c r="P637" s="9" t="str">
        <f t="shared" si="85"/>
        <v>PERCENTAGE</v>
      </c>
    </row>
    <row r="638" spans="1:16" s="6" customFormat="1" x14ac:dyDescent="0.25">
      <c r="A638" s="7" t="str">
        <f t="shared" si="83"/>
        <v>2024 ALL D75</v>
      </c>
      <c r="B638" s="8">
        <f t="shared" si="84"/>
        <v>46104</v>
      </c>
      <c r="C638" s="8">
        <f t="shared" si="88"/>
        <v>46113</v>
      </c>
      <c r="D638" s="7">
        <v>3272</v>
      </c>
      <c r="E638" s="7">
        <v>336</v>
      </c>
      <c r="F638" s="7">
        <v>4</v>
      </c>
      <c r="G638" s="7">
        <v>4</v>
      </c>
      <c r="H638" s="7">
        <v>81588</v>
      </c>
      <c r="I638" s="7" t="s">
        <v>16</v>
      </c>
      <c r="J638" s="7">
        <v>20515024</v>
      </c>
      <c r="K638" s="7" t="s">
        <v>753</v>
      </c>
      <c r="L638" s="7" t="s">
        <v>761</v>
      </c>
      <c r="M638" s="9">
        <v>159900</v>
      </c>
      <c r="N638" s="10" t="str">
        <f t="shared" si="89"/>
        <v>BXGY</v>
      </c>
      <c r="O638" s="9">
        <f t="shared" si="82"/>
        <v>39975</v>
      </c>
      <c r="P638" s="9" t="str">
        <f t="shared" si="85"/>
        <v>PERCENTAGE</v>
      </c>
    </row>
    <row r="639" spans="1:16" s="6" customFormat="1" x14ac:dyDescent="0.25">
      <c r="A639" s="7" t="str">
        <f t="shared" si="83"/>
        <v>2024 ALL D75</v>
      </c>
      <c r="B639" s="8">
        <f t="shared" si="84"/>
        <v>46104</v>
      </c>
      <c r="C639" s="8">
        <f t="shared" si="88"/>
        <v>46113</v>
      </c>
      <c r="D639" s="7">
        <v>3272</v>
      </c>
      <c r="E639" s="7">
        <v>336</v>
      </c>
      <c r="F639" s="7">
        <v>4</v>
      </c>
      <c r="G639" s="7">
        <v>5</v>
      </c>
      <c r="H639" s="7">
        <v>81588</v>
      </c>
      <c r="I639" s="7" t="s">
        <v>16</v>
      </c>
      <c r="J639" s="7">
        <v>20515033</v>
      </c>
      <c r="K639" s="7" t="s">
        <v>762</v>
      </c>
      <c r="L639" s="7" t="s">
        <v>763</v>
      </c>
      <c r="M639" s="9">
        <v>239900</v>
      </c>
      <c r="N639" s="10" t="str">
        <f t="shared" si="89"/>
        <v>BXGY</v>
      </c>
      <c r="O639" s="9">
        <f t="shared" si="82"/>
        <v>59975</v>
      </c>
      <c r="P639" s="9" t="str">
        <f t="shared" si="85"/>
        <v>PERCENTAGE</v>
      </c>
    </row>
    <row r="640" spans="1:16" s="6" customFormat="1" x14ac:dyDescent="0.25">
      <c r="A640" s="7" t="str">
        <f t="shared" si="83"/>
        <v>2024 ALL D75</v>
      </c>
      <c r="B640" s="8">
        <f t="shared" si="84"/>
        <v>46104</v>
      </c>
      <c r="C640" s="8">
        <f t="shared" si="88"/>
        <v>46113</v>
      </c>
      <c r="D640" s="7">
        <v>3272</v>
      </c>
      <c r="E640" s="7">
        <v>336</v>
      </c>
      <c r="F640" s="7">
        <v>4</v>
      </c>
      <c r="G640" s="7">
        <v>5</v>
      </c>
      <c r="H640" s="7">
        <v>81588</v>
      </c>
      <c r="I640" s="7" t="s">
        <v>16</v>
      </c>
      <c r="J640" s="7">
        <v>20515042</v>
      </c>
      <c r="K640" s="7" t="s">
        <v>762</v>
      </c>
      <c r="L640" s="7" t="s">
        <v>764</v>
      </c>
      <c r="M640" s="9">
        <v>239900</v>
      </c>
      <c r="N640" s="10" t="str">
        <f t="shared" si="89"/>
        <v>BXGY</v>
      </c>
      <c r="O640" s="9">
        <f t="shared" si="82"/>
        <v>59975</v>
      </c>
      <c r="P640" s="9" t="str">
        <f t="shared" si="85"/>
        <v>PERCENTAGE</v>
      </c>
    </row>
    <row r="641" spans="1:16" s="6" customFormat="1" x14ac:dyDescent="0.25">
      <c r="A641" s="7" t="str">
        <f t="shared" si="83"/>
        <v>2024 ALL D75</v>
      </c>
      <c r="B641" s="8">
        <f t="shared" si="84"/>
        <v>46104</v>
      </c>
      <c r="C641" s="8">
        <f t="shared" si="88"/>
        <v>46113</v>
      </c>
      <c r="D641" s="7">
        <v>3272</v>
      </c>
      <c r="E641" s="7">
        <v>336</v>
      </c>
      <c r="F641" s="7">
        <v>4</v>
      </c>
      <c r="G641" s="7">
        <v>5</v>
      </c>
      <c r="H641" s="7">
        <v>81588</v>
      </c>
      <c r="I641" s="7" t="s">
        <v>16</v>
      </c>
      <c r="J641" s="7">
        <v>20515051</v>
      </c>
      <c r="K641" s="7" t="s">
        <v>762</v>
      </c>
      <c r="L641" s="7" t="s">
        <v>765</v>
      </c>
      <c r="M641" s="9">
        <v>239900</v>
      </c>
      <c r="N641" s="10" t="str">
        <f t="shared" si="89"/>
        <v>BXGY</v>
      </c>
      <c r="O641" s="9">
        <f t="shared" si="82"/>
        <v>59975</v>
      </c>
      <c r="P641" s="9" t="str">
        <f t="shared" si="85"/>
        <v>PERCENTAGE</v>
      </c>
    </row>
    <row r="642" spans="1:16" s="6" customFormat="1" x14ac:dyDescent="0.25">
      <c r="A642" s="7" t="str">
        <f t="shared" si="83"/>
        <v>2024 ALL D75</v>
      </c>
      <c r="B642" s="8">
        <f t="shared" si="84"/>
        <v>46104</v>
      </c>
      <c r="C642" s="8">
        <f t="shared" si="88"/>
        <v>46113</v>
      </c>
      <c r="D642" s="7">
        <v>3272</v>
      </c>
      <c r="E642" s="7">
        <v>336</v>
      </c>
      <c r="F642" s="7">
        <v>4</v>
      </c>
      <c r="G642" s="7">
        <v>5</v>
      </c>
      <c r="H642" s="7">
        <v>81588</v>
      </c>
      <c r="I642" s="7" t="s">
        <v>16</v>
      </c>
      <c r="J642" s="7">
        <v>20515060</v>
      </c>
      <c r="K642" s="7" t="s">
        <v>762</v>
      </c>
      <c r="L642" s="7" t="s">
        <v>766</v>
      </c>
      <c r="M642" s="9">
        <v>239900</v>
      </c>
      <c r="N642" s="10" t="str">
        <f t="shared" si="89"/>
        <v>BXGY</v>
      </c>
      <c r="O642" s="9">
        <f t="shared" si="82"/>
        <v>59975</v>
      </c>
      <c r="P642" s="9" t="str">
        <f t="shared" si="85"/>
        <v>PERCENTAGE</v>
      </c>
    </row>
    <row r="643" spans="1:16" s="6" customFormat="1" x14ac:dyDescent="0.25">
      <c r="A643" s="7" t="str">
        <f t="shared" si="83"/>
        <v>2024 ALL D75</v>
      </c>
      <c r="B643" s="8">
        <f t="shared" si="84"/>
        <v>46104</v>
      </c>
      <c r="C643" s="8">
        <f t="shared" si="88"/>
        <v>46113</v>
      </c>
      <c r="D643" s="7">
        <v>3272</v>
      </c>
      <c r="E643" s="7">
        <v>336</v>
      </c>
      <c r="F643" s="7">
        <v>4</v>
      </c>
      <c r="G643" s="7">
        <v>5</v>
      </c>
      <c r="H643" s="7">
        <v>81588</v>
      </c>
      <c r="I643" s="7" t="s">
        <v>16</v>
      </c>
      <c r="J643" s="7">
        <v>20515079</v>
      </c>
      <c r="K643" s="7" t="s">
        <v>762</v>
      </c>
      <c r="L643" s="7" t="s">
        <v>767</v>
      </c>
      <c r="M643" s="9">
        <v>239900</v>
      </c>
      <c r="N643" s="10" t="str">
        <f t="shared" si="89"/>
        <v>BXGY</v>
      </c>
      <c r="O643" s="9">
        <f t="shared" ref="O643:O706" si="90">M643-((75*M643))/100</f>
        <v>59975</v>
      </c>
      <c r="P643" s="9" t="str">
        <f t="shared" si="85"/>
        <v>PERCENTAGE</v>
      </c>
    </row>
    <row r="644" spans="1:16" s="6" customFormat="1" x14ac:dyDescent="0.25">
      <c r="A644" s="7" t="str">
        <f t="shared" ref="A644:A707" si="91">A643</f>
        <v>2024 ALL D75</v>
      </c>
      <c r="B644" s="8">
        <f t="shared" ref="B644:B707" si="92">B643</f>
        <v>46104</v>
      </c>
      <c r="C644" s="8">
        <f t="shared" si="88"/>
        <v>46113</v>
      </c>
      <c r="D644" s="7">
        <v>3272</v>
      </c>
      <c r="E644" s="7">
        <v>336</v>
      </c>
      <c r="F644" s="7">
        <v>4</v>
      </c>
      <c r="G644" s="7">
        <v>5</v>
      </c>
      <c r="H644" s="7">
        <v>81588</v>
      </c>
      <c r="I644" s="7" t="s">
        <v>16</v>
      </c>
      <c r="J644" s="7">
        <v>20515088</v>
      </c>
      <c r="K644" s="7" t="s">
        <v>762</v>
      </c>
      <c r="L644" s="7" t="s">
        <v>768</v>
      </c>
      <c r="M644" s="9">
        <v>239900</v>
      </c>
      <c r="N644" s="10" t="str">
        <f t="shared" si="89"/>
        <v>BXGY</v>
      </c>
      <c r="O644" s="9">
        <f t="shared" si="90"/>
        <v>59975</v>
      </c>
      <c r="P644" s="9" t="str">
        <f t="shared" ref="P644:P707" si="93">P643</f>
        <v>PERCENTAGE</v>
      </c>
    </row>
    <row r="645" spans="1:16" s="6" customFormat="1" x14ac:dyDescent="0.25">
      <c r="A645" s="7" t="str">
        <f t="shared" si="91"/>
        <v>2024 ALL D75</v>
      </c>
      <c r="B645" s="8">
        <f t="shared" si="92"/>
        <v>46104</v>
      </c>
      <c r="C645" s="8">
        <f t="shared" si="88"/>
        <v>46113</v>
      </c>
      <c r="D645" s="7">
        <v>3272</v>
      </c>
      <c r="E645" s="7">
        <v>336</v>
      </c>
      <c r="F645" s="7">
        <v>4</v>
      </c>
      <c r="G645" s="7">
        <v>5</v>
      </c>
      <c r="H645" s="7">
        <v>81588</v>
      </c>
      <c r="I645" s="7" t="s">
        <v>16</v>
      </c>
      <c r="J645" s="7">
        <v>20515097</v>
      </c>
      <c r="K645" s="7" t="s">
        <v>762</v>
      </c>
      <c r="L645" s="7" t="s">
        <v>769</v>
      </c>
      <c r="M645" s="9">
        <v>239900</v>
      </c>
      <c r="N645" s="10" t="str">
        <f t="shared" si="89"/>
        <v>BXGY</v>
      </c>
      <c r="O645" s="9">
        <f t="shared" si="90"/>
        <v>59975</v>
      </c>
      <c r="P645" s="9" t="str">
        <f t="shared" si="93"/>
        <v>PERCENTAGE</v>
      </c>
    </row>
    <row r="646" spans="1:16" s="6" customFormat="1" x14ac:dyDescent="0.25">
      <c r="A646" s="7" t="str">
        <f t="shared" si="91"/>
        <v>2024 ALL D75</v>
      </c>
      <c r="B646" s="8">
        <f t="shared" si="92"/>
        <v>46104</v>
      </c>
      <c r="C646" s="8">
        <f t="shared" si="88"/>
        <v>46113</v>
      </c>
      <c r="D646" s="7">
        <v>3272</v>
      </c>
      <c r="E646" s="7">
        <v>336</v>
      </c>
      <c r="F646" s="7">
        <v>4</v>
      </c>
      <c r="G646" s="7">
        <v>5</v>
      </c>
      <c r="H646" s="7">
        <v>81588</v>
      </c>
      <c r="I646" s="7" t="s">
        <v>16</v>
      </c>
      <c r="J646" s="7">
        <v>20515104</v>
      </c>
      <c r="K646" s="7" t="s">
        <v>762</v>
      </c>
      <c r="L646" s="7" t="s">
        <v>770</v>
      </c>
      <c r="M646" s="9">
        <v>239900</v>
      </c>
      <c r="N646" s="10" t="str">
        <f t="shared" si="89"/>
        <v>BXGY</v>
      </c>
      <c r="O646" s="9">
        <f t="shared" si="90"/>
        <v>59975</v>
      </c>
      <c r="P646" s="9" t="str">
        <f t="shared" si="93"/>
        <v>PERCENTAGE</v>
      </c>
    </row>
    <row r="647" spans="1:16" s="6" customFormat="1" x14ac:dyDescent="0.25">
      <c r="A647" s="7" t="str">
        <f t="shared" si="91"/>
        <v>2024 ALL D75</v>
      </c>
      <c r="B647" s="8">
        <f t="shared" si="92"/>
        <v>46104</v>
      </c>
      <c r="C647" s="8">
        <f t="shared" si="88"/>
        <v>46113</v>
      </c>
      <c r="D647" s="7">
        <v>3272</v>
      </c>
      <c r="E647" s="7">
        <v>336</v>
      </c>
      <c r="F647" s="7">
        <v>4</v>
      </c>
      <c r="G647" s="7">
        <v>1</v>
      </c>
      <c r="H647" s="7">
        <v>81676</v>
      </c>
      <c r="I647" s="7" t="s">
        <v>16</v>
      </c>
      <c r="J647" s="7">
        <v>15499428</v>
      </c>
      <c r="K647" s="7" t="s">
        <v>771</v>
      </c>
      <c r="L647" s="7" t="s">
        <v>772</v>
      </c>
      <c r="M647" s="9">
        <v>139900</v>
      </c>
      <c r="N647" s="10" t="str">
        <f t="shared" si="89"/>
        <v>BXGY</v>
      </c>
      <c r="O647" s="9">
        <f t="shared" si="90"/>
        <v>34975</v>
      </c>
      <c r="P647" s="9" t="str">
        <f t="shared" si="93"/>
        <v>PERCENTAGE</v>
      </c>
    </row>
    <row r="648" spans="1:16" s="6" customFormat="1" x14ac:dyDescent="0.25">
      <c r="A648" s="7" t="str">
        <f t="shared" si="91"/>
        <v>2024 ALL D75</v>
      </c>
      <c r="B648" s="8">
        <f t="shared" si="92"/>
        <v>46104</v>
      </c>
      <c r="C648" s="8">
        <f t="shared" si="88"/>
        <v>46113</v>
      </c>
      <c r="D648" s="7">
        <v>3272</v>
      </c>
      <c r="E648" s="7">
        <v>336</v>
      </c>
      <c r="F648" s="7">
        <v>4</v>
      </c>
      <c r="G648" s="7">
        <v>1</v>
      </c>
      <c r="H648" s="7">
        <v>81676</v>
      </c>
      <c r="I648" s="7" t="s">
        <v>16</v>
      </c>
      <c r="J648" s="7">
        <v>15499437</v>
      </c>
      <c r="K648" s="7" t="s">
        <v>771</v>
      </c>
      <c r="L648" s="7" t="s">
        <v>773</v>
      </c>
      <c r="M648" s="9">
        <v>139900</v>
      </c>
      <c r="N648" s="10" t="str">
        <f t="shared" si="89"/>
        <v>BXGY</v>
      </c>
      <c r="O648" s="9">
        <f t="shared" si="90"/>
        <v>34975</v>
      </c>
      <c r="P648" s="9" t="str">
        <f t="shared" si="93"/>
        <v>PERCENTAGE</v>
      </c>
    </row>
    <row r="649" spans="1:16" s="6" customFormat="1" x14ac:dyDescent="0.25">
      <c r="A649" s="7" t="str">
        <f t="shared" si="91"/>
        <v>2024 ALL D75</v>
      </c>
      <c r="B649" s="8">
        <f t="shared" si="92"/>
        <v>46104</v>
      </c>
      <c r="C649" s="8">
        <f t="shared" si="88"/>
        <v>46113</v>
      </c>
      <c r="D649" s="7">
        <v>3272</v>
      </c>
      <c r="E649" s="7">
        <v>336</v>
      </c>
      <c r="F649" s="7">
        <v>4</v>
      </c>
      <c r="G649" s="7">
        <v>1</v>
      </c>
      <c r="H649" s="7">
        <v>81676</v>
      </c>
      <c r="I649" s="7" t="s">
        <v>16</v>
      </c>
      <c r="J649" s="7">
        <v>15499446</v>
      </c>
      <c r="K649" s="7" t="s">
        <v>771</v>
      </c>
      <c r="L649" s="7" t="s">
        <v>774</v>
      </c>
      <c r="M649" s="9">
        <v>139900</v>
      </c>
      <c r="N649" s="10" t="str">
        <f t="shared" si="89"/>
        <v>BXGY</v>
      </c>
      <c r="O649" s="9">
        <f t="shared" si="90"/>
        <v>34975</v>
      </c>
      <c r="P649" s="9" t="str">
        <f t="shared" si="93"/>
        <v>PERCENTAGE</v>
      </c>
    </row>
    <row r="650" spans="1:16" s="6" customFormat="1" x14ac:dyDescent="0.25">
      <c r="A650" s="7" t="str">
        <f t="shared" si="91"/>
        <v>2024 ALL D75</v>
      </c>
      <c r="B650" s="8">
        <f t="shared" si="92"/>
        <v>46104</v>
      </c>
      <c r="C650" s="8">
        <f t="shared" si="88"/>
        <v>46113</v>
      </c>
      <c r="D650" s="7">
        <v>3272</v>
      </c>
      <c r="E650" s="7">
        <v>336</v>
      </c>
      <c r="F650" s="7">
        <v>4</v>
      </c>
      <c r="G650" s="7">
        <v>1</v>
      </c>
      <c r="H650" s="7">
        <v>81676</v>
      </c>
      <c r="I650" s="7" t="s">
        <v>16</v>
      </c>
      <c r="J650" s="7">
        <v>15499455</v>
      </c>
      <c r="K650" s="7" t="s">
        <v>771</v>
      </c>
      <c r="L650" s="7" t="s">
        <v>775</v>
      </c>
      <c r="M650" s="9">
        <v>139900</v>
      </c>
      <c r="N650" s="10" t="str">
        <f t="shared" si="89"/>
        <v>BXGY</v>
      </c>
      <c r="O650" s="9">
        <f t="shared" si="90"/>
        <v>34975</v>
      </c>
      <c r="P650" s="9" t="str">
        <f t="shared" si="93"/>
        <v>PERCENTAGE</v>
      </c>
    </row>
    <row r="651" spans="1:16" s="6" customFormat="1" x14ac:dyDescent="0.25">
      <c r="A651" s="7" t="str">
        <f t="shared" si="91"/>
        <v>2024 ALL D75</v>
      </c>
      <c r="B651" s="8">
        <f t="shared" si="92"/>
        <v>46104</v>
      </c>
      <c r="C651" s="8">
        <f t="shared" si="88"/>
        <v>46113</v>
      </c>
      <c r="D651" s="7">
        <v>3272</v>
      </c>
      <c r="E651" s="7">
        <v>336</v>
      </c>
      <c r="F651" s="7">
        <v>4</v>
      </c>
      <c r="G651" s="7">
        <v>1</v>
      </c>
      <c r="H651" s="7">
        <v>81676</v>
      </c>
      <c r="I651" s="7" t="s">
        <v>16</v>
      </c>
      <c r="J651" s="7">
        <v>15499464</v>
      </c>
      <c r="K651" s="7" t="s">
        <v>771</v>
      </c>
      <c r="L651" s="7" t="s">
        <v>776</v>
      </c>
      <c r="M651" s="9">
        <v>139900</v>
      </c>
      <c r="N651" s="10" t="str">
        <f t="shared" si="89"/>
        <v>BXGY</v>
      </c>
      <c r="O651" s="9">
        <f t="shared" si="90"/>
        <v>34975</v>
      </c>
      <c r="P651" s="9" t="str">
        <f t="shared" si="93"/>
        <v>PERCENTAGE</v>
      </c>
    </row>
    <row r="652" spans="1:16" s="6" customFormat="1" x14ac:dyDescent="0.25">
      <c r="A652" s="7" t="str">
        <f t="shared" si="91"/>
        <v>2024 ALL D75</v>
      </c>
      <c r="B652" s="8">
        <f t="shared" si="92"/>
        <v>46104</v>
      </c>
      <c r="C652" s="8">
        <f t="shared" si="88"/>
        <v>46113</v>
      </c>
      <c r="D652" s="7">
        <v>3272</v>
      </c>
      <c r="E652" s="7">
        <v>336</v>
      </c>
      <c r="F652" s="7">
        <v>4</v>
      </c>
      <c r="G652" s="7">
        <v>3</v>
      </c>
      <c r="H652" s="7">
        <v>81588</v>
      </c>
      <c r="I652" s="7" t="s">
        <v>16</v>
      </c>
      <c r="J652" s="7">
        <v>20514856</v>
      </c>
      <c r="K652" s="7" t="s">
        <v>777</v>
      </c>
      <c r="L652" s="7" t="s">
        <v>778</v>
      </c>
      <c r="M652" s="9">
        <v>289900</v>
      </c>
      <c r="N652" s="10" t="str">
        <f t="shared" si="89"/>
        <v>BXGY</v>
      </c>
      <c r="O652" s="9">
        <f t="shared" si="90"/>
        <v>72475</v>
      </c>
      <c r="P652" s="9" t="str">
        <f t="shared" si="93"/>
        <v>PERCENTAGE</v>
      </c>
    </row>
    <row r="653" spans="1:16" s="6" customFormat="1" x14ac:dyDescent="0.25">
      <c r="A653" s="7" t="str">
        <f t="shared" si="91"/>
        <v>2024 ALL D75</v>
      </c>
      <c r="B653" s="8">
        <f t="shared" si="92"/>
        <v>46104</v>
      </c>
      <c r="C653" s="8">
        <f t="shared" si="88"/>
        <v>46113</v>
      </c>
      <c r="D653" s="7">
        <v>3272</v>
      </c>
      <c r="E653" s="7">
        <v>336</v>
      </c>
      <c r="F653" s="7">
        <v>4</v>
      </c>
      <c r="G653" s="7">
        <v>3</v>
      </c>
      <c r="H653" s="7">
        <v>81588</v>
      </c>
      <c r="I653" s="7" t="s">
        <v>16</v>
      </c>
      <c r="J653" s="7">
        <v>20514865</v>
      </c>
      <c r="K653" s="7" t="s">
        <v>777</v>
      </c>
      <c r="L653" s="7" t="s">
        <v>779</v>
      </c>
      <c r="M653" s="9">
        <v>289900</v>
      </c>
      <c r="N653" s="10" t="str">
        <f t="shared" si="89"/>
        <v>BXGY</v>
      </c>
      <c r="O653" s="9">
        <f t="shared" si="90"/>
        <v>72475</v>
      </c>
      <c r="P653" s="9" t="str">
        <f t="shared" si="93"/>
        <v>PERCENTAGE</v>
      </c>
    </row>
    <row r="654" spans="1:16" s="6" customFormat="1" x14ac:dyDescent="0.25">
      <c r="A654" s="7" t="str">
        <f t="shared" si="91"/>
        <v>2024 ALL D75</v>
      </c>
      <c r="B654" s="8">
        <f t="shared" si="92"/>
        <v>46104</v>
      </c>
      <c r="C654" s="8">
        <f t="shared" si="88"/>
        <v>46113</v>
      </c>
      <c r="D654" s="7">
        <v>3272</v>
      </c>
      <c r="E654" s="7">
        <v>336</v>
      </c>
      <c r="F654" s="7">
        <v>4</v>
      </c>
      <c r="G654" s="7">
        <v>3</v>
      </c>
      <c r="H654" s="7">
        <v>81588</v>
      </c>
      <c r="I654" s="7" t="s">
        <v>16</v>
      </c>
      <c r="J654" s="7">
        <v>20514874</v>
      </c>
      <c r="K654" s="7" t="s">
        <v>777</v>
      </c>
      <c r="L654" s="7" t="s">
        <v>780</v>
      </c>
      <c r="M654" s="9">
        <v>289900</v>
      </c>
      <c r="N654" s="10" t="str">
        <f t="shared" si="89"/>
        <v>BXGY</v>
      </c>
      <c r="O654" s="9">
        <f t="shared" si="90"/>
        <v>72475</v>
      </c>
      <c r="P654" s="9" t="str">
        <f t="shared" si="93"/>
        <v>PERCENTAGE</v>
      </c>
    </row>
    <row r="655" spans="1:16" s="6" customFormat="1" x14ac:dyDescent="0.25">
      <c r="A655" s="7" t="str">
        <f t="shared" si="91"/>
        <v>2024 ALL D75</v>
      </c>
      <c r="B655" s="8">
        <f t="shared" si="92"/>
        <v>46104</v>
      </c>
      <c r="C655" s="8">
        <f t="shared" si="88"/>
        <v>46113</v>
      </c>
      <c r="D655" s="7">
        <v>3272</v>
      </c>
      <c r="E655" s="7">
        <v>336</v>
      </c>
      <c r="F655" s="7">
        <v>4</v>
      </c>
      <c r="G655" s="7">
        <v>3</v>
      </c>
      <c r="H655" s="7">
        <v>81588</v>
      </c>
      <c r="I655" s="7" t="s">
        <v>16</v>
      </c>
      <c r="J655" s="7">
        <v>20514892</v>
      </c>
      <c r="K655" s="7" t="s">
        <v>777</v>
      </c>
      <c r="L655" s="7" t="s">
        <v>781</v>
      </c>
      <c r="M655" s="9">
        <v>289900</v>
      </c>
      <c r="N655" s="10" t="str">
        <f t="shared" si="89"/>
        <v>BXGY</v>
      </c>
      <c r="O655" s="9">
        <f t="shared" si="90"/>
        <v>72475</v>
      </c>
      <c r="P655" s="9" t="str">
        <f t="shared" si="93"/>
        <v>PERCENTAGE</v>
      </c>
    </row>
    <row r="656" spans="1:16" s="6" customFormat="1" x14ac:dyDescent="0.25">
      <c r="A656" s="7" t="str">
        <f t="shared" si="91"/>
        <v>2024 ALL D75</v>
      </c>
      <c r="B656" s="8">
        <f t="shared" si="92"/>
        <v>46104</v>
      </c>
      <c r="C656" s="8">
        <f t="shared" si="88"/>
        <v>46113</v>
      </c>
      <c r="D656" s="7">
        <v>3272</v>
      </c>
      <c r="E656" s="7">
        <v>336</v>
      </c>
      <c r="F656" s="7">
        <v>4</v>
      </c>
      <c r="G656" s="7">
        <v>3</v>
      </c>
      <c r="H656" s="7">
        <v>81588</v>
      </c>
      <c r="I656" s="7" t="s">
        <v>16</v>
      </c>
      <c r="J656" s="7">
        <v>20514909</v>
      </c>
      <c r="K656" s="7" t="s">
        <v>777</v>
      </c>
      <c r="L656" s="7" t="s">
        <v>782</v>
      </c>
      <c r="M656" s="9">
        <v>289900</v>
      </c>
      <c r="N656" s="10" t="str">
        <f t="shared" si="89"/>
        <v>BXGY</v>
      </c>
      <c r="O656" s="9">
        <f t="shared" si="90"/>
        <v>72475</v>
      </c>
      <c r="P656" s="9" t="str">
        <f t="shared" si="93"/>
        <v>PERCENTAGE</v>
      </c>
    </row>
    <row r="657" spans="1:16" s="6" customFormat="1" x14ac:dyDescent="0.25">
      <c r="A657" s="7" t="str">
        <f t="shared" si="91"/>
        <v>2024 ALL D75</v>
      </c>
      <c r="B657" s="8">
        <f t="shared" si="92"/>
        <v>46104</v>
      </c>
      <c r="C657" s="8">
        <f t="shared" si="88"/>
        <v>46113</v>
      </c>
      <c r="D657" s="7">
        <v>3272</v>
      </c>
      <c r="E657" s="7">
        <v>336</v>
      </c>
      <c r="F657" s="7">
        <v>4</v>
      </c>
      <c r="G657" s="7">
        <v>3</v>
      </c>
      <c r="H657" s="7">
        <v>81588</v>
      </c>
      <c r="I657" s="7" t="s">
        <v>16</v>
      </c>
      <c r="J657" s="7">
        <v>20514918</v>
      </c>
      <c r="K657" s="7" t="s">
        <v>777</v>
      </c>
      <c r="L657" s="7" t="s">
        <v>783</v>
      </c>
      <c r="M657" s="9">
        <v>289900</v>
      </c>
      <c r="N657" s="10" t="str">
        <f t="shared" si="89"/>
        <v>BXGY</v>
      </c>
      <c r="O657" s="9">
        <f t="shared" si="90"/>
        <v>72475</v>
      </c>
      <c r="P657" s="9" t="str">
        <f t="shared" si="93"/>
        <v>PERCENTAGE</v>
      </c>
    </row>
    <row r="658" spans="1:16" s="6" customFormat="1" x14ac:dyDescent="0.25">
      <c r="A658" s="7" t="str">
        <f t="shared" si="91"/>
        <v>2024 ALL D75</v>
      </c>
      <c r="B658" s="8">
        <f t="shared" si="92"/>
        <v>46104</v>
      </c>
      <c r="C658" s="8">
        <f t="shared" si="88"/>
        <v>46113</v>
      </c>
      <c r="D658" s="7">
        <v>3272</v>
      </c>
      <c r="E658" s="7">
        <v>336</v>
      </c>
      <c r="F658" s="7">
        <v>4</v>
      </c>
      <c r="G658" s="7">
        <v>3</v>
      </c>
      <c r="H658" s="7">
        <v>81588</v>
      </c>
      <c r="I658" s="7" t="s">
        <v>16</v>
      </c>
      <c r="J658" s="7">
        <v>20514927</v>
      </c>
      <c r="K658" s="7" t="s">
        <v>777</v>
      </c>
      <c r="L658" s="7" t="s">
        <v>784</v>
      </c>
      <c r="M658" s="9">
        <v>289900</v>
      </c>
      <c r="N658" s="10" t="str">
        <f t="shared" si="89"/>
        <v>BXGY</v>
      </c>
      <c r="O658" s="9">
        <f t="shared" si="90"/>
        <v>72475</v>
      </c>
      <c r="P658" s="9" t="str">
        <f t="shared" si="93"/>
        <v>PERCENTAGE</v>
      </c>
    </row>
    <row r="659" spans="1:16" s="6" customFormat="1" x14ac:dyDescent="0.25">
      <c r="A659" s="7" t="str">
        <f t="shared" si="91"/>
        <v>2024 ALL D75</v>
      </c>
      <c r="B659" s="8">
        <f t="shared" si="92"/>
        <v>46104</v>
      </c>
      <c r="C659" s="8">
        <f t="shared" si="88"/>
        <v>46113</v>
      </c>
      <c r="D659" s="7">
        <v>3272</v>
      </c>
      <c r="E659" s="7">
        <v>336</v>
      </c>
      <c r="F659" s="7">
        <v>4</v>
      </c>
      <c r="G659" s="7">
        <v>3</v>
      </c>
      <c r="H659" s="7">
        <v>81588</v>
      </c>
      <c r="I659" s="7" t="s">
        <v>16</v>
      </c>
      <c r="J659" s="7">
        <v>20514936</v>
      </c>
      <c r="K659" s="7" t="s">
        <v>777</v>
      </c>
      <c r="L659" s="7" t="s">
        <v>785</v>
      </c>
      <c r="M659" s="9">
        <v>289900</v>
      </c>
      <c r="N659" s="10" t="str">
        <f t="shared" si="89"/>
        <v>BXGY</v>
      </c>
      <c r="O659" s="9">
        <f t="shared" si="90"/>
        <v>72475</v>
      </c>
      <c r="P659" s="9" t="str">
        <f t="shared" si="93"/>
        <v>PERCENTAGE</v>
      </c>
    </row>
    <row r="660" spans="1:16" s="6" customFormat="1" x14ac:dyDescent="0.25">
      <c r="A660" s="7" t="str">
        <f t="shared" si="91"/>
        <v>2024 ALL D75</v>
      </c>
      <c r="B660" s="8">
        <f t="shared" si="92"/>
        <v>46104</v>
      </c>
      <c r="C660" s="8">
        <f>'[1]2019 ALL D95'!C2</f>
        <v>46113</v>
      </c>
      <c r="D660" s="7">
        <v>3272</v>
      </c>
      <c r="E660" s="7">
        <v>336</v>
      </c>
      <c r="F660" s="7">
        <v>4</v>
      </c>
      <c r="G660" s="7">
        <v>4</v>
      </c>
      <c r="H660" s="7">
        <v>81379</v>
      </c>
      <c r="I660" s="7" t="s">
        <v>16</v>
      </c>
      <c r="J660" s="7">
        <v>45419912</v>
      </c>
      <c r="K660" s="7" t="s">
        <v>786</v>
      </c>
      <c r="L660" s="13" t="s">
        <v>787</v>
      </c>
      <c r="M660" s="14">
        <v>159900</v>
      </c>
      <c r="N660" s="10" t="s">
        <v>570</v>
      </c>
      <c r="O660" s="9">
        <f t="shared" si="90"/>
        <v>39975</v>
      </c>
      <c r="P660" s="9" t="str">
        <f t="shared" si="93"/>
        <v>PERCENTAGE</v>
      </c>
    </row>
    <row r="661" spans="1:16" s="6" customFormat="1" x14ac:dyDescent="0.25">
      <c r="A661" s="7" t="str">
        <f t="shared" si="91"/>
        <v>2024 ALL D75</v>
      </c>
      <c r="B661" s="8">
        <f t="shared" si="92"/>
        <v>46104</v>
      </c>
      <c r="C661" s="8">
        <f t="shared" ref="C661:C724" si="94">C660</f>
        <v>46113</v>
      </c>
      <c r="D661" s="7">
        <v>3272</v>
      </c>
      <c r="E661" s="7">
        <v>336</v>
      </c>
      <c r="F661" s="7">
        <v>4</v>
      </c>
      <c r="G661" s="7">
        <v>4</v>
      </c>
      <c r="H661" s="7">
        <v>81379</v>
      </c>
      <c r="I661" s="7" t="s">
        <v>16</v>
      </c>
      <c r="J661" s="7">
        <v>45419921</v>
      </c>
      <c r="K661" s="7" t="s">
        <v>786</v>
      </c>
      <c r="L661" s="13" t="s">
        <v>788</v>
      </c>
      <c r="M661" s="14">
        <v>159900</v>
      </c>
      <c r="N661" s="10" t="str">
        <f t="shared" ref="N661:N724" si="95">N660</f>
        <v>BXGY</v>
      </c>
      <c r="O661" s="9">
        <f t="shared" si="90"/>
        <v>39975</v>
      </c>
      <c r="P661" s="9" t="str">
        <f t="shared" si="93"/>
        <v>PERCENTAGE</v>
      </c>
    </row>
    <row r="662" spans="1:16" s="6" customFormat="1" x14ac:dyDescent="0.25">
      <c r="A662" s="7" t="str">
        <f t="shared" si="91"/>
        <v>2024 ALL D75</v>
      </c>
      <c r="B662" s="8">
        <f t="shared" si="92"/>
        <v>46104</v>
      </c>
      <c r="C662" s="8">
        <f t="shared" si="94"/>
        <v>46113</v>
      </c>
      <c r="D662" s="7">
        <v>3272</v>
      </c>
      <c r="E662" s="7">
        <v>336</v>
      </c>
      <c r="F662" s="7">
        <v>4</v>
      </c>
      <c r="G662" s="7">
        <v>4</v>
      </c>
      <c r="H662" s="7">
        <v>81379</v>
      </c>
      <c r="I662" s="7" t="s">
        <v>16</v>
      </c>
      <c r="J662" s="7">
        <v>45419930</v>
      </c>
      <c r="K662" s="7" t="s">
        <v>786</v>
      </c>
      <c r="L662" s="13" t="s">
        <v>789</v>
      </c>
      <c r="M662" s="14">
        <v>159900</v>
      </c>
      <c r="N662" s="10" t="str">
        <f t="shared" si="95"/>
        <v>BXGY</v>
      </c>
      <c r="O662" s="9">
        <f t="shared" si="90"/>
        <v>39975</v>
      </c>
      <c r="P662" s="9" t="str">
        <f t="shared" si="93"/>
        <v>PERCENTAGE</v>
      </c>
    </row>
    <row r="663" spans="1:16" s="6" customFormat="1" x14ac:dyDescent="0.25">
      <c r="A663" s="7" t="str">
        <f t="shared" si="91"/>
        <v>2024 ALL D75</v>
      </c>
      <c r="B663" s="8">
        <f t="shared" si="92"/>
        <v>46104</v>
      </c>
      <c r="C663" s="8">
        <f t="shared" si="94"/>
        <v>46113</v>
      </c>
      <c r="D663" s="7">
        <v>3272</v>
      </c>
      <c r="E663" s="7">
        <v>336</v>
      </c>
      <c r="F663" s="7">
        <v>4</v>
      </c>
      <c r="G663" s="7">
        <v>4</v>
      </c>
      <c r="H663" s="7">
        <v>81379</v>
      </c>
      <c r="I663" s="7" t="s">
        <v>16</v>
      </c>
      <c r="J663" s="7">
        <v>45419949</v>
      </c>
      <c r="K663" s="7" t="s">
        <v>786</v>
      </c>
      <c r="L663" s="13" t="s">
        <v>790</v>
      </c>
      <c r="M663" s="14">
        <v>159900</v>
      </c>
      <c r="N663" s="10" t="str">
        <f t="shared" si="95"/>
        <v>BXGY</v>
      </c>
      <c r="O663" s="9">
        <f t="shared" si="90"/>
        <v>39975</v>
      </c>
      <c r="P663" s="9" t="str">
        <f t="shared" si="93"/>
        <v>PERCENTAGE</v>
      </c>
    </row>
    <row r="664" spans="1:16" s="6" customFormat="1" x14ac:dyDescent="0.25">
      <c r="A664" s="7" t="str">
        <f t="shared" si="91"/>
        <v>2024 ALL D75</v>
      </c>
      <c r="B664" s="8">
        <f t="shared" si="92"/>
        <v>46104</v>
      </c>
      <c r="C664" s="8">
        <f t="shared" si="94"/>
        <v>46113</v>
      </c>
      <c r="D664" s="7">
        <v>3272</v>
      </c>
      <c r="E664" s="7">
        <v>336</v>
      </c>
      <c r="F664" s="7">
        <v>4</v>
      </c>
      <c r="G664" s="7">
        <v>4</v>
      </c>
      <c r="H664" s="7">
        <v>81379</v>
      </c>
      <c r="I664" s="7" t="s">
        <v>16</v>
      </c>
      <c r="J664" s="7">
        <v>45419958</v>
      </c>
      <c r="K664" s="7" t="s">
        <v>786</v>
      </c>
      <c r="L664" s="13" t="s">
        <v>791</v>
      </c>
      <c r="M664" s="14">
        <v>159900</v>
      </c>
      <c r="N664" s="10" t="str">
        <f t="shared" si="95"/>
        <v>BXGY</v>
      </c>
      <c r="O664" s="9">
        <f t="shared" si="90"/>
        <v>39975</v>
      </c>
      <c r="P664" s="9" t="str">
        <f t="shared" si="93"/>
        <v>PERCENTAGE</v>
      </c>
    </row>
    <row r="665" spans="1:16" s="6" customFormat="1" x14ac:dyDescent="0.25">
      <c r="A665" s="7" t="str">
        <f t="shared" si="91"/>
        <v>2024 ALL D75</v>
      </c>
      <c r="B665" s="8">
        <f t="shared" si="92"/>
        <v>46104</v>
      </c>
      <c r="C665" s="8">
        <f t="shared" si="94"/>
        <v>46113</v>
      </c>
      <c r="D665" s="7">
        <v>3272</v>
      </c>
      <c r="E665" s="7">
        <v>336</v>
      </c>
      <c r="F665" s="7">
        <v>4</v>
      </c>
      <c r="G665" s="7">
        <v>1</v>
      </c>
      <c r="H665" s="7">
        <v>81676</v>
      </c>
      <c r="I665" s="7" t="s">
        <v>16</v>
      </c>
      <c r="J665" s="7">
        <v>45419761</v>
      </c>
      <c r="K665" s="7" t="s">
        <v>792</v>
      </c>
      <c r="L665" s="13" t="s">
        <v>793</v>
      </c>
      <c r="M665" s="14">
        <v>129900</v>
      </c>
      <c r="N665" s="10" t="str">
        <f t="shared" si="95"/>
        <v>BXGY</v>
      </c>
      <c r="O665" s="9">
        <f t="shared" si="90"/>
        <v>32475</v>
      </c>
      <c r="P665" s="9" t="str">
        <f t="shared" si="93"/>
        <v>PERCENTAGE</v>
      </c>
    </row>
    <row r="666" spans="1:16" s="6" customFormat="1" x14ac:dyDescent="0.25">
      <c r="A666" s="7" t="str">
        <f t="shared" si="91"/>
        <v>2024 ALL D75</v>
      </c>
      <c r="B666" s="8">
        <f t="shared" si="92"/>
        <v>46104</v>
      </c>
      <c r="C666" s="8">
        <f t="shared" si="94"/>
        <v>46113</v>
      </c>
      <c r="D666" s="7">
        <v>3272</v>
      </c>
      <c r="E666" s="7">
        <v>336</v>
      </c>
      <c r="F666" s="7">
        <v>4</v>
      </c>
      <c r="G666" s="7">
        <v>1</v>
      </c>
      <c r="H666" s="7">
        <v>81676</v>
      </c>
      <c r="I666" s="7" t="s">
        <v>16</v>
      </c>
      <c r="J666" s="7">
        <v>45419770</v>
      </c>
      <c r="K666" s="7" t="s">
        <v>792</v>
      </c>
      <c r="L666" s="13" t="s">
        <v>794</v>
      </c>
      <c r="M666" s="14">
        <v>129900</v>
      </c>
      <c r="N666" s="10" t="str">
        <f t="shared" si="95"/>
        <v>BXGY</v>
      </c>
      <c r="O666" s="9">
        <f t="shared" si="90"/>
        <v>32475</v>
      </c>
      <c r="P666" s="9" t="str">
        <f t="shared" si="93"/>
        <v>PERCENTAGE</v>
      </c>
    </row>
    <row r="667" spans="1:16" s="6" customFormat="1" x14ac:dyDescent="0.25">
      <c r="A667" s="7" t="str">
        <f t="shared" si="91"/>
        <v>2024 ALL D75</v>
      </c>
      <c r="B667" s="8">
        <f t="shared" si="92"/>
        <v>46104</v>
      </c>
      <c r="C667" s="8">
        <f t="shared" si="94"/>
        <v>46113</v>
      </c>
      <c r="D667" s="7">
        <v>3272</v>
      </c>
      <c r="E667" s="7">
        <v>336</v>
      </c>
      <c r="F667" s="7">
        <v>4</v>
      </c>
      <c r="G667" s="7">
        <v>1</v>
      </c>
      <c r="H667" s="7">
        <v>81676</v>
      </c>
      <c r="I667" s="7" t="s">
        <v>16</v>
      </c>
      <c r="J667" s="7">
        <v>45419789</v>
      </c>
      <c r="K667" s="7" t="s">
        <v>792</v>
      </c>
      <c r="L667" s="13" t="s">
        <v>795</v>
      </c>
      <c r="M667" s="14">
        <v>129900</v>
      </c>
      <c r="N667" s="10" t="str">
        <f t="shared" si="95"/>
        <v>BXGY</v>
      </c>
      <c r="O667" s="9">
        <f t="shared" si="90"/>
        <v>32475</v>
      </c>
      <c r="P667" s="9" t="str">
        <f t="shared" si="93"/>
        <v>PERCENTAGE</v>
      </c>
    </row>
    <row r="668" spans="1:16" s="6" customFormat="1" x14ac:dyDescent="0.25">
      <c r="A668" s="7" t="str">
        <f t="shared" si="91"/>
        <v>2024 ALL D75</v>
      </c>
      <c r="B668" s="8">
        <f t="shared" si="92"/>
        <v>46104</v>
      </c>
      <c r="C668" s="8">
        <f t="shared" si="94"/>
        <v>46113</v>
      </c>
      <c r="D668" s="7">
        <v>3272</v>
      </c>
      <c r="E668" s="7">
        <v>336</v>
      </c>
      <c r="F668" s="7">
        <v>4</v>
      </c>
      <c r="G668" s="7">
        <v>1</v>
      </c>
      <c r="H668" s="7">
        <v>81676</v>
      </c>
      <c r="I668" s="7" t="s">
        <v>16</v>
      </c>
      <c r="J668" s="7">
        <v>45419798</v>
      </c>
      <c r="K668" s="7" t="s">
        <v>792</v>
      </c>
      <c r="L668" s="13" t="s">
        <v>796</v>
      </c>
      <c r="M668" s="14">
        <v>129900</v>
      </c>
      <c r="N668" s="10" t="str">
        <f t="shared" si="95"/>
        <v>BXGY</v>
      </c>
      <c r="O668" s="9">
        <f t="shared" si="90"/>
        <v>32475</v>
      </c>
      <c r="P668" s="9" t="str">
        <f t="shared" si="93"/>
        <v>PERCENTAGE</v>
      </c>
    </row>
    <row r="669" spans="1:16" s="6" customFormat="1" x14ac:dyDescent="0.25">
      <c r="A669" s="7" t="str">
        <f t="shared" si="91"/>
        <v>2024 ALL D75</v>
      </c>
      <c r="B669" s="8">
        <f t="shared" si="92"/>
        <v>46104</v>
      </c>
      <c r="C669" s="8">
        <f t="shared" si="94"/>
        <v>46113</v>
      </c>
      <c r="D669" s="7">
        <v>3272</v>
      </c>
      <c r="E669" s="7">
        <v>336</v>
      </c>
      <c r="F669" s="7">
        <v>4</v>
      </c>
      <c r="G669" s="7">
        <v>1</v>
      </c>
      <c r="H669" s="7">
        <v>81676</v>
      </c>
      <c r="I669" s="7" t="s">
        <v>16</v>
      </c>
      <c r="J669" s="7">
        <v>45419805</v>
      </c>
      <c r="K669" s="7" t="s">
        <v>792</v>
      </c>
      <c r="L669" s="13" t="s">
        <v>797</v>
      </c>
      <c r="M669" s="14">
        <v>129900</v>
      </c>
      <c r="N669" s="10" t="str">
        <f t="shared" si="95"/>
        <v>BXGY</v>
      </c>
      <c r="O669" s="9">
        <f t="shared" si="90"/>
        <v>32475</v>
      </c>
      <c r="P669" s="9" t="str">
        <f t="shared" si="93"/>
        <v>PERCENTAGE</v>
      </c>
    </row>
    <row r="670" spans="1:16" s="6" customFormat="1" x14ac:dyDescent="0.25">
      <c r="A670" s="7" t="str">
        <f t="shared" si="91"/>
        <v>2024 ALL D75</v>
      </c>
      <c r="B670" s="8">
        <f t="shared" si="92"/>
        <v>46104</v>
      </c>
      <c r="C670" s="8">
        <f t="shared" si="94"/>
        <v>46113</v>
      </c>
      <c r="D670" s="7">
        <v>3272</v>
      </c>
      <c r="E670" s="7">
        <v>336</v>
      </c>
      <c r="F670" s="7">
        <v>4</v>
      </c>
      <c r="G670" s="7">
        <v>1</v>
      </c>
      <c r="H670" s="7">
        <v>81676</v>
      </c>
      <c r="I670" s="7" t="s">
        <v>16</v>
      </c>
      <c r="J670" s="7">
        <v>45419814</v>
      </c>
      <c r="K670" s="7" t="s">
        <v>798</v>
      </c>
      <c r="L670" s="13" t="s">
        <v>799</v>
      </c>
      <c r="M670" s="14">
        <v>139900</v>
      </c>
      <c r="N670" s="10" t="str">
        <f t="shared" si="95"/>
        <v>BXGY</v>
      </c>
      <c r="O670" s="9">
        <f t="shared" si="90"/>
        <v>34975</v>
      </c>
      <c r="P670" s="9" t="str">
        <f t="shared" si="93"/>
        <v>PERCENTAGE</v>
      </c>
    </row>
    <row r="671" spans="1:16" s="6" customFormat="1" x14ac:dyDescent="0.25">
      <c r="A671" s="7" t="str">
        <f t="shared" si="91"/>
        <v>2024 ALL D75</v>
      </c>
      <c r="B671" s="8">
        <f t="shared" si="92"/>
        <v>46104</v>
      </c>
      <c r="C671" s="8">
        <f t="shared" si="94"/>
        <v>46113</v>
      </c>
      <c r="D671" s="7">
        <v>3272</v>
      </c>
      <c r="E671" s="7">
        <v>336</v>
      </c>
      <c r="F671" s="7">
        <v>4</v>
      </c>
      <c r="G671" s="7">
        <v>1</v>
      </c>
      <c r="H671" s="7">
        <v>81676</v>
      </c>
      <c r="I671" s="7" t="s">
        <v>16</v>
      </c>
      <c r="J671" s="7">
        <v>45419823</v>
      </c>
      <c r="K671" s="7" t="s">
        <v>798</v>
      </c>
      <c r="L671" s="13" t="s">
        <v>800</v>
      </c>
      <c r="M671" s="14">
        <v>139900</v>
      </c>
      <c r="N671" s="10" t="str">
        <f t="shared" si="95"/>
        <v>BXGY</v>
      </c>
      <c r="O671" s="9">
        <f t="shared" si="90"/>
        <v>34975</v>
      </c>
      <c r="P671" s="9" t="str">
        <f t="shared" si="93"/>
        <v>PERCENTAGE</v>
      </c>
    </row>
    <row r="672" spans="1:16" s="6" customFormat="1" x14ac:dyDescent="0.25">
      <c r="A672" s="7" t="str">
        <f t="shared" si="91"/>
        <v>2024 ALL D75</v>
      </c>
      <c r="B672" s="8">
        <f t="shared" si="92"/>
        <v>46104</v>
      </c>
      <c r="C672" s="8">
        <f t="shared" si="94"/>
        <v>46113</v>
      </c>
      <c r="D672" s="7">
        <v>3272</v>
      </c>
      <c r="E672" s="7">
        <v>336</v>
      </c>
      <c r="F672" s="7">
        <v>4</v>
      </c>
      <c r="G672" s="7">
        <v>1</v>
      </c>
      <c r="H672" s="7">
        <v>81676</v>
      </c>
      <c r="I672" s="7" t="s">
        <v>16</v>
      </c>
      <c r="J672" s="7">
        <v>45419832</v>
      </c>
      <c r="K672" s="7" t="s">
        <v>798</v>
      </c>
      <c r="L672" s="13" t="s">
        <v>801</v>
      </c>
      <c r="M672" s="14">
        <v>139900</v>
      </c>
      <c r="N672" s="10" t="str">
        <f t="shared" si="95"/>
        <v>BXGY</v>
      </c>
      <c r="O672" s="9">
        <f t="shared" si="90"/>
        <v>34975</v>
      </c>
      <c r="P672" s="9" t="str">
        <f t="shared" si="93"/>
        <v>PERCENTAGE</v>
      </c>
    </row>
    <row r="673" spans="1:16" s="6" customFormat="1" x14ac:dyDescent="0.25">
      <c r="A673" s="7" t="str">
        <f t="shared" si="91"/>
        <v>2024 ALL D75</v>
      </c>
      <c r="B673" s="8">
        <f t="shared" si="92"/>
        <v>46104</v>
      </c>
      <c r="C673" s="8">
        <f t="shared" si="94"/>
        <v>46113</v>
      </c>
      <c r="D673" s="7">
        <v>3272</v>
      </c>
      <c r="E673" s="7">
        <v>336</v>
      </c>
      <c r="F673" s="7">
        <v>4</v>
      </c>
      <c r="G673" s="7">
        <v>1</v>
      </c>
      <c r="H673" s="7">
        <v>81676</v>
      </c>
      <c r="I673" s="7" t="s">
        <v>16</v>
      </c>
      <c r="J673" s="7">
        <v>45419841</v>
      </c>
      <c r="K673" s="7" t="s">
        <v>798</v>
      </c>
      <c r="L673" s="13" t="s">
        <v>802</v>
      </c>
      <c r="M673" s="14">
        <v>139900</v>
      </c>
      <c r="N673" s="10" t="str">
        <f t="shared" si="95"/>
        <v>BXGY</v>
      </c>
      <c r="O673" s="9">
        <f t="shared" si="90"/>
        <v>34975</v>
      </c>
      <c r="P673" s="9" t="str">
        <f t="shared" si="93"/>
        <v>PERCENTAGE</v>
      </c>
    </row>
    <row r="674" spans="1:16" s="6" customFormat="1" x14ac:dyDescent="0.25">
      <c r="A674" s="7" t="str">
        <f t="shared" si="91"/>
        <v>2024 ALL D75</v>
      </c>
      <c r="B674" s="8">
        <f t="shared" si="92"/>
        <v>46104</v>
      </c>
      <c r="C674" s="8">
        <f t="shared" si="94"/>
        <v>46113</v>
      </c>
      <c r="D674" s="7">
        <v>3272</v>
      </c>
      <c r="E674" s="7">
        <v>336</v>
      </c>
      <c r="F674" s="7">
        <v>4</v>
      </c>
      <c r="G674" s="7">
        <v>1</v>
      </c>
      <c r="H674" s="7">
        <v>81676</v>
      </c>
      <c r="I674" s="7" t="s">
        <v>16</v>
      </c>
      <c r="J674" s="7">
        <v>45419850</v>
      </c>
      <c r="K674" s="7" t="s">
        <v>798</v>
      </c>
      <c r="L674" s="13" t="s">
        <v>803</v>
      </c>
      <c r="M674" s="14">
        <v>139900</v>
      </c>
      <c r="N674" s="10" t="str">
        <f t="shared" si="95"/>
        <v>BXGY</v>
      </c>
      <c r="O674" s="9">
        <f t="shared" si="90"/>
        <v>34975</v>
      </c>
      <c r="P674" s="9" t="str">
        <f t="shared" si="93"/>
        <v>PERCENTAGE</v>
      </c>
    </row>
    <row r="675" spans="1:16" s="6" customFormat="1" x14ac:dyDescent="0.25">
      <c r="A675" s="7" t="str">
        <f t="shared" si="91"/>
        <v>2024 ALL D75</v>
      </c>
      <c r="B675" s="8">
        <f t="shared" si="92"/>
        <v>46104</v>
      </c>
      <c r="C675" s="8">
        <f t="shared" si="94"/>
        <v>46113</v>
      </c>
      <c r="D675" s="7">
        <v>3272</v>
      </c>
      <c r="E675" s="7">
        <v>336</v>
      </c>
      <c r="F675" s="7">
        <v>4</v>
      </c>
      <c r="G675" s="7">
        <v>1</v>
      </c>
      <c r="H675" s="7">
        <v>81379</v>
      </c>
      <c r="I675" s="7" t="s">
        <v>16</v>
      </c>
      <c r="J675" s="7">
        <v>45419967</v>
      </c>
      <c r="K675" s="7" t="s">
        <v>804</v>
      </c>
      <c r="L675" s="13" t="s">
        <v>805</v>
      </c>
      <c r="M675" s="14">
        <v>139900</v>
      </c>
      <c r="N675" s="10" t="str">
        <f t="shared" si="95"/>
        <v>BXGY</v>
      </c>
      <c r="O675" s="9">
        <f t="shared" si="90"/>
        <v>34975</v>
      </c>
      <c r="P675" s="9" t="str">
        <f t="shared" si="93"/>
        <v>PERCENTAGE</v>
      </c>
    </row>
    <row r="676" spans="1:16" s="6" customFormat="1" x14ac:dyDescent="0.25">
      <c r="A676" s="7" t="str">
        <f t="shared" si="91"/>
        <v>2024 ALL D75</v>
      </c>
      <c r="B676" s="8">
        <f t="shared" si="92"/>
        <v>46104</v>
      </c>
      <c r="C676" s="8">
        <f t="shared" si="94"/>
        <v>46113</v>
      </c>
      <c r="D676" s="7">
        <v>3272</v>
      </c>
      <c r="E676" s="7">
        <v>336</v>
      </c>
      <c r="F676" s="7">
        <v>4</v>
      </c>
      <c r="G676" s="7">
        <v>1</v>
      </c>
      <c r="H676" s="7">
        <v>81379</v>
      </c>
      <c r="I676" s="7" t="s">
        <v>16</v>
      </c>
      <c r="J676" s="7">
        <v>45419976</v>
      </c>
      <c r="K676" s="7" t="s">
        <v>804</v>
      </c>
      <c r="L676" s="13" t="s">
        <v>806</v>
      </c>
      <c r="M676" s="14">
        <v>139900</v>
      </c>
      <c r="N676" s="10" t="str">
        <f t="shared" si="95"/>
        <v>BXGY</v>
      </c>
      <c r="O676" s="9">
        <f t="shared" si="90"/>
        <v>34975</v>
      </c>
      <c r="P676" s="9" t="str">
        <f t="shared" si="93"/>
        <v>PERCENTAGE</v>
      </c>
    </row>
    <row r="677" spans="1:16" s="6" customFormat="1" x14ac:dyDescent="0.25">
      <c r="A677" s="7" t="str">
        <f t="shared" si="91"/>
        <v>2024 ALL D75</v>
      </c>
      <c r="B677" s="8">
        <f t="shared" si="92"/>
        <v>46104</v>
      </c>
      <c r="C677" s="8">
        <f t="shared" si="94"/>
        <v>46113</v>
      </c>
      <c r="D677" s="7">
        <v>3272</v>
      </c>
      <c r="E677" s="7">
        <v>336</v>
      </c>
      <c r="F677" s="7">
        <v>4</v>
      </c>
      <c r="G677" s="7">
        <v>1</v>
      </c>
      <c r="H677" s="7">
        <v>81379</v>
      </c>
      <c r="I677" s="7" t="s">
        <v>16</v>
      </c>
      <c r="J677" s="7">
        <v>45419985</v>
      </c>
      <c r="K677" s="7" t="s">
        <v>804</v>
      </c>
      <c r="L677" s="13" t="s">
        <v>807</v>
      </c>
      <c r="M677" s="14">
        <v>139900</v>
      </c>
      <c r="N677" s="10" t="str">
        <f t="shared" si="95"/>
        <v>BXGY</v>
      </c>
      <c r="O677" s="9">
        <f t="shared" si="90"/>
        <v>34975</v>
      </c>
      <c r="P677" s="9" t="str">
        <f t="shared" si="93"/>
        <v>PERCENTAGE</v>
      </c>
    </row>
    <row r="678" spans="1:16" s="6" customFormat="1" x14ac:dyDescent="0.25">
      <c r="A678" s="7" t="str">
        <f t="shared" si="91"/>
        <v>2024 ALL D75</v>
      </c>
      <c r="B678" s="8">
        <f t="shared" si="92"/>
        <v>46104</v>
      </c>
      <c r="C678" s="8">
        <f t="shared" si="94"/>
        <v>46113</v>
      </c>
      <c r="D678" s="7">
        <v>3272</v>
      </c>
      <c r="E678" s="7">
        <v>336</v>
      </c>
      <c r="F678" s="7">
        <v>4</v>
      </c>
      <c r="G678" s="7">
        <v>1</v>
      </c>
      <c r="H678" s="7">
        <v>81379</v>
      </c>
      <c r="I678" s="7" t="s">
        <v>16</v>
      </c>
      <c r="J678" s="7">
        <v>45419994</v>
      </c>
      <c r="K678" s="7" t="s">
        <v>804</v>
      </c>
      <c r="L678" s="13" t="s">
        <v>808</v>
      </c>
      <c r="M678" s="14">
        <v>139900</v>
      </c>
      <c r="N678" s="10" t="str">
        <f t="shared" si="95"/>
        <v>BXGY</v>
      </c>
      <c r="O678" s="9">
        <f t="shared" si="90"/>
        <v>34975</v>
      </c>
      <c r="P678" s="9" t="str">
        <f t="shared" si="93"/>
        <v>PERCENTAGE</v>
      </c>
    </row>
    <row r="679" spans="1:16" s="6" customFormat="1" x14ac:dyDescent="0.25">
      <c r="A679" s="7" t="str">
        <f t="shared" si="91"/>
        <v>2024 ALL D75</v>
      </c>
      <c r="B679" s="8">
        <f t="shared" si="92"/>
        <v>46104</v>
      </c>
      <c r="C679" s="8">
        <f t="shared" si="94"/>
        <v>46113</v>
      </c>
      <c r="D679" s="7">
        <v>3272</v>
      </c>
      <c r="E679" s="7">
        <v>336</v>
      </c>
      <c r="F679" s="7">
        <v>4</v>
      </c>
      <c r="G679" s="7">
        <v>1</v>
      </c>
      <c r="H679" s="7">
        <v>81379</v>
      </c>
      <c r="I679" s="7" t="s">
        <v>16</v>
      </c>
      <c r="J679" s="7">
        <v>45420008</v>
      </c>
      <c r="K679" s="7" t="s">
        <v>804</v>
      </c>
      <c r="L679" s="13" t="s">
        <v>809</v>
      </c>
      <c r="M679" s="14">
        <v>139900</v>
      </c>
      <c r="N679" s="10" t="str">
        <f t="shared" si="95"/>
        <v>BXGY</v>
      </c>
      <c r="O679" s="9">
        <f t="shared" si="90"/>
        <v>34975</v>
      </c>
      <c r="P679" s="9" t="str">
        <f t="shared" si="93"/>
        <v>PERCENTAGE</v>
      </c>
    </row>
    <row r="680" spans="1:16" s="6" customFormat="1" x14ac:dyDescent="0.25">
      <c r="A680" s="7" t="str">
        <f t="shared" si="91"/>
        <v>2024 ALL D75</v>
      </c>
      <c r="B680" s="8">
        <f t="shared" si="92"/>
        <v>46104</v>
      </c>
      <c r="C680" s="8">
        <f t="shared" si="94"/>
        <v>46113</v>
      </c>
      <c r="D680" s="7">
        <v>3272</v>
      </c>
      <c r="E680" s="7">
        <v>336</v>
      </c>
      <c r="F680" s="7">
        <v>4</v>
      </c>
      <c r="G680" s="7">
        <v>1</v>
      </c>
      <c r="H680" s="7">
        <v>81379</v>
      </c>
      <c r="I680" s="7" t="s">
        <v>16</v>
      </c>
      <c r="J680" s="7">
        <v>45420017</v>
      </c>
      <c r="K680" s="7" t="s">
        <v>804</v>
      </c>
      <c r="L680" s="13" t="s">
        <v>810</v>
      </c>
      <c r="M680" s="14">
        <v>139900</v>
      </c>
      <c r="N680" s="10" t="str">
        <f t="shared" si="95"/>
        <v>BXGY</v>
      </c>
      <c r="O680" s="9">
        <f t="shared" si="90"/>
        <v>34975</v>
      </c>
      <c r="P680" s="9" t="str">
        <f t="shared" si="93"/>
        <v>PERCENTAGE</v>
      </c>
    </row>
    <row r="681" spans="1:16" s="6" customFormat="1" x14ac:dyDescent="0.25">
      <c r="A681" s="7" t="str">
        <f t="shared" si="91"/>
        <v>2024 ALL D75</v>
      </c>
      <c r="B681" s="8">
        <f t="shared" si="92"/>
        <v>46104</v>
      </c>
      <c r="C681" s="8">
        <f t="shared" si="94"/>
        <v>46113</v>
      </c>
      <c r="D681" s="7">
        <v>3272</v>
      </c>
      <c r="E681" s="7">
        <v>336</v>
      </c>
      <c r="F681" s="7">
        <v>4</v>
      </c>
      <c r="G681" s="7">
        <v>1</v>
      </c>
      <c r="H681" s="7">
        <v>81379</v>
      </c>
      <c r="I681" s="7" t="s">
        <v>16</v>
      </c>
      <c r="J681" s="7">
        <v>45420026</v>
      </c>
      <c r="K681" s="7" t="s">
        <v>804</v>
      </c>
      <c r="L681" s="13" t="s">
        <v>811</v>
      </c>
      <c r="M681" s="14">
        <v>139900</v>
      </c>
      <c r="N681" s="10" t="str">
        <f t="shared" si="95"/>
        <v>BXGY</v>
      </c>
      <c r="O681" s="9">
        <f t="shared" si="90"/>
        <v>34975</v>
      </c>
      <c r="P681" s="9" t="str">
        <f t="shared" si="93"/>
        <v>PERCENTAGE</v>
      </c>
    </row>
    <row r="682" spans="1:16" s="6" customFormat="1" x14ac:dyDescent="0.25">
      <c r="A682" s="7" t="str">
        <f t="shared" si="91"/>
        <v>2024 ALL D75</v>
      </c>
      <c r="B682" s="8">
        <f t="shared" si="92"/>
        <v>46104</v>
      </c>
      <c r="C682" s="8">
        <f t="shared" si="94"/>
        <v>46113</v>
      </c>
      <c r="D682" s="7">
        <v>3272</v>
      </c>
      <c r="E682" s="7">
        <v>336</v>
      </c>
      <c r="F682" s="7">
        <v>4</v>
      </c>
      <c r="G682" s="7">
        <v>1</v>
      </c>
      <c r="H682" s="7">
        <v>81379</v>
      </c>
      <c r="I682" s="7" t="s">
        <v>16</v>
      </c>
      <c r="J682" s="7">
        <v>45420035</v>
      </c>
      <c r="K682" s="7" t="s">
        <v>804</v>
      </c>
      <c r="L682" s="13" t="s">
        <v>812</v>
      </c>
      <c r="M682" s="14">
        <v>139900</v>
      </c>
      <c r="N682" s="10" t="str">
        <f t="shared" si="95"/>
        <v>BXGY</v>
      </c>
      <c r="O682" s="9">
        <f t="shared" si="90"/>
        <v>34975</v>
      </c>
      <c r="P682" s="9" t="str">
        <f t="shared" si="93"/>
        <v>PERCENTAGE</v>
      </c>
    </row>
    <row r="683" spans="1:16" s="6" customFormat="1" x14ac:dyDescent="0.25">
      <c r="A683" s="7" t="str">
        <f t="shared" si="91"/>
        <v>2024 ALL D75</v>
      </c>
      <c r="B683" s="8">
        <f t="shared" si="92"/>
        <v>46104</v>
      </c>
      <c r="C683" s="8">
        <f t="shared" si="94"/>
        <v>46113</v>
      </c>
      <c r="D683" s="7">
        <v>3272</v>
      </c>
      <c r="E683" s="7">
        <v>336</v>
      </c>
      <c r="F683" s="7">
        <v>4</v>
      </c>
      <c r="G683" s="7">
        <v>1</v>
      </c>
      <c r="H683" s="7">
        <v>81379</v>
      </c>
      <c r="I683" s="7" t="s">
        <v>16</v>
      </c>
      <c r="J683" s="7">
        <v>45420044</v>
      </c>
      <c r="K683" s="7" t="s">
        <v>813</v>
      </c>
      <c r="L683" s="13" t="s">
        <v>814</v>
      </c>
      <c r="M683" s="14">
        <v>139900</v>
      </c>
      <c r="N683" s="10" t="str">
        <f t="shared" si="95"/>
        <v>BXGY</v>
      </c>
      <c r="O683" s="9">
        <f t="shared" si="90"/>
        <v>34975</v>
      </c>
      <c r="P683" s="9" t="str">
        <f t="shared" si="93"/>
        <v>PERCENTAGE</v>
      </c>
    </row>
    <row r="684" spans="1:16" s="6" customFormat="1" x14ac:dyDescent="0.25">
      <c r="A684" s="7" t="str">
        <f t="shared" si="91"/>
        <v>2024 ALL D75</v>
      </c>
      <c r="B684" s="8">
        <f t="shared" si="92"/>
        <v>46104</v>
      </c>
      <c r="C684" s="8">
        <f t="shared" si="94"/>
        <v>46113</v>
      </c>
      <c r="D684" s="7">
        <v>3272</v>
      </c>
      <c r="E684" s="7">
        <v>336</v>
      </c>
      <c r="F684" s="7">
        <v>4</v>
      </c>
      <c r="G684" s="7">
        <v>1</v>
      </c>
      <c r="H684" s="7">
        <v>81379</v>
      </c>
      <c r="I684" s="7" t="s">
        <v>16</v>
      </c>
      <c r="J684" s="7">
        <v>45420053</v>
      </c>
      <c r="K684" s="7" t="s">
        <v>813</v>
      </c>
      <c r="L684" s="13" t="s">
        <v>815</v>
      </c>
      <c r="M684" s="14">
        <v>139900</v>
      </c>
      <c r="N684" s="10" t="str">
        <f t="shared" si="95"/>
        <v>BXGY</v>
      </c>
      <c r="O684" s="9">
        <f t="shared" si="90"/>
        <v>34975</v>
      </c>
      <c r="P684" s="9" t="str">
        <f t="shared" si="93"/>
        <v>PERCENTAGE</v>
      </c>
    </row>
    <row r="685" spans="1:16" s="6" customFormat="1" x14ac:dyDescent="0.25">
      <c r="A685" s="7" t="str">
        <f t="shared" si="91"/>
        <v>2024 ALL D75</v>
      </c>
      <c r="B685" s="8">
        <f t="shared" si="92"/>
        <v>46104</v>
      </c>
      <c r="C685" s="8">
        <f t="shared" si="94"/>
        <v>46113</v>
      </c>
      <c r="D685" s="7">
        <v>3272</v>
      </c>
      <c r="E685" s="7">
        <v>336</v>
      </c>
      <c r="F685" s="7">
        <v>4</v>
      </c>
      <c r="G685" s="7">
        <v>1</v>
      </c>
      <c r="H685" s="7">
        <v>81379</v>
      </c>
      <c r="I685" s="7" t="s">
        <v>16</v>
      </c>
      <c r="J685" s="7">
        <v>45420062</v>
      </c>
      <c r="K685" s="7" t="s">
        <v>813</v>
      </c>
      <c r="L685" s="13" t="s">
        <v>816</v>
      </c>
      <c r="M685" s="14">
        <v>139900</v>
      </c>
      <c r="N685" s="10" t="str">
        <f t="shared" si="95"/>
        <v>BXGY</v>
      </c>
      <c r="O685" s="9">
        <f t="shared" si="90"/>
        <v>34975</v>
      </c>
      <c r="P685" s="9" t="str">
        <f t="shared" si="93"/>
        <v>PERCENTAGE</v>
      </c>
    </row>
    <row r="686" spans="1:16" s="6" customFormat="1" x14ac:dyDescent="0.25">
      <c r="A686" s="7" t="str">
        <f t="shared" si="91"/>
        <v>2024 ALL D75</v>
      </c>
      <c r="B686" s="8">
        <f t="shared" si="92"/>
        <v>46104</v>
      </c>
      <c r="C686" s="8">
        <f t="shared" si="94"/>
        <v>46113</v>
      </c>
      <c r="D686" s="7">
        <v>3272</v>
      </c>
      <c r="E686" s="7">
        <v>336</v>
      </c>
      <c r="F686" s="7">
        <v>4</v>
      </c>
      <c r="G686" s="7">
        <v>1</v>
      </c>
      <c r="H686" s="7">
        <v>81379</v>
      </c>
      <c r="I686" s="7" t="s">
        <v>16</v>
      </c>
      <c r="J686" s="7">
        <v>45420071</v>
      </c>
      <c r="K686" s="7" t="s">
        <v>813</v>
      </c>
      <c r="L686" s="13" t="s">
        <v>817</v>
      </c>
      <c r="M686" s="14">
        <v>139900</v>
      </c>
      <c r="N686" s="10" t="str">
        <f t="shared" si="95"/>
        <v>BXGY</v>
      </c>
      <c r="O686" s="9">
        <f t="shared" si="90"/>
        <v>34975</v>
      </c>
      <c r="P686" s="9" t="str">
        <f t="shared" si="93"/>
        <v>PERCENTAGE</v>
      </c>
    </row>
    <row r="687" spans="1:16" s="6" customFormat="1" x14ac:dyDescent="0.25">
      <c r="A687" s="7" t="str">
        <f t="shared" si="91"/>
        <v>2024 ALL D75</v>
      </c>
      <c r="B687" s="8">
        <f t="shared" si="92"/>
        <v>46104</v>
      </c>
      <c r="C687" s="8">
        <f t="shared" si="94"/>
        <v>46113</v>
      </c>
      <c r="D687" s="7">
        <v>3272</v>
      </c>
      <c r="E687" s="7">
        <v>336</v>
      </c>
      <c r="F687" s="7">
        <v>4</v>
      </c>
      <c r="G687" s="7">
        <v>1</v>
      </c>
      <c r="H687" s="7">
        <v>81379</v>
      </c>
      <c r="I687" s="7" t="s">
        <v>16</v>
      </c>
      <c r="J687" s="7">
        <v>45420080</v>
      </c>
      <c r="K687" s="7" t="s">
        <v>813</v>
      </c>
      <c r="L687" s="13" t="s">
        <v>818</v>
      </c>
      <c r="M687" s="14">
        <v>139900</v>
      </c>
      <c r="N687" s="10" t="str">
        <f t="shared" si="95"/>
        <v>BXGY</v>
      </c>
      <c r="O687" s="9">
        <f t="shared" si="90"/>
        <v>34975</v>
      </c>
      <c r="P687" s="9" t="str">
        <f t="shared" si="93"/>
        <v>PERCENTAGE</v>
      </c>
    </row>
    <row r="688" spans="1:16" s="6" customFormat="1" x14ac:dyDescent="0.25">
      <c r="A688" s="7" t="str">
        <f t="shared" si="91"/>
        <v>2024 ALL D75</v>
      </c>
      <c r="B688" s="8">
        <f t="shared" si="92"/>
        <v>46104</v>
      </c>
      <c r="C688" s="8">
        <f t="shared" si="94"/>
        <v>46113</v>
      </c>
      <c r="D688" s="7">
        <v>3272</v>
      </c>
      <c r="E688" s="7">
        <v>336</v>
      </c>
      <c r="F688" s="7">
        <v>4</v>
      </c>
      <c r="G688" s="7">
        <v>1</v>
      </c>
      <c r="H688" s="7">
        <v>81379</v>
      </c>
      <c r="I688" s="7" t="s">
        <v>16</v>
      </c>
      <c r="J688" s="7">
        <v>45420099</v>
      </c>
      <c r="K688" s="7" t="s">
        <v>813</v>
      </c>
      <c r="L688" s="13" t="s">
        <v>819</v>
      </c>
      <c r="M688" s="14">
        <v>139900</v>
      </c>
      <c r="N688" s="10" t="str">
        <f t="shared" si="95"/>
        <v>BXGY</v>
      </c>
      <c r="O688" s="9">
        <f t="shared" si="90"/>
        <v>34975</v>
      </c>
      <c r="P688" s="9" t="str">
        <f t="shared" si="93"/>
        <v>PERCENTAGE</v>
      </c>
    </row>
    <row r="689" spans="1:16" s="6" customFormat="1" x14ac:dyDescent="0.25">
      <c r="A689" s="7" t="str">
        <f t="shared" si="91"/>
        <v>2024 ALL D75</v>
      </c>
      <c r="B689" s="8">
        <f t="shared" si="92"/>
        <v>46104</v>
      </c>
      <c r="C689" s="8">
        <f t="shared" si="94"/>
        <v>46113</v>
      </c>
      <c r="D689" s="7">
        <v>3272</v>
      </c>
      <c r="E689" s="7">
        <v>336</v>
      </c>
      <c r="F689" s="7">
        <v>4</v>
      </c>
      <c r="G689" s="7">
        <v>1</v>
      </c>
      <c r="H689" s="7">
        <v>81379</v>
      </c>
      <c r="I689" s="7" t="s">
        <v>16</v>
      </c>
      <c r="J689" s="7">
        <v>45420106</v>
      </c>
      <c r="K689" s="7" t="s">
        <v>813</v>
      </c>
      <c r="L689" s="13" t="s">
        <v>820</v>
      </c>
      <c r="M689" s="14">
        <v>139900</v>
      </c>
      <c r="N689" s="10" t="str">
        <f t="shared" si="95"/>
        <v>BXGY</v>
      </c>
      <c r="O689" s="9">
        <f t="shared" si="90"/>
        <v>34975</v>
      </c>
      <c r="P689" s="9" t="str">
        <f t="shared" si="93"/>
        <v>PERCENTAGE</v>
      </c>
    </row>
    <row r="690" spans="1:16" s="6" customFormat="1" x14ac:dyDescent="0.25">
      <c r="A690" s="7" t="str">
        <f t="shared" si="91"/>
        <v>2024 ALL D75</v>
      </c>
      <c r="B690" s="8">
        <f t="shared" si="92"/>
        <v>46104</v>
      </c>
      <c r="C690" s="8">
        <f t="shared" si="94"/>
        <v>46113</v>
      </c>
      <c r="D690" s="7">
        <v>3272</v>
      </c>
      <c r="E690" s="7">
        <v>336</v>
      </c>
      <c r="F690" s="7">
        <v>4</v>
      </c>
      <c r="G690" s="7">
        <v>1</v>
      </c>
      <c r="H690" s="7">
        <v>81379</v>
      </c>
      <c r="I690" s="7" t="s">
        <v>16</v>
      </c>
      <c r="J690" s="7">
        <v>45420115</v>
      </c>
      <c r="K690" s="7" t="s">
        <v>813</v>
      </c>
      <c r="L690" s="13" t="s">
        <v>821</v>
      </c>
      <c r="M690" s="14">
        <v>139900</v>
      </c>
      <c r="N690" s="10" t="str">
        <f t="shared" si="95"/>
        <v>BXGY</v>
      </c>
      <c r="O690" s="9">
        <f t="shared" si="90"/>
        <v>34975</v>
      </c>
      <c r="P690" s="9" t="str">
        <f t="shared" si="93"/>
        <v>PERCENTAGE</v>
      </c>
    </row>
    <row r="691" spans="1:16" s="6" customFormat="1" x14ac:dyDescent="0.25">
      <c r="A691" s="7" t="str">
        <f t="shared" si="91"/>
        <v>2024 ALL D75</v>
      </c>
      <c r="B691" s="8">
        <f t="shared" si="92"/>
        <v>46104</v>
      </c>
      <c r="C691" s="8">
        <f t="shared" si="94"/>
        <v>46113</v>
      </c>
      <c r="D691" s="7">
        <v>3272</v>
      </c>
      <c r="E691" s="7">
        <v>336</v>
      </c>
      <c r="F691" s="7">
        <v>4</v>
      </c>
      <c r="G691" s="7">
        <v>1</v>
      </c>
      <c r="H691" s="7">
        <v>81379</v>
      </c>
      <c r="I691" s="7" t="s">
        <v>16</v>
      </c>
      <c r="J691" s="7">
        <v>45420124</v>
      </c>
      <c r="K691" s="7" t="s">
        <v>822</v>
      </c>
      <c r="L691" s="13" t="s">
        <v>823</v>
      </c>
      <c r="M691" s="14">
        <v>139900</v>
      </c>
      <c r="N691" s="10" t="str">
        <f t="shared" si="95"/>
        <v>BXGY</v>
      </c>
      <c r="O691" s="9">
        <f t="shared" si="90"/>
        <v>34975</v>
      </c>
      <c r="P691" s="9" t="str">
        <f t="shared" si="93"/>
        <v>PERCENTAGE</v>
      </c>
    </row>
    <row r="692" spans="1:16" s="6" customFormat="1" x14ac:dyDescent="0.25">
      <c r="A692" s="7" t="str">
        <f t="shared" si="91"/>
        <v>2024 ALL D75</v>
      </c>
      <c r="B692" s="8">
        <f t="shared" si="92"/>
        <v>46104</v>
      </c>
      <c r="C692" s="8">
        <f t="shared" si="94"/>
        <v>46113</v>
      </c>
      <c r="D692" s="7">
        <v>3272</v>
      </c>
      <c r="E692" s="7">
        <v>336</v>
      </c>
      <c r="F692" s="7">
        <v>4</v>
      </c>
      <c r="G692" s="7">
        <v>1</v>
      </c>
      <c r="H692" s="7">
        <v>81379</v>
      </c>
      <c r="I692" s="7" t="s">
        <v>16</v>
      </c>
      <c r="J692" s="7">
        <v>45420133</v>
      </c>
      <c r="K692" s="7" t="s">
        <v>822</v>
      </c>
      <c r="L692" s="13" t="s">
        <v>824</v>
      </c>
      <c r="M692" s="14">
        <v>139900</v>
      </c>
      <c r="N692" s="10" t="str">
        <f t="shared" si="95"/>
        <v>BXGY</v>
      </c>
      <c r="O692" s="9">
        <f t="shared" si="90"/>
        <v>34975</v>
      </c>
      <c r="P692" s="9" t="str">
        <f t="shared" si="93"/>
        <v>PERCENTAGE</v>
      </c>
    </row>
    <row r="693" spans="1:16" s="6" customFormat="1" x14ac:dyDescent="0.25">
      <c r="A693" s="7" t="str">
        <f t="shared" si="91"/>
        <v>2024 ALL D75</v>
      </c>
      <c r="B693" s="8">
        <f t="shared" si="92"/>
        <v>46104</v>
      </c>
      <c r="C693" s="8">
        <f t="shared" si="94"/>
        <v>46113</v>
      </c>
      <c r="D693" s="7">
        <v>3272</v>
      </c>
      <c r="E693" s="7">
        <v>336</v>
      </c>
      <c r="F693" s="7">
        <v>4</v>
      </c>
      <c r="G693" s="7">
        <v>1</v>
      </c>
      <c r="H693" s="7">
        <v>81379</v>
      </c>
      <c r="I693" s="7" t="s">
        <v>16</v>
      </c>
      <c r="J693" s="7">
        <v>45420142</v>
      </c>
      <c r="K693" s="7" t="s">
        <v>822</v>
      </c>
      <c r="L693" s="13" t="s">
        <v>825</v>
      </c>
      <c r="M693" s="14">
        <v>139900</v>
      </c>
      <c r="N693" s="10" t="str">
        <f t="shared" si="95"/>
        <v>BXGY</v>
      </c>
      <c r="O693" s="9">
        <f t="shared" si="90"/>
        <v>34975</v>
      </c>
      <c r="P693" s="9" t="str">
        <f t="shared" si="93"/>
        <v>PERCENTAGE</v>
      </c>
    </row>
    <row r="694" spans="1:16" s="6" customFormat="1" x14ac:dyDescent="0.25">
      <c r="A694" s="7" t="str">
        <f t="shared" si="91"/>
        <v>2024 ALL D75</v>
      </c>
      <c r="B694" s="8">
        <f t="shared" si="92"/>
        <v>46104</v>
      </c>
      <c r="C694" s="8">
        <f t="shared" si="94"/>
        <v>46113</v>
      </c>
      <c r="D694" s="7">
        <v>3272</v>
      </c>
      <c r="E694" s="7">
        <v>336</v>
      </c>
      <c r="F694" s="7">
        <v>4</v>
      </c>
      <c r="G694" s="7">
        <v>1</v>
      </c>
      <c r="H694" s="7">
        <v>81379</v>
      </c>
      <c r="I694" s="7" t="s">
        <v>16</v>
      </c>
      <c r="J694" s="7">
        <v>45420151</v>
      </c>
      <c r="K694" s="7" t="s">
        <v>822</v>
      </c>
      <c r="L694" s="13" t="s">
        <v>826</v>
      </c>
      <c r="M694" s="14">
        <v>139900</v>
      </c>
      <c r="N694" s="10" t="str">
        <f t="shared" si="95"/>
        <v>BXGY</v>
      </c>
      <c r="O694" s="9">
        <f t="shared" si="90"/>
        <v>34975</v>
      </c>
      <c r="P694" s="9" t="str">
        <f t="shared" si="93"/>
        <v>PERCENTAGE</v>
      </c>
    </row>
    <row r="695" spans="1:16" s="6" customFormat="1" x14ac:dyDescent="0.25">
      <c r="A695" s="7" t="str">
        <f t="shared" si="91"/>
        <v>2024 ALL D75</v>
      </c>
      <c r="B695" s="8">
        <f t="shared" si="92"/>
        <v>46104</v>
      </c>
      <c r="C695" s="8">
        <f t="shared" si="94"/>
        <v>46113</v>
      </c>
      <c r="D695" s="7">
        <v>3272</v>
      </c>
      <c r="E695" s="7">
        <v>336</v>
      </c>
      <c r="F695" s="7">
        <v>4</v>
      </c>
      <c r="G695" s="7">
        <v>1</v>
      </c>
      <c r="H695" s="7">
        <v>81379</v>
      </c>
      <c r="I695" s="7" t="s">
        <v>16</v>
      </c>
      <c r="J695" s="7">
        <v>45420160</v>
      </c>
      <c r="K695" s="7" t="s">
        <v>822</v>
      </c>
      <c r="L695" s="13" t="s">
        <v>827</v>
      </c>
      <c r="M695" s="14">
        <v>139900</v>
      </c>
      <c r="N695" s="10" t="str">
        <f t="shared" si="95"/>
        <v>BXGY</v>
      </c>
      <c r="O695" s="9">
        <f t="shared" si="90"/>
        <v>34975</v>
      </c>
      <c r="P695" s="9" t="str">
        <f t="shared" si="93"/>
        <v>PERCENTAGE</v>
      </c>
    </row>
    <row r="696" spans="1:16" s="6" customFormat="1" x14ac:dyDescent="0.25">
      <c r="A696" s="7" t="str">
        <f t="shared" si="91"/>
        <v>2024 ALL D75</v>
      </c>
      <c r="B696" s="8">
        <f t="shared" si="92"/>
        <v>46104</v>
      </c>
      <c r="C696" s="8">
        <f t="shared" si="94"/>
        <v>46113</v>
      </c>
      <c r="D696" s="7">
        <v>3272</v>
      </c>
      <c r="E696" s="7">
        <v>336</v>
      </c>
      <c r="F696" s="7">
        <v>4</v>
      </c>
      <c r="G696" s="7">
        <v>1</v>
      </c>
      <c r="H696" s="7">
        <v>81379</v>
      </c>
      <c r="I696" s="7" t="s">
        <v>16</v>
      </c>
      <c r="J696" s="7">
        <v>45420179</v>
      </c>
      <c r="K696" s="7" t="s">
        <v>822</v>
      </c>
      <c r="L696" s="13" t="s">
        <v>828</v>
      </c>
      <c r="M696" s="14">
        <v>139900</v>
      </c>
      <c r="N696" s="10" t="str">
        <f t="shared" si="95"/>
        <v>BXGY</v>
      </c>
      <c r="O696" s="9">
        <f t="shared" si="90"/>
        <v>34975</v>
      </c>
      <c r="P696" s="9" t="str">
        <f t="shared" si="93"/>
        <v>PERCENTAGE</v>
      </c>
    </row>
    <row r="697" spans="1:16" s="6" customFormat="1" x14ac:dyDescent="0.25">
      <c r="A697" s="7" t="str">
        <f t="shared" si="91"/>
        <v>2024 ALL D75</v>
      </c>
      <c r="B697" s="8">
        <f t="shared" si="92"/>
        <v>46104</v>
      </c>
      <c r="C697" s="8">
        <f t="shared" si="94"/>
        <v>46113</v>
      </c>
      <c r="D697" s="7">
        <v>3272</v>
      </c>
      <c r="E697" s="7">
        <v>336</v>
      </c>
      <c r="F697" s="7">
        <v>4</v>
      </c>
      <c r="G697" s="7">
        <v>1</v>
      </c>
      <c r="H697" s="7">
        <v>81379</v>
      </c>
      <c r="I697" s="7" t="s">
        <v>16</v>
      </c>
      <c r="J697" s="7">
        <v>45420188</v>
      </c>
      <c r="K697" s="7" t="s">
        <v>822</v>
      </c>
      <c r="L697" s="13" t="s">
        <v>829</v>
      </c>
      <c r="M697" s="14">
        <v>139900</v>
      </c>
      <c r="N697" s="10" t="str">
        <f t="shared" si="95"/>
        <v>BXGY</v>
      </c>
      <c r="O697" s="9">
        <f t="shared" si="90"/>
        <v>34975</v>
      </c>
      <c r="P697" s="9" t="str">
        <f t="shared" si="93"/>
        <v>PERCENTAGE</v>
      </c>
    </row>
    <row r="698" spans="1:16" s="6" customFormat="1" x14ac:dyDescent="0.25">
      <c r="A698" s="7" t="str">
        <f t="shared" si="91"/>
        <v>2024 ALL D75</v>
      </c>
      <c r="B698" s="8">
        <f t="shared" si="92"/>
        <v>46104</v>
      </c>
      <c r="C698" s="8">
        <f t="shared" si="94"/>
        <v>46113</v>
      </c>
      <c r="D698" s="7">
        <v>3272</v>
      </c>
      <c r="E698" s="7">
        <v>336</v>
      </c>
      <c r="F698" s="7">
        <v>4</v>
      </c>
      <c r="G698" s="7">
        <v>1</v>
      </c>
      <c r="H698" s="7">
        <v>81379</v>
      </c>
      <c r="I698" s="7" t="s">
        <v>16</v>
      </c>
      <c r="J698" s="7">
        <v>45420197</v>
      </c>
      <c r="K698" s="7" t="s">
        <v>822</v>
      </c>
      <c r="L698" s="13" t="s">
        <v>830</v>
      </c>
      <c r="M698" s="14">
        <v>139900</v>
      </c>
      <c r="N698" s="10" t="str">
        <f t="shared" si="95"/>
        <v>BXGY</v>
      </c>
      <c r="O698" s="9">
        <f t="shared" si="90"/>
        <v>34975</v>
      </c>
      <c r="P698" s="9" t="str">
        <f t="shared" si="93"/>
        <v>PERCENTAGE</v>
      </c>
    </row>
    <row r="699" spans="1:16" s="6" customFormat="1" x14ac:dyDescent="0.25">
      <c r="A699" s="7" t="str">
        <f t="shared" si="91"/>
        <v>2024 ALL D75</v>
      </c>
      <c r="B699" s="8">
        <f t="shared" si="92"/>
        <v>46104</v>
      </c>
      <c r="C699" s="8">
        <f t="shared" si="94"/>
        <v>46113</v>
      </c>
      <c r="D699" s="7">
        <v>3272</v>
      </c>
      <c r="E699" s="7">
        <v>336</v>
      </c>
      <c r="F699" s="7">
        <v>4</v>
      </c>
      <c r="G699" s="7">
        <v>1</v>
      </c>
      <c r="H699" s="7">
        <v>81379</v>
      </c>
      <c r="I699" s="7" t="s">
        <v>16</v>
      </c>
      <c r="J699" s="7">
        <v>45420204</v>
      </c>
      <c r="K699" s="7" t="s">
        <v>831</v>
      </c>
      <c r="L699" s="13" t="s">
        <v>832</v>
      </c>
      <c r="M699" s="14">
        <v>139900</v>
      </c>
      <c r="N699" s="10" t="str">
        <f t="shared" si="95"/>
        <v>BXGY</v>
      </c>
      <c r="O699" s="9">
        <f t="shared" si="90"/>
        <v>34975</v>
      </c>
      <c r="P699" s="9" t="str">
        <f t="shared" si="93"/>
        <v>PERCENTAGE</v>
      </c>
    </row>
    <row r="700" spans="1:16" s="6" customFormat="1" x14ac:dyDescent="0.25">
      <c r="A700" s="7" t="str">
        <f t="shared" si="91"/>
        <v>2024 ALL D75</v>
      </c>
      <c r="B700" s="8">
        <f t="shared" si="92"/>
        <v>46104</v>
      </c>
      <c r="C700" s="8">
        <f t="shared" si="94"/>
        <v>46113</v>
      </c>
      <c r="D700" s="7">
        <v>3272</v>
      </c>
      <c r="E700" s="7">
        <v>336</v>
      </c>
      <c r="F700" s="7">
        <v>4</v>
      </c>
      <c r="G700" s="7">
        <v>1</v>
      </c>
      <c r="H700" s="7">
        <v>81379</v>
      </c>
      <c r="I700" s="7" t="s">
        <v>16</v>
      </c>
      <c r="J700" s="7">
        <v>45420213</v>
      </c>
      <c r="K700" s="7" t="s">
        <v>831</v>
      </c>
      <c r="L700" s="13" t="s">
        <v>833</v>
      </c>
      <c r="M700" s="14">
        <v>139900</v>
      </c>
      <c r="N700" s="10" t="str">
        <f t="shared" si="95"/>
        <v>BXGY</v>
      </c>
      <c r="O700" s="9">
        <f t="shared" si="90"/>
        <v>34975</v>
      </c>
      <c r="P700" s="9" t="str">
        <f t="shared" si="93"/>
        <v>PERCENTAGE</v>
      </c>
    </row>
    <row r="701" spans="1:16" s="6" customFormat="1" x14ac:dyDescent="0.25">
      <c r="A701" s="7" t="str">
        <f t="shared" si="91"/>
        <v>2024 ALL D75</v>
      </c>
      <c r="B701" s="8">
        <f t="shared" si="92"/>
        <v>46104</v>
      </c>
      <c r="C701" s="8">
        <f t="shared" si="94"/>
        <v>46113</v>
      </c>
      <c r="D701" s="7">
        <v>3272</v>
      </c>
      <c r="E701" s="7">
        <v>336</v>
      </c>
      <c r="F701" s="7">
        <v>4</v>
      </c>
      <c r="G701" s="7">
        <v>1</v>
      </c>
      <c r="H701" s="7">
        <v>81379</v>
      </c>
      <c r="I701" s="7" t="s">
        <v>16</v>
      </c>
      <c r="J701" s="7">
        <v>45420222</v>
      </c>
      <c r="K701" s="7" t="s">
        <v>831</v>
      </c>
      <c r="L701" s="13" t="s">
        <v>834</v>
      </c>
      <c r="M701" s="14">
        <v>139900</v>
      </c>
      <c r="N701" s="10" t="str">
        <f t="shared" si="95"/>
        <v>BXGY</v>
      </c>
      <c r="O701" s="9">
        <f t="shared" si="90"/>
        <v>34975</v>
      </c>
      <c r="P701" s="9" t="str">
        <f t="shared" si="93"/>
        <v>PERCENTAGE</v>
      </c>
    </row>
    <row r="702" spans="1:16" s="6" customFormat="1" x14ac:dyDescent="0.25">
      <c r="A702" s="7" t="str">
        <f t="shared" si="91"/>
        <v>2024 ALL D75</v>
      </c>
      <c r="B702" s="8">
        <f t="shared" si="92"/>
        <v>46104</v>
      </c>
      <c r="C702" s="8">
        <f t="shared" si="94"/>
        <v>46113</v>
      </c>
      <c r="D702" s="7">
        <v>3272</v>
      </c>
      <c r="E702" s="7">
        <v>336</v>
      </c>
      <c r="F702" s="7">
        <v>4</v>
      </c>
      <c r="G702" s="7">
        <v>1</v>
      </c>
      <c r="H702" s="7">
        <v>81379</v>
      </c>
      <c r="I702" s="7" t="s">
        <v>16</v>
      </c>
      <c r="J702" s="7">
        <v>45420231</v>
      </c>
      <c r="K702" s="7" t="s">
        <v>831</v>
      </c>
      <c r="L702" s="13" t="s">
        <v>835</v>
      </c>
      <c r="M702" s="14">
        <v>139900</v>
      </c>
      <c r="N702" s="10" t="str">
        <f t="shared" si="95"/>
        <v>BXGY</v>
      </c>
      <c r="O702" s="9">
        <f t="shared" si="90"/>
        <v>34975</v>
      </c>
      <c r="P702" s="9" t="str">
        <f t="shared" si="93"/>
        <v>PERCENTAGE</v>
      </c>
    </row>
    <row r="703" spans="1:16" s="6" customFormat="1" x14ac:dyDescent="0.25">
      <c r="A703" s="7" t="str">
        <f t="shared" si="91"/>
        <v>2024 ALL D75</v>
      </c>
      <c r="B703" s="8">
        <f t="shared" si="92"/>
        <v>46104</v>
      </c>
      <c r="C703" s="8">
        <f t="shared" si="94"/>
        <v>46113</v>
      </c>
      <c r="D703" s="7">
        <v>3272</v>
      </c>
      <c r="E703" s="7">
        <v>336</v>
      </c>
      <c r="F703" s="7">
        <v>4</v>
      </c>
      <c r="G703" s="7">
        <v>1</v>
      </c>
      <c r="H703" s="7">
        <v>81379</v>
      </c>
      <c r="I703" s="7" t="s">
        <v>16</v>
      </c>
      <c r="J703" s="7">
        <v>45420240</v>
      </c>
      <c r="K703" s="7" t="s">
        <v>831</v>
      </c>
      <c r="L703" s="13" t="s">
        <v>836</v>
      </c>
      <c r="M703" s="14">
        <v>139900</v>
      </c>
      <c r="N703" s="10" t="str">
        <f t="shared" si="95"/>
        <v>BXGY</v>
      </c>
      <c r="O703" s="9">
        <f t="shared" si="90"/>
        <v>34975</v>
      </c>
      <c r="P703" s="9" t="str">
        <f t="shared" si="93"/>
        <v>PERCENTAGE</v>
      </c>
    </row>
    <row r="704" spans="1:16" s="6" customFormat="1" x14ac:dyDescent="0.25">
      <c r="A704" s="7" t="str">
        <f t="shared" si="91"/>
        <v>2024 ALL D75</v>
      </c>
      <c r="B704" s="8">
        <f t="shared" si="92"/>
        <v>46104</v>
      </c>
      <c r="C704" s="8">
        <f t="shared" si="94"/>
        <v>46113</v>
      </c>
      <c r="D704" s="7">
        <v>3272</v>
      </c>
      <c r="E704" s="7">
        <v>336</v>
      </c>
      <c r="F704" s="7">
        <v>4</v>
      </c>
      <c r="G704" s="7">
        <v>1</v>
      </c>
      <c r="H704" s="7">
        <v>81379</v>
      </c>
      <c r="I704" s="7" t="s">
        <v>16</v>
      </c>
      <c r="J704" s="7">
        <v>45420259</v>
      </c>
      <c r="K704" s="7" t="s">
        <v>831</v>
      </c>
      <c r="L704" s="13" t="s">
        <v>837</v>
      </c>
      <c r="M704" s="14">
        <v>139900</v>
      </c>
      <c r="N704" s="10" t="str">
        <f t="shared" si="95"/>
        <v>BXGY</v>
      </c>
      <c r="O704" s="9">
        <f t="shared" si="90"/>
        <v>34975</v>
      </c>
      <c r="P704" s="9" t="str">
        <f t="shared" si="93"/>
        <v>PERCENTAGE</v>
      </c>
    </row>
    <row r="705" spans="1:16" s="6" customFormat="1" x14ac:dyDescent="0.25">
      <c r="A705" s="7" t="str">
        <f t="shared" si="91"/>
        <v>2024 ALL D75</v>
      </c>
      <c r="B705" s="8">
        <f t="shared" si="92"/>
        <v>46104</v>
      </c>
      <c r="C705" s="8">
        <f t="shared" si="94"/>
        <v>46113</v>
      </c>
      <c r="D705" s="7">
        <v>3272</v>
      </c>
      <c r="E705" s="7">
        <v>336</v>
      </c>
      <c r="F705" s="7">
        <v>4</v>
      </c>
      <c r="G705" s="7">
        <v>1</v>
      </c>
      <c r="H705" s="7">
        <v>81379</v>
      </c>
      <c r="I705" s="7" t="s">
        <v>16</v>
      </c>
      <c r="J705" s="7">
        <v>45420268</v>
      </c>
      <c r="K705" s="7" t="s">
        <v>831</v>
      </c>
      <c r="L705" s="13" t="s">
        <v>838</v>
      </c>
      <c r="M705" s="14">
        <v>139900</v>
      </c>
      <c r="N705" s="10" t="str">
        <f t="shared" si="95"/>
        <v>BXGY</v>
      </c>
      <c r="O705" s="9">
        <f t="shared" si="90"/>
        <v>34975</v>
      </c>
      <c r="P705" s="9" t="str">
        <f t="shared" si="93"/>
        <v>PERCENTAGE</v>
      </c>
    </row>
    <row r="706" spans="1:16" s="6" customFormat="1" x14ac:dyDescent="0.25">
      <c r="A706" s="7" t="str">
        <f t="shared" si="91"/>
        <v>2024 ALL D75</v>
      </c>
      <c r="B706" s="8">
        <f t="shared" si="92"/>
        <v>46104</v>
      </c>
      <c r="C706" s="8">
        <f t="shared" si="94"/>
        <v>46113</v>
      </c>
      <c r="D706" s="7">
        <v>3272</v>
      </c>
      <c r="E706" s="7">
        <v>336</v>
      </c>
      <c r="F706" s="7">
        <v>4</v>
      </c>
      <c r="G706" s="7">
        <v>1</v>
      </c>
      <c r="H706" s="7">
        <v>81379</v>
      </c>
      <c r="I706" s="7" t="s">
        <v>16</v>
      </c>
      <c r="J706" s="7">
        <v>45420277</v>
      </c>
      <c r="K706" s="7" t="s">
        <v>831</v>
      </c>
      <c r="L706" s="13" t="s">
        <v>839</v>
      </c>
      <c r="M706" s="14">
        <v>139900</v>
      </c>
      <c r="N706" s="10" t="str">
        <f t="shared" si="95"/>
        <v>BXGY</v>
      </c>
      <c r="O706" s="9">
        <f t="shared" si="90"/>
        <v>34975</v>
      </c>
      <c r="P706" s="9" t="str">
        <f t="shared" si="93"/>
        <v>PERCENTAGE</v>
      </c>
    </row>
    <row r="707" spans="1:16" s="6" customFormat="1" x14ac:dyDescent="0.25">
      <c r="A707" s="7" t="str">
        <f t="shared" si="91"/>
        <v>2024 ALL D75</v>
      </c>
      <c r="B707" s="8">
        <f t="shared" si="92"/>
        <v>46104</v>
      </c>
      <c r="C707" s="8">
        <f t="shared" si="94"/>
        <v>46113</v>
      </c>
      <c r="D707" s="7">
        <v>3272</v>
      </c>
      <c r="E707" s="7">
        <v>336</v>
      </c>
      <c r="F707" s="7">
        <v>4</v>
      </c>
      <c r="G707" s="7">
        <v>1</v>
      </c>
      <c r="H707" s="7">
        <v>81379</v>
      </c>
      <c r="I707" s="7" t="s">
        <v>16</v>
      </c>
      <c r="J707" s="7">
        <v>15499679</v>
      </c>
      <c r="K707" s="7" t="s">
        <v>840</v>
      </c>
      <c r="L707" s="13" t="s">
        <v>841</v>
      </c>
      <c r="M707" s="14">
        <v>149900</v>
      </c>
      <c r="N707" s="10" t="str">
        <f t="shared" si="95"/>
        <v>BXGY</v>
      </c>
      <c r="O707" s="9">
        <f t="shared" ref="O707:O770" si="96">M707-((75*M707))/100</f>
        <v>37475</v>
      </c>
      <c r="P707" s="9" t="str">
        <f t="shared" si="93"/>
        <v>PERCENTAGE</v>
      </c>
    </row>
    <row r="708" spans="1:16" s="6" customFormat="1" x14ac:dyDescent="0.25">
      <c r="A708" s="7" t="str">
        <f t="shared" ref="A708:A771" si="97">A707</f>
        <v>2024 ALL D75</v>
      </c>
      <c r="B708" s="8">
        <f t="shared" ref="B708:B771" si="98">B707</f>
        <v>46104</v>
      </c>
      <c r="C708" s="8">
        <f t="shared" si="94"/>
        <v>46113</v>
      </c>
      <c r="D708" s="7">
        <v>3272</v>
      </c>
      <c r="E708" s="7">
        <v>336</v>
      </c>
      <c r="F708" s="7">
        <v>4</v>
      </c>
      <c r="G708" s="7">
        <v>1</v>
      </c>
      <c r="H708" s="7">
        <v>81379</v>
      </c>
      <c r="I708" s="7" t="s">
        <v>16</v>
      </c>
      <c r="J708" s="7">
        <v>15499688</v>
      </c>
      <c r="K708" s="7" t="s">
        <v>840</v>
      </c>
      <c r="L708" s="13" t="s">
        <v>842</v>
      </c>
      <c r="M708" s="14">
        <v>149900</v>
      </c>
      <c r="N708" s="10" t="str">
        <f t="shared" si="95"/>
        <v>BXGY</v>
      </c>
      <c r="O708" s="9">
        <f t="shared" si="96"/>
        <v>37475</v>
      </c>
      <c r="P708" s="9" t="str">
        <f t="shared" ref="P708:P771" si="99">P707</f>
        <v>PERCENTAGE</v>
      </c>
    </row>
    <row r="709" spans="1:16" s="6" customFormat="1" x14ac:dyDescent="0.25">
      <c r="A709" s="7" t="str">
        <f t="shared" si="97"/>
        <v>2024 ALL D75</v>
      </c>
      <c r="B709" s="8">
        <f t="shared" si="98"/>
        <v>46104</v>
      </c>
      <c r="C709" s="8">
        <f t="shared" si="94"/>
        <v>46113</v>
      </c>
      <c r="D709" s="7">
        <v>3272</v>
      </c>
      <c r="E709" s="7">
        <v>336</v>
      </c>
      <c r="F709" s="7">
        <v>4</v>
      </c>
      <c r="G709" s="7">
        <v>1</v>
      </c>
      <c r="H709" s="7">
        <v>81379</v>
      </c>
      <c r="I709" s="7" t="s">
        <v>16</v>
      </c>
      <c r="J709" s="7">
        <v>15499697</v>
      </c>
      <c r="K709" s="7" t="s">
        <v>840</v>
      </c>
      <c r="L709" s="13" t="s">
        <v>843</v>
      </c>
      <c r="M709" s="14">
        <v>149900</v>
      </c>
      <c r="N709" s="10" t="str">
        <f t="shared" si="95"/>
        <v>BXGY</v>
      </c>
      <c r="O709" s="9">
        <f t="shared" si="96"/>
        <v>37475</v>
      </c>
      <c r="P709" s="9" t="str">
        <f t="shared" si="99"/>
        <v>PERCENTAGE</v>
      </c>
    </row>
    <row r="710" spans="1:16" s="6" customFormat="1" x14ac:dyDescent="0.25">
      <c r="A710" s="7" t="str">
        <f t="shared" si="97"/>
        <v>2024 ALL D75</v>
      </c>
      <c r="B710" s="8">
        <f t="shared" si="98"/>
        <v>46104</v>
      </c>
      <c r="C710" s="8">
        <f t="shared" si="94"/>
        <v>46113</v>
      </c>
      <c r="D710" s="7">
        <v>3272</v>
      </c>
      <c r="E710" s="7">
        <v>336</v>
      </c>
      <c r="F710" s="7">
        <v>4</v>
      </c>
      <c r="G710" s="7">
        <v>1</v>
      </c>
      <c r="H710" s="7">
        <v>81379</v>
      </c>
      <c r="I710" s="7" t="s">
        <v>16</v>
      </c>
      <c r="J710" s="7">
        <v>15499704</v>
      </c>
      <c r="K710" s="7" t="s">
        <v>840</v>
      </c>
      <c r="L710" s="13" t="s">
        <v>844</v>
      </c>
      <c r="M710" s="14">
        <v>149900</v>
      </c>
      <c r="N710" s="10" t="str">
        <f t="shared" si="95"/>
        <v>BXGY</v>
      </c>
      <c r="O710" s="9">
        <f t="shared" si="96"/>
        <v>37475</v>
      </c>
      <c r="P710" s="9" t="str">
        <f t="shared" si="99"/>
        <v>PERCENTAGE</v>
      </c>
    </row>
    <row r="711" spans="1:16" s="6" customFormat="1" x14ac:dyDescent="0.25">
      <c r="A711" s="7" t="str">
        <f t="shared" si="97"/>
        <v>2024 ALL D75</v>
      </c>
      <c r="B711" s="8">
        <f t="shared" si="98"/>
        <v>46104</v>
      </c>
      <c r="C711" s="8">
        <f t="shared" si="94"/>
        <v>46113</v>
      </c>
      <c r="D711" s="7">
        <v>3272</v>
      </c>
      <c r="E711" s="7">
        <v>336</v>
      </c>
      <c r="F711" s="7">
        <v>4</v>
      </c>
      <c r="G711" s="7">
        <v>1</v>
      </c>
      <c r="H711" s="7">
        <v>81379</v>
      </c>
      <c r="I711" s="7" t="s">
        <v>16</v>
      </c>
      <c r="J711" s="7">
        <v>15499713</v>
      </c>
      <c r="K711" s="7" t="s">
        <v>840</v>
      </c>
      <c r="L711" s="13" t="s">
        <v>845</v>
      </c>
      <c r="M711" s="14">
        <v>149900</v>
      </c>
      <c r="N711" s="10" t="str">
        <f t="shared" si="95"/>
        <v>BXGY</v>
      </c>
      <c r="O711" s="9">
        <f t="shared" si="96"/>
        <v>37475</v>
      </c>
      <c r="P711" s="9" t="str">
        <f t="shared" si="99"/>
        <v>PERCENTAGE</v>
      </c>
    </row>
    <row r="712" spans="1:16" s="6" customFormat="1" x14ac:dyDescent="0.25">
      <c r="A712" s="7" t="str">
        <f t="shared" si="97"/>
        <v>2024 ALL D75</v>
      </c>
      <c r="B712" s="8">
        <f t="shared" si="98"/>
        <v>46104</v>
      </c>
      <c r="C712" s="8">
        <f t="shared" si="94"/>
        <v>46113</v>
      </c>
      <c r="D712" s="7">
        <v>3272</v>
      </c>
      <c r="E712" s="7">
        <v>336</v>
      </c>
      <c r="F712" s="7">
        <v>4</v>
      </c>
      <c r="G712" s="7">
        <v>1</v>
      </c>
      <c r="H712" s="7">
        <v>81676</v>
      </c>
      <c r="I712" s="7" t="s">
        <v>16</v>
      </c>
      <c r="J712" s="7">
        <v>45419869</v>
      </c>
      <c r="K712" s="7" t="s">
        <v>846</v>
      </c>
      <c r="L712" s="13" t="s">
        <v>847</v>
      </c>
      <c r="M712" s="14">
        <v>139900</v>
      </c>
      <c r="N712" s="10" t="str">
        <f t="shared" si="95"/>
        <v>BXGY</v>
      </c>
      <c r="O712" s="9">
        <f t="shared" si="96"/>
        <v>34975</v>
      </c>
      <c r="P712" s="9" t="str">
        <f t="shared" si="99"/>
        <v>PERCENTAGE</v>
      </c>
    </row>
    <row r="713" spans="1:16" s="6" customFormat="1" x14ac:dyDescent="0.25">
      <c r="A713" s="7" t="str">
        <f t="shared" si="97"/>
        <v>2024 ALL D75</v>
      </c>
      <c r="B713" s="8">
        <f t="shared" si="98"/>
        <v>46104</v>
      </c>
      <c r="C713" s="8">
        <f t="shared" si="94"/>
        <v>46113</v>
      </c>
      <c r="D713" s="7">
        <v>3272</v>
      </c>
      <c r="E713" s="7">
        <v>336</v>
      </c>
      <c r="F713" s="7">
        <v>4</v>
      </c>
      <c r="G713" s="7">
        <v>1</v>
      </c>
      <c r="H713" s="7">
        <v>81676</v>
      </c>
      <c r="I713" s="7" t="s">
        <v>16</v>
      </c>
      <c r="J713" s="7">
        <v>45419878</v>
      </c>
      <c r="K713" s="7" t="s">
        <v>846</v>
      </c>
      <c r="L713" s="13" t="s">
        <v>848</v>
      </c>
      <c r="M713" s="14">
        <v>139900</v>
      </c>
      <c r="N713" s="10" t="str">
        <f t="shared" si="95"/>
        <v>BXGY</v>
      </c>
      <c r="O713" s="9">
        <f t="shared" si="96"/>
        <v>34975</v>
      </c>
      <c r="P713" s="9" t="str">
        <f t="shared" si="99"/>
        <v>PERCENTAGE</v>
      </c>
    </row>
    <row r="714" spans="1:16" s="6" customFormat="1" x14ac:dyDescent="0.25">
      <c r="A714" s="7" t="str">
        <f t="shared" si="97"/>
        <v>2024 ALL D75</v>
      </c>
      <c r="B714" s="8">
        <f t="shared" si="98"/>
        <v>46104</v>
      </c>
      <c r="C714" s="8">
        <f t="shared" si="94"/>
        <v>46113</v>
      </c>
      <c r="D714" s="7">
        <v>3272</v>
      </c>
      <c r="E714" s="7">
        <v>336</v>
      </c>
      <c r="F714" s="7">
        <v>4</v>
      </c>
      <c r="G714" s="7">
        <v>1</v>
      </c>
      <c r="H714" s="7">
        <v>81676</v>
      </c>
      <c r="I714" s="7" t="s">
        <v>16</v>
      </c>
      <c r="J714" s="7">
        <v>45419887</v>
      </c>
      <c r="K714" s="7" t="s">
        <v>846</v>
      </c>
      <c r="L714" s="13" t="s">
        <v>849</v>
      </c>
      <c r="M714" s="14">
        <v>139900</v>
      </c>
      <c r="N714" s="10" t="str">
        <f t="shared" si="95"/>
        <v>BXGY</v>
      </c>
      <c r="O714" s="9">
        <f t="shared" si="96"/>
        <v>34975</v>
      </c>
      <c r="P714" s="9" t="str">
        <f t="shared" si="99"/>
        <v>PERCENTAGE</v>
      </c>
    </row>
    <row r="715" spans="1:16" s="6" customFormat="1" x14ac:dyDescent="0.25">
      <c r="A715" s="7" t="str">
        <f t="shared" si="97"/>
        <v>2024 ALL D75</v>
      </c>
      <c r="B715" s="8">
        <f t="shared" si="98"/>
        <v>46104</v>
      </c>
      <c r="C715" s="8">
        <f t="shared" si="94"/>
        <v>46113</v>
      </c>
      <c r="D715" s="7">
        <v>3272</v>
      </c>
      <c r="E715" s="7">
        <v>336</v>
      </c>
      <c r="F715" s="7">
        <v>4</v>
      </c>
      <c r="G715" s="7">
        <v>1</v>
      </c>
      <c r="H715" s="7">
        <v>81676</v>
      </c>
      <c r="I715" s="7" t="s">
        <v>16</v>
      </c>
      <c r="J715" s="7">
        <v>45419896</v>
      </c>
      <c r="K715" s="7" t="s">
        <v>846</v>
      </c>
      <c r="L715" s="13" t="s">
        <v>850</v>
      </c>
      <c r="M715" s="14">
        <v>139900</v>
      </c>
      <c r="N715" s="10" t="str">
        <f t="shared" si="95"/>
        <v>BXGY</v>
      </c>
      <c r="O715" s="9">
        <f t="shared" si="96"/>
        <v>34975</v>
      </c>
      <c r="P715" s="9" t="str">
        <f t="shared" si="99"/>
        <v>PERCENTAGE</v>
      </c>
    </row>
    <row r="716" spans="1:16" s="6" customFormat="1" x14ac:dyDescent="0.25">
      <c r="A716" s="7" t="str">
        <f t="shared" si="97"/>
        <v>2024 ALL D75</v>
      </c>
      <c r="B716" s="8">
        <f t="shared" si="98"/>
        <v>46104</v>
      </c>
      <c r="C716" s="8">
        <f t="shared" si="94"/>
        <v>46113</v>
      </c>
      <c r="D716" s="7">
        <v>3272</v>
      </c>
      <c r="E716" s="7">
        <v>336</v>
      </c>
      <c r="F716" s="7">
        <v>4</v>
      </c>
      <c r="G716" s="7">
        <v>1</v>
      </c>
      <c r="H716" s="7">
        <v>81676</v>
      </c>
      <c r="I716" s="7" t="s">
        <v>16</v>
      </c>
      <c r="J716" s="7">
        <v>45419903</v>
      </c>
      <c r="K716" s="7" t="s">
        <v>846</v>
      </c>
      <c r="L716" s="13" t="s">
        <v>851</v>
      </c>
      <c r="M716" s="14">
        <v>139900</v>
      </c>
      <c r="N716" s="10" t="str">
        <f t="shared" si="95"/>
        <v>BXGY</v>
      </c>
      <c r="O716" s="9">
        <f t="shared" si="96"/>
        <v>34975</v>
      </c>
      <c r="P716" s="9" t="str">
        <f t="shared" si="99"/>
        <v>PERCENTAGE</v>
      </c>
    </row>
    <row r="717" spans="1:16" s="6" customFormat="1" x14ac:dyDescent="0.25">
      <c r="A717" s="7" t="str">
        <f t="shared" si="97"/>
        <v>2024 ALL D75</v>
      </c>
      <c r="B717" s="8">
        <f t="shared" si="98"/>
        <v>46104</v>
      </c>
      <c r="C717" s="8">
        <f t="shared" si="94"/>
        <v>46113</v>
      </c>
      <c r="D717" s="7">
        <v>3272</v>
      </c>
      <c r="E717" s="7">
        <v>336</v>
      </c>
      <c r="F717" s="7">
        <v>4</v>
      </c>
      <c r="G717" s="7">
        <v>1</v>
      </c>
      <c r="H717" s="7">
        <v>81588</v>
      </c>
      <c r="I717" s="7" t="s">
        <v>16</v>
      </c>
      <c r="J717" s="7">
        <v>45645070</v>
      </c>
      <c r="K717" s="7" t="s">
        <v>852</v>
      </c>
      <c r="L717" s="13" t="s">
        <v>853</v>
      </c>
      <c r="M717" s="14">
        <v>139900</v>
      </c>
      <c r="N717" s="10" t="str">
        <f t="shared" si="95"/>
        <v>BXGY</v>
      </c>
      <c r="O717" s="9">
        <f t="shared" si="96"/>
        <v>34975</v>
      </c>
      <c r="P717" s="9" t="str">
        <f t="shared" si="99"/>
        <v>PERCENTAGE</v>
      </c>
    </row>
    <row r="718" spans="1:16" s="6" customFormat="1" x14ac:dyDescent="0.25">
      <c r="A718" s="7" t="str">
        <f t="shared" si="97"/>
        <v>2024 ALL D75</v>
      </c>
      <c r="B718" s="8">
        <f t="shared" si="98"/>
        <v>46104</v>
      </c>
      <c r="C718" s="8">
        <f t="shared" si="94"/>
        <v>46113</v>
      </c>
      <c r="D718" s="7">
        <v>3272</v>
      </c>
      <c r="E718" s="7">
        <v>336</v>
      </c>
      <c r="F718" s="7">
        <v>4</v>
      </c>
      <c r="G718" s="7">
        <v>1</v>
      </c>
      <c r="H718" s="7">
        <v>81588</v>
      </c>
      <c r="I718" s="7" t="s">
        <v>16</v>
      </c>
      <c r="J718" s="7">
        <v>45645089</v>
      </c>
      <c r="K718" s="7" t="s">
        <v>852</v>
      </c>
      <c r="L718" s="13" t="s">
        <v>854</v>
      </c>
      <c r="M718" s="14">
        <v>139900</v>
      </c>
      <c r="N718" s="10" t="str">
        <f t="shared" si="95"/>
        <v>BXGY</v>
      </c>
      <c r="O718" s="9">
        <f t="shared" si="96"/>
        <v>34975</v>
      </c>
      <c r="P718" s="9" t="str">
        <f t="shared" si="99"/>
        <v>PERCENTAGE</v>
      </c>
    </row>
    <row r="719" spans="1:16" s="6" customFormat="1" x14ac:dyDescent="0.25">
      <c r="A719" s="7" t="str">
        <f t="shared" si="97"/>
        <v>2024 ALL D75</v>
      </c>
      <c r="B719" s="8">
        <f t="shared" si="98"/>
        <v>46104</v>
      </c>
      <c r="C719" s="8">
        <f t="shared" si="94"/>
        <v>46113</v>
      </c>
      <c r="D719" s="7">
        <v>3272</v>
      </c>
      <c r="E719" s="7">
        <v>336</v>
      </c>
      <c r="F719" s="7">
        <v>4</v>
      </c>
      <c r="G719" s="7">
        <v>1</v>
      </c>
      <c r="H719" s="7">
        <v>81588</v>
      </c>
      <c r="I719" s="7" t="s">
        <v>16</v>
      </c>
      <c r="J719" s="7">
        <v>45645098</v>
      </c>
      <c r="K719" s="7" t="s">
        <v>852</v>
      </c>
      <c r="L719" s="13" t="s">
        <v>855</v>
      </c>
      <c r="M719" s="14">
        <v>139900</v>
      </c>
      <c r="N719" s="10" t="str">
        <f t="shared" si="95"/>
        <v>BXGY</v>
      </c>
      <c r="O719" s="9">
        <f t="shared" si="96"/>
        <v>34975</v>
      </c>
      <c r="P719" s="9" t="str">
        <f t="shared" si="99"/>
        <v>PERCENTAGE</v>
      </c>
    </row>
    <row r="720" spans="1:16" s="6" customFormat="1" x14ac:dyDescent="0.25">
      <c r="A720" s="7" t="str">
        <f t="shared" si="97"/>
        <v>2024 ALL D75</v>
      </c>
      <c r="B720" s="8">
        <f t="shared" si="98"/>
        <v>46104</v>
      </c>
      <c r="C720" s="8">
        <f t="shared" si="94"/>
        <v>46113</v>
      </c>
      <c r="D720" s="7">
        <v>3272</v>
      </c>
      <c r="E720" s="7">
        <v>336</v>
      </c>
      <c r="F720" s="7">
        <v>4</v>
      </c>
      <c r="G720" s="7">
        <v>1</v>
      </c>
      <c r="H720" s="7">
        <v>81588</v>
      </c>
      <c r="I720" s="7" t="s">
        <v>16</v>
      </c>
      <c r="J720" s="7">
        <v>45645105</v>
      </c>
      <c r="K720" s="7" t="s">
        <v>852</v>
      </c>
      <c r="L720" s="13" t="s">
        <v>856</v>
      </c>
      <c r="M720" s="14">
        <v>139900</v>
      </c>
      <c r="N720" s="10" t="str">
        <f t="shared" si="95"/>
        <v>BXGY</v>
      </c>
      <c r="O720" s="9">
        <f t="shared" si="96"/>
        <v>34975</v>
      </c>
      <c r="P720" s="9" t="str">
        <f t="shared" si="99"/>
        <v>PERCENTAGE</v>
      </c>
    </row>
    <row r="721" spans="1:16" s="6" customFormat="1" x14ac:dyDescent="0.25">
      <c r="A721" s="7" t="str">
        <f t="shared" si="97"/>
        <v>2024 ALL D75</v>
      </c>
      <c r="B721" s="8">
        <f t="shared" si="98"/>
        <v>46104</v>
      </c>
      <c r="C721" s="8">
        <f t="shared" si="94"/>
        <v>46113</v>
      </c>
      <c r="D721" s="7">
        <v>3272</v>
      </c>
      <c r="E721" s="7">
        <v>336</v>
      </c>
      <c r="F721" s="7">
        <v>4</v>
      </c>
      <c r="G721" s="7">
        <v>1</v>
      </c>
      <c r="H721" s="7">
        <v>81588</v>
      </c>
      <c r="I721" s="7" t="s">
        <v>16</v>
      </c>
      <c r="J721" s="7">
        <v>45645114</v>
      </c>
      <c r="K721" s="7" t="s">
        <v>852</v>
      </c>
      <c r="L721" s="13" t="s">
        <v>857</v>
      </c>
      <c r="M721" s="14">
        <v>139900</v>
      </c>
      <c r="N721" s="10" t="str">
        <f t="shared" si="95"/>
        <v>BXGY</v>
      </c>
      <c r="O721" s="9">
        <f t="shared" si="96"/>
        <v>34975</v>
      </c>
      <c r="P721" s="9" t="str">
        <f t="shared" si="99"/>
        <v>PERCENTAGE</v>
      </c>
    </row>
    <row r="722" spans="1:16" s="6" customFormat="1" x14ac:dyDescent="0.25">
      <c r="A722" s="7" t="str">
        <f t="shared" si="97"/>
        <v>2024 ALL D75</v>
      </c>
      <c r="B722" s="8">
        <f t="shared" si="98"/>
        <v>46104</v>
      </c>
      <c r="C722" s="8">
        <f t="shared" si="94"/>
        <v>46113</v>
      </c>
      <c r="D722" s="7">
        <v>3272</v>
      </c>
      <c r="E722" s="7">
        <v>336</v>
      </c>
      <c r="F722" s="7">
        <v>4</v>
      </c>
      <c r="G722" s="7">
        <v>1</v>
      </c>
      <c r="H722" s="7">
        <v>81588</v>
      </c>
      <c r="I722" s="7" t="s">
        <v>16</v>
      </c>
      <c r="J722" s="7">
        <v>45645123</v>
      </c>
      <c r="K722" s="7" t="s">
        <v>852</v>
      </c>
      <c r="L722" s="13" t="s">
        <v>858</v>
      </c>
      <c r="M722" s="14">
        <v>139900</v>
      </c>
      <c r="N722" s="10" t="str">
        <f t="shared" si="95"/>
        <v>BXGY</v>
      </c>
      <c r="O722" s="9">
        <f t="shared" si="96"/>
        <v>34975</v>
      </c>
      <c r="P722" s="9" t="str">
        <f t="shared" si="99"/>
        <v>PERCENTAGE</v>
      </c>
    </row>
    <row r="723" spans="1:16" s="6" customFormat="1" x14ac:dyDescent="0.25">
      <c r="A723" s="7" t="str">
        <f t="shared" si="97"/>
        <v>2024 ALL D75</v>
      </c>
      <c r="B723" s="8">
        <f t="shared" si="98"/>
        <v>46104</v>
      </c>
      <c r="C723" s="8">
        <f t="shared" si="94"/>
        <v>46113</v>
      </c>
      <c r="D723" s="7">
        <v>3272</v>
      </c>
      <c r="E723" s="7">
        <v>336</v>
      </c>
      <c r="F723" s="7">
        <v>4</v>
      </c>
      <c r="G723" s="7">
        <v>1</v>
      </c>
      <c r="H723" s="7">
        <v>81588</v>
      </c>
      <c r="I723" s="7" t="s">
        <v>16</v>
      </c>
      <c r="J723" s="7">
        <v>45645132</v>
      </c>
      <c r="K723" s="7" t="s">
        <v>852</v>
      </c>
      <c r="L723" s="13" t="s">
        <v>859</v>
      </c>
      <c r="M723" s="14">
        <v>139900</v>
      </c>
      <c r="N723" s="10" t="str">
        <f t="shared" si="95"/>
        <v>BXGY</v>
      </c>
      <c r="O723" s="9">
        <f t="shared" si="96"/>
        <v>34975</v>
      </c>
      <c r="P723" s="9" t="str">
        <f t="shared" si="99"/>
        <v>PERCENTAGE</v>
      </c>
    </row>
    <row r="724" spans="1:16" s="6" customFormat="1" x14ac:dyDescent="0.25">
      <c r="A724" s="7" t="str">
        <f t="shared" si="97"/>
        <v>2024 ALL D75</v>
      </c>
      <c r="B724" s="8">
        <f t="shared" si="98"/>
        <v>46104</v>
      </c>
      <c r="C724" s="8">
        <f t="shared" si="94"/>
        <v>46113</v>
      </c>
      <c r="D724" s="7">
        <v>3272</v>
      </c>
      <c r="E724" s="7">
        <v>336</v>
      </c>
      <c r="F724" s="7">
        <v>4</v>
      </c>
      <c r="G724" s="7">
        <v>1</v>
      </c>
      <c r="H724" s="7">
        <v>81588</v>
      </c>
      <c r="I724" s="7" t="s">
        <v>16</v>
      </c>
      <c r="J724" s="7">
        <v>45645141</v>
      </c>
      <c r="K724" s="7" t="s">
        <v>852</v>
      </c>
      <c r="L724" s="13" t="s">
        <v>860</v>
      </c>
      <c r="M724" s="14">
        <v>139900</v>
      </c>
      <c r="N724" s="10" t="str">
        <f t="shared" si="95"/>
        <v>BXGY</v>
      </c>
      <c r="O724" s="9">
        <f t="shared" si="96"/>
        <v>34975</v>
      </c>
      <c r="P724" s="9" t="str">
        <f t="shared" si="99"/>
        <v>PERCENTAGE</v>
      </c>
    </row>
    <row r="725" spans="1:16" s="6" customFormat="1" x14ac:dyDescent="0.25">
      <c r="A725" s="7" t="str">
        <f t="shared" si="97"/>
        <v>2024 ALL D75</v>
      </c>
      <c r="B725" s="8">
        <f t="shared" si="98"/>
        <v>46104</v>
      </c>
      <c r="C725" s="8">
        <f t="shared" ref="C725:C788" si="100">C724</f>
        <v>46113</v>
      </c>
      <c r="D725" s="7">
        <v>3272</v>
      </c>
      <c r="E725" s="7">
        <v>336</v>
      </c>
      <c r="F725" s="7">
        <v>4</v>
      </c>
      <c r="G725" s="7">
        <v>1</v>
      </c>
      <c r="H725" s="7">
        <v>81588</v>
      </c>
      <c r="I725" s="7" t="s">
        <v>16</v>
      </c>
      <c r="J725" s="7">
        <v>45645150</v>
      </c>
      <c r="K725" s="7" t="s">
        <v>861</v>
      </c>
      <c r="L725" s="13" t="s">
        <v>862</v>
      </c>
      <c r="M725" s="14">
        <v>139900</v>
      </c>
      <c r="N725" s="10" t="str">
        <f t="shared" ref="N725:N788" si="101">N724</f>
        <v>BXGY</v>
      </c>
      <c r="O725" s="9">
        <f t="shared" si="96"/>
        <v>34975</v>
      </c>
      <c r="P725" s="9" t="str">
        <f t="shared" si="99"/>
        <v>PERCENTAGE</v>
      </c>
    </row>
    <row r="726" spans="1:16" s="6" customFormat="1" x14ac:dyDescent="0.25">
      <c r="A726" s="7" t="str">
        <f t="shared" si="97"/>
        <v>2024 ALL D75</v>
      </c>
      <c r="B726" s="8">
        <f t="shared" si="98"/>
        <v>46104</v>
      </c>
      <c r="C726" s="8">
        <f t="shared" si="100"/>
        <v>46113</v>
      </c>
      <c r="D726" s="7">
        <v>3272</v>
      </c>
      <c r="E726" s="7">
        <v>336</v>
      </c>
      <c r="F726" s="7">
        <v>4</v>
      </c>
      <c r="G726" s="7">
        <v>1</v>
      </c>
      <c r="H726" s="7">
        <v>81588</v>
      </c>
      <c r="I726" s="7" t="s">
        <v>16</v>
      </c>
      <c r="J726" s="7">
        <v>45645169</v>
      </c>
      <c r="K726" s="7" t="s">
        <v>861</v>
      </c>
      <c r="L726" s="13" t="s">
        <v>863</v>
      </c>
      <c r="M726" s="14">
        <v>139900</v>
      </c>
      <c r="N726" s="10" t="str">
        <f t="shared" si="101"/>
        <v>BXGY</v>
      </c>
      <c r="O726" s="9">
        <f t="shared" si="96"/>
        <v>34975</v>
      </c>
      <c r="P726" s="9" t="str">
        <f t="shared" si="99"/>
        <v>PERCENTAGE</v>
      </c>
    </row>
    <row r="727" spans="1:16" s="6" customFormat="1" x14ac:dyDescent="0.25">
      <c r="A727" s="7" t="str">
        <f t="shared" si="97"/>
        <v>2024 ALL D75</v>
      </c>
      <c r="B727" s="8">
        <f t="shared" si="98"/>
        <v>46104</v>
      </c>
      <c r="C727" s="8">
        <f t="shared" si="100"/>
        <v>46113</v>
      </c>
      <c r="D727" s="7">
        <v>3272</v>
      </c>
      <c r="E727" s="7">
        <v>336</v>
      </c>
      <c r="F727" s="7">
        <v>4</v>
      </c>
      <c r="G727" s="7">
        <v>1</v>
      </c>
      <c r="H727" s="7">
        <v>81588</v>
      </c>
      <c r="I727" s="7" t="s">
        <v>16</v>
      </c>
      <c r="J727" s="7">
        <v>45645178</v>
      </c>
      <c r="K727" s="7" t="s">
        <v>861</v>
      </c>
      <c r="L727" s="13" t="s">
        <v>864</v>
      </c>
      <c r="M727" s="14">
        <v>139900</v>
      </c>
      <c r="N727" s="10" t="str">
        <f t="shared" si="101"/>
        <v>BXGY</v>
      </c>
      <c r="O727" s="9">
        <f t="shared" si="96"/>
        <v>34975</v>
      </c>
      <c r="P727" s="9" t="str">
        <f t="shared" si="99"/>
        <v>PERCENTAGE</v>
      </c>
    </row>
    <row r="728" spans="1:16" s="6" customFormat="1" x14ac:dyDescent="0.25">
      <c r="A728" s="7" t="str">
        <f t="shared" si="97"/>
        <v>2024 ALL D75</v>
      </c>
      <c r="B728" s="8">
        <f t="shared" si="98"/>
        <v>46104</v>
      </c>
      <c r="C728" s="8">
        <f t="shared" si="100"/>
        <v>46113</v>
      </c>
      <c r="D728" s="7">
        <v>3272</v>
      </c>
      <c r="E728" s="7">
        <v>336</v>
      </c>
      <c r="F728" s="7">
        <v>4</v>
      </c>
      <c r="G728" s="7">
        <v>1</v>
      </c>
      <c r="H728" s="7">
        <v>81588</v>
      </c>
      <c r="I728" s="7" t="s">
        <v>16</v>
      </c>
      <c r="J728" s="7">
        <v>45645187</v>
      </c>
      <c r="K728" s="7" t="s">
        <v>861</v>
      </c>
      <c r="L728" s="13" t="s">
        <v>865</v>
      </c>
      <c r="M728" s="14">
        <v>139900</v>
      </c>
      <c r="N728" s="10" t="str">
        <f t="shared" si="101"/>
        <v>BXGY</v>
      </c>
      <c r="O728" s="9">
        <f t="shared" si="96"/>
        <v>34975</v>
      </c>
      <c r="P728" s="9" t="str">
        <f t="shared" si="99"/>
        <v>PERCENTAGE</v>
      </c>
    </row>
    <row r="729" spans="1:16" s="6" customFormat="1" x14ac:dyDescent="0.25">
      <c r="A729" s="7" t="str">
        <f t="shared" si="97"/>
        <v>2024 ALL D75</v>
      </c>
      <c r="B729" s="8">
        <f t="shared" si="98"/>
        <v>46104</v>
      </c>
      <c r="C729" s="8">
        <f t="shared" si="100"/>
        <v>46113</v>
      </c>
      <c r="D729" s="7">
        <v>3272</v>
      </c>
      <c r="E729" s="7">
        <v>336</v>
      </c>
      <c r="F729" s="7">
        <v>4</v>
      </c>
      <c r="G729" s="7">
        <v>1</v>
      </c>
      <c r="H729" s="7">
        <v>81588</v>
      </c>
      <c r="I729" s="7" t="s">
        <v>16</v>
      </c>
      <c r="J729" s="7">
        <v>45645196</v>
      </c>
      <c r="K729" s="7" t="s">
        <v>861</v>
      </c>
      <c r="L729" s="13" t="s">
        <v>866</v>
      </c>
      <c r="M729" s="14">
        <v>139900</v>
      </c>
      <c r="N729" s="10" t="str">
        <f t="shared" si="101"/>
        <v>BXGY</v>
      </c>
      <c r="O729" s="9">
        <f t="shared" si="96"/>
        <v>34975</v>
      </c>
      <c r="P729" s="9" t="str">
        <f t="shared" si="99"/>
        <v>PERCENTAGE</v>
      </c>
    </row>
    <row r="730" spans="1:16" s="6" customFormat="1" x14ac:dyDescent="0.25">
      <c r="A730" s="7" t="str">
        <f t="shared" si="97"/>
        <v>2024 ALL D75</v>
      </c>
      <c r="B730" s="8">
        <f t="shared" si="98"/>
        <v>46104</v>
      </c>
      <c r="C730" s="8">
        <f t="shared" si="100"/>
        <v>46113</v>
      </c>
      <c r="D730" s="7">
        <v>3272</v>
      </c>
      <c r="E730" s="7">
        <v>336</v>
      </c>
      <c r="F730" s="7">
        <v>4</v>
      </c>
      <c r="G730" s="7">
        <v>1</v>
      </c>
      <c r="H730" s="7">
        <v>81588</v>
      </c>
      <c r="I730" s="7" t="s">
        <v>16</v>
      </c>
      <c r="J730" s="7">
        <v>45645203</v>
      </c>
      <c r="K730" s="7" t="s">
        <v>861</v>
      </c>
      <c r="L730" s="13" t="s">
        <v>867</v>
      </c>
      <c r="M730" s="14">
        <v>139900</v>
      </c>
      <c r="N730" s="10" t="str">
        <f t="shared" si="101"/>
        <v>BXGY</v>
      </c>
      <c r="O730" s="9">
        <f t="shared" si="96"/>
        <v>34975</v>
      </c>
      <c r="P730" s="9" t="str">
        <f t="shared" si="99"/>
        <v>PERCENTAGE</v>
      </c>
    </row>
    <row r="731" spans="1:16" s="6" customFormat="1" x14ac:dyDescent="0.25">
      <c r="A731" s="7" t="str">
        <f t="shared" si="97"/>
        <v>2024 ALL D75</v>
      </c>
      <c r="B731" s="8">
        <f t="shared" si="98"/>
        <v>46104</v>
      </c>
      <c r="C731" s="8">
        <f t="shared" si="100"/>
        <v>46113</v>
      </c>
      <c r="D731" s="7">
        <v>3272</v>
      </c>
      <c r="E731" s="7">
        <v>336</v>
      </c>
      <c r="F731" s="7">
        <v>4</v>
      </c>
      <c r="G731" s="7">
        <v>1</v>
      </c>
      <c r="H731" s="7">
        <v>81588</v>
      </c>
      <c r="I731" s="7" t="s">
        <v>16</v>
      </c>
      <c r="J731" s="7">
        <v>45645212</v>
      </c>
      <c r="K731" s="7" t="s">
        <v>861</v>
      </c>
      <c r="L731" s="13" t="s">
        <v>868</v>
      </c>
      <c r="M731" s="14">
        <v>139900</v>
      </c>
      <c r="N731" s="10" t="str">
        <f t="shared" si="101"/>
        <v>BXGY</v>
      </c>
      <c r="O731" s="9">
        <f t="shared" si="96"/>
        <v>34975</v>
      </c>
      <c r="P731" s="9" t="str">
        <f t="shared" si="99"/>
        <v>PERCENTAGE</v>
      </c>
    </row>
    <row r="732" spans="1:16" s="6" customFormat="1" x14ac:dyDescent="0.25">
      <c r="A732" s="7" t="str">
        <f t="shared" si="97"/>
        <v>2024 ALL D75</v>
      </c>
      <c r="B732" s="8">
        <f t="shared" si="98"/>
        <v>46104</v>
      </c>
      <c r="C732" s="8">
        <f t="shared" si="100"/>
        <v>46113</v>
      </c>
      <c r="D732" s="7">
        <v>3272</v>
      </c>
      <c r="E732" s="7">
        <v>336</v>
      </c>
      <c r="F732" s="7">
        <v>4</v>
      </c>
      <c r="G732" s="7">
        <v>1</v>
      </c>
      <c r="H732" s="7">
        <v>81588</v>
      </c>
      <c r="I732" s="7" t="s">
        <v>16</v>
      </c>
      <c r="J732" s="7">
        <v>45645221</v>
      </c>
      <c r="K732" s="7" t="s">
        <v>861</v>
      </c>
      <c r="L732" s="13" t="s">
        <v>869</v>
      </c>
      <c r="M732" s="14">
        <v>139900</v>
      </c>
      <c r="N732" s="10" t="str">
        <f t="shared" si="101"/>
        <v>BXGY</v>
      </c>
      <c r="O732" s="9">
        <f t="shared" si="96"/>
        <v>34975</v>
      </c>
      <c r="P732" s="9" t="str">
        <f t="shared" si="99"/>
        <v>PERCENTAGE</v>
      </c>
    </row>
    <row r="733" spans="1:16" s="6" customFormat="1" x14ac:dyDescent="0.25">
      <c r="A733" s="7" t="str">
        <f t="shared" si="97"/>
        <v>2024 ALL D75</v>
      </c>
      <c r="B733" s="8">
        <f t="shared" si="98"/>
        <v>46104</v>
      </c>
      <c r="C733" s="8">
        <f t="shared" si="100"/>
        <v>46113</v>
      </c>
      <c r="D733" s="7">
        <v>3272</v>
      </c>
      <c r="E733" s="7">
        <v>336</v>
      </c>
      <c r="F733" s="7">
        <v>4</v>
      </c>
      <c r="G733" s="7">
        <v>1</v>
      </c>
      <c r="H733" s="7">
        <v>81588</v>
      </c>
      <c r="I733" s="7" t="s">
        <v>16</v>
      </c>
      <c r="J733" s="7">
        <v>45645230</v>
      </c>
      <c r="K733" s="7" t="s">
        <v>870</v>
      </c>
      <c r="L733" s="13" t="s">
        <v>871</v>
      </c>
      <c r="M733" s="14">
        <v>149900</v>
      </c>
      <c r="N733" s="10" t="str">
        <f t="shared" si="101"/>
        <v>BXGY</v>
      </c>
      <c r="O733" s="9">
        <f t="shared" si="96"/>
        <v>37475</v>
      </c>
      <c r="P733" s="9" t="str">
        <f t="shared" si="99"/>
        <v>PERCENTAGE</v>
      </c>
    </row>
    <row r="734" spans="1:16" s="6" customFormat="1" x14ac:dyDescent="0.25">
      <c r="A734" s="7" t="str">
        <f t="shared" si="97"/>
        <v>2024 ALL D75</v>
      </c>
      <c r="B734" s="8">
        <f t="shared" si="98"/>
        <v>46104</v>
      </c>
      <c r="C734" s="8">
        <f t="shared" si="100"/>
        <v>46113</v>
      </c>
      <c r="D734" s="7">
        <v>3272</v>
      </c>
      <c r="E734" s="7">
        <v>336</v>
      </c>
      <c r="F734" s="7">
        <v>4</v>
      </c>
      <c r="G734" s="7">
        <v>1</v>
      </c>
      <c r="H734" s="7">
        <v>81588</v>
      </c>
      <c r="I734" s="7" t="s">
        <v>16</v>
      </c>
      <c r="J734" s="7">
        <v>45645249</v>
      </c>
      <c r="K734" s="7" t="s">
        <v>870</v>
      </c>
      <c r="L734" s="13" t="s">
        <v>872</v>
      </c>
      <c r="M734" s="14">
        <v>149900</v>
      </c>
      <c r="N734" s="10" t="str">
        <f t="shared" si="101"/>
        <v>BXGY</v>
      </c>
      <c r="O734" s="9">
        <f t="shared" si="96"/>
        <v>37475</v>
      </c>
      <c r="P734" s="9" t="str">
        <f t="shared" si="99"/>
        <v>PERCENTAGE</v>
      </c>
    </row>
    <row r="735" spans="1:16" s="6" customFormat="1" x14ac:dyDescent="0.25">
      <c r="A735" s="7" t="str">
        <f t="shared" si="97"/>
        <v>2024 ALL D75</v>
      </c>
      <c r="B735" s="8">
        <f t="shared" si="98"/>
        <v>46104</v>
      </c>
      <c r="C735" s="8">
        <f t="shared" si="100"/>
        <v>46113</v>
      </c>
      <c r="D735" s="7">
        <v>3272</v>
      </c>
      <c r="E735" s="7">
        <v>336</v>
      </c>
      <c r="F735" s="7">
        <v>4</v>
      </c>
      <c r="G735" s="7">
        <v>1</v>
      </c>
      <c r="H735" s="7">
        <v>81588</v>
      </c>
      <c r="I735" s="7" t="s">
        <v>16</v>
      </c>
      <c r="J735" s="7">
        <v>45645258</v>
      </c>
      <c r="K735" s="7" t="s">
        <v>870</v>
      </c>
      <c r="L735" s="13" t="s">
        <v>873</v>
      </c>
      <c r="M735" s="14">
        <v>149900</v>
      </c>
      <c r="N735" s="10" t="str">
        <f t="shared" si="101"/>
        <v>BXGY</v>
      </c>
      <c r="O735" s="9">
        <f t="shared" si="96"/>
        <v>37475</v>
      </c>
      <c r="P735" s="9" t="str">
        <f t="shared" si="99"/>
        <v>PERCENTAGE</v>
      </c>
    </row>
    <row r="736" spans="1:16" s="6" customFormat="1" x14ac:dyDescent="0.25">
      <c r="A736" s="7" t="str">
        <f t="shared" si="97"/>
        <v>2024 ALL D75</v>
      </c>
      <c r="B736" s="8">
        <f t="shared" si="98"/>
        <v>46104</v>
      </c>
      <c r="C736" s="8">
        <f t="shared" si="100"/>
        <v>46113</v>
      </c>
      <c r="D736" s="7">
        <v>3272</v>
      </c>
      <c r="E736" s="7">
        <v>336</v>
      </c>
      <c r="F736" s="7">
        <v>4</v>
      </c>
      <c r="G736" s="7">
        <v>1</v>
      </c>
      <c r="H736" s="7">
        <v>81588</v>
      </c>
      <c r="I736" s="7" t="s">
        <v>16</v>
      </c>
      <c r="J736" s="7">
        <v>45645267</v>
      </c>
      <c r="K736" s="7" t="s">
        <v>870</v>
      </c>
      <c r="L736" s="13" t="s">
        <v>874</v>
      </c>
      <c r="M736" s="14">
        <v>149900</v>
      </c>
      <c r="N736" s="10" t="str">
        <f t="shared" si="101"/>
        <v>BXGY</v>
      </c>
      <c r="O736" s="9">
        <f t="shared" si="96"/>
        <v>37475</v>
      </c>
      <c r="P736" s="9" t="str">
        <f t="shared" si="99"/>
        <v>PERCENTAGE</v>
      </c>
    </row>
    <row r="737" spans="1:16" s="6" customFormat="1" x14ac:dyDescent="0.25">
      <c r="A737" s="7" t="str">
        <f t="shared" si="97"/>
        <v>2024 ALL D75</v>
      </c>
      <c r="B737" s="8">
        <f t="shared" si="98"/>
        <v>46104</v>
      </c>
      <c r="C737" s="8">
        <f t="shared" si="100"/>
        <v>46113</v>
      </c>
      <c r="D737" s="7">
        <v>3272</v>
      </c>
      <c r="E737" s="7">
        <v>336</v>
      </c>
      <c r="F737" s="7">
        <v>4</v>
      </c>
      <c r="G737" s="7">
        <v>1</v>
      </c>
      <c r="H737" s="7">
        <v>81588</v>
      </c>
      <c r="I737" s="7" t="s">
        <v>16</v>
      </c>
      <c r="J737" s="7">
        <v>45645276</v>
      </c>
      <c r="K737" s="7" t="s">
        <v>870</v>
      </c>
      <c r="L737" s="13" t="s">
        <v>875</v>
      </c>
      <c r="M737" s="14">
        <v>149900</v>
      </c>
      <c r="N737" s="10" t="str">
        <f t="shared" si="101"/>
        <v>BXGY</v>
      </c>
      <c r="O737" s="9">
        <f t="shared" si="96"/>
        <v>37475</v>
      </c>
      <c r="P737" s="9" t="str">
        <f t="shared" si="99"/>
        <v>PERCENTAGE</v>
      </c>
    </row>
    <row r="738" spans="1:16" s="6" customFormat="1" x14ac:dyDescent="0.25">
      <c r="A738" s="7" t="str">
        <f t="shared" si="97"/>
        <v>2024 ALL D75</v>
      </c>
      <c r="B738" s="8">
        <f t="shared" si="98"/>
        <v>46104</v>
      </c>
      <c r="C738" s="8">
        <f t="shared" si="100"/>
        <v>46113</v>
      </c>
      <c r="D738" s="7">
        <v>3272</v>
      </c>
      <c r="E738" s="7">
        <v>336</v>
      </c>
      <c r="F738" s="7">
        <v>4</v>
      </c>
      <c r="G738" s="7">
        <v>1</v>
      </c>
      <c r="H738" s="7">
        <v>81588</v>
      </c>
      <c r="I738" s="7" t="s">
        <v>16</v>
      </c>
      <c r="J738" s="7">
        <v>45645285</v>
      </c>
      <c r="K738" s="7" t="s">
        <v>870</v>
      </c>
      <c r="L738" s="13" t="s">
        <v>876</v>
      </c>
      <c r="M738" s="14">
        <v>149900</v>
      </c>
      <c r="N738" s="10" t="str">
        <f t="shared" si="101"/>
        <v>BXGY</v>
      </c>
      <c r="O738" s="9">
        <f t="shared" si="96"/>
        <v>37475</v>
      </c>
      <c r="P738" s="9" t="str">
        <f t="shared" si="99"/>
        <v>PERCENTAGE</v>
      </c>
    </row>
    <row r="739" spans="1:16" s="6" customFormat="1" x14ac:dyDescent="0.25">
      <c r="A739" s="7" t="str">
        <f t="shared" si="97"/>
        <v>2024 ALL D75</v>
      </c>
      <c r="B739" s="8">
        <f t="shared" si="98"/>
        <v>46104</v>
      </c>
      <c r="C739" s="8">
        <f t="shared" si="100"/>
        <v>46113</v>
      </c>
      <c r="D739" s="7">
        <v>3272</v>
      </c>
      <c r="E739" s="7">
        <v>336</v>
      </c>
      <c r="F739" s="7">
        <v>4</v>
      </c>
      <c r="G739" s="7">
        <v>1</v>
      </c>
      <c r="H739" s="7">
        <v>81588</v>
      </c>
      <c r="I739" s="7" t="s">
        <v>16</v>
      </c>
      <c r="J739" s="7">
        <v>45645294</v>
      </c>
      <c r="K739" s="7" t="s">
        <v>870</v>
      </c>
      <c r="L739" s="13" t="s">
        <v>877</v>
      </c>
      <c r="M739" s="14">
        <v>149900</v>
      </c>
      <c r="N739" s="10" t="str">
        <f t="shared" si="101"/>
        <v>BXGY</v>
      </c>
      <c r="O739" s="9">
        <f t="shared" si="96"/>
        <v>37475</v>
      </c>
      <c r="P739" s="9" t="str">
        <f t="shared" si="99"/>
        <v>PERCENTAGE</v>
      </c>
    </row>
    <row r="740" spans="1:16" s="6" customFormat="1" x14ac:dyDescent="0.25">
      <c r="A740" s="7" t="str">
        <f t="shared" si="97"/>
        <v>2024 ALL D75</v>
      </c>
      <c r="B740" s="8">
        <f t="shared" si="98"/>
        <v>46104</v>
      </c>
      <c r="C740" s="8">
        <f t="shared" si="100"/>
        <v>46113</v>
      </c>
      <c r="D740" s="7">
        <v>3272</v>
      </c>
      <c r="E740" s="7">
        <v>336</v>
      </c>
      <c r="F740" s="7">
        <v>4</v>
      </c>
      <c r="G740" s="7">
        <v>1</v>
      </c>
      <c r="H740" s="7">
        <v>81588</v>
      </c>
      <c r="I740" s="7" t="s">
        <v>16</v>
      </c>
      <c r="J740" s="7">
        <v>45645301</v>
      </c>
      <c r="K740" s="7" t="s">
        <v>870</v>
      </c>
      <c r="L740" s="13" t="s">
        <v>878</v>
      </c>
      <c r="M740" s="14">
        <v>149900</v>
      </c>
      <c r="N740" s="10" t="str">
        <f t="shared" si="101"/>
        <v>BXGY</v>
      </c>
      <c r="O740" s="9">
        <f t="shared" si="96"/>
        <v>37475</v>
      </c>
      <c r="P740" s="9" t="str">
        <f t="shared" si="99"/>
        <v>PERCENTAGE</v>
      </c>
    </row>
    <row r="741" spans="1:16" s="6" customFormat="1" x14ac:dyDescent="0.25">
      <c r="A741" s="7" t="str">
        <f t="shared" si="97"/>
        <v>2024 ALL D75</v>
      </c>
      <c r="B741" s="8">
        <f t="shared" si="98"/>
        <v>46104</v>
      </c>
      <c r="C741" s="8">
        <f t="shared" si="100"/>
        <v>46113</v>
      </c>
      <c r="D741" s="7">
        <v>3272</v>
      </c>
      <c r="E741" s="7">
        <v>336</v>
      </c>
      <c r="F741" s="7">
        <v>4</v>
      </c>
      <c r="G741" s="7">
        <v>1</v>
      </c>
      <c r="H741" s="7">
        <v>81379</v>
      </c>
      <c r="I741" s="7" t="s">
        <v>16</v>
      </c>
      <c r="J741" s="7">
        <v>45645310</v>
      </c>
      <c r="K741" s="7" t="s">
        <v>879</v>
      </c>
      <c r="L741" s="13" t="s">
        <v>880</v>
      </c>
      <c r="M741" s="14">
        <v>139900</v>
      </c>
      <c r="N741" s="10" t="str">
        <f t="shared" si="101"/>
        <v>BXGY</v>
      </c>
      <c r="O741" s="9">
        <f t="shared" si="96"/>
        <v>34975</v>
      </c>
      <c r="P741" s="9" t="str">
        <f t="shared" si="99"/>
        <v>PERCENTAGE</v>
      </c>
    </row>
    <row r="742" spans="1:16" s="6" customFormat="1" x14ac:dyDescent="0.25">
      <c r="A742" s="7" t="str">
        <f t="shared" si="97"/>
        <v>2024 ALL D75</v>
      </c>
      <c r="B742" s="8">
        <f t="shared" si="98"/>
        <v>46104</v>
      </c>
      <c r="C742" s="8">
        <f t="shared" si="100"/>
        <v>46113</v>
      </c>
      <c r="D742" s="7">
        <v>3272</v>
      </c>
      <c r="E742" s="7">
        <v>336</v>
      </c>
      <c r="F742" s="7">
        <v>4</v>
      </c>
      <c r="G742" s="7">
        <v>1</v>
      </c>
      <c r="H742" s="7">
        <v>81379</v>
      </c>
      <c r="I742" s="7" t="s">
        <v>16</v>
      </c>
      <c r="J742" s="7">
        <v>45645329</v>
      </c>
      <c r="K742" s="7" t="s">
        <v>879</v>
      </c>
      <c r="L742" s="13" t="s">
        <v>881</v>
      </c>
      <c r="M742" s="14">
        <v>139900</v>
      </c>
      <c r="N742" s="10" t="str">
        <f t="shared" si="101"/>
        <v>BXGY</v>
      </c>
      <c r="O742" s="9">
        <f t="shared" si="96"/>
        <v>34975</v>
      </c>
      <c r="P742" s="9" t="str">
        <f t="shared" si="99"/>
        <v>PERCENTAGE</v>
      </c>
    </row>
    <row r="743" spans="1:16" s="6" customFormat="1" x14ac:dyDescent="0.25">
      <c r="A743" s="7" t="str">
        <f t="shared" si="97"/>
        <v>2024 ALL D75</v>
      </c>
      <c r="B743" s="8">
        <f t="shared" si="98"/>
        <v>46104</v>
      </c>
      <c r="C743" s="8">
        <f t="shared" si="100"/>
        <v>46113</v>
      </c>
      <c r="D743" s="7">
        <v>3272</v>
      </c>
      <c r="E743" s="7">
        <v>336</v>
      </c>
      <c r="F743" s="7">
        <v>4</v>
      </c>
      <c r="G743" s="7">
        <v>1</v>
      </c>
      <c r="H743" s="7">
        <v>81379</v>
      </c>
      <c r="I743" s="7" t="s">
        <v>16</v>
      </c>
      <c r="J743" s="7">
        <v>45645338</v>
      </c>
      <c r="K743" s="7" t="s">
        <v>879</v>
      </c>
      <c r="L743" s="13" t="s">
        <v>882</v>
      </c>
      <c r="M743" s="14">
        <v>139900</v>
      </c>
      <c r="N743" s="10" t="str">
        <f t="shared" si="101"/>
        <v>BXGY</v>
      </c>
      <c r="O743" s="9">
        <f t="shared" si="96"/>
        <v>34975</v>
      </c>
      <c r="P743" s="9" t="str">
        <f t="shared" si="99"/>
        <v>PERCENTAGE</v>
      </c>
    </row>
    <row r="744" spans="1:16" s="6" customFormat="1" x14ac:dyDescent="0.25">
      <c r="A744" s="7" t="str">
        <f t="shared" si="97"/>
        <v>2024 ALL D75</v>
      </c>
      <c r="B744" s="8">
        <f t="shared" si="98"/>
        <v>46104</v>
      </c>
      <c r="C744" s="8">
        <f t="shared" si="100"/>
        <v>46113</v>
      </c>
      <c r="D744" s="7">
        <v>3272</v>
      </c>
      <c r="E744" s="7">
        <v>336</v>
      </c>
      <c r="F744" s="7">
        <v>4</v>
      </c>
      <c r="G744" s="7">
        <v>1</v>
      </c>
      <c r="H744" s="7">
        <v>81379</v>
      </c>
      <c r="I744" s="7" t="s">
        <v>16</v>
      </c>
      <c r="J744" s="7">
        <v>45645347</v>
      </c>
      <c r="K744" s="7" t="s">
        <v>879</v>
      </c>
      <c r="L744" s="13" t="s">
        <v>883</v>
      </c>
      <c r="M744" s="14">
        <v>139900</v>
      </c>
      <c r="N744" s="10" t="str">
        <f t="shared" si="101"/>
        <v>BXGY</v>
      </c>
      <c r="O744" s="9">
        <f t="shared" si="96"/>
        <v>34975</v>
      </c>
      <c r="P744" s="9" t="str">
        <f t="shared" si="99"/>
        <v>PERCENTAGE</v>
      </c>
    </row>
    <row r="745" spans="1:16" s="6" customFormat="1" x14ac:dyDescent="0.25">
      <c r="A745" s="7" t="str">
        <f t="shared" si="97"/>
        <v>2024 ALL D75</v>
      </c>
      <c r="B745" s="8">
        <f t="shared" si="98"/>
        <v>46104</v>
      </c>
      <c r="C745" s="8">
        <f t="shared" si="100"/>
        <v>46113</v>
      </c>
      <c r="D745" s="7">
        <v>3272</v>
      </c>
      <c r="E745" s="7">
        <v>336</v>
      </c>
      <c r="F745" s="7">
        <v>4</v>
      </c>
      <c r="G745" s="7">
        <v>1</v>
      </c>
      <c r="H745" s="7">
        <v>81379</v>
      </c>
      <c r="I745" s="7" t="s">
        <v>16</v>
      </c>
      <c r="J745" s="7">
        <v>45645356</v>
      </c>
      <c r="K745" s="7" t="s">
        <v>879</v>
      </c>
      <c r="L745" s="13" t="s">
        <v>884</v>
      </c>
      <c r="M745" s="14">
        <v>139900</v>
      </c>
      <c r="N745" s="10" t="str">
        <f t="shared" si="101"/>
        <v>BXGY</v>
      </c>
      <c r="O745" s="9">
        <f t="shared" si="96"/>
        <v>34975</v>
      </c>
      <c r="P745" s="9" t="str">
        <f t="shared" si="99"/>
        <v>PERCENTAGE</v>
      </c>
    </row>
    <row r="746" spans="1:16" s="6" customFormat="1" x14ac:dyDescent="0.25">
      <c r="A746" s="7" t="str">
        <f t="shared" si="97"/>
        <v>2024 ALL D75</v>
      </c>
      <c r="B746" s="8">
        <f t="shared" si="98"/>
        <v>46104</v>
      </c>
      <c r="C746" s="8">
        <f t="shared" si="100"/>
        <v>46113</v>
      </c>
      <c r="D746" s="7">
        <v>3272</v>
      </c>
      <c r="E746" s="7">
        <v>336</v>
      </c>
      <c r="F746" s="7">
        <v>4</v>
      </c>
      <c r="G746" s="7">
        <v>1</v>
      </c>
      <c r="H746" s="7">
        <v>81379</v>
      </c>
      <c r="I746" s="7" t="s">
        <v>16</v>
      </c>
      <c r="J746" s="7">
        <v>45645365</v>
      </c>
      <c r="K746" s="7" t="s">
        <v>885</v>
      </c>
      <c r="L746" s="13" t="s">
        <v>886</v>
      </c>
      <c r="M746" s="14">
        <v>139900</v>
      </c>
      <c r="N746" s="10" t="str">
        <f t="shared" si="101"/>
        <v>BXGY</v>
      </c>
      <c r="O746" s="9">
        <f t="shared" si="96"/>
        <v>34975</v>
      </c>
      <c r="P746" s="9" t="str">
        <f t="shared" si="99"/>
        <v>PERCENTAGE</v>
      </c>
    </row>
    <row r="747" spans="1:16" s="6" customFormat="1" x14ac:dyDescent="0.25">
      <c r="A747" s="7" t="str">
        <f t="shared" si="97"/>
        <v>2024 ALL D75</v>
      </c>
      <c r="B747" s="8">
        <f t="shared" si="98"/>
        <v>46104</v>
      </c>
      <c r="C747" s="8">
        <f t="shared" si="100"/>
        <v>46113</v>
      </c>
      <c r="D747" s="7">
        <v>3272</v>
      </c>
      <c r="E747" s="7">
        <v>336</v>
      </c>
      <c r="F747" s="7">
        <v>4</v>
      </c>
      <c r="G747" s="7">
        <v>1</v>
      </c>
      <c r="H747" s="7">
        <v>81379</v>
      </c>
      <c r="I747" s="7" t="s">
        <v>16</v>
      </c>
      <c r="J747" s="7">
        <v>45645374</v>
      </c>
      <c r="K747" s="7" t="s">
        <v>885</v>
      </c>
      <c r="L747" s="13" t="s">
        <v>887</v>
      </c>
      <c r="M747" s="14">
        <v>139900</v>
      </c>
      <c r="N747" s="10" t="str">
        <f t="shared" si="101"/>
        <v>BXGY</v>
      </c>
      <c r="O747" s="9">
        <f t="shared" si="96"/>
        <v>34975</v>
      </c>
      <c r="P747" s="9" t="str">
        <f t="shared" si="99"/>
        <v>PERCENTAGE</v>
      </c>
    </row>
    <row r="748" spans="1:16" s="6" customFormat="1" x14ac:dyDescent="0.25">
      <c r="A748" s="7" t="str">
        <f t="shared" si="97"/>
        <v>2024 ALL D75</v>
      </c>
      <c r="B748" s="8">
        <f t="shared" si="98"/>
        <v>46104</v>
      </c>
      <c r="C748" s="8">
        <f t="shared" si="100"/>
        <v>46113</v>
      </c>
      <c r="D748" s="7">
        <v>3272</v>
      </c>
      <c r="E748" s="7">
        <v>336</v>
      </c>
      <c r="F748" s="7">
        <v>4</v>
      </c>
      <c r="G748" s="7">
        <v>1</v>
      </c>
      <c r="H748" s="7">
        <v>81379</v>
      </c>
      <c r="I748" s="7" t="s">
        <v>16</v>
      </c>
      <c r="J748" s="7">
        <v>45645383</v>
      </c>
      <c r="K748" s="7" t="s">
        <v>885</v>
      </c>
      <c r="L748" s="13" t="s">
        <v>888</v>
      </c>
      <c r="M748" s="14">
        <v>139900</v>
      </c>
      <c r="N748" s="10" t="str">
        <f t="shared" si="101"/>
        <v>BXGY</v>
      </c>
      <c r="O748" s="9">
        <f t="shared" si="96"/>
        <v>34975</v>
      </c>
      <c r="P748" s="9" t="str">
        <f t="shared" si="99"/>
        <v>PERCENTAGE</v>
      </c>
    </row>
    <row r="749" spans="1:16" s="6" customFormat="1" x14ac:dyDescent="0.25">
      <c r="A749" s="7" t="str">
        <f t="shared" si="97"/>
        <v>2024 ALL D75</v>
      </c>
      <c r="B749" s="8">
        <f t="shared" si="98"/>
        <v>46104</v>
      </c>
      <c r="C749" s="8">
        <f t="shared" si="100"/>
        <v>46113</v>
      </c>
      <c r="D749" s="7">
        <v>3272</v>
      </c>
      <c r="E749" s="7">
        <v>336</v>
      </c>
      <c r="F749" s="7">
        <v>4</v>
      </c>
      <c r="G749" s="7">
        <v>1</v>
      </c>
      <c r="H749" s="7">
        <v>81379</v>
      </c>
      <c r="I749" s="7" t="s">
        <v>16</v>
      </c>
      <c r="J749" s="7">
        <v>45645392</v>
      </c>
      <c r="K749" s="7" t="s">
        <v>885</v>
      </c>
      <c r="L749" s="13" t="s">
        <v>889</v>
      </c>
      <c r="M749" s="14">
        <v>139900</v>
      </c>
      <c r="N749" s="10" t="str">
        <f t="shared" si="101"/>
        <v>BXGY</v>
      </c>
      <c r="O749" s="9">
        <f t="shared" si="96"/>
        <v>34975</v>
      </c>
      <c r="P749" s="9" t="str">
        <f t="shared" si="99"/>
        <v>PERCENTAGE</v>
      </c>
    </row>
    <row r="750" spans="1:16" s="6" customFormat="1" x14ac:dyDescent="0.25">
      <c r="A750" s="7" t="str">
        <f t="shared" si="97"/>
        <v>2024 ALL D75</v>
      </c>
      <c r="B750" s="8">
        <f t="shared" si="98"/>
        <v>46104</v>
      </c>
      <c r="C750" s="8">
        <f t="shared" si="100"/>
        <v>46113</v>
      </c>
      <c r="D750" s="7">
        <v>3272</v>
      </c>
      <c r="E750" s="7">
        <v>336</v>
      </c>
      <c r="F750" s="7">
        <v>4</v>
      </c>
      <c r="G750" s="7">
        <v>1</v>
      </c>
      <c r="H750" s="7">
        <v>81379</v>
      </c>
      <c r="I750" s="7" t="s">
        <v>16</v>
      </c>
      <c r="J750" s="7">
        <v>45645409</v>
      </c>
      <c r="K750" s="7" t="s">
        <v>885</v>
      </c>
      <c r="L750" s="13" t="s">
        <v>890</v>
      </c>
      <c r="M750" s="14">
        <v>139900</v>
      </c>
      <c r="N750" s="10" t="str">
        <f t="shared" si="101"/>
        <v>BXGY</v>
      </c>
      <c r="O750" s="9">
        <f t="shared" si="96"/>
        <v>34975</v>
      </c>
      <c r="P750" s="9" t="str">
        <f t="shared" si="99"/>
        <v>PERCENTAGE</v>
      </c>
    </row>
    <row r="751" spans="1:16" s="6" customFormat="1" x14ac:dyDescent="0.25">
      <c r="A751" s="7" t="str">
        <f t="shared" si="97"/>
        <v>2024 ALL D75</v>
      </c>
      <c r="B751" s="8">
        <f t="shared" si="98"/>
        <v>46104</v>
      </c>
      <c r="C751" s="8">
        <f t="shared" si="100"/>
        <v>46113</v>
      </c>
      <c r="D751" s="7">
        <v>3272</v>
      </c>
      <c r="E751" s="7">
        <v>336</v>
      </c>
      <c r="F751" s="7">
        <v>4</v>
      </c>
      <c r="G751" s="7">
        <v>1</v>
      </c>
      <c r="H751" s="7">
        <v>81379</v>
      </c>
      <c r="I751" s="7" t="s">
        <v>16</v>
      </c>
      <c r="J751" s="7">
        <v>45645418</v>
      </c>
      <c r="K751" s="7" t="s">
        <v>891</v>
      </c>
      <c r="L751" s="13" t="s">
        <v>892</v>
      </c>
      <c r="M751" s="14">
        <v>149900</v>
      </c>
      <c r="N751" s="10" t="str">
        <f t="shared" si="101"/>
        <v>BXGY</v>
      </c>
      <c r="O751" s="9">
        <f t="shared" si="96"/>
        <v>37475</v>
      </c>
      <c r="P751" s="9" t="str">
        <f t="shared" si="99"/>
        <v>PERCENTAGE</v>
      </c>
    </row>
    <row r="752" spans="1:16" s="6" customFormat="1" x14ac:dyDescent="0.25">
      <c r="A752" s="7" t="str">
        <f t="shared" si="97"/>
        <v>2024 ALL D75</v>
      </c>
      <c r="B752" s="8">
        <f t="shared" si="98"/>
        <v>46104</v>
      </c>
      <c r="C752" s="8">
        <f t="shared" si="100"/>
        <v>46113</v>
      </c>
      <c r="D752" s="7">
        <v>3272</v>
      </c>
      <c r="E752" s="7">
        <v>336</v>
      </c>
      <c r="F752" s="7">
        <v>4</v>
      </c>
      <c r="G752" s="7">
        <v>1</v>
      </c>
      <c r="H752" s="7">
        <v>81379</v>
      </c>
      <c r="I752" s="7" t="s">
        <v>16</v>
      </c>
      <c r="J752" s="7">
        <v>45645427</v>
      </c>
      <c r="K752" s="7" t="s">
        <v>891</v>
      </c>
      <c r="L752" s="13" t="s">
        <v>893</v>
      </c>
      <c r="M752" s="14">
        <v>149900</v>
      </c>
      <c r="N752" s="10" t="str">
        <f t="shared" si="101"/>
        <v>BXGY</v>
      </c>
      <c r="O752" s="9">
        <f t="shared" si="96"/>
        <v>37475</v>
      </c>
      <c r="P752" s="9" t="str">
        <f t="shared" si="99"/>
        <v>PERCENTAGE</v>
      </c>
    </row>
    <row r="753" spans="1:16" s="6" customFormat="1" x14ac:dyDescent="0.25">
      <c r="A753" s="7" t="str">
        <f t="shared" si="97"/>
        <v>2024 ALL D75</v>
      </c>
      <c r="B753" s="8">
        <f t="shared" si="98"/>
        <v>46104</v>
      </c>
      <c r="C753" s="8">
        <f t="shared" si="100"/>
        <v>46113</v>
      </c>
      <c r="D753" s="7">
        <v>3272</v>
      </c>
      <c r="E753" s="7">
        <v>336</v>
      </c>
      <c r="F753" s="7">
        <v>4</v>
      </c>
      <c r="G753" s="7">
        <v>1</v>
      </c>
      <c r="H753" s="7">
        <v>81379</v>
      </c>
      <c r="I753" s="7" t="s">
        <v>16</v>
      </c>
      <c r="J753" s="7">
        <v>45645436</v>
      </c>
      <c r="K753" s="7" t="s">
        <v>891</v>
      </c>
      <c r="L753" s="13" t="s">
        <v>894</v>
      </c>
      <c r="M753" s="14">
        <v>149900</v>
      </c>
      <c r="N753" s="10" t="str">
        <f t="shared" si="101"/>
        <v>BXGY</v>
      </c>
      <c r="O753" s="9">
        <f t="shared" si="96"/>
        <v>37475</v>
      </c>
      <c r="P753" s="9" t="str">
        <f t="shared" si="99"/>
        <v>PERCENTAGE</v>
      </c>
    </row>
    <row r="754" spans="1:16" s="6" customFormat="1" x14ac:dyDescent="0.25">
      <c r="A754" s="7" t="str">
        <f t="shared" si="97"/>
        <v>2024 ALL D75</v>
      </c>
      <c r="B754" s="8">
        <f t="shared" si="98"/>
        <v>46104</v>
      </c>
      <c r="C754" s="8">
        <f t="shared" si="100"/>
        <v>46113</v>
      </c>
      <c r="D754" s="7">
        <v>3272</v>
      </c>
      <c r="E754" s="7">
        <v>336</v>
      </c>
      <c r="F754" s="7">
        <v>4</v>
      </c>
      <c r="G754" s="7">
        <v>1</v>
      </c>
      <c r="H754" s="7">
        <v>81379</v>
      </c>
      <c r="I754" s="7" t="s">
        <v>16</v>
      </c>
      <c r="J754" s="7">
        <v>45645445</v>
      </c>
      <c r="K754" s="7" t="s">
        <v>891</v>
      </c>
      <c r="L754" s="13" t="s">
        <v>895</v>
      </c>
      <c r="M754" s="14">
        <v>149900</v>
      </c>
      <c r="N754" s="10" t="str">
        <f t="shared" si="101"/>
        <v>BXGY</v>
      </c>
      <c r="O754" s="9">
        <f t="shared" si="96"/>
        <v>37475</v>
      </c>
      <c r="P754" s="9" t="str">
        <f t="shared" si="99"/>
        <v>PERCENTAGE</v>
      </c>
    </row>
    <row r="755" spans="1:16" s="6" customFormat="1" x14ac:dyDescent="0.25">
      <c r="A755" s="7" t="str">
        <f t="shared" si="97"/>
        <v>2024 ALL D75</v>
      </c>
      <c r="B755" s="8">
        <f t="shared" si="98"/>
        <v>46104</v>
      </c>
      <c r="C755" s="8">
        <f t="shared" si="100"/>
        <v>46113</v>
      </c>
      <c r="D755" s="7">
        <v>3272</v>
      </c>
      <c r="E755" s="7">
        <v>336</v>
      </c>
      <c r="F755" s="7">
        <v>4</v>
      </c>
      <c r="G755" s="7">
        <v>1</v>
      </c>
      <c r="H755" s="7">
        <v>81379</v>
      </c>
      <c r="I755" s="7" t="s">
        <v>16</v>
      </c>
      <c r="J755" s="7">
        <v>45645454</v>
      </c>
      <c r="K755" s="7" t="s">
        <v>891</v>
      </c>
      <c r="L755" s="13" t="s">
        <v>896</v>
      </c>
      <c r="M755" s="14">
        <v>149900</v>
      </c>
      <c r="N755" s="10" t="str">
        <f t="shared" si="101"/>
        <v>BXGY</v>
      </c>
      <c r="O755" s="9">
        <f t="shared" si="96"/>
        <v>37475</v>
      </c>
      <c r="P755" s="9" t="str">
        <f t="shared" si="99"/>
        <v>PERCENTAGE</v>
      </c>
    </row>
    <row r="756" spans="1:16" s="6" customFormat="1" x14ac:dyDescent="0.25">
      <c r="A756" s="7" t="str">
        <f t="shared" si="97"/>
        <v>2024 ALL D75</v>
      </c>
      <c r="B756" s="8">
        <f t="shared" si="98"/>
        <v>46104</v>
      </c>
      <c r="C756" s="8">
        <f t="shared" si="100"/>
        <v>46113</v>
      </c>
      <c r="D756" s="7">
        <v>3272</v>
      </c>
      <c r="E756" s="7">
        <v>336</v>
      </c>
      <c r="F756" s="7">
        <v>4</v>
      </c>
      <c r="G756" s="7">
        <v>1</v>
      </c>
      <c r="H756" s="7">
        <v>81379</v>
      </c>
      <c r="I756" s="7" t="s">
        <v>16</v>
      </c>
      <c r="J756" s="7">
        <v>45645463</v>
      </c>
      <c r="K756" s="7" t="s">
        <v>897</v>
      </c>
      <c r="L756" s="13" t="s">
        <v>898</v>
      </c>
      <c r="M756" s="14">
        <v>159900</v>
      </c>
      <c r="N756" s="10" t="str">
        <f t="shared" si="101"/>
        <v>BXGY</v>
      </c>
      <c r="O756" s="9">
        <f t="shared" si="96"/>
        <v>39975</v>
      </c>
      <c r="P756" s="9" t="str">
        <f t="shared" si="99"/>
        <v>PERCENTAGE</v>
      </c>
    </row>
    <row r="757" spans="1:16" s="6" customFormat="1" x14ac:dyDescent="0.25">
      <c r="A757" s="7" t="str">
        <f t="shared" si="97"/>
        <v>2024 ALL D75</v>
      </c>
      <c r="B757" s="8">
        <f t="shared" si="98"/>
        <v>46104</v>
      </c>
      <c r="C757" s="8">
        <f t="shared" si="100"/>
        <v>46113</v>
      </c>
      <c r="D757" s="7">
        <v>3272</v>
      </c>
      <c r="E757" s="7">
        <v>336</v>
      </c>
      <c r="F757" s="7">
        <v>4</v>
      </c>
      <c r="G757" s="7">
        <v>1</v>
      </c>
      <c r="H757" s="7">
        <v>81379</v>
      </c>
      <c r="I757" s="7" t="s">
        <v>16</v>
      </c>
      <c r="J757" s="7">
        <v>45645472</v>
      </c>
      <c r="K757" s="7" t="s">
        <v>897</v>
      </c>
      <c r="L757" s="13" t="s">
        <v>899</v>
      </c>
      <c r="M757" s="14">
        <v>159900</v>
      </c>
      <c r="N757" s="10" t="str">
        <f t="shared" si="101"/>
        <v>BXGY</v>
      </c>
      <c r="O757" s="9">
        <f t="shared" si="96"/>
        <v>39975</v>
      </c>
      <c r="P757" s="9" t="str">
        <f t="shared" si="99"/>
        <v>PERCENTAGE</v>
      </c>
    </row>
    <row r="758" spans="1:16" s="6" customFormat="1" x14ac:dyDescent="0.25">
      <c r="A758" s="7" t="str">
        <f t="shared" si="97"/>
        <v>2024 ALL D75</v>
      </c>
      <c r="B758" s="8">
        <f t="shared" si="98"/>
        <v>46104</v>
      </c>
      <c r="C758" s="8">
        <f t="shared" si="100"/>
        <v>46113</v>
      </c>
      <c r="D758" s="7">
        <v>3272</v>
      </c>
      <c r="E758" s="7">
        <v>336</v>
      </c>
      <c r="F758" s="7">
        <v>4</v>
      </c>
      <c r="G758" s="7">
        <v>1</v>
      </c>
      <c r="H758" s="7">
        <v>81379</v>
      </c>
      <c r="I758" s="7" t="s">
        <v>16</v>
      </c>
      <c r="J758" s="7">
        <v>45645481</v>
      </c>
      <c r="K758" s="7" t="s">
        <v>897</v>
      </c>
      <c r="L758" s="13" t="s">
        <v>900</v>
      </c>
      <c r="M758" s="14">
        <v>159900</v>
      </c>
      <c r="N758" s="10" t="str">
        <f t="shared" si="101"/>
        <v>BXGY</v>
      </c>
      <c r="O758" s="9">
        <f t="shared" si="96"/>
        <v>39975</v>
      </c>
      <c r="P758" s="9" t="str">
        <f t="shared" si="99"/>
        <v>PERCENTAGE</v>
      </c>
    </row>
    <row r="759" spans="1:16" s="6" customFormat="1" x14ac:dyDescent="0.25">
      <c r="A759" s="7" t="str">
        <f t="shared" si="97"/>
        <v>2024 ALL D75</v>
      </c>
      <c r="B759" s="8">
        <f t="shared" si="98"/>
        <v>46104</v>
      </c>
      <c r="C759" s="8">
        <f t="shared" si="100"/>
        <v>46113</v>
      </c>
      <c r="D759" s="7">
        <v>3272</v>
      </c>
      <c r="E759" s="7">
        <v>336</v>
      </c>
      <c r="F759" s="7">
        <v>4</v>
      </c>
      <c r="G759" s="7">
        <v>1</v>
      </c>
      <c r="H759" s="7">
        <v>81379</v>
      </c>
      <c r="I759" s="7" t="s">
        <v>16</v>
      </c>
      <c r="J759" s="7">
        <v>45645490</v>
      </c>
      <c r="K759" s="7" t="s">
        <v>897</v>
      </c>
      <c r="L759" s="13" t="s">
        <v>901</v>
      </c>
      <c r="M759" s="14">
        <v>159900</v>
      </c>
      <c r="N759" s="10" t="str">
        <f t="shared" si="101"/>
        <v>BXGY</v>
      </c>
      <c r="O759" s="9">
        <f t="shared" si="96"/>
        <v>39975</v>
      </c>
      <c r="P759" s="9" t="str">
        <f t="shared" si="99"/>
        <v>PERCENTAGE</v>
      </c>
    </row>
    <row r="760" spans="1:16" s="6" customFormat="1" x14ac:dyDescent="0.25">
      <c r="A760" s="7" t="str">
        <f t="shared" si="97"/>
        <v>2024 ALL D75</v>
      </c>
      <c r="B760" s="8">
        <f t="shared" si="98"/>
        <v>46104</v>
      </c>
      <c r="C760" s="8">
        <f t="shared" si="100"/>
        <v>46113</v>
      </c>
      <c r="D760" s="7">
        <v>3272</v>
      </c>
      <c r="E760" s="7">
        <v>336</v>
      </c>
      <c r="F760" s="7">
        <v>4</v>
      </c>
      <c r="G760" s="7">
        <v>1</v>
      </c>
      <c r="H760" s="7">
        <v>81379</v>
      </c>
      <c r="I760" s="7" t="s">
        <v>16</v>
      </c>
      <c r="J760" s="7">
        <v>45645507</v>
      </c>
      <c r="K760" s="7" t="s">
        <v>897</v>
      </c>
      <c r="L760" s="13" t="s">
        <v>902</v>
      </c>
      <c r="M760" s="14">
        <v>159900</v>
      </c>
      <c r="N760" s="10" t="str">
        <f t="shared" si="101"/>
        <v>BXGY</v>
      </c>
      <c r="O760" s="9">
        <f t="shared" si="96"/>
        <v>39975</v>
      </c>
      <c r="P760" s="9" t="str">
        <f t="shared" si="99"/>
        <v>PERCENTAGE</v>
      </c>
    </row>
    <row r="761" spans="1:16" s="6" customFormat="1" x14ac:dyDescent="0.25">
      <c r="A761" s="7" t="str">
        <f t="shared" si="97"/>
        <v>2024 ALL D75</v>
      </c>
      <c r="B761" s="8">
        <f t="shared" si="98"/>
        <v>46104</v>
      </c>
      <c r="C761" s="8">
        <f t="shared" si="100"/>
        <v>46113</v>
      </c>
      <c r="D761" s="7">
        <v>3272</v>
      </c>
      <c r="E761" s="7">
        <v>336</v>
      </c>
      <c r="F761" s="7">
        <v>4</v>
      </c>
      <c r="G761" s="7">
        <v>1</v>
      </c>
      <c r="H761" s="7">
        <v>81379</v>
      </c>
      <c r="I761" s="7" t="s">
        <v>16</v>
      </c>
      <c r="J761" s="7">
        <v>45645516</v>
      </c>
      <c r="K761" s="7" t="s">
        <v>903</v>
      </c>
      <c r="L761" s="13" t="s">
        <v>904</v>
      </c>
      <c r="M761" s="14">
        <v>239900</v>
      </c>
      <c r="N761" s="10" t="str">
        <f t="shared" si="101"/>
        <v>BXGY</v>
      </c>
      <c r="O761" s="9">
        <f t="shared" si="96"/>
        <v>59975</v>
      </c>
      <c r="P761" s="9" t="str">
        <f t="shared" si="99"/>
        <v>PERCENTAGE</v>
      </c>
    </row>
    <row r="762" spans="1:16" s="6" customFormat="1" x14ac:dyDescent="0.25">
      <c r="A762" s="7" t="str">
        <f t="shared" si="97"/>
        <v>2024 ALL D75</v>
      </c>
      <c r="B762" s="8">
        <f t="shared" si="98"/>
        <v>46104</v>
      </c>
      <c r="C762" s="8">
        <f t="shared" si="100"/>
        <v>46113</v>
      </c>
      <c r="D762" s="7">
        <v>3272</v>
      </c>
      <c r="E762" s="7">
        <v>336</v>
      </c>
      <c r="F762" s="7">
        <v>4</v>
      </c>
      <c r="G762" s="7">
        <v>1</v>
      </c>
      <c r="H762" s="7">
        <v>81379</v>
      </c>
      <c r="I762" s="7" t="s">
        <v>16</v>
      </c>
      <c r="J762" s="7">
        <v>45645525</v>
      </c>
      <c r="K762" s="7" t="s">
        <v>903</v>
      </c>
      <c r="L762" s="13" t="s">
        <v>905</v>
      </c>
      <c r="M762" s="14">
        <v>239900</v>
      </c>
      <c r="N762" s="10" t="str">
        <f t="shared" si="101"/>
        <v>BXGY</v>
      </c>
      <c r="O762" s="9">
        <f t="shared" si="96"/>
        <v>59975</v>
      </c>
      <c r="P762" s="9" t="str">
        <f t="shared" si="99"/>
        <v>PERCENTAGE</v>
      </c>
    </row>
    <row r="763" spans="1:16" s="6" customFormat="1" x14ac:dyDescent="0.25">
      <c r="A763" s="7" t="str">
        <f t="shared" si="97"/>
        <v>2024 ALL D75</v>
      </c>
      <c r="B763" s="8">
        <f t="shared" si="98"/>
        <v>46104</v>
      </c>
      <c r="C763" s="8">
        <f t="shared" si="100"/>
        <v>46113</v>
      </c>
      <c r="D763" s="7">
        <v>3272</v>
      </c>
      <c r="E763" s="7">
        <v>336</v>
      </c>
      <c r="F763" s="7">
        <v>4</v>
      </c>
      <c r="G763" s="7">
        <v>1</v>
      </c>
      <c r="H763" s="7">
        <v>81379</v>
      </c>
      <c r="I763" s="7" t="s">
        <v>16</v>
      </c>
      <c r="J763" s="7">
        <v>45645534</v>
      </c>
      <c r="K763" s="7" t="s">
        <v>903</v>
      </c>
      <c r="L763" s="13" t="s">
        <v>906</v>
      </c>
      <c r="M763" s="14">
        <v>239900</v>
      </c>
      <c r="N763" s="10" t="str">
        <f t="shared" si="101"/>
        <v>BXGY</v>
      </c>
      <c r="O763" s="9">
        <f t="shared" si="96"/>
        <v>59975</v>
      </c>
      <c r="P763" s="9" t="str">
        <f t="shared" si="99"/>
        <v>PERCENTAGE</v>
      </c>
    </row>
    <row r="764" spans="1:16" s="6" customFormat="1" x14ac:dyDescent="0.25">
      <c r="A764" s="7" t="str">
        <f t="shared" si="97"/>
        <v>2024 ALL D75</v>
      </c>
      <c r="B764" s="8">
        <f t="shared" si="98"/>
        <v>46104</v>
      </c>
      <c r="C764" s="8">
        <f t="shared" si="100"/>
        <v>46113</v>
      </c>
      <c r="D764" s="7">
        <v>3272</v>
      </c>
      <c r="E764" s="7">
        <v>336</v>
      </c>
      <c r="F764" s="7">
        <v>4</v>
      </c>
      <c r="G764" s="7">
        <v>1</v>
      </c>
      <c r="H764" s="7">
        <v>81379</v>
      </c>
      <c r="I764" s="7" t="s">
        <v>16</v>
      </c>
      <c r="J764" s="7">
        <v>45645543</v>
      </c>
      <c r="K764" s="7" t="s">
        <v>903</v>
      </c>
      <c r="L764" s="13" t="s">
        <v>907</v>
      </c>
      <c r="M764" s="14">
        <v>239900</v>
      </c>
      <c r="N764" s="10" t="str">
        <f t="shared" si="101"/>
        <v>BXGY</v>
      </c>
      <c r="O764" s="9">
        <f t="shared" si="96"/>
        <v>59975</v>
      </c>
      <c r="P764" s="9" t="str">
        <f t="shared" si="99"/>
        <v>PERCENTAGE</v>
      </c>
    </row>
    <row r="765" spans="1:16" s="6" customFormat="1" x14ac:dyDescent="0.25">
      <c r="A765" s="7" t="str">
        <f t="shared" si="97"/>
        <v>2024 ALL D75</v>
      </c>
      <c r="B765" s="8">
        <f t="shared" si="98"/>
        <v>46104</v>
      </c>
      <c r="C765" s="8">
        <f t="shared" si="100"/>
        <v>46113</v>
      </c>
      <c r="D765" s="7">
        <v>3272</v>
      </c>
      <c r="E765" s="7">
        <v>336</v>
      </c>
      <c r="F765" s="7">
        <v>4</v>
      </c>
      <c r="G765" s="7">
        <v>1</v>
      </c>
      <c r="H765" s="7">
        <v>81379</v>
      </c>
      <c r="I765" s="7" t="s">
        <v>16</v>
      </c>
      <c r="J765" s="7">
        <v>45645552</v>
      </c>
      <c r="K765" s="7" t="s">
        <v>903</v>
      </c>
      <c r="L765" s="13" t="s">
        <v>908</v>
      </c>
      <c r="M765" s="14">
        <v>239900</v>
      </c>
      <c r="N765" s="10" t="str">
        <f t="shared" si="101"/>
        <v>BXGY</v>
      </c>
      <c r="O765" s="9">
        <f t="shared" si="96"/>
        <v>59975</v>
      </c>
      <c r="P765" s="9" t="str">
        <f t="shared" si="99"/>
        <v>PERCENTAGE</v>
      </c>
    </row>
    <row r="766" spans="1:16" s="6" customFormat="1" x14ac:dyDescent="0.25">
      <c r="A766" s="7" t="str">
        <f t="shared" si="97"/>
        <v>2024 ALL D75</v>
      </c>
      <c r="B766" s="8">
        <f t="shared" si="98"/>
        <v>46104</v>
      </c>
      <c r="C766" s="8">
        <f t="shared" si="100"/>
        <v>46113</v>
      </c>
      <c r="D766" s="7">
        <v>3272</v>
      </c>
      <c r="E766" s="7">
        <v>336</v>
      </c>
      <c r="F766" s="7">
        <v>4</v>
      </c>
      <c r="G766" s="7">
        <v>1</v>
      </c>
      <c r="H766" s="7">
        <v>81379</v>
      </c>
      <c r="I766" s="7" t="s">
        <v>16</v>
      </c>
      <c r="J766" s="7">
        <v>45645561</v>
      </c>
      <c r="K766" s="7" t="s">
        <v>909</v>
      </c>
      <c r="L766" s="13" t="s">
        <v>910</v>
      </c>
      <c r="M766" s="14">
        <v>139900</v>
      </c>
      <c r="N766" s="10" t="str">
        <f t="shared" si="101"/>
        <v>BXGY</v>
      </c>
      <c r="O766" s="9">
        <f t="shared" si="96"/>
        <v>34975</v>
      </c>
      <c r="P766" s="9" t="str">
        <f t="shared" si="99"/>
        <v>PERCENTAGE</v>
      </c>
    </row>
    <row r="767" spans="1:16" s="6" customFormat="1" x14ac:dyDescent="0.25">
      <c r="A767" s="7" t="str">
        <f t="shared" si="97"/>
        <v>2024 ALL D75</v>
      </c>
      <c r="B767" s="8">
        <f t="shared" si="98"/>
        <v>46104</v>
      </c>
      <c r="C767" s="8">
        <f t="shared" si="100"/>
        <v>46113</v>
      </c>
      <c r="D767" s="7">
        <v>3272</v>
      </c>
      <c r="E767" s="7">
        <v>336</v>
      </c>
      <c r="F767" s="7">
        <v>4</v>
      </c>
      <c r="G767" s="7">
        <v>1</v>
      </c>
      <c r="H767" s="7">
        <v>81379</v>
      </c>
      <c r="I767" s="7" t="s">
        <v>16</v>
      </c>
      <c r="J767" s="7">
        <v>45645570</v>
      </c>
      <c r="K767" s="7" t="s">
        <v>909</v>
      </c>
      <c r="L767" s="13" t="s">
        <v>911</v>
      </c>
      <c r="M767" s="14">
        <v>139900</v>
      </c>
      <c r="N767" s="10" t="str">
        <f t="shared" si="101"/>
        <v>BXGY</v>
      </c>
      <c r="O767" s="9">
        <f t="shared" si="96"/>
        <v>34975</v>
      </c>
      <c r="P767" s="9" t="str">
        <f t="shared" si="99"/>
        <v>PERCENTAGE</v>
      </c>
    </row>
    <row r="768" spans="1:16" s="6" customFormat="1" x14ac:dyDescent="0.25">
      <c r="A768" s="7" t="str">
        <f t="shared" si="97"/>
        <v>2024 ALL D75</v>
      </c>
      <c r="B768" s="8">
        <f t="shared" si="98"/>
        <v>46104</v>
      </c>
      <c r="C768" s="8">
        <f t="shared" si="100"/>
        <v>46113</v>
      </c>
      <c r="D768" s="7">
        <v>3272</v>
      </c>
      <c r="E768" s="7">
        <v>336</v>
      </c>
      <c r="F768" s="7">
        <v>4</v>
      </c>
      <c r="G768" s="7">
        <v>1</v>
      </c>
      <c r="H768" s="7">
        <v>81379</v>
      </c>
      <c r="I768" s="7" t="s">
        <v>16</v>
      </c>
      <c r="J768" s="7">
        <v>45645589</v>
      </c>
      <c r="K768" s="7" t="s">
        <v>909</v>
      </c>
      <c r="L768" s="13" t="s">
        <v>912</v>
      </c>
      <c r="M768" s="14">
        <v>139900</v>
      </c>
      <c r="N768" s="10" t="str">
        <f t="shared" si="101"/>
        <v>BXGY</v>
      </c>
      <c r="O768" s="9">
        <f t="shared" si="96"/>
        <v>34975</v>
      </c>
      <c r="P768" s="9" t="str">
        <f t="shared" si="99"/>
        <v>PERCENTAGE</v>
      </c>
    </row>
    <row r="769" spans="1:16" s="6" customFormat="1" x14ac:dyDescent="0.25">
      <c r="A769" s="7" t="str">
        <f t="shared" si="97"/>
        <v>2024 ALL D75</v>
      </c>
      <c r="B769" s="8">
        <f t="shared" si="98"/>
        <v>46104</v>
      </c>
      <c r="C769" s="8">
        <f t="shared" si="100"/>
        <v>46113</v>
      </c>
      <c r="D769" s="7">
        <v>3272</v>
      </c>
      <c r="E769" s="7">
        <v>336</v>
      </c>
      <c r="F769" s="7">
        <v>4</v>
      </c>
      <c r="G769" s="7">
        <v>1</v>
      </c>
      <c r="H769" s="7">
        <v>81379</v>
      </c>
      <c r="I769" s="7" t="s">
        <v>16</v>
      </c>
      <c r="J769" s="7">
        <v>45645598</v>
      </c>
      <c r="K769" s="7" t="s">
        <v>909</v>
      </c>
      <c r="L769" s="13" t="s">
        <v>913</v>
      </c>
      <c r="M769" s="14">
        <v>139900</v>
      </c>
      <c r="N769" s="10" t="str">
        <f t="shared" si="101"/>
        <v>BXGY</v>
      </c>
      <c r="O769" s="9">
        <f t="shared" si="96"/>
        <v>34975</v>
      </c>
      <c r="P769" s="9" t="str">
        <f t="shared" si="99"/>
        <v>PERCENTAGE</v>
      </c>
    </row>
    <row r="770" spans="1:16" s="6" customFormat="1" x14ac:dyDescent="0.25">
      <c r="A770" s="7" t="str">
        <f t="shared" si="97"/>
        <v>2024 ALL D75</v>
      </c>
      <c r="B770" s="8">
        <f t="shared" si="98"/>
        <v>46104</v>
      </c>
      <c r="C770" s="8">
        <f t="shared" si="100"/>
        <v>46113</v>
      </c>
      <c r="D770" s="7">
        <v>3272</v>
      </c>
      <c r="E770" s="7">
        <v>336</v>
      </c>
      <c r="F770" s="7">
        <v>4</v>
      </c>
      <c r="G770" s="7">
        <v>1</v>
      </c>
      <c r="H770" s="7">
        <v>81379</v>
      </c>
      <c r="I770" s="7" t="s">
        <v>16</v>
      </c>
      <c r="J770" s="7">
        <v>45645605</v>
      </c>
      <c r="K770" s="7" t="s">
        <v>909</v>
      </c>
      <c r="L770" s="13" t="s">
        <v>914</v>
      </c>
      <c r="M770" s="14">
        <v>139900</v>
      </c>
      <c r="N770" s="10" t="str">
        <f t="shared" si="101"/>
        <v>BXGY</v>
      </c>
      <c r="O770" s="9">
        <f t="shared" si="96"/>
        <v>34975</v>
      </c>
      <c r="P770" s="9" t="str">
        <f t="shared" si="99"/>
        <v>PERCENTAGE</v>
      </c>
    </row>
    <row r="771" spans="1:16" s="6" customFormat="1" x14ac:dyDescent="0.25">
      <c r="A771" s="7" t="str">
        <f t="shared" si="97"/>
        <v>2024 ALL D75</v>
      </c>
      <c r="B771" s="8">
        <f t="shared" si="98"/>
        <v>46104</v>
      </c>
      <c r="C771" s="8">
        <f t="shared" si="100"/>
        <v>46113</v>
      </c>
      <c r="D771" s="7">
        <v>3272</v>
      </c>
      <c r="E771" s="7">
        <v>336</v>
      </c>
      <c r="F771" s="7">
        <v>4</v>
      </c>
      <c r="G771" s="7">
        <v>1</v>
      </c>
      <c r="H771" s="7">
        <v>81379</v>
      </c>
      <c r="I771" s="7" t="s">
        <v>16</v>
      </c>
      <c r="J771" s="7">
        <v>45645614</v>
      </c>
      <c r="K771" s="7" t="s">
        <v>909</v>
      </c>
      <c r="L771" s="13" t="s">
        <v>915</v>
      </c>
      <c r="M771" s="14">
        <v>139900</v>
      </c>
      <c r="N771" s="10" t="str">
        <f t="shared" si="101"/>
        <v>BXGY</v>
      </c>
      <c r="O771" s="9">
        <f t="shared" ref="O771:O834" si="102">M771-((75*M771))/100</f>
        <v>34975</v>
      </c>
      <c r="P771" s="9" t="str">
        <f t="shared" si="99"/>
        <v>PERCENTAGE</v>
      </c>
    </row>
    <row r="772" spans="1:16" s="6" customFormat="1" x14ac:dyDescent="0.25">
      <c r="A772" s="7" t="str">
        <f t="shared" ref="A772:A835" si="103">A771</f>
        <v>2024 ALL D75</v>
      </c>
      <c r="B772" s="8">
        <f t="shared" ref="B772:B835" si="104">B771</f>
        <v>46104</v>
      </c>
      <c r="C772" s="8">
        <f t="shared" si="100"/>
        <v>46113</v>
      </c>
      <c r="D772" s="7">
        <v>3272</v>
      </c>
      <c r="E772" s="7">
        <v>336</v>
      </c>
      <c r="F772" s="7">
        <v>4</v>
      </c>
      <c r="G772" s="7">
        <v>1</v>
      </c>
      <c r="H772" s="7">
        <v>81379</v>
      </c>
      <c r="I772" s="7" t="s">
        <v>16</v>
      </c>
      <c r="J772" s="7">
        <v>45645623</v>
      </c>
      <c r="K772" s="7" t="s">
        <v>909</v>
      </c>
      <c r="L772" s="13" t="s">
        <v>916</v>
      </c>
      <c r="M772" s="14">
        <v>139900</v>
      </c>
      <c r="N772" s="10" t="str">
        <f t="shared" si="101"/>
        <v>BXGY</v>
      </c>
      <c r="O772" s="9">
        <f t="shared" si="102"/>
        <v>34975</v>
      </c>
      <c r="P772" s="9" t="str">
        <f t="shared" ref="P772:P835" si="105">P771</f>
        <v>PERCENTAGE</v>
      </c>
    </row>
    <row r="773" spans="1:16" s="6" customFormat="1" x14ac:dyDescent="0.25">
      <c r="A773" s="7" t="str">
        <f t="shared" si="103"/>
        <v>2024 ALL D75</v>
      </c>
      <c r="B773" s="8">
        <f t="shared" si="104"/>
        <v>46104</v>
      </c>
      <c r="C773" s="8">
        <f t="shared" si="100"/>
        <v>46113</v>
      </c>
      <c r="D773" s="7">
        <v>3272</v>
      </c>
      <c r="E773" s="7">
        <v>336</v>
      </c>
      <c r="F773" s="7">
        <v>4</v>
      </c>
      <c r="G773" s="7">
        <v>1</v>
      </c>
      <c r="H773" s="7">
        <v>81379</v>
      </c>
      <c r="I773" s="7" t="s">
        <v>16</v>
      </c>
      <c r="J773" s="7">
        <v>45645632</v>
      </c>
      <c r="K773" s="7" t="s">
        <v>909</v>
      </c>
      <c r="L773" s="13" t="s">
        <v>917</v>
      </c>
      <c r="M773" s="14">
        <v>139900</v>
      </c>
      <c r="N773" s="10" t="str">
        <f t="shared" si="101"/>
        <v>BXGY</v>
      </c>
      <c r="O773" s="9">
        <f t="shared" si="102"/>
        <v>34975</v>
      </c>
      <c r="P773" s="9" t="str">
        <f t="shared" si="105"/>
        <v>PERCENTAGE</v>
      </c>
    </row>
    <row r="774" spans="1:16" s="6" customFormat="1" x14ac:dyDescent="0.25">
      <c r="A774" s="7" t="str">
        <f t="shared" si="103"/>
        <v>2024 ALL D75</v>
      </c>
      <c r="B774" s="8">
        <f t="shared" si="104"/>
        <v>46104</v>
      </c>
      <c r="C774" s="8">
        <f t="shared" si="100"/>
        <v>46113</v>
      </c>
      <c r="D774" s="7">
        <v>3272</v>
      </c>
      <c r="E774" s="7">
        <v>336</v>
      </c>
      <c r="F774" s="7">
        <v>4</v>
      </c>
      <c r="G774" s="7">
        <v>1</v>
      </c>
      <c r="H774" s="7">
        <v>81379</v>
      </c>
      <c r="I774" s="7" t="s">
        <v>16</v>
      </c>
      <c r="J774" s="7">
        <v>45645641</v>
      </c>
      <c r="K774" s="7" t="s">
        <v>918</v>
      </c>
      <c r="L774" s="13" t="s">
        <v>919</v>
      </c>
      <c r="M774" s="14">
        <v>149900</v>
      </c>
      <c r="N774" s="10" t="str">
        <f t="shared" si="101"/>
        <v>BXGY</v>
      </c>
      <c r="O774" s="9">
        <f t="shared" si="102"/>
        <v>37475</v>
      </c>
      <c r="P774" s="9" t="str">
        <f t="shared" si="105"/>
        <v>PERCENTAGE</v>
      </c>
    </row>
    <row r="775" spans="1:16" s="6" customFormat="1" x14ac:dyDescent="0.25">
      <c r="A775" s="7" t="str">
        <f t="shared" si="103"/>
        <v>2024 ALL D75</v>
      </c>
      <c r="B775" s="8">
        <f t="shared" si="104"/>
        <v>46104</v>
      </c>
      <c r="C775" s="8">
        <f t="shared" si="100"/>
        <v>46113</v>
      </c>
      <c r="D775" s="7">
        <v>3272</v>
      </c>
      <c r="E775" s="7">
        <v>336</v>
      </c>
      <c r="F775" s="7">
        <v>4</v>
      </c>
      <c r="G775" s="7">
        <v>1</v>
      </c>
      <c r="H775" s="7">
        <v>81379</v>
      </c>
      <c r="I775" s="7" t="s">
        <v>16</v>
      </c>
      <c r="J775" s="7">
        <v>45645650</v>
      </c>
      <c r="K775" s="7" t="s">
        <v>918</v>
      </c>
      <c r="L775" s="13" t="s">
        <v>920</v>
      </c>
      <c r="M775" s="14">
        <v>149900</v>
      </c>
      <c r="N775" s="10" t="str">
        <f t="shared" si="101"/>
        <v>BXGY</v>
      </c>
      <c r="O775" s="9">
        <f t="shared" si="102"/>
        <v>37475</v>
      </c>
      <c r="P775" s="9" t="str">
        <f t="shared" si="105"/>
        <v>PERCENTAGE</v>
      </c>
    </row>
    <row r="776" spans="1:16" s="6" customFormat="1" x14ac:dyDescent="0.25">
      <c r="A776" s="7" t="str">
        <f t="shared" si="103"/>
        <v>2024 ALL D75</v>
      </c>
      <c r="B776" s="8">
        <f t="shared" si="104"/>
        <v>46104</v>
      </c>
      <c r="C776" s="8">
        <f t="shared" si="100"/>
        <v>46113</v>
      </c>
      <c r="D776" s="7">
        <v>3272</v>
      </c>
      <c r="E776" s="7">
        <v>336</v>
      </c>
      <c r="F776" s="7">
        <v>4</v>
      </c>
      <c r="G776" s="7">
        <v>1</v>
      </c>
      <c r="H776" s="7">
        <v>81379</v>
      </c>
      <c r="I776" s="7" t="s">
        <v>16</v>
      </c>
      <c r="J776" s="7">
        <v>45645669</v>
      </c>
      <c r="K776" s="7" t="s">
        <v>918</v>
      </c>
      <c r="L776" s="13" t="s">
        <v>921</v>
      </c>
      <c r="M776" s="14">
        <v>149900</v>
      </c>
      <c r="N776" s="10" t="str">
        <f t="shared" si="101"/>
        <v>BXGY</v>
      </c>
      <c r="O776" s="9">
        <f t="shared" si="102"/>
        <v>37475</v>
      </c>
      <c r="P776" s="9" t="str">
        <f t="shared" si="105"/>
        <v>PERCENTAGE</v>
      </c>
    </row>
    <row r="777" spans="1:16" s="6" customFormat="1" x14ac:dyDescent="0.25">
      <c r="A777" s="7" t="str">
        <f t="shared" si="103"/>
        <v>2024 ALL D75</v>
      </c>
      <c r="B777" s="8">
        <f t="shared" si="104"/>
        <v>46104</v>
      </c>
      <c r="C777" s="8">
        <f t="shared" si="100"/>
        <v>46113</v>
      </c>
      <c r="D777" s="7">
        <v>3272</v>
      </c>
      <c r="E777" s="7">
        <v>336</v>
      </c>
      <c r="F777" s="7">
        <v>4</v>
      </c>
      <c r="G777" s="7">
        <v>1</v>
      </c>
      <c r="H777" s="7">
        <v>81379</v>
      </c>
      <c r="I777" s="7" t="s">
        <v>16</v>
      </c>
      <c r="J777" s="7">
        <v>45645678</v>
      </c>
      <c r="K777" s="7" t="s">
        <v>918</v>
      </c>
      <c r="L777" s="13" t="s">
        <v>922</v>
      </c>
      <c r="M777" s="14">
        <v>149900</v>
      </c>
      <c r="N777" s="10" t="str">
        <f t="shared" si="101"/>
        <v>BXGY</v>
      </c>
      <c r="O777" s="9">
        <f t="shared" si="102"/>
        <v>37475</v>
      </c>
      <c r="P777" s="9" t="str">
        <f t="shared" si="105"/>
        <v>PERCENTAGE</v>
      </c>
    </row>
    <row r="778" spans="1:16" s="6" customFormat="1" x14ac:dyDescent="0.25">
      <c r="A778" s="7" t="str">
        <f t="shared" si="103"/>
        <v>2024 ALL D75</v>
      </c>
      <c r="B778" s="8">
        <f t="shared" si="104"/>
        <v>46104</v>
      </c>
      <c r="C778" s="8">
        <f t="shared" si="100"/>
        <v>46113</v>
      </c>
      <c r="D778" s="7">
        <v>3272</v>
      </c>
      <c r="E778" s="7">
        <v>336</v>
      </c>
      <c r="F778" s="7">
        <v>4</v>
      </c>
      <c r="G778" s="7">
        <v>1</v>
      </c>
      <c r="H778" s="7">
        <v>81379</v>
      </c>
      <c r="I778" s="7" t="s">
        <v>16</v>
      </c>
      <c r="J778" s="7">
        <v>45645687</v>
      </c>
      <c r="K778" s="7" t="s">
        <v>918</v>
      </c>
      <c r="L778" s="13" t="s">
        <v>923</v>
      </c>
      <c r="M778" s="14">
        <v>149900</v>
      </c>
      <c r="N778" s="10" t="str">
        <f t="shared" si="101"/>
        <v>BXGY</v>
      </c>
      <c r="O778" s="9">
        <f t="shared" si="102"/>
        <v>37475</v>
      </c>
      <c r="P778" s="9" t="str">
        <f t="shared" si="105"/>
        <v>PERCENTAGE</v>
      </c>
    </row>
    <row r="779" spans="1:16" s="6" customFormat="1" x14ac:dyDescent="0.25">
      <c r="A779" s="7" t="str">
        <f t="shared" si="103"/>
        <v>2024 ALL D75</v>
      </c>
      <c r="B779" s="8">
        <f t="shared" si="104"/>
        <v>46104</v>
      </c>
      <c r="C779" s="8">
        <f t="shared" si="100"/>
        <v>46113</v>
      </c>
      <c r="D779" s="7">
        <v>3272</v>
      </c>
      <c r="E779" s="7">
        <v>336</v>
      </c>
      <c r="F779" s="7">
        <v>4</v>
      </c>
      <c r="G779" s="7">
        <v>1</v>
      </c>
      <c r="H779" s="7">
        <v>81379</v>
      </c>
      <c r="I779" s="7" t="s">
        <v>16</v>
      </c>
      <c r="J779" s="7">
        <v>45645696</v>
      </c>
      <c r="K779" s="7" t="s">
        <v>918</v>
      </c>
      <c r="L779" s="13" t="s">
        <v>924</v>
      </c>
      <c r="M779" s="14">
        <v>149900</v>
      </c>
      <c r="N779" s="10" t="str">
        <f t="shared" si="101"/>
        <v>BXGY</v>
      </c>
      <c r="O779" s="9">
        <f t="shared" si="102"/>
        <v>37475</v>
      </c>
      <c r="P779" s="9" t="str">
        <f t="shared" si="105"/>
        <v>PERCENTAGE</v>
      </c>
    </row>
    <row r="780" spans="1:16" s="6" customFormat="1" x14ac:dyDescent="0.25">
      <c r="A780" s="7" t="str">
        <f t="shared" si="103"/>
        <v>2024 ALL D75</v>
      </c>
      <c r="B780" s="8">
        <f t="shared" si="104"/>
        <v>46104</v>
      </c>
      <c r="C780" s="8">
        <f t="shared" si="100"/>
        <v>46113</v>
      </c>
      <c r="D780" s="7">
        <v>3272</v>
      </c>
      <c r="E780" s="7">
        <v>336</v>
      </c>
      <c r="F780" s="7">
        <v>4</v>
      </c>
      <c r="G780" s="7">
        <v>1</v>
      </c>
      <c r="H780" s="7">
        <v>81379</v>
      </c>
      <c r="I780" s="7" t="s">
        <v>16</v>
      </c>
      <c r="J780" s="7">
        <v>45645703</v>
      </c>
      <c r="K780" s="7" t="s">
        <v>918</v>
      </c>
      <c r="L780" s="13" t="s">
        <v>925</v>
      </c>
      <c r="M780" s="14">
        <v>149900</v>
      </c>
      <c r="N780" s="10" t="str">
        <f t="shared" si="101"/>
        <v>BXGY</v>
      </c>
      <c r="O780" s="9">
        <f t="shared" si="102"/>
        <v>37475</v>
      </c>
      <c r="P780" s="9" t="str">
        <f t="shared" si="105"/>
        <v>PERCENTAGE</v>
      </c>
    </row>
    <row r="781" spans="1:16" s="6" customFormat="1" x14ac:dyDescent="0.25">
      <c r="A781" s="7" t="str">
        <f t="shared" si="103"/>
        <v>2024 ALL D75</v>
      </c>
      <c r="B781" s="8">
        <f t="shared" si="104"/>
        <v>46104</v>
      </c>
      <c r="C781" s="8">
        <f t="shared" si="100"/>
        <v>46113</v>
      </c>
      <c r="D781" s="7">
        <v>3272</v>
      </c>
      <c r="E781" s="7">
        <v>336</v>
      </c>
      <c r="F781" s="7">
        <v>4</v>
      </c>
      <c r="G781" s="7">
        <v>1</v>
      </c>
      <c r="H781" s="7">
        <v>81379</v>
      </c>
      <c r="I781" s="7" t="s">
        <v>16</v>
      </c>
      <c r="J781" s="7">
        <v>45645712</v>
      </c>
      <c r="K781" s="7" t="s">
        <v>918</v>
      </c>
      <c r="L781" s="13" t="s">
        <v>926</v>
      </c>
      <c r="M781" s="14">
        <v>149900</v>
      </c>
      <c r="N781" s="10" t="str">
        <f t="shared" si="101"/>
        <v>BXGY</v>
      </c>
      <c r="O781" s="9">
        <f t="shared" si="102"/>
        <v>37475</v>
      </c>
      <c r="P781" s="9" t="str">
        <f t="shared" si="105"/>
        <v>PERCENTAGE</v>
      </c>
    </row>
    <row r="782" spans="1:16" s="6" customFormat="1" x14ac:dyDescent="0.25">
      <c r="A782" s="7" t="str">
        <f t="shared" si="103"/>
        <v>2024 ALL D75</v>
      </c>
      <c r="B782" s="8">
        <f t="shared" si="104"/>
        <v>46104</v>
      </c>
      <c r="C782" s="8">
        <f t="shared" si="100"/>
        <v>46113</v>
      </c>
      <c r="D782" s="7">
        <v>3272</v>
      </c>
      <c r="E782" s="7">
        <v>336</v>
      </c>
      <c r="F782" s="7">
        <v>4</v>
      </c>
      <c r="G782" s="7">
        <v>4</v>
      </c>
      <c r="H782" s="7">
        <v>81379</v>
      </c>
      <c r="I782" s="7" t="s">
        <v>16</v>
      </c>
      <c r="J782" s="7">
        <v>45646471</v>
      </c>
      <c r="K782" s="7" t="s">
        <v>927</v>
      </c>
      <c r="L782" s="13" t="s">
        <v>928</v>
      </c>
      <c r="M782" s="14">
        <v>149900</v>
      </c>
      <c r="N782" s="10" t="str">
        <f t="shared" si="101"/>
        <v>BXGY</v>
      </c>
      <c r="O782" s="9">
        <f t="shared" si="102"/>
        <v>37475</v>
      </c>
      <c r="P782" s="9" t="str">
        <f t="shared" si="105"/>
        <v>PERCENTAGE</v>
      </c>
    </row>
    <row r="783" spans="1:16" s="6" customFormat="1" x14ac:dyDescent="0.25">
      <c r="A783" s="7" t="str">
        <f t="shared" si="103"/>
        <v>2024 ALL D75</v>
      </c>
      <c r="B783" s="8">
        <f t="shared" si="104"/>
        <v>46104</v>
      </c>
      <c r="C783" s="8">
        <f t="shared" si="100"/>
        <v>46113</v>
      </c>
      <c r="D783" s="7">
        <v>3272</v>
      </c>
      <c r="E783" s="7">
        <v>336</v>
      </c>
      <c r="F783" s="7">
        <v>4</v>
      </c>
      <c r="G783" s="7">
        <v>4</v>
      </c>
      <c r="H783" s="7">
        <v>81379</v>
      </c>
      <c r="I783" s="7" t="s">
        <v>16</v>
      </c>
      <c r="J783" s="7">
        <v>45646480</v>
      </c>
      <c r="K783" s="7" t="s">
        <v>927</v>
      </c>
      <c r="L783" s="13" t="s">
        <v>929</v>
      </c>
      <c r="M783" s="14">
        <v>149900</v>
      </c>
      <c r="N783" s="10" t="str">
        <f t="shared" si="101"/>
        <v>BXGY</v>
      </c>
      <c r="O783" s="9">
        <f t="shared" si="102"/>
        <v>37475</v>
      </c>
      <c r="P783" s="9" t="str">
        <f t="shared" si="105"/>
        <v>PERCENTAGE</v>
      </c>
    </row>
    <row r="784" spans="1:16" s="6" customFormat="1" x14ac:dyDescent="0.25">
      <c r="A784" s="7" t="str">
        <f t="shared" si="103"/>
        <v>2024 ALL D75</v>
      </c>
      <c r="B784" s="8">
        <f t="shared" si="104"/>
        <v>46104</v>
      </c>
      <c r="C784" s="8">
        <f t="shared" si="100"/>
        <v>46113</v>
      </c>
      <c r="D784" s="7">
        <v>3272</v>
      </c>
      <c r="E784" s="7">
        <v>336</v>
      </c>
      <c r="F784" s="7">
        <v>4</v>
      </c>
      <c r="G784" s="7">
        <v>4</v>
      </c>
      <c r="H784" s="7">
        <v>81379</v>
      </c>
      <c r="I784" s="7" t="s">
        <v>16</v>
      </c>
      <c r="J784" s="7">
        <v>45646499</v>
      </c>
      <c r="K784" s="7" t="s">
        <v>927</v>
      </c>
      <c r="L784" s="13" t="s">
        <v>930</v>
      </c>
      <c r="M784" s="14">
        <v>149900</v>
      </c>
      <c r="N784" s="10" t="str">
        <f t="shared" si="101"/>
        <v>BXGY</v>
      </c>
      <c r="O784" s="9">
        <f t="shared" si="102"/>
        <v>37475</v>
      </c>
      <c r="P784" s="9" t="str">
        <f t="shared" si="105"/>
        <v>PERCENTAGE</v>
      </c>
    </row>
    <row r="785" spans="1:16" s="6" customFormat="1" x14ac:dyDescent="0.25">
      <c r="A785" s="7" t="str">
        <f t="shared" si="103"/>
        <v>2024 ALL D75</v>
      </c>
      <c r="B785" s="8">
        <f t="shared" si="104"/>
        <v>46104</v>
      </c>
      <c r="C785" s="8">
        <f t="shared" si="100"/>
        <v>46113</v>
      </c>
      <c r="D785" s="7">
        <v>3272</v>
      </c>
      <c r="E785" s="7">
        <v>336</v>
      </c>
      <c r="F785" s="7">
        <v>4</v>
      </c>
      <c r="G785" s="7">
        <v>4</v>
      </c>
      <c r="H785" s="7">
        <v>81379</v>
      </c>
      <c r="I785" s="7" t="s">
        <v>16</v>
      </c>
      <c r="J785" s="7">
        <v>45646506</v>
      </c>
      <c r="K785" s="7" t="s">
        <v>927</v>
      </c>
      <c r="L785" s="13" t="s">
        <v>931</v>
      </c>
      <c r="M785" s="14">
        <v>149900</v>
      </c>
      <c r="N785" s="10" t="str">
        <f t="shared" si="101"/>
        <v>BXGY</v>
      </c>
      <c r="O785" s="9">
        <f t="shared" si="102"/>
        <v>37475</v>
      </c>
      <c r="P785" s="9" t="str">
        <f t="shared" si="105"/>
        <v>PERCENTAGE</v>
      </c>
    </row>
    <row r="786" spans="1:16" s="6" customFormat="1" x14ac:dyDescent="0.25">
      <c r="A786" s="7" t="str">
        <f t="shared" si="103"/>
        <v>2024 ALL D75</v>
      </c>
      <c r="B786" s="8">
        <f t="shared" si="104"/>
        <v>46104</v>
      </c>
      <c r="C786" s="8">
        <f t="shared" si="100"/>
        <v>46113</v>
      </c>
      <c r="D786" s="7">
        <v>3272</v>
      </c>
      <c r="E786" s="7">
        <v>336</v>
      </c>
      <c r="F786" s="7">
        <v>4</v>
      </c>
      <c r="G786" s="7">
        <v>4</v>
      </c>
      <c r="H786" s="7">
        <v>81379</v>
      </c>
      <c r="I786" s="7" t="s">
        <v>16</v>
      </c>
      <c r="J786" s="7">
        <v>45646515</v>
      </c>
      <c r="K786" s="7" t="s">
        <v>927</v>
      </c>
      <c r="L786" s="13" t="s">
        <v>932</v>
      </c>
      <c r="M786" s="14">
        <v>149900</v>
      </c>
      <c r="N786" s="10" t="str">
        <f t="shared" si="101"/>
        <v>BXGY</v>
      </c>
      <c r="O786" s="9">
        <f t="shared" si="102"/>
        <v>37475</v>
      </c>
      <c r="P786" s="9" t="str">
        <f t="shared" si="105"/>
        <v>PERCENTAGE</v>
      </c>
    </row>
    <row r="787" spans="1:16" s="6" customFormat="1" x14ac:dyDescent="0.25">
      <c r="A787" s="7" t="str">
        <f t="shared" si="103"/>
        <v>2024 ALL D75</v>
      </c>
      <c r="B787" s="8">
        <f t="shared" si="104"/>
        <v>46104</v>
      </c>
      <c r="C787" s="8">
        <f t="shared" si="100"/>
        <v>46113</v>
      </c>
      <c r="D787" s="7">
        <v>3272</v>
      </c>
      <c r="E787" s="7">
        <v>336</v>
      </c>
      <c r="F787" s="7">
        <v>4</v>
      </c>
      <c r="G787" s="7">
        <v>4</v>
      </c>
      <c r="H787" s="7">
        <v>81379</v>
      </c>
      <c r="I787" s="7" t="s">
        <v>16</v>
      </c>
      <c r="J787" s="7">
        <v>50036352</v>
      </c>
      <c r="K787" s="7" t="s">
        <v>933</v>
      </c>
      <c r="L787" s="13" t="s">
        <v>934</v>
      </c>
      <c r="M787" s="14">
        <v>139900</v>
      </c>
      <c r="N787" s="10" t="str">
        <f t="shared" si="101"/>
        <v>BXGY</v>
      </c>
      <c r="O787" s="9">
        <f t="shared" si="102"/>
        <v>34975</v>
      </c>
      <c r="P787" s="9" t="str">
        <f t="shared" si="105"/>
        <v>PERCENTAGE</v>
      </c>
    </row>
    <row r="788" spans="1:16" s="6" customFormat="1" x14ac:dyDescent="0.25">
      <c r="A788" s="7" t="str">
        <f t="shared" si="103"/>
        <v>2024 ALL D75</v>
      </c>
      <c r="B788" s="8">
        <f t="shared" si="104"/>
        <v>46104</v>
      </c>
      <c r="C788" s="8">
        <f t="shared" si="100"/>
        <v>46113</v>
      </c>
      <c r="D788" s="7">
        <v>3272</v>
      </c>
      <c r="E788" s="7">
        <v>336</v>
      </c>
      <c r="F788" s="7">
        <v>4</v>
      </c>
      <c r="G788" s="7">
        <v>4</v>
      </c>
      <c r="H788" s="7">
        <v>81379</v>
      </c>
      <c r="I788" s="7" t="s">
        <v>16</v>
      </c>
      <c r="J788" s="7">
        <v>50036361</v>
      </c>
      <c r="K788" s="7" t="s">
        <v>933</v>
      </c>
      <c r="L788" s="13" t="s">
        <v>935</v>
      </c>
      <c r="M788" s="14">
        <v>139900</v>
      </c>
      <c r="N788" s="10" t="str">
        <f t="shared" si="101"/>
        <v>BXGY</v>
      </c>
      <c r="O788" s="9">
        <f t="shared" si="102"/>
        <v>34975</v>
      </c>
      <c r="P788" s="9" t="str">
        <f t="shared" si="105"/>
        <v>PERCENTAGE</v>
      </c>
    </row>
    <row r="789" spans="1:16" s="6" customFormat="1" x14ac:dyDescent="0.25">
      <c r="A789" s="7" t="str">
        <f t="shared" si="103"/>
        <v>2024 ALL D75</v>
      </c>
      <c r="B789" s="8">
        <f t="shared" si="104"/>
        <v>46104</v>
      </c>
      <c r="C789" s="8">
        <f t="shared" ref="C789:C852" si="106">C788</f>
        <v>46113</v>
      </c>
      <c r="D789" s="7">
        <v>3272</v>
      </c>
      <c r="E789" s="7">
        <v>336</v>
      </c>
      <c r="F789" s="7">
        <v>4</v>
      </c>
      <c r="G789" s="7">
        <v>4</v>
      </c>
      <c r="H789" s="7">
        <v>81379</v>
      </c>
      <c r="I789" s="7" t="s">
        <v>16</v>
      </c>
      <c r="J789" s="7">
        <v>50036370</v>
      </c>
      <c r="K789" s="7" t="s">
        <v>933</v>
      </c>
      <c r="L789" s="13" t="s">
        <v>936</v>
      </c>
      <c r="M789" s="14">
        <v>139900</v>
      </c>
      <c r="N789" s="10" t="str">
        <f t="shared" ref="N789:N852" si="107">N788</f>
        <v>BXGY</v>
      </c>
      <c r="O789" s="9">
        <f t="shared" si="102"/>
        <v>34975</v>
      </c>
      <c r="P789" s="9" t="str">
        <f t="shared" si="105"/>
        <v>PERCENTAGE</v>
      </c>
    </row>
    <row r="790" spans="1:16" s="6" customFormat="1" x14ac:dyDescent="0.25">
      <c r="A790" s="7" t="str">
        <f t="shared" si="103"/>
        <v>2024 ALL D75</v>
      </c>
      <c r="B790" s="8">
        <f t="shared" si="104"/>
        <v>46104</v>
      </c>
      <c r="C790" s="8">
        <f t="shared" si="106"/>
        <v>46113</v>
      </c>
      <c r="D790" s="7">
        <v>3272</v>
      </c>
      <c r="E790" s="7">
        <v>336</v>
      </c>
      <c r="F790" s="7">
        <v>4</v>
      </c>
      <c r="G790" s="7">
        <v>4</v>
      </c>
      <c r="H790" s="7">
        <v>81379</v>
      </c>
      <c r="I790" s="7" t="s">
        <v>16</v>
      </c>
      <c r="J790" s="7">
        <v>50036389</v>
      </c>
      <c r="K790" s="7" t="s">
        <v>933</v>
      </c>
      <c r="L790" s="13" t="s">
        <v>937</v>
      </c>
      <c r="M790" s="14">
        <v>139900</v>
      </c>
      <c r="N790" s="10" t="str">
        <f t="shared" si="107"/>
        <v>BXGY</v>
      </c>
      <c r="O790" s="9">
        <f t="shared" si="102"/>
        <v>34975</v>
      </c>
      <c r="P790" s="9" t="str">
        <f t="shared" si="105"/>
        <v>PERCENTAGE</v>
      </c>
    </row>
    <row r="791" spans="1:16" s="6" customFormat="1" x14ac:dyDescent="0.25">
      <c r="A791" s="7" t="str">
        <f t="shared" si="103"/>
        <v>2024 ALL D75</v>
      </c>
      <c r="B791" s="8">
        <f t="shared" si="104"/>
        <v>46104</v>
      </c>
      <c r="C791" s="8">
        <f t="shared" si="106"/>
        <v>46113</v>
      </c>
      <c r="D791" s="7">
        <v>3272</v>
      </c>
      <c r="E791" s="7">
        <v>336</v>
      </c>
      <c r="F791" s="7">
        <v>4</v>
      </c>
      <c r="G791" s="7">
        <v>4</v>
      </c>
      <c r="H791" s="7">
        <v>81379</v>
      </c>
      <c r="I791" s="7" t="s">
        <v>16</v>
      </c>
      <c r="J791" s="7">
        <v>50036398</v>
      </c>
      <c r="K791" s="7" t="s">
        <v>933</v>
      </c>
      <c r="L791" s="13" t="s">
        <v>938</v>
      </c>
      <c r="M791" s="14">
        <v>139900</v>
      </c>
      <c r="N791" s="10" t="str">
        <f t="shared" si="107"/>
        <v>BXGY</v>
      </c>
      <c r="O791" s="9">
        <f t="shared" si="102"/>
        <v>34975</v>
      </c>
      <c r="P791" s="9" t="str">
        <f t="shared" si="105"/>
        <v>PERCENTAGE</v>
      </c>
    </row>
    <row r="792" spans="1:16" s="6" customFormat="1" x14ac:dyDescent="0.25">
      <c r="A792" s="7" t="str">
        <f t="shared" si="103"/>
        <v>2024 ALL D75</v>
      </c>
      <c r="B792" s="8">
        <f t="shared" si="104"/>
        <v>46104</v>
      </c>
      <c r="C792" s="8">
        <f t="shared" si="106"/>
        <v>46113</v>
      </c>
      <c r="D792" s="7">
        <v>3272</v>
      </c>
      <c r="E792" s="7">
        <v>336</v>
      </c>
      <c r="F792" s="7">
        <v>4</v>
      </c>
      <c r="G792" s="7">
        <v>5</v>
      </c>
      <c r="H792" s="7">
        <v>81379</v>
      </c>
      <c r="I792" s="7" t="s">
        <v>16</v>
      </c>
      <c r="J792" s="7">
        <v>50036405</v>
      </c>
      <c r="K792" s="7" t="s">
        <v>939</v>
      </c>
      <c r="L792" s="13" t="s">
        <v>940</v>
      </c>
      <c r="M792" s="14">
        <v>239900</v>
      </c>
      <c r="N792" s="10" t="str">
        <f t="shared" si="107"/>
        <v>BXGY</v>
      </c>
      <c r="O792" s="9">
        <f t="shared" si="102"/>
        <v>59975</v>
      </c>
      <c r="P792" s="9" t="str">
        <f t="shared" si="105"/>
        <v>PERCENTAGE</v>
      </c>
    </row>
    <row r="793" spans="1:16" s="6" customFormat="1" x14ac:dyDescent="0.25">
      <c r="A793" s="7" t="str">
        <f t="shared" si="103"/>
        <v>2024 ALL D75</v>
      </c>
      <c r="B793" s="8">
        <f t="shared" si="104"/>
        <v>46104</v>
      </c>
      <c r="C793" s="8">
        <f t="shared" si="106"/>
        <v>46113</v>
      </c>
      <c r="D793" s="7">
        <v>3272</v>
      </c>
      <c r="E793" s="7">
        <v>336</v>
      </c>
      <c r="F793" s="7">
        <v>4</v>
      </c>
      <c r="G793" s="7">
        <v>5</v>
      </c>
      <c r="H793" s="7">
        <v>81379</v>
      </c>
      <c r="I793" s="7" t="s">
        <v>16</v>
      </c>
      <c r="J793" s="7">
        <v>50036414</v>
      </c>
      <c r="K793" s="7" t="s">
        <v>939</v>
      </c>
      <c r="L793" s="13" t="s">
        <v>941</v>
      </c>
      <c r="M793" s="14">
        <v>239900</v>
      </c>
      <c r="N793" s="10" t="str">
        <f t="shared" si="107"/>
        <v>BXGY</v>
      </c>
      <c r="O793" s="9">
        <f t="shared" si="102"/>
        <v>59975</v>
      </c>
      <c r="P793" s="9" t="str">
        <f t="shared" si="105"/>
        <v>PERCENTAGE</v>
      </c>
    </row>
    <row r="794" spans="1:16" s="6" customFormat="1" x14ac:dyDescent="0.25">
      <c r="A794" s="7" t="str">
        <f t="shared" si="103"/>
        <v>2024 ALL D75</v>
      </c>
      <c r="B794" s="8">
        <f t="shared" si="104"/>
        <v>46104</v>
      </c>
      <c r="C794" s="8">
        <f t="shared" si="106"/>
        <v>46113</v>
      </c>
      <c r="D794" s="7">
        <v>3272</v>
      </c>
      <c r="E794" s="7">
        <v>336</v>
      </c>
      <c r="F794" s="7">
        <v>4</v>
      </c>
      <c r="G794" s="7">
        <v>5</v>
      </c>
      <c r="H794" s="7">
        <v>81379</v>
      </c>
      <c r="I794" s="7" t="s">
        <v>16</v>
      </c>
      <c r="J794" s="7">
        <v>50036423</v>
      </c>
      <c r="K794" s="7" t="s">
        <v>939</v>
      </c>
      <c r="L794" s="13" t="s">
        <v>942</v>
      </c>
      <c r="M794" s="14">
        <v>239900</v>
      </c>
      <c r="N794" s="10" t="str">
        <f t="shared" si="107"/>
        <v>BXGY</v>
      </c>
      <c r="O794" s="9">
        <f t="shared" si="102"/>
        <v>59975</v>
      </c>
      <c r="P794" s="9" t="str">
        <f t="shared" si="105"/>
        <v>PERCENTAGE</v>
      </c>
    </row>
    <row r="795" spans="1:16" s="6" customFormat="1" x14ac:dyDescent="0.25">
      <c r="A795" s="7" t="str">
        <f t="shared" si="103"/>
        <v>2024 ALL D75</v>
      </c>
      <c r="B795" s="8">
        <f t="shared" si="104"/>
        <v>46104</v>
      </c>
      <c r="C795" s="8">
        <f t="shared" si="106"/>
        <v>46113</v>
      </c>
      <c r="D795" s="7">
        <v>3272</v>
      </c>
      <c r="E795" s="7">
        <v>336</v>
      </c>
      <c r="F795" s="7">
        <v>4</v>
      </c>
      <c r="G795" s="7">
        <v>5</v>
      </c>
      <c r="H795" s="7">
        <v>81379</v>
      </c>
      <c r="I795" s="7" t="s">
        <v>16</v>
      </c>
      <c r="J795" s="7">
        <v>50036432</v>
      </c>
      <c r="K795" s="7" t="s">
        <v>939</v>
      </c>
      <c r="L795" s="13" t="s">
        <v>943</v>
      </c>
      <c r="M795" s="14">
        <v>239900</v>
      </c>
      <c r="N795" s="10" t="str">
        <f t="shared" si="107"/>
        <v>BXGY</v>
      </c>
      <c r="O795" s="9">
        <f t="shared" si="102"/>
        <v>59975</v>
      </c>
      <c r="P795" s="9" t="str">
        <f t="shared" si="105"/>
        <v>PERCENTAGE</v>
      </c>
    </row>
    <row r="796" spans="1:16" s="6" customFormat="1" x14ac:dyDescent="0.25">
      <c r="A796" s="7" t="str">
        <f t="shared" si="103"/>
        <v>2024 ALL D75</v>
      </c>
      <c r="B796" s="8">
        <f t="shared" si="104"/>
        <v>46104</v>
      </c>
      <c r="C796" s="8">
        <f t="shared" si="106"/>
        <v>46113</v>
      </c>
      <c r="D796" s="7">
        <v>3272</v>
      </c>
      <c r="E796" s="7">
        <v>336</v>
      </c>
      <c r="F796" s="7">
        <v>4</v>
      </c>
      <c r="G796" s="7">
        <v>5</v>
      </c>
      <c r="H796" s="7">
        <v>81379</v>
      </c>
      <c r="I796" s="7" t="s">
        <v>16</v>
      </c>
      <c r="J796" s="7">
        <v>50036441</v>
      </c>
      <c r="K796" s="7" t="s">
        <v>939</v>
      </c>
      <c r="L796" s="13" t="s">
        <v>944</v>
      </c>
      <c r="M796" s="14">
        <v>239900</v>
      </c>
      <c r="N796" s="10" t="str">
        <f t="shared" si="107"/>
        <v>BXGY</v>
      </c>
      <c r="O796" s="9">
        <f t="shared" si="102"/>
        <v>59975</v>
      </c>
      <c r="P796" s="9" t="str">
        <f t="shared" si="105"/>
        <v>PERCENTAGE</v>
      </c>
    </row>
    <row r="797" spans="1:16" s="6" customFormat="1" x14ac:dyDescent="0.25">
      <c r="A797" s="7" t="str">
        <f t="shared" si="103"/>
        <v>2024 ALL D75</v>
      </c>
      <c r="B797" s="8">
        <f t="shared" si="104"/>
        <v>46104</v>
      </c>
      <c r="C797" s="8">
        <f t="shared" si="106"/>
        <v>46113</v>
      </c>
      <c r="D797" s="7">
        <v>3272</v>
      </c>
      <c r="E797" s="7">
        <v>336</v>
      </c>
      <c r="F797" s="7">
        <v>4</v>
      </c>
      <c r="G797" s="7">
        <v>5</v>
      </c>
      <c r="H797" s="7">
        <v>81379</v>
      </c>
      <c r="I797" s="7" t="s">
        <v>16</v>
      </c>
      <c r="J797" s="7">
        <v>50036450</v>
      </c>
      <c r="K797" s="7" t="s">
        <v>945</v>
      </c>
      <c r="L797" s="13" t="s">
        <v>946</v>
      </c>
      <c r="M797" s="14">
        <v>149900</v>
      </c>
      <c r="N797" s="10" t="str">
        <f t="shared" si="107"/>
        <v>BXGY</v>
      </c>
      <c r="O797" s="9">
        <f t="shared" si="102"/>
        <v>37475</v>
      </c>
      <c r="P797" s="9" t="str">
        <f t="shared" si="105"/>
        <v>PERCENTAGE</v>
      </c>
    </row>
    <row r="798" spans="1:16" s="6" customFormat="1" x14ac:dyDescent="0.25">
      <c r="A798" s="7" t="str">
        <f t="shared" si="103"/>
        <v>2024 ALL D75</v>
      </c>
      <c r="B798" s="8">
        <f t="shared" si="104"/>
        <v>46104</v>
      </c>
      <c r="C798" s="8">
        <f t="shared" si="106"/>
        <v>46113</v>
      </c>
      <c r="D798" s="7">
        <v>3272</v>
      </c>
      <c r="E798" s="7">
        <v>336</v>
      </c>
      <c r="F798" s="7">
        <v>4</v>
      </c>
      <c r="G798" s="7">
        <v>5</v>
      </c>
      <c r="H798" s="7">
        <v>81379</v>
      </c>
      <c r="I798" s="7" t="s">
        <v>16</v>
      </c>
      <c r="J798" s="7">
        <v>50036469</v>
      </c>
      <c r="K798" s="7" t="s">
        <v>945</v>
      </c>
      <c r="L798" s="13" t="s">
        <v>947</v>
      </c>
      <c r="M798" s="14">
        <v>149900</v>
      </c>
      <c r="N798" s="10" t="str">
        <f t="shared" si="107"/>
        <v>BXGY</v>
      </c>
      <c r="O798" s="9">
        <f t="shared" si="102"/>
        <v>37475</v>
      </c>
      <c r="P798" s="9" t="str">
        <f t="shared" si="105"/>
        <v>PERCENTAGE</v>
      </c>
    </row>
    <row r="799" spans="1:16" s="6" customFormat="1" x14ac:dyDescent="0.25">
      <c r="A799" s="7" t="str">
        <f t="shared" si="103"/>
        <v>2024 ALL D75</v>
      </c>
      <c r="B799" s="8">
        <f t="shared" si="104"/>
        <v>46104</v>
      </c>
      <c r="C799" s="8">
        <f t="shared" si="106"/>
        <v>46113</v>
      </c>
      <c r="D799" s="7">
        <v>3272</v>
      </c>
      <c r="E799" s="7">
        <v>336</v>
      </c>
      <c r="F799" s="7">
        <v>4</v>
      </c>
      <c r="G799" s="7">
        <v>5</v>
      </c>
      <c r="H799" s="7">
        <v>81379</v>
      </c>
      <c r="I799" s="7" t="s">
        <v>16</v>
      </c>
      <c r="J799" s="7">
        <v>50036478</v>
      </c>
      <c r="K799" s="7" t="s">
        <v>945</v>
      </c>
      <c r="L799" s="13" t="s">
        <v>948</v>
      </c>
      <c r="M799" s="14">
        <v>149900</v>
      </c>
      <c r="N799" s="10" t="str">
        <f t="shared" si="107"/>
        <v>BXGY</v>
      </c>
      <c r="O799" s="9">
        <f t="shared" si="102"/>
        <v>37475</v>
      </c>
      <c r="P799" s="9" t="str">
        <f t="shared" si="105"/>
        <v>PERCENTAGE</v>
      </c>
    </row>
    <row r="800" spans="1:16" s="6" customFormat="1" x14ac:dyDescent="0.25">
      <c r="A800" s="7" t="str">
        <f t="shared" si="103"/>
        <v>2024 ALL D75</v>
      </c>
      <c r="B800" s="8">
        <f t="shared" si="104"/>
        <v>46104</v>
      </c>
      <c r="C800" s="8">
        <f t="shared" si="106"/>
        <v>46113</v>
      </c>
      <c r="D800" s="7">
        <v>3272</v>
      </c>
      <c r="E800" s="7">
        <v>336</v>
      </c>
      <c r="F800" s="7">
        <v>4</v>
      </c>
      <c r="G800" s="7">
        <v>5</v>
      </c>
      <c r="H800" s="7">
        <v>81379</v>
      </c>
      <c r="I800" s="7" t="s">
        <v>16</v>
      </c>
      <c r="J800" s="7">
        <v>50036487</v>
      </c>
      <c r="K800" s="7" t="s">
        <v>945</v>
      </c>
      <c r="L800" s="13" t="s">
        <v>949</v>
      </c>
      <c r="M800" s="14">
        <v>149900</v>
      </c>
      <c r="N800" s="10" t="str">
        <f t="shared" si="107"/>
        <v>BXGY</v>
      </c>
      <c r="O800" s="9">
        <f t="shared" si="102"/>
        <v>37475</v>
      </c>
      <c r="P800" s="9" t="str">
        <f t="shared" si="105"/>
        <v>PERCENTAGE</v>
      </c>
    </row>
    <row r="801" spans="1:16" s="6" customFormat="1" x14ac:dyDescent="0.25">
      <c r="A801" s="7" t="str">
        <f t="shared" si="103"/>
        <v>2024 ALL D75</v>
      </c>
      <c r="B801" s="8">
        <f t="shared" si="104"/>
        <v>46104</v>
      </c>
      <c r="C801" s="8">
        <f t="shared" si="106"/>
        <v>46113</v>
      </c>
      <c r="D801" s="7">
        <v>3272</v>
      </c>
      <c r="E801" s="7">
        <v>336</v>
      </c>
      <c r="F801" s="7">
        <v>4</v>
      </c>
      <c r="G801" s="7">
        <v>5</v>
      </c>
      <c r="H801" s="7">
        <v>81379</v>
      </c>
      <c r="I801" s="7" t="s">
        <v>16</v>
      </c>
      <c r="J801" s="7">
        <v>50036496</v>
      </c>
      <c r="K801" s="7" t="s">
        <v>945</v>
      </c>
      <c r="L801" s="13" t="s">
        <v>950</v>
      </c>
      <c r="M801" s="14">
        <v>149900</v>
      </c>
      <c r="N801" s="10" t="str">
        <f t="shared" si="107"/>
        <v>BXGY</v>
      </c>
      <c r="O801" s="9">
        <f t="shared" si="102"/>
        <v>37475</v>
      </c>
      <c r="P801" s="9" t="str">
        <f t="shared" si="105"/>
        <v>PERCENTAGE</v>
      </c>
    </row>
    <row r="802" spans="1:16" s="6" customFormat="1" x14ac:dyDescent="0.25">
      <c r="A802" s="7" t="str">
        <f t="shared" si="103"/>
        <v>2024 ALL D75</v>
      </c>
      <c r="B802" s="8">
        <f t="shared" si="104"/>
        <v>46104</v>
      </c>
      <c r="C802" s="8">
        <f t="shared" si="106"/>
        <v>46113</v>
      </c>
      <c r="D802" s="7">
        <v>3272</v>
      </c>
      <c r="E802" s="7">
        <v>336</v>
      </c>
      <c r="F802" s="7">
        <v>4</v>
      </c>
      <c r="G802" s="7">
        <v>1</v>
      </c>
      <c r="H802" s="7">
        <v>81588</v>
      </c>
      <c r="I802" s="7" t="s">
        <v>16</v>
      </c>
      <c r="J802" s="7">
        <v>45645721</v>
      </c>
      <c r="K802" s="7" t="s">
        <v>951</v>
      </c>
      <c r="L802" s="13" t="s">
        <v>952</v>
      </c>
      <c r="M802" s="14">
        <v>149900</v>
      </c>
      <c r="N802" s="10" t="str">
        <f t="shared" si="107"/>
        <v>BXGY</v>
      </c>
      <c r="O802" s="9">
        <f t="shared" si="102"/>
        <v>37475</v>
      </c>
      <c r="P802" s="9" t="str">
        <f t="shared" si="105"/>
        <v>PERCENTAGE</v>
      </c>
    </row>
    <row r="803" spans="1:16" s="6" customFormat="1" x14ac:dyDescent="0.25">
      <c r="A803" s="7" t="str">
        <f t="shared" si="103"/>
        <v>2024 ALL D75</v>
      </c>
      <c r="B803" s="8">
        <f t="shared" si="104"/>
        <v>46104</v>
      </c>
      <c r="C803" s="8">
        <f t="shared" si="106"/>
        <v>46113</v>
      </c>
      <c r="D803" s="7">
        <v>3272</v>
      </c>
      <c r="E803" s="7">
        <v>336</v>
      </c>
      <c r="F803" s="7">
        <v>4</v>
      </c>
      <c r="G803" s="7">
        <v>1</v>
      </c>
      <c r="H803" s="7">
        <v>81588</v>
      </c>
      <c r="I803" s="7" t="s">
        <v>16</v>
      </c>
      <c r="J803" s="7">
        <v>45645730</v>
      </c>
      <c r="K803" s="7" t="s">
        <v>951</v>
      </c>
      <c r="L803" s="13" t="s">
        <v>953</v>
      </c>
      <c r="M803" s="14">
        <v>149900</v>
      </c>
      <c r="N803" s="10" t="str">
        <f t="shared" si="107"/>
        <v>BXGY</v>
      </c>
      <c r="O803" s="9">
        <f t="shared" si="102"/>
        <v>37475</v>
      </c>
      <c r="P803" s="9" t="str">
        <f t="shared" si="105"/>
        <v>PERCENTAGE</v>
      </c>
    </row>
    <row r="804" spans="1:16" s="6" customFormat="1" x14ac:dyDescent="0.25">
      <c r="A804" s="7" t="str">
        <f t="shared" si="103"/>
        <v>2024 ALL D75</v>
      </c>
      <c r="B804" s="8">
        <f t="shared" si="104"/>
        <v>46104</v>
      </c>
      <c r="C804" s="8">
        <f t="shared" si="106"/>
        <v>46113</v>
      </c>
      <c r="D804" s="7">
        <v>3272</v>
      </c>
      <c r="E804" s="7">
        <v>336</v>
      </c>
      <c r="F804" s="7">
        <v>4</v>
      </c>
      <c r="G804" s="7">
        <v>1</v>
      </c>
      <c r="H804" s="7">
        <v>81588</v>
      </c>
      <c r="I804" s="7" t="s">
        <v>16</v>
      </c>
      <c r="J804" s="7">
        <v>45645749</v>
      </c>
      <c r="K804" s="7" t="s">
        <v>951</v>
      </c>
      <c r="L804" s="13" t="s">
        <v>954</v>
      </c>
      <c r="M804" s="14">
        <v>149900</v>
      </c>
      <c r="N804" s="10" t="str">
        <f t="shared" si="107"/>
        <v>BXGY</v>
      </c>
      <c r="O804" s="9">
        <f t="shared" si="102"/>
        <v>37475</v>
      </c>
      <c r="P804" s="9" t="str">
        <f t="shared" si="105"/>
        <v>PERCENTAGE</v>
      </c>
    </row>
    <row r="805" spans="1:16" s="6" customFormat="1" x14ac:dyDescent="0.25">
      <c r="A805" s="7" t="str">
        <f t="shared" si="103"/>
        <v>2024 ALL D75</v>
      </c>
      <c r="B805" s="8">
        <f t="shared" si="104"/>
        <v>46104</v>
      </c>
      <c r="C805" s="8">
        <f t="shared" si="106"/>
        <v>46113</v>
      </c>
      <c r="D805" s="7">
        <v>3272</v>
      </c>
      <c r="E805" s="7">
        <v>336</v>
      </c>
      <c r="F805" s="7">
        <v>4</v>
      </c>
      <c r="G805" s="7">
        <v>1</v>
      </c>
      <c r="H805" s="7">
        <v>81588</v>
      </c>
      <c r="I805" s="7" t="s">
        <v>16</v>
      </c>
      <c r="J805" s="7">
        <v>45645758</v>
      </c>
      <c r="K805" s="7" t="s">
        <v>951</v>
      </c>
      <c r="L805" s="13" t="s">
        <v>955</v>
      </c>
      <c r="M805" s="14">
        <v>149900</v>
      </c>
      <c r="N805" s="10" t="str">
        <f t="shared" si="107"/>
        <v>BXGY</v>
      </c>
      <c r="O805" s="9">
        <f t="shared" si="102"/>
        <v>37475</v>
      </c>
      <c r="P805" s="9" t="str">
        <f t="shared" si="105"/>
        <v>PERCENTAGE</v>
      </c>
    </row>
    <row r="806" spans="1:16" s="6" customFormat="1" x14ac:dyDescent="0.25">
      <c r="A806" s="7" t="str">
        <f t="shared" si="103"/>
        <v>2024 ALL D75</v>
      </c>
      <c r="B806" s="8">
        <f t="shared" si="104"/>
        <v>46104</v>
      </c>
      <c r="C806" s="8">
        <f t="shared" si="106"/>
        <v>46113</v>
      </c>
      <c r="D806" s="7">
        <v>3272</v>
      </c>
      <c r="E806" s="7">
        <v>336</v>
      </c>
      <c r="F806" s="7">
        <v>4</v>
      </c>
      <c r="G806" s="7">
        <v>1</v>
      </c>
      <c r="H806" s="7">
        <v>81588</v>
      </c>
      <c r="I806" s="7" t="s">
        <v>16</v>
      </c>
      <c r="J806" s="7">
        <v>45645767</v>
      </c>
      <c r="K806" s="7" t="s">
        <v>951</v>
      </c>
      <c r="L806" s="13" t="s">
        <v>956</v>
      </c>
      <c r="M806" s="14">
        <v>149900</v>
      </c>
      <c r="N806" s="10" t="str">
        <f t="shared" si="107"/>
        <v>BXGY</v>
      </c>
      <c r="O806" s="9">
        <f t="shared" si="102"/>
        <v>37475</v>
      </c>
      <c r="P806" s="9" t="str">
        <f t="shared" si="105"/>
        <v>PERCENTAGE</v>
      </c>
    </row>
    <row r="807" spans="1:16" s="6" customFormat="1" x14ac:dyDescent="0.25">
      <c r="A807" s="7" t="str">
        <f t="shared" si="103"/>
        <v>2024 ALL D75</v>
      </c>
      <c r="B807" s="8">
        <f t="shared" si="104"/>
        <v>46104</v>
      </c>
      <c r="C807" s="8">
        <f t="shared" si="106"/>
        <v>46113</v>
      </c>
      <c r="D807" s="7">
        <v>3272</v>
      </c>
      <c r="E807" s="7">
        <v>336</v>
      </c>
      <c r="F807" s="7">
        <v>4</v>
      </c>
      <c r="G807" s="7">
        <v>1</v>
      </c>
      <c r="H807" s="7">
        <v>81588</v>
      </c>
      <c r="I807" s="7" t="s">
        <v>16</v>
      </c>
      <c r="J807" s="7">
        <v>45645776</v>
      </c>
      <c r="K807" s="7" t="s">
        <v>957</v>
      </c>
      <c r="L807" s="13" t="s">
        <v>958</v>
      </c>
      <c r="M807" s="14">
        <v>139900</v>
      </c>
      <c r="N807" s="10" t="str">
        <f t="shared" si="107"/>
        <v>BXGY</v>
      </c>
      <c r="O807" s="9">
        <f t="shared" si="102"/>
        <v>34975</v>
      </c>
      <c r="P807" s="9" t="str">
        <f t="shared" si="105"/>
        <v>PERCENTAGE</v>
      </c>
    </row>
    <row r="808" spans="1:16" s="6" customFormat="1" x14ac:dyDescent="0.25">
      <c r="A808" s="7" t="str">
        <f t="shared" si="103"/>
        <v>2024 ALL D75</v>
      </c>
      <c r="B808" s="8">
        <f t="shared" si="104"/>
        <v>46104</v>
      </c>
      <c r="C808" s="8">
        <f t="shared" si="106"/>
        <v>46113</v>
      </c>
      <c r="D808" s="7">
        <v>3272</v>
      </c>
      <c r="E808" s="7">
        <v>336</v>
      </c>
      <c r="F808" s="7">
        <v>4</v>
      </c>
      <c r="G808" s="7">
        <v>1</v>
      </c>
      <c r="H808" s="7">
        <v>81588</v>
      </c>
      <c r="I808" s="7" t="s">
        <v>16</v>
      </c>
      <c r="J808" s="7">
        <v>45645785</v>
      </c>
      <c r="K808" s="7" t="s">
        <v>957</v>
      </c>
      <c r="L808" s="13" t="s">
        <v>959</v>
      </c>
      <c r="M808" s="14">
        <v>139900</v>
      </c>
      <c r="N808" s="10" t="str">
        <f t="shared" si="107"/>
        <v>BXGY</v>
      </c>
      <c r="O808" s="9">
        <f t="shared" si="102"/>
        <v>34975</v>
      </c>
      <c r="P808" s="9" t="str">
        <f t="shared" si="105"/>
        <v>PERCENTAGE</v>
      </c>
    </row>
    <row r="809" spans="1:16" s="6" customFormat="1" x14ac:dyDescent="0.25">
      <c r="A809" s="7" t="str">
        <f t="shared" si="103"/>
        <v>2024 ALL D75</v>
      </c>
      <c r="B809" s="8">
        <f t="shared" si="104"/>
        <v>46104</v>
      </c>
      <c r="C809" s="8">
        <f t="shared" si="106"/>
        <v>46113</v>
      </c>
      <c r="D809" s="7">
        <v>3272</v>
      </c>
      <c r="E809" s="7">
        <v>336</v>
      </c>
      <c r="F809" s="7">
        <v>4</v>
      </c>
      <c r="G809" s="7">
        <v>1</v>
      </c>
      <c r="H809" s="7">
        <v>81588</v>
      </c>
      <c r="I809" s="7" t="s">
        <v>16</v>
      </c>
      <c r="J809" s="7">
        <v>45645794</v>
      </c>
      <c r="K809" s="7" t="s">
        <v>957</v>
      </c>
      <c r="L809" s="13" t="s">
        <v>960</v>
      </c>
      <c r="M809" s="14">
        <v>139900</v>
      </c>
      <c r="N809" s="10" t="str">
        <f t="shared" si="107"/>
        <v>BXGY</v>
      </c>
      <c r="O809" s="9">
        <f t="shared" si="102"/>
        <v>34975</v>
      </c>
      <c r="P809" s="9" t="str">
        <f t="shared" si="105"/>
        <v>PERCENTAGE</v>
      </c>
    </row>
    <row r="810" spans="1:16" s="6" customFormat="1" x14ac:dyDescent="0.25">
      <c r="A810" s="7" t="str">
        <f t="shared" si="103"/>
        <v>2024 ALL D75</v>
      </c>
      <c r="B810" s="8">
        <f t="shared" si="104"/>
        <v>46104</v>
      </c>
      <c r="C810" s="8">
        <f t="shared" si="106"/>
        <v>46113</v>
      </c>
      <c r="D810" s="7">
        <v>3272</v>
      </c>
      <c r="E810" s="7">
        <v>336</v>
      </c>
      <c r="F810" s="7">
        <v>4</v>
      </c>
      <c r="G810" s="7">
        <v>1</v>
      </c>
      <c r="H810" s="7">
        <v>81588</v>
      </c>
      <c r="I810" s="7" t="s">
        <v>16</v>
      </c>
      <c r="J810" s="7">
        <v>45645801</v>
      </c>
      <c r="K810" s="7" t="s">
        <v>957</v>
      </c>
      <c r="L810" s="13" t="s">
        <v>961</v>
      </c>
      <c r="M810" s="14">
        <v>139900</v>
      </c>
      <c r="N810" s="10" t="str">
        <f t="shared" si="107"/>
        <v>BXGY</v>
      </c>
      <c r="O810" s="9">
        <f t="shared" si="102"/>
        <v>34975</v>
      </c>
      <c r="P810" s="9" t="str">
        <f t="shared" si="105"/>
        <v>PERCENTAGE</v>
      </c>
    </row>
    <row r="811" spans="1:16" s="6" customFormat="1" x14ac:dyDescent="0.25">
      <c r="A811" s="7" t="str">
        <f t="shared" si="103"/>
        <v>2024 ALL D75</v>
      </c>
      <c r="B811" s="8">
        <f t="shared" si="104"/>
        <v>46104</v>
      </c>
      <c r="C811" s="8">
        <f t="shared" si="106"/>
        <v>46113</v>
      </c>
      <c r="D811" s="7">
        <v>3272</v>
      </c>
      <c r="E811" s="7">
        <v>336</v>
      </c>
      <c r="F811" s="7">
        <v>4</v>
      </c>
      <c r="G811" s="7">
        <v>1</v>
      </c>
      <c r="H811" s="7">
        <v>81588</v>
      </c>
      <c r="I811" s="7" t="s">
        <v>16</v>
      </c>
      <c r="J811" s="7">
        <v>45645810</v>
      </c>
      <c r="K811" s="7" t="s">
        <v>957</v>
      </c>
      <c r="L811" s="13" t="s">
        <v>962</v>
      </c>
      <c r="M811" s="14">
        <v>139900</v>
      </c>
      <c r="N811" s="10" t="str">
        <f t="shared" si="107"/>
        <v>BXGY</v>
      </c>
      <c r="O811" s="9">
        <f t="shared" si="102"/>
        <v>34975</v>
      </c>
      <c r="P811" s="9" t="str">
        <f t="shared" si="105"/>
        <v>PERCENTAGE</v>
      </c>
    </row>
    <row r="812" spans="1:16" s="6" customFormat="1" x14ac:dyDescent="0.25">
      <c r="A812" s="7" t="str">
        <f t="shared" si="103"/>
        <v>2024 ALL D75</v>
      </c>
      <c r="B812" s="8">
        <f t="shared" si="104"/>
        <v>46104</v>
      </c>
      <c r="C812" s="8">
        <f t="shared" si="106"/>
        <v>46113</v>
      </c>
      <c r="D812" s="7">
        <v>3272</v>
      </c>
      <c r="E812" s="7">
        <v>336</v>
      </c>
      <c r="F812" s="7">
        <v>4</v>
      </c>
      <c r="G812" s="7">
        <v>1</v>
      </c>
      <c r="H812" s="7">
        <v>81588</v>
      </c>
      <c r="I812" s="7" t="s">
        <v>16</v>
      </c>
      <c r="J812" s="7">
        <v>45645927</v>
      </c>
      <c r="K812" s="7" t="s">
        <v>963</v>
      </c>
      <c r="L812" s="13" t="s">
        <v>964</v>
      </c>
      <c r="M812" s="14">
        <v>139900</v>
      </c>
      <c r="N812" s="10" t="str">
        <f t="shared" si="107"/>
        <v>BXGY</v>
      </c>
      <c r="O812" s="9">
        <f t="shared" si="102"/>
        <v>34975</v>
      </c>
      <c r="P812" s="9" t="str">
        <f t="shared" si="105"/>
        <v>PERCENTAGE</v>
      </c>
    </row>
    <row r="813" spans="1:16" s="6" customFormat="1" x14ac:dyDescent="0.25">
      <c r="A813" s="7" t="str">
        <f t="shared" si="103"/>
        <v>2024 ALL D75</v>
      </c>
      <c r="B813" s="8">
        <f t="shared" si="104"/>
        <v>46104</v>
      </c>
      <c r="C813" s="8">
        <f t="shared" si="106"/>
        <v>46113</v>
      </c>
      <c r="D813" s="7">
        <v>3272</v>
      </c>
      <c r="E813" s="7">
        <v>336</v>
      </c>
      <c r="F813" s="7">
        <v>4</v>
      </c>
      <c r="G813" s="7">
        <v>1</v>
      </c>
      <c r="H813" s="7">
        <v>81588</v>
      </c>
      <c r="I813" s="7" t="s">
        <v>16</v>
      </c>
      <c r="J813" s="7">
        <v>45645936</v>
      </c>
      <c r="K813" s="7" t="s">
        <v>963</v>
      </c>
      <c r="L813" s="13" t="s">
        <v>965</v>
      </c>
      <c r="M813" s="14">
        <v>139900</v>
      </c>
      <c r="N813" s="10" t="str">
        <f t="shared" si="107"/>
        <v>BXGY</v>
      </c>
      <c r="O813" s="9">
        <f t="shared" si="102"/>
        <v>34975</v>
      </c>
      <c r="P813" s="9" t="str">
        <f t="shared" si="105"/>
        <v>PERCENTAGE</v>
      </c>
    </row>
    <row r="814" spans="1:16" s="6" customFormat="1" x14ac:dyDescent="0.25">
      <c r="A814" s="7" t="str">
        <f t="shared" si="103"/>
        <v>2024 ALL D75</v>
      </c>
      <c r="B814" s="8">
        <f t="shared" si="104"/>
        <v>46104</v>
      </c>
      <c r="C814" s="8">
        <f t="shared" si="106"/>
        <v>46113</v>
      </c>
      <c r="D814" s="7">
        <v>3272</v>
      </c>
      <c r="E814" s="7">
        <v>336</v>
      </c>
      <c r="F814" s="7">
        <v>4</v>
      </c>
      <c r="G814" s="7">
        <v>1</v>
      </c>
      <c r="H814" s="7">
        <v>81588</v>
      </c>
      <c r="I814" s="7" t="s">
        <v>16</v>
      </c>
      <c r="J814" s="7">
        <v>45645945</v>
      </c>
      <c r="K814" s="7" t="s">
        <v>963</v>
      </c>
      <c r="L814" s="13" t="s">
        <v>966</v>
      </c>
      <c r="M814" s="14">
        <v>139900</v>
      </c>
      <c r="N814" s="10" t="str">
        <f t="shared" si="107"/>
        <v>BXGY</v>
      </c>
      <c r="O814" s="9">
        <f t="shared" si="102"/>
        <v>34975</v>
      </c>
      <c r="P814" s="9" t="str">
        <f t="shared" si="105"/>
        <v>PERCENTAGE</v>
      </c>
    </row>
    <row r="815" spans="1:16" s="6" customFormat="1" x14ac:dyDescent="0.25">
      <c r="A815" s="7" t="str">
        <f t="shared" si="103"/>
        <v>2024 ALL D75</v>
      </c>
      <c r="B815" s="8">
        <f t="shared" si="104"/>
        <v>46104</v>
      </c>
      <c r="C815" s="8">
        <f t="shared" si="106"/>
        <v>46113</v>
      </c>
      <c r="D815" s="7">
        <v>3272</v>
      </c>
      <c r="E815" s="7">
        <v>336</v>
      </c>
      <c r="F815" s="7">
        <v>4</v>
      </c>
      <c r="G815" s="7">
        <v>1</v>
      </c>
      <c r="H815" s="7">
        <v>81588</v>
      </c>
      <c r="I815" s="7" t="s">
        <v>16</v>
      </c>
      <c r="J815" s="7">
        <v>45645954</v>
      </c>
      <c r="K815" s="7" t="s">
        <v>963</v>
      </c>
      <c r="L815" s="13" t="s">
        <v>967</v>
      </c>
      <c r="M815" s="14">
        <v>139900</v>
      </c>
      <c r="N815" s="10" t="str">
        <f t="shared" si="107"/>
        <v>BXGY</v>
      </c>
      <c r="O815" s="9">
        <f t="shared" si="102"/>
        <v>34975</v>
      </c>
      <c r="P815" s="9" t="str">
        <f t="shared" si="105"/>
        <v>PERCENTAGE</v>
      </c>
    </row>
    <row r="816" spans="1:16" s="6" customFormat="1" x14ac:dyDescent="0.25">
      <c r="A816" s="7" t="str">
        <f t="shared" si="103"/>
        <v>2024 ALL D75</v>
      </c>
      <c r="B816" s="8">
        <f t="shared" si="104"/>
        <v>46104</v>
      </c>
      <c r="C816" s="8">
        <f t="shared" si="106"/>
        <v>46113</v>
      </c>
      <c r="D816" s="7">
        <v>3272</v>
      </c>
      <c r="E816" s="7">
        <v>336</v>
      </c>
      <c r="F816" s="7">
        <v>4</v>
      </c>
      <c r="G816" s="7">
        <v>1</v>
      </c>
      <c r="H816" s="7">
        <v>81588</v>
      </c>
      <c r="I816" s="7" t="s">
        <v>16</v>
      </c>
      <c r="J816" s="7">
        <v>45645963</v>
      </c>
      <c r="K816" s="7" t="s">
        <v>963</v>
      </c>
      <c r="L816" s="13" t="s">
        <v>968</v>
      </c>
      <c r="M816" s="14">
        <v>139900</v>
      </c>
      <c r="N816" s="10" t="str">
        <f t="shared" si="107"/>
        <v>BXGY</v>
      </c>
      <c r="O816" s="9">
        <f t="shared" si="102"/>
        <v>34975</v>
      </c>
      <c r="P816" s="9" t="str">
        <f t="shared" si="105"/>
        <v>PERCENTAGE</v>
      </c>
    </row>
    <row r="817" spans="1:16" s="6" customFormat="1" x14ac:dyDescent="0.25">
      <c r="A817" s="7" t="str">
        <f t="shared" si="103"/>
        <v>2024 ALL D75</v>
      </c>
      <c r="B817" s="8">
        <f t="shared" si="104"/>
        <v>46104</v>
      </c>
      <c r="C817" s="8">
        <f t="shared" si="106"/>
        <v>46113</v>
      </c>
      <c r="D817" s="7">
        <v>3272</v>
      </c>
      <c r="E817" s="7">
        <v>336</v>
      </c>
      <c r="F817" s="7">
        <v>4</v>
      </c>
      <c r="G817" s="7">
        <v>1</v>
      </c>
      <c r="H817" s="7">
        <v>81588</v>
      </c>
      <c r="I817" s="7" t="s">
        <v>16</v>
      </c>
      <c r="J817" s="7">
        <v>45645972</v>
      </c>
      <c r="K817" s="7" t="s">
        <v>969</v>
      </c>
      <c r="L817" s="13" t="s">
        <v>970</v>
      </c>
      <c r="M817" s="14">
        <v>139900</v>
      </c>
      <c r="N817" s="10" t="str">
        <f t="shared" si="107"/>
        <v>BXGY</v>
      </c>
      <c r="O817" s="9">
        <f t="shared" si="102"/>
        <v>34975</v>
      </c>
      <c r="P817" s="9" t="str">
        <f t="shared" si="105"/>
        <v>PERCENTAGE</v>
      </c>
    </row>
    <row r="818" spans="1:16" s="6" customFormat="1" x14ac:dyDescent="0.25">
      <c r="A818" s="7" t="str">
        <f t="shared" si="103"/>
        <v>2024 ALL D75</v>
      </c>
      <c r="B818" s="8">
        <f t="shared" si="104"/>
        <v>46104</v>
      </c>
      <c r="C818" s="8">
        <f t="shared" si="106"/>
        <v>46113</v>
      </c>
      <c r="D818" s="7">
        <v>3272</v>
      </c>
      <c r="E818" s="7">
        <v>336</v>
      </c>
      <c r="F818" s="7">
        <v>4</v>
      </c>
      <c r="G818" s="7">
        <v>1</v>
      </c>
      <c r="H818" s="7">
        <v>81588</v>
      </c>
      <c r="I818" s="7" t="s">
        <v>16</v>
      </c>
      <c r="J818" s="7">
        <v>45645981</v>
      </c>
      <c r="K818" s="7" t="s">
        <v>969</v>
      </c>
      <c r="L818" s="13" t="s">
        <v>971</v>
      </c>
      <c r="M818" s="14">
        <v>139900</v>
      </c>
      <c r="N818" s="10" t="str">
        <f t="shared" si="107"/>
        <v>BXGY</v>
      </c>
      <c r="O818" s="9">
        <f t="shared" si="102"/>
        <v>34975</v>
      </c>
      <c r="P818" s="9" t="str">
        <f t="shared" si="105"/>
        <v>PERCENTAGE</v>
      </c>
    </row>
    <row r="819" spans="1:16" s="6" customFormat="1" x14ac:dyDescent="0.25">
      <c r="A819" s="7" t="str">
        <f t="shared" si="103"/>
        <v>2024 ALL D75</v>
      </c>
      <c r="B819" s="8">
        <f t="shared" si="104"/>
        <v>46104</v>
      </c>
      <c r="C819" s="8">
        <f t="shared" si="106"/>
        <v>46113</v>
      </c>
      <c r="D819" s="7">
        <v>3272</v>
      </c>
      <c r="E819" s="7">
        <v>336</v>
      </c>
      <c r="F819" s="7">
        <v>4</v>
      </c>
      <c r="G819" s="7">
        <v>1</v>
      </c>
      <c r="H819" s="7">
        <v>81588</v>
      </c>
      <c r="I819" s="7" t="s">
        <v>16</v>
      </c>
      <c r="J819" s="7">
        <v>45645990</v>
      </c>
      <c r="K819" s="7" t="s">
        <v>969</v>
      </c>
      <c r="L819" s="13" t="s">
        <v>972</v>
      </c>
      <c r="M819" s="14">
        <v>139900</v>
      </c>
      <c r="N819" s="10" t="str">
        <f t="shared" si="107"/>
        <v>BXGY</v>
      </c>
      <c r="O819" s="9">
        <f t="shared" si="102"/>
        <v>34975</v>
      </c>
      <c r="P819" s="9" t="str">
        <f t="shared" si="105"/>
        <v>PERCENTAGE</v>
      </c>
    </row>
    <row r="820" spans="1:16" s="6" customFormat="1" x14ac:dyDescent="0.25">
      <c r="A820" s="7" t="str">
        <f t="shared" si="103"/>
        <v>2024 ALL D75</v>
      </c>
      <c r="B820" s="8">
        <f t="shared" si="104"/>
        <v>46104</v>
      </c>
      <c r="C820" s="8">
        <f t="shared" si="106"/>
        <v>46113</v>
      </c>
      <c r="D820" s="7">
        <v>3272</v>
      </c>
      <c r="E820" s="7">
        <v>336</v>
      </c>
      <c r="F820" s="7">
        <v>4</v>
      </c>
      <c r="G820" s="7">
        <v>1</v>
      </c>
      <c r="H820" s="7">
        <v>81588</v>
      </c>
      <c r="I820" s="7" t="s">
        <v>16</v>
      </c>
      <c r="J820" s="7">
        <v>45646006</v>
      </c>
      <c r="K820" s="7" t="s">
        <v>969</v>
      </c>
      <c r="L820" s="13" t="s">
        <v>973</v>
      </c>
      <c r="M820" s="14">
        <v>139900</v>
      </c>
      <c r="N820" s="10" t="str">
        <f t="shared" si="107"/>
        <v>BXGY</v>
      </c>
      <c r="O820" s="9">
        <f t="shared" si="102"/>
        <v>34975</v>
      </c>
      <c r="P820" s="9" t="str">
        <f t="shared" si="105"/>
        <v>PERCENTAGE</v>
      </c>
    </row>
    <row r="821" spans="1:16" s="6" customFormat="1" x14ac:dyDescent="0.25">
      <c r="A821" s="7" t="str">
        <f t="shared" si="103"/>
        <v>2024 ALL D75</v>
      </c>
      <c r="B821" s="8">
        <f t="shared" si="104"/>
        <v>46104</v>
      </c>
      <c r="C821" s="8">
        <f t="shared" si="106"/>
        <v>46113</v>
      </c>
      <c r="D821" s="7">
        <v>3272</v>
      </c>
      <c r="E821" s="7">
        <v>336</v>
      </c>
      <c r="F821" s="7">
        <v>4</v>
      </c>
      <c r="G821" s="7">
        <v>1</v>
      </c>
      <c r="H821" s="7">
        <v>81588</v>
      </c>
      <c r="I821" s="7" t="s">
        <v>16</v>
      </c>
      <c r="J821" s="7">
        <v>45646015</v>
      </c>
      <c r="K821" s="7" t="s">
        <v>969</v>
      </c>
      <c r="L821" s="13" t="s">
        <v>974</v>
      </c>
      <c r="M821" s="14">
        <v>139900</v>
      </c>
      <c r="N821" s="10" t="str">
        <f t="shared" si="107"/>
        <v>BXGY</v>
      </c>
      <c r="O821" s="9">
        <f t="shared" si="102"/>
        <v>34975</v>
      </c>
      <c r="P821" s="9" t="str">
        <f t="shared" si="105"/>
        <v>PERCENTAGE</v>
      </c>
    </row>
    <row r="822" spans="1:16" s="6" customFormat="1" x14ac:dyDescent="0.25">
      <c r="A822" s="7" t="str">
        <f t="shared" si="103"/>
        <v>2024 ALL D75</v>
      </c>
      <c r="B822" s="8">
        <f t="shared" si="104"/>
        <v>46104</v>
      </c>
      <c r="C822" s="8">
        <f t="shared" si="106"/>
        <v>46113</v>
      </c>
      <c r="D822" s="7">
        <v>3272</v>
      </c>
      <c r="E822" s="7">
        <v>336</v>
      </c>
      <c r="F822" s="7">
        <v>4</v>
      </c>
      <c r="G822" s="7">
        <v>1</v>
      </c>
      <c r="H822" s="7">
        <v>4953</v>
      </c>
      <c r="I822" s="7" t="s">
        <v>16</v>
      </c>
      <c r="J822" s="7">
        <v>45646275</v>
      </c>
      <c r="K822" s="7" t="s">
        <v>975</v>
      </c>
      <c r="L822" s="13" t="s">
        <v>976</v>
      </c>
      <c r="M822" s="14">
        <v>139900</v>
      </c>
      <c r="N822" s="10" t="str">
        <f t="shared" si="107"/>
        <v>BXGY</v>
      </c>
      <c r="O822" s="9">
        <f t="shared" si="102"/>
        <v>34975</v>
      </c>
      <c r="P822" s="9" t="str">
        <f t="shared" si="105"/>
        <v>PERCENTAGE</v>
      </c>
    </row>
    <row r="823" spans="1:16" s="6" customFormat="1" x14ac:dyDescent="0.25">
      <c r="A823" s="7" t="str">
        <f t="shared" si="103"/>
        <v>2024 ALL D75</v>
      </c>
      <c r="B823" s="8">
        <f t="shared" si="104"/>
        <v>46104</v>
      </c>
      <c r="C823" s="8">
        <f t="shared" si="106"/>
        <v>46113</v>
      </c>
      <c r="D823" s="7">
        <v>3272</v>
      </c>
      <c r="E823" s="7">
        <v>336</v>
      </c>
      <c r="F823" s="7">
        <v>4</v>
      </c>
      <c r="G823" s="7">
        <v>1</v>
      </c>
      <c r="H823" s="7">
        <v>4953</v>
      </c>
      <c r="I823" s="7" t="s">
        <v>16</v>
      </c>
      <c r="J823" s="7">
        <v>45646284</v>
      </c>
      <c r="K823" s="7" t="s">
        <v>975</v>
      </c>
      <c r="L823" s="13" t="s">
        <v>977</v>
      </c>
      <c r="M823" s="14">
        <v>139900</v>
      </c>
      <c r="N823" s="10" t="str">
        <f t="shared" si="107"/>
        <v>BXGY</v>
      </c>
      <c r="O823" s="9">
        <f t="shared" si="102"/>
        <v>34975</v>
      </c>
      <c r="P823" s="9" t="str">
        <f t="shared" si="105"/>
        <v>PERCENTAGE</v>
      </c>
    </row>
    <row r="824" spans="1:16" s="6" customFormat="1" x14ac:dyDescent="0.25">
      <c r="A824" s="7" t="str">
        <f t="shared" si="103"/>
        <v>2024 ALL D75</v>
      </c>
      <c r="B824" s="8">
        <f t="shared" si="104"/>
        <v>46104</v>
      </c>
      <c r="C824" s="8">
        <f t="shared" si="106"/>
        <v>46113</v>
      </c>
      <c r="D824" s="7">
        <v>3272</v>
      </c>
      <c r="E824" s="7">
        <v>336</v>
      </c>
      <c r="F824" s="7">
        <v>4</v>
      </c>
      <c r="G824" s="7">
        <v>1</v>
      </c>
      <c r="H824" s="7">
        <v>4953</v>
      </c>
      <c r="I824" s="7" t="s">
        <v>16</v>
      </c>
      <c r="J824" s="7">
        <v>45646293</v>
      </c>
      <c r="K824" s="7" t="s">
        <v>975</v>
      </c>
      <c r="L824" s="13" t="s">
        <v>978</v>
      </c>
      <c r="M824" s="14">
        <v>139900</v>
      </c>
      <c r="N824" s="10" t="str">
        <f t="shared" si="107"/>
        <v>BXGY</v>
      </c>
      <c r="O824" s="9">
        <f t="shared" si="102"/>
        <v>34975</v>
      </c>
      <c r="P824" s="9" t="str">
        <f t="shared" si="105"/>
        <v>PERCENTAGE</v>
      </c>
    </row>
    <row r="825" spans="1:16" s="6" customFormat="1" x14ac:dyDescent="0.25">
      <c r="A825" s="7" t="str">
        <f t="shared" si="103"/>
        <v>2024 ALL D75</v>
      </c>
      <c r="B825" s="8">
        <f t="shared" si="104"/>
        <v>46104</v>
      </c>
      <c r="C825" s="8">
        <f t="shared" si="106"/>
        <v>46113</v>
      </c>
      <c r="D825" s="7">
        <v>3272</v>
      </c>
      <c r="E825" s="7">
        <v>336</v>
      </c>
      <c r="F825" s="7">
        <v>4</v>
      </c>
      <c r="G825" s="7">
        <v>1</v>
      </c>
      <c r="H825" s="7">
        <v>4953</v>
      </c>
      <c r="I825" s="7" t="s">
        <v>16</v>
      </c>
      <c r="J825" s="7">
        <v>45646300</v>
      </c>
      <c r="K825" s="7" t="s">
        <v>975</v>
      </c>
      <c r="L825" s="13" t="s">
        <v>979</v>
      </c>
      <c r="M825" s="14">
        <v>139900</v>
      </c>
      <c r="N825" s="10" t="str">
        <f t="shared" si="107"/>
        <v>BXGY</v>
      </c>
      <c r="O825" s="9">
        <f t="shared" si="102"/>
        <v>34975</v>
      </c>
      <c r="P825" s="9" t="str">
        <f t="shared" si="105"/>
        <v>PERCENTAGE</v>
      </c>
    </row>
    <row r="826" spans="1:16" s="6" customFormat="1" x14ac:dyDescent="0.25">
      <c r="A826" s="7" t="str">
        <f t="shared" si="103"/>
        <v>2024 ALL D75</v>
      </c>
      <c r="B826" s="8">
        <f t="shared" si="104"/>
        <v>46104</v>
      </c>
      <c r="C826" s="8">
        <f t="shared" si="106"/>
        <v>46113</v>
      </c>
      <c r="D826" s="7">
        <v>3272</v>
      </c>
      <c r="E826" s="7">
        <v>336</v>
      </c>
      <c r="F826" s="7">
        <v>4</v>
      </c>
      <c r="G826" s="7">
        <v>1</v>
      </c>
      <c r="H826" s="7">
        <v>4953</v>
      </c>
      <c r="I826" s="7" t="s">
        <v>16</v>
      </c>
      <c r="J826" s="7">
        <v>45646319</v>
      </c>
      <c r="K826" s="7" t="s">
        <v>975</v>
      </c>
      <c r="L826" s="13" t="s">
        <v>980</v>
      </c>
      <c r="M826" s="14">
        <v>139900</v>
      </c>
      <c r="N826" s="10" t="str">
        <f t="shared" si="107"/>
        <v>BXGY</v>
      </c>
      <c r="O826" s="9">
        <f t="shared" si="102"/>
        <v>34975</v>
      </c>
      <c r="P826" s="9" t="str">
        <f t="shared" si="105"/>
        <v>PERCENTAGE</v>
      </c>
    </row>
    <row r="827" spans="1:16" s="6" customFormat="1" x14ac:dyDescent="0.25">
      <c r="A827" s="7" t="str">
        <f t="shared" si="103"/>
        <v>2024 ALL D75</v>
      </c>
      <c r="B827" s="8">
        <f t="shared" si="104"/>
        <v>46104</v>
      </c>
      <c r="C827" s="8">
        <f t="shared" si="106"/>
        <v>46113</v>
      </c>
      <c r="D827" s="7">
        <v>3272</v>
      </c>
      <c r="E827" s="7">
        <v>336</v>
      </c>
      <c r="F827" s="7">
        <v>4</v>
      </c>
      <c r="G827" s="7">
        <v>1</v>
      </c>
      <c r="H827" s="7">
        <v>81588</v>
      </c>
      <c r="I827" s="7" t="s">
        <v>16</v>
      </c>
      <c r="J827" s="7">
        <v>45646837</v>
      </c>
      <c r="K827" s="7" t="s">
        <v>744</v>
      </c>
      <c r="L827" s="13" t="s">
        <v>981</v>
      </c>
      <c r="M827" s="14">
        <v>149900</v>
      </c>
      <c r="N827" s="10" t="str">
        <f t="shared" si="107"/>
        <v>BXGY</v>
      </c>
      <c r="O827" s="9">
        <f t="shared" si="102"/>
        <v>37475</v>
      </c>
      <c r="P827" s="9" t="str">
        <f t="shared" si="105"/>
        <v>PERCENTAGE</v>
      </c>
    </row>
    <row r="828" spans="1:16" s="6" customFormat="1" x14ac:dyDescent="0.25">
      <c r="A828" s="7" t="str">
        <f t="shared" si="103"/>
        <v>2024 ALL D75</v>
      </c>
      <c r="B828" s="8">
        <f t="shared" si="104"/>
        <v>46104</v>
      </c>
      <c r="C828" s="8">
        <f t="shared" si="106"/>
        <v>46113</v>
      </c>
      <c r="D828" s="7">
        <v>3272</v>
      </c>
      <c r="E828" s="7">
        <v>336</v>
      </c>
      <c r="F828" s="7">
        <v>4</v>
      </c>
      <c r="G828" s="7">
        <v>1</v>
      </c>
      <c r="H828" s="7">
        <v>81588</v>
      </c>
      <c r="I828" s="7" t="s">
        <v>16</v>
      </c>
      <c r="J828" s="7">
        <v>45646846</v>
      </c>
      <c r="K828" s="7" t="s">
        <v>744</v>
      </c>
      <c r="L828" s="13" t="s">
        <v>982</v>
      </c>
      <c r="M828" s="14">
        <v>149900</v>
      </c>
      <c r="N828" s="10" t="str">
        <f t="shared" si="107"/>
        <v>BXGY</v>
      </c>
      <c r="O828" s="9">
        <f t="shared" si="102"/>
        <v>37475</v>
      </c>
      <c r="P828" s="9" t="str">
        <f t="shared" si="105"/>
        <v>PERCENTAGE</v>
      </c>
    </row>
    <row r="829" spans="1:16" s="6" customFormat="1" x14ac:dyDescent="0.25">
      <c r="A829" s="7" t="str">
        <f t="shared" si="103"/>
        <v>2024 ALL D75</v>
      </c>
      <c r="B829" s="8">
        <f t="shared" si="104"/>
        <v>46104</v>
      </c>
      <c r="C829" s="8">
        <f t="shared" si="106"/>
        <v>46113</v>
      </c>
      <c r="D829" s="7">
        <v>3272</v>
      </c>
      <c r="E829" s="7">
        <v>336</v>
      </c>
      <c r="F829" s="7">
        <v>4</v>
      </c>
      <c r="G829" s="7">
        <v>1</v>
      </c>
      <c r="H829" s="7">
        <v>81588</v>
      </c>
      <c r="I829" s="7" t="s">
        <v>16</v>
      </c>
      <c r="J829" s="7">
        <v>45646855</v>
      </c>
      <c r="K829" s="7" t="s">
        <v>744</v>
      </c>
      <c r="L829" s="13" t="s">
        <v>983</v>
      </c>
      <c r="M829" s="14">
        <v>149900</v>
      </c>
      <c r="N829" s="10" t="str">
        <f t="shared" si="107"/>
        <v>BXGY</v>
      </c>
      <c r="O829" s="9">
        <f t="shared" si="102"/>
        <v>37475</v>
      </c>
      <c r="P829" s="9" t="str">
        <f t="shared" si="105"/>
        <v>PERCENTAGE</v>
      </c>
    </row>
    <row r="830" spans="1:16" s="6" customFormat="1" x14ac:dyDescent="0.25">
      <c r="A830" s="7" t="str">
        <f t="shared" si="103"/>
        <v>2024 ALL D75</v>
      </c>
      <c r="B830" s="8">
        <f t="shared" si="104"/>
        <v>46104</v>
      </c>
      <c r="C830" s="8">
        <f t="shared" si="106"/>
        <v>46113</v>
      </c>
      <c r="D830" s="7">
        <v>3272</v>
      </c>
      <c r="E830" s="7">
        <v>336</v>
      </c>
      <c r="F830" s="7">
        <v>4</v>
      </c>
      <c r="G830" s="7">
        <v>1</v>
      </c>
      <c r="H830" s="7">
        <v>81588</v>
      </c>
      <c r="I830" s="7" t="s">
        <v>16</v>
      </c>
      <c r="J830" s="7">
        <v>45646864</v>
      </c>
      <c r="K830" s="7" t="s">
        <v>744</v>
      </c>
      <c r="L830" s="13" t="s">
        <v>984</v>
      </c>
      <c r="M830" s="14">
        <v>149900</v>
      </c>
      <c r="N830" s="10" t="str">
        <f t="shared" si="107"/>
        <v>BXGY</v>
      </c>
      <c r="O830" s="9">
        <f t="shared" si="102"/>
        <v>37475</v>
      </c>
      <c r="P830" s="9" t="str">
        <f t="shared" si="105"/>
        <v>PERCENTAGE</v>
      </c>
    </row>
    <row r="831" spans="1:16" s="6" customFormat="1" x14ac:dyDescent="0.25">
      <c r="A831" s="7" t="str">
        <f t="shared" si="103"/>
        <v>2024 ALL D75</v>
      </c>
      <c r="B831" s="8">
        <f t="shared" si="104"/>
        <v>46104</v>
      </c>
      <c r="C831" s="8">
        <f t="shared" si="106"/>
        <v>46113</v>
      </c>
      <c r="D831" s="7">
        <v>3272</v>
      </c>
      <c r="E831" s="7">
        <v>336</v>
      </c>
      <c r="F831" s="7">
        <v>4</v>
      </c>
      <c r="G831" s="7">
        <v>1</v>
      </c>
      <c r="H831" s="7">
        <v>81588</v>
      </c>
      <c r="I831" s="7" t="s">
        <v>16</v>
      </c>
      <c r="J831" s="7">
        <v>45646873</v>
      </c>
      <c r="K831" s="7" t="s">
        <v>744</v>
      </c>
      <c r="L831" s="13" t="s">
        <v>985</v>
      </c>
      <c r="M831" s="14">
        <v>149900</v>
      </c>
      <c r="N831" s="10" t="str">
        <f t="shared" si="107"/>
        <v>BXGY</v>
      </c>
      <c r="O831" s="9">
        <f t="shared" si="102"/>
        <v>37475</v>
      </c>
      <c r="P831" s="9" t="str">
        <f t="shared" si="105"/>
        <v>PERCENTAGE</v>
      </c>
    </row>
    <row r="832" spans="1:16" s="6" customFormat="1" x14ac:dyDescent="0.25">
      <c r="A832" s="7" t="str">
        <f t="shared" si="103"/>
        <v>2024 ALL D75</v>
      </c>
      <c r="B832" s="8">
        <f t="shared" si="104"/>
        <v>46104</v>
      </c>
      <c r="C832" s="8">
        <f t="shared" si="106"/>
        <v>46113</v>
      </c>
      <c r="D832" s="7">
        <v>3272</v>
      </c>
      <c r="E832" s="7">
        <v>336</v>
      </c>
      <c r="F832" s="7">
        <v>4</v>
      </c>
      <c r="G832" s="7">
        <v>1</v>
      </c>
      <c r="H832" s="7">
        <v>81588</v>
      </c>
      <c r="I832" s="7" t="s">
        <v>16</v>
      </c>
      <c r="J832" s="7">
        <v>45646882</v>
      </c>
      <c r="K832" s="7" t="s">
        <v>744</v>
      </c>
      <c r="L832" s="13" t="s">
        <v>986</v>
      </c>
      <c r="M832" s="14">
        <v>149900</v>
      </c>
      <c r="N832" s="10" t="str">
        <f t="shared" si="107"/>
        <v>BXGY</v>
      </c>
      <c r="O832" s="9">
        <f t="shared" si="102"/>
        <v>37475</v>
      </c>
      <c r="P832" s="9" t="str">
        <f t="shared" si="105"/>
        <v>PERCENTAGE</v>
      </c>
    </row>
    <row r="833" spans="1:16" s="6" customFormat="1" x14ac:dyDescent="0.25">
      <c r="A833" s="7" t="str">
        <f t="shared" si="103"/>
        <v>2024 ALL D75</v>
      </c>
      <c r="B833" s="8">
        <f t="shared" si="104"/>
        <v>46104</v>
      </c>
      <c r="C833" s="8">
        <f t="shared" si="106"/>
        <v>46113</v>
      </c>
      <c r="D833" s="7">
        <v>3272</v>
      </c>
      <c r="E833" s="7">
        <v>336</v>
      </c>
      <c r="F833" s="7">
        <v>4</v>
      </c>
      <c r="G833" s="7">
        <v>1</v>
      </c>
      <c r="H833" s="7">
        <v>81588</v>
      </c>
      <c r="I833" s="7" t="s">
        <v>16</v>
      </c>
      <c r="J833" s="7">
        <v>45646891</v>
      </c>
      <c r="K833" s="7" t="s">
        <v>744</v>
      </c>
      <c r="L833" s="13" t="s">
        <v>987</v>
      </c>
      <c r="M833" s="14">
        <v>149900</v>
      </c>
      <c r="N833" s="10" t="str">
        <f t="shared" si="107"/>
        <v>BXGY</v>
      </c>
      <c r="O833" s="9">
        <f t="shared" si="102"/>
        <v>37475</v>
      </c>
      <c r="P833" s="9" t="str">
        <f t="shared" si="105"/>
        <v>PERCENTAGE</v>
      </c>
    </row>
    <row r="834" spans="1:16" s="6" customFormat="1" x14ac:dyDescent="0.25">
      <c r="A834" s="7" t="str">
        <f t="shared" si="103"/>
        <v>2024 ALL D75</v>
      </c>
      <c r="B834" s="8">
        <f t="shared" si="104"/>
        <v>46104</v>
      </c>
      <c r="C834" s="8">
        <f t="shared" si="106"/>
        <v>46113</v>
      </c>
      <c r="D834" s="7">
        <v>3272</v>
      </c>
      <c r="E834" s="7">
        <v>336</v>
      </c>
      <c r="F834" s="7">
        <v>4</v>
      </c>
      <c r="G834" s="7">
        <v>1</v>
      </c>
      <c r="H834" s="7">
        <v>81588</v>
      </c>
      <c r="I834" s="7" t="s">
        <v>16</v>
      </c>
      <c r="J834" s="7">
        <v>45646908</v>
      </c>
      <c r="K834" s="7" t="s">
        <v>988</v>
      </c>
      <c r="L834" s="13" t="s">
        <v>989</v>
      </c>
      <c r="M834" s="14">
        <v>139900</v>
      </c>
      <c r="N834" s="10" t="str">
        <f t="shared" si="107"/>
        <v>BXGY</v>
      </c>
      <c r="O834" s="9">
        <f t="shared" si="102"/>
        <v>34975</v>
      </c>
      <c r="P834" s="9" t="str">
        <f t="shared" si="105"/>
        <v>PERCENTAGE</v>
      </c>
    </row>
    <row r="835" spans="1:16" s="6" customFormat="1" x14ac:dyDescent="0.25">
      <c r="A835" s="7" t="str">
        <f t="shared" si="103"/>
        <v>2024 ALL D75</v>
      </c>
      <c r="B835" s="8">
        <f t="shared" si="104"/>
        <v>46104</v>
      </c>
      <c r="C835" s="8">
        <f t="shared" si="106"/>
        <v>46113</v>
      </c>
      <c r="D835" s="7">
        <v>3272</v>
      </c>
      <c r="E835" s="7">
        <v>336</v>
      </c>
      <c r="F835" s="7">
        <v>4</v>
      </c>
      <c r="G835" s="7">
        <v>1</v>
      </c>
      <c r="H835" s="7">
        <v>81588</v>
      </c>
      <c r="I835" s="7" t="s">
        <v>16</v>
      </c>
      <c r="J835" s="7">
        <v>45646917</v>
      </c>
      <c r="K835" s="7" t="s">
        <v>988</v>
      </c>
      <c r="L835" s="13" t="s">
        <v>990</v>
      </c>
      <c r="M835" s="14">
        <v>139900</v>
      </c>
      <c r="N835" s="10" t="str">
        <f t="shared" si="107"/>
        <v>BXGY</v>
      </c>
      <c r="O835" s="9">
        <f t="shared" ref="O835:O874" si="108">M835-((75*M835))/100</f>
        <v>34975</v>
      </c>
      <c r="P835" s="9" t="str">
        <f t="shared" si="105"/>
        <v>PERCENTAGE</v>
      </c>
    </row>
    <row r="836" spans="1:16" s="6" customFormat="1" x14ac:dyDescent="0.25">
      <c r="A836" s="7" t="str">
        <f t="shared" ref="A836:A874" si="109">A835</f>
        <v>2024 ALL D75</v>
      </c>
      <c r="B836" s="8">
        <f t="shared" ref="B836:B874" si="110">B835</f>
        <v>46104</v>
      </c>
      <c r="C836" s="8">
        <f t="shared" si="106"/>
        <v>46113</v>
      </c>
      <c r="D836" s="7">
        <v>3272</v>
      </c>
      <c r="E836" s="7">
        <v>336</v>
      </c>
      <c r="F836" s="7">
        <v>4</v>
      </c>
      <c r="G836" s="7">
        <v>1</v>
      </c>
      <c r="H836" s="7">
        <v>81588</v>
      </c>
      <c r="I836" s="7" t="s">
        <v>16</v>
      </c>
      <c r="J836" s="7">
        <v>45646926</v>
      </c>
      <c r="K836" s="7" t="s">
        <v>988</v>
      </c>
      <c r="L836" s="13" t="s">
        <v>991</v>
      </c>
      <c r="M836" s="14">
        <v>139900</v>
      </c>
      <c r="N836" s="10" t="str">
        <f t="shared" si="107"/>
        <v>BXGY</v>
      </c>
      <c r="O836" s="9">
        <f t="shared" si="108"/>
        <v>34975</v>
      </c>
      <c r="P836" s="9" t="str">
        <f t="shared" ref="P836:P874" si="111">P835</f>
        <v>PERCENTAGE</v>
      </c>
    </row>
    <row r="837" spans="1:16" s="6" customFormat="1" x14ac:dyDescent="0.25">
      <c r="A837" s="7" t="str">
        <f t="shared" si="109"/>
        <v>2024 ALL D75</v>
      </c>
      <c r="B837" s="8">
        <f t="shared" si="110"/>
        <v>46104</v>
      </c>
      <c r="C837" s="8">
        <f t="shared" si="106"/>
        <v>46113</v>
      </c>
      <c r="D837" s="7">
        <v>3272</v>
      </c>
      <c r="E837" s="7">
        <v>336</v>
      </c>
      <c r="F837" s="7">
        <v>4</v>
      </c>
      <c r="G837" s="7">
        <v>1</v>
      </c>
      <c r="H837" s="7">
        <v>81588</v>
      </c>
      <c r="I837" s="7" t="s">
        <v>16</v>
      </c>
      <c r="J837" s="7">
        <v>45646935</v>
      </c>
      <c r="K837" s="7" t="s">
        <v>988</v>
      </c>
      <c r="L837" s="13" t="s">
        <v>992</v>
      </c>
      <c r="M837" s="14">
        <v>139900</v>
      </c>
      <c r="N837" s="10" t="str">
        <f t="shared" si="107"/>
        <v>BXGY</v>
      </c>
      <c r="O837" s="9">
        <f t="shared" si="108"/>
        <v>34975</v>
      </c>
      <c r="P837" s="9" t="str">
        <f t="shared" si="111"/>
        <v>PERCENTAGE</v>
      </c>
    </row>
    <row r="838" spans="1:16" s="6" customFormat="1" x14ac:dyDescent="0.25">
      <c r="A838" s="7" t="str">
        <f t="shared" si="109"/>
        <v>2024 ALL D75</v>
      </c>
      <c r="B838" s="8">
        <f t="shared" si="110"/>
        <v>46104</v>
      </c>
      <c r="C838" s="8">
        <f t="shared" si="106"/>
        <v>46113</v>
      </c>
      <c r="D838" s="7">
        <v>3272</v>
      </c>
      <c r="E838" s="7">
        <v>336</v>
      </c>
      <c r="F838" s="7">
        <v>4</v>
      </c>
      <c r="G838" s="7">
        <v>1</v>
      </c>
      <c r="H838" s="7">
        <v>81588</v>
      </c>
      <c r="I838" s="7" t="s">
        <v>16</v>
      </c>
      <c r="J838" s="7">
        <v>45646944</v>
      </c>
      <c r="K838" s="7" t="s">
        <v>988</v>
      </c>
      <c r="L838" s="13" t="s">
        <v>993</v>
      </c>
      <c r="M838" s="14">
        <v>139900</v>
      </c>
      <c r="N838" s="10" t="str">
        <f t="shared" si="107"/>
        <v>BXGY</v>
      </c>
      <c r="O838" s="9">
        <f t="shared" si="108"/>
        <v>34975</v>
      </c>
      <c r="P838" s="9" t="str">
        <f t="shared" si="111"/>
        <v>PERCENTAGE</v>
      </c>
    </row>
    <row r="839" spans="1:16" s="6" customFormat="1" x14ac:dyDescent="0.25">
      <c r="A839" s="7" t="str">
        <f t="shared" si="109"/>
        <v>2024 ALL D75</v>
      </c>
      <c r="B839" s="8">
        <f t="shared" si="110"/>
        <v>46104</v>
      </c>
      <c r="C839" s="8">
        <f t="shared" si="106"/>
        <v>46113</v>
      </c>
      <c r="D839" s="7">
        <v>3272</v>
      </c>
      <c r="E839" s="7">
        <v>336</v>
      </c>
      <c r="F839" s="7">
        <v>4</v>
      </c>
      <c r="G839" s="7">
        <v>1</v>
      </c>
      <c r="H839" s="7">
        <v>81588</v>
      </c>
      <c r="I839" s="7" t="s">
        <v>16</v>
      </c>
      <c r="J839" s="7">
        <v>45646953</v>
      </c>
      <c r="K839" s="7" t="s">
        <v>988</v>
      </c>
      <c r="L839" s="13" t="s">
        <v>994</v>
      </c>
      <c r="M839" s="14">
        <v>139900</v>
      </c>
      <c r="N839" s="10" t="str">
        <f t="shared" si="107"/>
        <v>BXGY</v>
      </c>
      <c r="O839" s="9">
        <f t="shared" si="108"/>
        <v>34975</v>
      </c>
      <c r="P839" s="9" t="str">
        <f t="shared" si="111"/>
        <v>PERCENTAGE</v>
      </c>
    </row>
    <row r="840" spans="1:16" s="6" customFormat="1" x14ac:dyDescent="0.25">
      <c r="A840" s="7" t="str">
        <f t="shared" si="109"/>
        <v>2024 ALL D75</v>
      </c>
      <c r="B840" s="8">
        <f t="shared" si="110"/>
        <v>46104</v>
      </c>
      <c r="C840" s="8">
        <f t="shared" si="106"/>
        <v>46113</v>
      </c>
      <c r="D840" s="7">
        <v>3272</v>
      </c>
      <c r="E840" s="7">
        <v>336</v>
      </c>
      <c r="F840" s="7">
        <v>4</v>
      </c>
      <c r="G840" s="7">
        <v>1</v>
      </c>
      <c r="H840" s="7">
        <v>81588</v>
      </c>
      <c r="I840" s="7" t="s">
        <v>16</v>
      </c>
      <c r="J840" s="7">
        <v>45646962</v>
      </c>
      <c r="K840" s="7" t="s">
        <v>988</v>
      </c>
      <c r="L840" s="13" t="s">
        <v>995</v>
      </c>
      <c r="M840" s="14">
        <v>139900</v>
      </c>
      <c r="N840" s="10" t="str">
        <f t="shared" si="107"/>
        <v>BXGY</v>
      </c>
      <c r="O840" s="9">
        <f t="shared" si="108"/>
        <v>34975</v>
      </c>
      <c r="P840" s="9" t="str">
        <f t="shared" si="111"/>
        <v>PERCENTAGE</v>
      </c>
    </row>
    <row r="841" spans="1:16" s="6" customFormat="1" x14ac:dyDescent="0.25">
      <c r="A841" s="7" t="str">
        <f t="shared" si="109"/>
        <v>2024 ALL D75</v>
      </c>
      <c r="B841" s="8">
        <f t="shared" si="110"/>
        <v>46104</v>
      </c>
      <c r="C841" s="8">
        <f t="shared" si="106"/>
        <v>46113</v>
      </c>
      <c r="D841" s="7">
        <v>3272</v>
      </c>
      <c r="E841" s="7">
        <v>336</v>
      </c>
      <c r="F841" s="7">
        <v>4</v>
      </c>
      <c r="G841" s="7">
        <v>1</v>
      </c>
      <c r="H841" s="7">
        <v>81588</v>
      </c>
      <c r="I841" s="7" t="s">
        <v>16</v>
      </c>
      <c r="J841" s="7">
        <v>45646971</v>
      </c>
      <c r="K841" s="7" t="s">
        <v>988</v>
      </c>
      <c r="L841" s="13" t="s">
        <v>996</v>
      </c>
      <c r="M841" s="14">
        <v>139900</v>
      </c>
      <c r="N841" s="10" t="str">
        <f t="shared" si="107"/>
        <v>BXGY</v>
      </c>
      <c r="O841" s="9">
        <f t="shared" si="108"/>
        <v>34975</v>
      </c>
      <c r="P841" s="9" t="str">
        <f t="shared" si="111"/>
        <v>PERCENTAGE</v>
      </c>
    </row>
    <row r="842" spans="1:16" s="6" customFormat="1" x14ac:dyDescent="0.25">
      <c r="A842" s="7" t="str">
        <f t="shared" si="109"/>
        <v>2024 ALL D75</v>
      </c>
      <c r="B842" s="8">
        <f t="shared" si="110"/>
        <v>46104</v>
      </c>
      <c r="C842" s="8">
        <f t="shared" si="106"/>
        <v>46113</v>
      </c>
      <c r="D842" s="7">
        <v>3272</v>
      </c>
      <c r="E842" s="7">
        <v>336</v>
      </c>
      <c r="F842" s="7">
        <v>4</v>
      </c>
      <c r="G842" s="7">
        <v>1</v>
      </c>
      <c r="H842" s="7">
        <v>81588</v>
      </c>
      <c r="I842" s="7" t="s">
        <v>16</v>
      </c>
      <c r="J842" s="7">
        <v>45646980</v>
      </c>
      <c r="K842" s="7" t="s">
        <v>997</v>
      </c>
      <c r="L842" s="13" t="s">
        <v>998</v>
      </c>
      <c r="M842" s="14">
        <v>149900</v>
      </c>
      <c r="N842" s="10" t="str">
        <f t="shared" si="107"/>
        <v>BXGY</v>
      </c>
      <c r="O842" s="9">
        <f t="shared" si="108"/>
        <v>37475</v>
      </c>
      <c r="P842" s="9" t="str">
        <f t="shared" si="111"/>
        <v>PERCENTAGE</v>
      </c>
    </row>
    <row r="843" spans="1:16" s="6" customFormat="1" x14ac:dyDescent="0.25">
      <c r="A843" s="7" t="str">
        <f t="shared" si="109"/>
        <v>2024 ALL D75</v>
      </c>
      <c r="B843" s="8">
        <f t="shared" si="110"/>
        <v>46104</v>
      </c>
      <c r="C843" s="8">
        <f t="shared" si="106"/>
        <v>46113</v>
      </c>
      <c r="D843" s="7">
        <v>3272</v>
      </c>
      <c r="E843" s="7">
        <v>336</v>
      </c>
      <c r="F843" s="7">
        <v>4</v>
      </c>
      <c r="G843" s="7">
        <v>1</v>
      </c>
      <c r="H843" s="7">
        <v>81588</v>
      </c>
      <c r="I843" s="7" t="s">
        <v>16</v>
      </c>
      <c r="J843" s="7">
        <v>45646999</v>
      </c>
      <c r="K843" s="7" t="s">
        <v>997</v>
      </c>
      <c r="L843" s="13" t="s">
        <v>999</v>
      </c>
      <c r="M843" s="14">
        <v>149900</v>
      </c>
      <c r="N843" s="10" t="str">
        <f t="shared" si="107"/>
        <v>BXGY</v>
      </c>
      <c r="O843" s="9">
        <f t="shared" si="108"/>
        <v>37475</v>
      </c>
      <c r="P843" s="9" t="str">
        <f t="shared" si="111"/>
        <v>PERCENTAGE</v>
      </c>
    </row>
    <row r="844" spans="1:16" s="6" customFormat="1" x14ac:dyDescent="0.25">
      <c r="A844" s="7" t="str">
        <f t="shared" si="109"/>
        <v>2024 ALL D75</v>
      </c>
      <c r="B844" s="8">
        <f t="shared" si="110"/>
        <v>46104</v>
      </c>
      <c r="C844" s="8">
        <f t="shared" si="106"/>
        <v>46113</v>
      </c>
      <c r="D844" s="7">
        <v>3272</v>
      </c>
      <c r="E844" s="7">
        <v>336</v>
      </c>
      <c r="F844" s="7">
        <v>4</v>
      </c>
      <c r="G844" s="7">
        <v>1</v>
      </c>
      <c r="H844" s="7">
        <v>81588</v>
      </c>
      <c r="I844" s="7" t="s">
        <v>16</v>
      </c>
      <c r="J844" s="7">
        <v>45647005</v>
      </c>
      <c r="K844" s="7" t="s">
        <v>997</v>
      </c>
      <c r="L844" s="13" t="s">
        <v>1000</v>
      </c>
      <c r="M844" s="14">
        <v>149900</v>
      </c>
      <c r="N844" s="10" t="str">
        <f t="shared" si="107"/>
        <v>BXGY</v>
      </c>
      <c r="O844" s="9">
        <f t="shared" si="108"/>
        <v>37475</v>
      </c>
      <c r="P844" s="9" t="str">
        <f t="shared" si="111"/>
        <v>PERCENTAGE</v>
      </c>
    </row>
    <row r="845" spans="1:16" s="6" customFormat="1" x14ac:dyDescent="0.25">
      <c r="A845" s="7" t="str">
        <f t="shared" si="109"/>
        <v>2024 ALL D75</v>
      </c>
      <c r="B845" s="8">
        <f t="shared" si="110"/>
        <v>46104</v>
      </c>
      <c r="C845" s="8">
        <f t="shared" si="106"/>
        <v>46113</v>
      </c>
      <c r="D845" s="7">
        <v>3272</v>
      </c>
      <c r="E845" s="7">
        <v>336</v>
      </c>
      <c r="F845" s="7">
        <v>4</v>
      </c>
      <c r="G845" s="7">
        <v>1</v>
      </c>
      <c r="H845" s="7">
        <v>81588</v>
      </c>
      <c r="I845" s="7" t="s">
        <v>16</v>
      </c>
      <c r="J845" s="7">
        <v>45647014</v>
      </c>
      <c r="K845" s="7" t="s">
        <v>997</v>
      </c>
      <c r="L845" s="13" t="s">
        <v>1001</v>
      </c>
      <c r="M845" s="14">
        <v>149900</v>
      </c>
      <c r="N845" s="10" t="str">
        <f t="shared" si="107"/>
        <v>BXGY</v>
      </c>
      <c r="O845" s="9">
        <f t="shared" si="108"/>
        <v>37475</v>
      </c>
      <c r="P845" s="9" t="str">
        <f t="shared" si="111"/>
        <v>PERCENTAGE</v>
      </c>
    </row>
    <row r="846" spans="1:16" s="6" customFormat="1" x14ac:dyDescent="0.25">
      <c r="A846" s="7" t="str">
        <f t="shared" si="109"/>
        <v>2024 ALL D75</v>
      </c>
      <c r="B846" s="8">
        <f t="shared" si="110"/>
        <v>46104</v>
      </c>
      <c r="C846" s="8">
        <f t="shared" si="106"/>
        <v>46113</v>
      </c>
      <c r="D846" s="7">
        <v>3272</v>
      </c>
      <c r="E846" s="7">
        <v>336</v>
      </c>
      <c r="F846" s="7">
        <v>4</v>
      </c>
      <c r="G846" s="7">
        <v>1</v>
      </c>
      <c r="H846" s="7">
        <v>81588</v>
      </c>
      <c r="I846" s="7" t="s">
        <v>16</v>
      </c>
      <c r="J846" s="7">
        <v>45647023</v>
      </c>
      <c r="K846" s="7" t="s">
        <v>997</v>
      </c>
      <c r="L846" s="13" t="s">
        <v>1002</v>
      </c>
      <c r="M846" s="14">
        <v>149900</v>
      </c>
      <c r="N846" s="10" t="str">
        <f t="shared" si="107"/>
        <v>BXGY</v>
      </c>
      <c r="O846" s="9">
        <f t="shared" si="108"/>
        <v>37475</v>
      </c>
      <c r="P846" s="9" t="str">
        <f t="shared" si="111"/>
        <v>PERCENTAGE</v>
      </c>
    </row>
    <row r="847" spans="1:16" s="6" customFormat="1" x14ac:dyDescent="0.25">
      <c r="A847" s="7" t="str">
        <f t="shared" si="109"/>
        <v>2024 ALL D75</v>
      </c>
      <c r="B847" s="8">
        <f t="shared" si="110"/>
        <v>46104</v>
      </c>
      <c r="C847" s="8">
        <f t="shared" si="106"/>
        <v>46113</v>
      </c>
      <c r="D847" s="7">
        <v>3272</v>
      </c>
      <c r="E847" s="7">
        <v>336</v>
      </c>
      <c r="F847" s="7">
        <v>4</v>
      </c>
      <c r="G847" s="7">
        <v>1</v>
      </c>
      <c r="H847" s="7">
        <v>81588</v>
      </c>
      <c r="I847" s="7" t="s">
        <v>16</v>
      </c>
      <c r="J847" s="7">
        <v>45647032</v>
      </c>
      <c r="K847" s="7" t="s">
        <v>997</v>
      </c>
      <c r="L847" s="13" t="s">
        <v>1003</v>
      </c>
      <c r="M847" s="14">
        <v>149900</v>
      </c>
      <c r="N847" s="10" t="str">
        <f t="shared" si="107"/>
        <v>BXGY</v>
      </c>
      <c r="O847" s="9">
        <f t="shared" si="108"/>
        <v>37475</v>
      </c>
      <c r="P847" s="9" t="str">
        <f t="shared" si="111"/>
        <v>PERCENTAGE</v>
      </c>
    </row>
    <row r="848" spans="1:16" s="6" customFormat="1" x14ac:dyDescent="0.25">
      <c r="A848" s="7" t="str">
        <f t="shared" si="109"/>
        <v>2024 ALL D75</v>
      </c>
      <c r="B848" s="8">
        <f t="shared" si="110"/>
        <v>46104</v>
      </c>
      <c r="C848" s="8">
        <f t="shared" si="106"/>
        <v>46113</v>
      </c>
      <c r="D848" s="7">
        <v>3272</v>
      </c>
      <c r="E848" s="7">
        <v>336</v>
      </c>
      <c r="F848" s="7">
        <v>4</v>
      </c>
      <c r="G848" s="7">
        <v>1</v>
      </c>
      <c r="H848" s="7">
        <v>81588</v>
      </c>
      <c r="I848" s="7" t="s">
        <v>16</v>
      </c>
      <c r="J848" s="7">
        <v>45647041</v>
      </c>
      <c r="K848" s="7" t="s">
        <v>997</v>
      </c>
      <c r="L848" s="13" t="s">
        <v>1004</v>
      </c>
      <c r="M848" s="14">
        <v>149900</v>
      </c>
      <c r="N848" s="10" t="str">
        <f t="shared" si="107"/>
        <v>BXGY</v>
      </c>
      <c r="O848" s="9">
        <f t="shared" si="108"/>
        <v>37475</v>
      </c>
      <c r="P848" s="9" t="str">
        <f t="shared" si="111"/>
        <v>PERCENTAGE</v>
      </c>
    </row>
    <row r="849" spans="1:16" s="6" customFormat="1" x14ac:dyDescent="0.25">
      <c r="A849" s="7" t="str">
        <f t="shared" si="109"/>
        <v>2024 ALL D75</v>
      </c>
      <c r="B849" s="8">
        <f t="shared" si="110"/>
        <v>46104</v>
      </c>
      <c r="C849" s="8">
        <f t="shared" si="106"/>
        <v>46113</v>
      </c>
      <c r="D849" s="7">
        <v>3272</v>
      </c>
      <c r="E849" s="7">
        <v>336</v>
      </c>
      <c r="F849" s="7">
        <v>4</v>
      </c>
      <c r="G849" s="7">
        <v>1</v>
      </c>
      <c r="H849" s="7">
        <v>81588</v>
      </c>
      <c r="I849" s="7" t="s">
        <v>16</v>
      </c>
      <c r="J849" s="7">
        <v>45647050</v>
      </c>
      <c r="K849" s="7" t="s">
        <v>997</v>
      </c>
      <c r="L849" s="13" t="s">
        <v>1005</v>
      </c>
      <c r="M849" s="14">
        <v>149900</v>
      </c>
      <c r="N849" s="10" t="str">
        <f t="shared" si="107"/>
        <v>BXGY</v>
      </c>
      <c r="O849" s="9">
        <f t="shared" si="108"/>
        <v>37475</v>
      </c>
      <c r="P849" s="9" t="str">
        <f t="shared" si="111"/>
        <v>PERCENTAGE</v>
      </c>
    </row>
    <row r="850" spans="1:16" s="6" customFormat="1" x14ac:dyDescent="0.25">
      <c r="A850" s="7" t="str">
        <f t="shared" si="109"/>
        <v>2024 ALL D75</v>
      </c>
      <c r="B850" s="8">
        <f t="shared" si="110"/>
        <v>46104</v>
      </c>
      <c r="C850" s="8">
        <f t="shared" si="106"/>
        <v>46113</v>
      </c>
      <c r="D850" s="7">
        <v>3272</v>
      </c>
      <c r="E850" s="7">
        <v>336</v>
      </c>
      <c r="F850" s="7">
        <v>4</v>
      </c>
      <c r="G850" s="7">
        <v>1</v>
      </c>
      <c r="H850" s="7">
        <v>81676</v>
      </c>
      <c r="I850" s="7" t="s">
        <v>16</v>
      </c>
      <c r="J850" s="7">
        <v>45647783</v>
      </c>
      <c r="K850" s="7" t="s">
        <v>1006</v>
      </c>
      <c r="L850" s="13" t="s">
        <v>1007</v>
      </c>
      <c r="M850" s="14">
        <v>139900</v>
      </c>
      <c r="N850" s="10" t="str">
        <f t="shared" si="107"/>
        <v>BXGY</v>
      </c>
      <c r="O850" s="9">
        <f t="shared" si="108"/>
        <v>34975</v>
      </c>
      <c r="P850" s="9" t="str">
        <f t="shared" si="111"/>
        <v>PERCENTAGE</v>
      </c>
    </row>
    <row r="851" spans="1:16" s="6" customFormat="1" x14ac:dyDescent="0.25">
      <c r="A851" s="7" t="str">
        <f t="shared" si="109"/>
        <v>2024 ALL D75</v>
      </c>
      <c r="B851" s="8">
        <f t="shared" si="110"/>
        <v>46104</v>
      </c>
      <c r="C851" s="8">
        <f t="shared" si="106"/>
        <v>46113</v>
      </c>
      <c r="D851" s="7">
        <v>3272</v>
      </c>
      <c r="E851" s="7">
        <v>336</v>
      </c>
      <c r="F851" s="7">
        <v>4</v>
      </c>
      <c r="G851" s="7">
        <v>1</v>
      </c>
      <c r="H851" s="7">
        <v>81676</v>
      </c>
      <c r="I851" s="7" t="s">
        <v>16</v>
      </c>
      <c r="J851" s="7">
        <v>45647792</v>
      </c>
      <c r="K851" s="7" t="s">
        <v>1006</v>
      </c>
      <c r="L851" s="13" t="s">
        <v>1008</v>
      </c>
      <c r="M851" s="14">
        <v>139900</v>
      </c>
      <c r="N851" s="10" t="str">
        <f t="shared" si="107"/>
        <v>BXGY</v>
      </c>
      <c r="O851" s="9">
        <f t="shared" si="108"/>
        <v>34975</v>
      </c>
      <c r="P851" s="9" t="str">
        <f t="shared" si="111"/>
        <v>PERCENTAGE</v>
      </c>
    </row>
    <row r="852" spans="1:16" s="6" customFormat="1" x14ac:dyDescent="0.25">
      <c r="A852" s="7" t="str">
        <f t="shared" si="109"/>
        <v>2024 ALL D75</v>
      </c>
      <c r="B852" s="8">
        <f t="shared" si="110"/>
        <v>46104</v>
      </c>
      <c r="C852" s="8">
        <f t="shared" si="106"/>
        <v>46113</v>
      </c>
      <c r="D852" s="7">
        <v>3272</v>
      </c>
      <c r="E852" s="7">
        <v>336</v>
      </c>
      <c r="F852" s="7">
        <v>4</v>
      </c>
      <c r="G852" s="7">
        <v>1</v>
      </c>
      <c r="H852" s="7">
        <v>81676</v>
      </c>
      <c r="I852" s="7" t="s">
        <v>16</v>
      </c>
      <c r="J852" s="7">
        <v>45647809</v>
      </c>
      <c r="K852" s="7" t="s">
        <v>1006</v>
      </c>
      <c r="L852" s="13" t="s">
        <v>1009</v>
      </c>
      <c r="M852" s="14">
        <v>139900</v>
      </c>
      <c r="N852" s="10" t="str">
        <f t="shared" si="107"/>
        <v>BXGY</v>
      </c>
      <c r="O852" s="9">
        <f t="shared" si="108"/>
        <v>34975</v>
      </c>
      <c r="P852" s="9" t="str">
        <f t="shared" si="111"/>
        <v>PERCENTAGE</v>
      </c>
    </row>
    <row r="853" spans="1:16" s="6" customFormat="1" x14ac:dyDescent="0.25">
      <c r="A853" s="7" t="str">
        <f t="shared" si="109"/>
        <v>2024 ALL D75</v>
      </c>
      <c r="B853" s="8">
        <f t="shared" si="110"/>
        <v>46104</v>
      </c>
      <c r="C853" s="8">
        <f t="shared" ref="C853:C874" si="112">C852</f>
        <v>46113</v>
      </c>
      <c r="D853" s="7">
        <v>3272</v>
      </c>
      <c r="E853" s="7">
        <v>336</v>
      </c>
      <c r="F853" s="7">
        <v>4</v>
      </c>
      <c r="G853" s="7">
        <v>1</v>
      </c>
      <c r="H853" s="7">
        <v>81676</v>
      </c>
      <c r="I853" s="7" t="s">
        <v>16</v>
      </c>
      <c r="J853" s="7">
        <v>45647818</v>
      </c>
      <c r="K853" s="7" t="s">
        <v>1006</v>
      </c>
      <c r="L853" s="13" t="s">
        <v>1010</v>
      </c>
      <c r="M853" s="14">
        <v>139900</v>
      </c>
      <c r="N853" s="10" t="str">
        <f t="shared" ref="N853:N874" si="113">N852</f>
        <v>BXGY</v>
      </c>
      <c r="O853" s="9">
        <f t="shared" si="108"/>
        <v>34975</v>
      </c>
      <c r="P853" s="9" t="str">
        <f t="shared" si="111"/>
        <v>PERCENTAGE</v>
      </c>
    </row>
    <row r="854" spans="1:16" s="6" customFormat="1" x14ac:dyDescent="0.25">
      <c r="A854" s="7" t="str">
        <f t="shared" si="109"/>
        <v>2024 ALL D75</v>
      </c>
      <c r="B854" s="8">
        <f t="shared" si="110"/>
        <v>46104</v>
      </c>
      <c r="C854" s="8">
        <f t="shared" si="112"/>
        <v>46113</v>
      </c>
      <c r="D854" s="7">
        <v>3272</v>
      </c>
      <c r="E854" s="7">
        <v>336</v>
      </c>
      <c r="F854" s="7">
        <v>4</v>
      </c>
      <c r="G854" s="7">
        <v>1</v>
      </c>
      <c r="H854" s="7">
        <v>81676</v>
      </c>
      <c r="I854" s="7" t="s">
        <v>16</v>
      </c>
      <c r="J854" s="7">
        <v>45647827</v>
      </c>
      <c r="K854" s="7" t="s">
        <v>1006</v>
      </c>
      <c r="L854" s="13" t="s">
        <v>1011</v>
      </c>
      <c r="M854" s="14">
        <v>139900</v>
      </c>
      <c r="N854" s="10" t="str">
        <f t="shared" si="113"/>
        <v>BXGY</v>
      </c>
      <c r="O854" s="9">
        <f t="shared" si="108"/>
        <v>34975</v>
      </c>
      <c r="P854" s="9" t="str">
        <f t="shared" si="111"/>
        <v>PERCENTAGE</v>
      </c>
    </row>
    <row r="855" spans="1:16" s="6" customFormat="1" x14ac:dyDescent="0.25">
      <c r="A855" s="7" t="str">
        <f t="shared" si="109"/>
        <v>2024 ALL D75</v>
      </c>
      <c r="B855" s="8">
        <f t="shared" si="110"/>
        <v>46104</v>
      </c>
      <c r="C855" s="8">
        <f t="shared" si="112"/>
        <v>46113</v>
      </c>
      <c r="D855" s="7">
        <v>3272</v>
      </c>
      <c r="E855" s="7">
        <v>336</v>
      </c>
      <c r="F855" s="7">
        <v>4</v>
      </c>
      <c r="G855" s="7">
        <v>1</v>
      </c>
      <c r="H855" s="7">
        <v>81379</v>
      </c>
      <c r="I855" s="7" t="s">
        <v>16</v>
      </c>
      <c r="J855" s="7">
        <v>50036503</v>
      </c>
      <c r="K855" s="7" t="s">
        <v>1012</v>
      </c>
      <c r="L855" s="13" t="s">
        <v>1013</v>
      </c>
      <c r="M855" s="14">
        <v>149900</v>
      </c>
      <c r="N855" s="10" t="str">
        <f t="shared" si="113"/>
        <v>BXGY</v>
      </c>
      <c r="O855" s="9">
        <f t="shared" si="108"/>
        <v>37475</v>
      </c>
      <c r="P855" s="9" t="str">
        <f t="shared" si="111"/>
        <v>PERCENTAGE</v>
      </c>
    </row>
    <row r="856" spans="1:16" s="6" customFormat="1" x14ac:dyDescent="0.25">
      <c r="A856" s="7" t="str">
        <f t="shared" si="109"/>
        <v>2024 ALL D75</v>
      </c>
      <c r="B856" s="8">
        <f t="shared" si="110"/>
        <v>46104</v>
      </c>
      <c r="C856" s="8">
        <f t="shared" si="112"/>
        <v>46113</v>
      </c>
      <c r="D856" s="7">
        <v>3272</v>
      </c>
      <c r="E856" s="7">
        <v>336</v>
      </c>
      <c r="F856" s="7">
        <v>4</v>
      </c>
      <c r="G856" s="7">
        <v>1</v>
      </c>
      <c r="H856" s="7">
        <v>81379</v>
      </c>
      <c r="I856" s="7" t="s">
        <v>16</v>
      </c>
      <c r="J856" s="7">
        <v>50036512</v>
      </c>
      <c r="K856" s="7" t="s">
        <v>1012</v>
      </c>
      <c r="L856" s="13" t="s">
        <v>1014</v>
      </c>
      <c r="M856" s="14">
        <v>149900</v>
      </c>
      <c r="N856" s="10" t="str">
        <f t="shared" si="113"/>
        <v>BXGY</v>
      </c>
      <c r="O856" s="9">
        <f t="shared" si="108"/>
        <v>37475</v>
      </c>
      <c r="P856" s="9" t="str">
        <f t="shared" si="111"/>
        <v>PERCENTAGE</v>
      </c>
    </row>
    <row r="857" spans="1:16" s="6" customFormat="1" x14ac:dyDescent="0.25">
      <c r="A857" s="7" t="str">
        <f t="shared" si="109"/>
        <v>2024 ALL D75</v>
      </c>
      <c r="B857" s="8">
        <f t="shared" si="110"/>
        <v>46104</v>
      </c>
      <c r="C857" s="8">
        <f t="shared" si="112"/>
        <v>46113</v>
      </c>
      <c r="D857" s="7">
        <v>3272</v>
      </c>
      <c r="E857" s="7">
        <v>336</v>
      </c>
      <c r="F857" s="7">
        <v>4</v>
      </c>
      <c r="G857" s="7">
        <v>1</v>
      </c>
      <c r="H857" s="7">
        <v>81379</v>
      </c>
      <c r="I857" s="7" t="s">
        <v>16</v>
      </c>
      <c r="J857" s="7">
        <v>50036521</v>
      </c>
      <c r="K857" s="7" t="s">
        <v>1012</v>
      </c>
      <c r="L857" s="13" t="s">
        <v>1015</v>
      </c>
      <c r="M857" s="14">
        <v>149900</v>
      </c>
      <c r="N857" s="10" t="str">
        <f t="shared" si="113"/>
        <v>BXGY</v>
      </c>
      <c r="O857" s="9">
        <f t="shared" si="108"/>
        <v>37475</v>
      </c>
      <c r="P857" s="9" t="str">
        <f t="shared" si="111"/>
        <v>PERCENTAGE</v>
      </c>
    </row>
    <row r="858" spans="1:16" s="6" customFormat="1" x14ac:dyDescent="0.25">
      <c r="A858" s="7" t="str">
        <f t="shared" si="109"/>
        <v>2024 ALL D75</v>
      </c>
      <c r="B858" s="8">
        <f t="shared" si="110"/>
        <v>46104</v>
      </c>
      <c r="C858" s="8">
        <f t="shared" si="112"/>
        <v>46113</v>
      </c>
      <c r="D858" s="7">
        <v>3272</v>
      </c>
      <c r="E858" s="7">
        <v>336</v>
      </c>
      <c r="F858" s="7">
        <v>4</v>
      </c>
      <c r="G858" s="7">
        <v>1</v>
      </c>
      <c r="H858" s="7">
        <v>81379</v>
      </c>
      <c r="I858" s="7" t="s">
        <v>16</v>
      </c>
      <c r="J858" s="7">
        <v>50036530</v>
      </c>
      <c r="K858" s="7" t="s">
        <v>1012</v>
      </c>
      <c r="L858" s="13" t="s">
        <v>1016</v>
      </c>
      <c r="M858" s="14">
        <v>149900</v>
      </c>
      <c r="N858" s="10" t="str">
        <f t="shared" si="113"/>
        <v>BXGY</v>
      </c>
      <c r="O858" s="9">
        <f t="shared" si="108"/>
        <v>37475</v>
      </c>
      <c r="P858" s="9" t="str">
        <f t="shared" si="111"/>
        <v>PERCENTAGE</v>
      </c>
    </row>
    <row r="859" spans="1:16" s="6" customFormat="1" x14ac:dyDescent="0.25">
      <c r="A859" s="7" t="str">
        <f t="shared" si="109"/>
        <v>2024 ALL D75</v>
      </c>
      <c r="B859" s="8">
        <f t="shared" si="110"/>
        <v>46104</v>
      </c>
      <c r="C859" s="8">
        <f t="shared" si="112"/>
        <v>46113</v>
      </c>
      <c r="D859" s="7">
        <v>3272</v>
      </c>
      <c r="E859" s="7">
        <v>336</v>
      </c>
      <c r="F859" s="7">
        <v>4</v>
      </c>
      <c r="G859" s="7">
        <v>1</v>
      </c>
      <c r="H859" s="7">
        <v>81379</v>
      </c>
      <c r="I859" s="7" t="s">
        <v>16</v>
      </c>
      <c r="J859" s="7">
        <v>50036549</v>
      </c>
      <c r="K859" s="7" t="s">
        <v>1012</v>
      </c>
      <c r="L859" s="13" t="s">
        <v>1017</v>
      </c>
      <c r="M859" s="14">
        <v>149900</v>
      </c>
      <c r="N859" s="10" t="str">
        <f t="shared" si="113"/>
        <v>BXGY</v>
      </c>
      <c r="O859" s="9">
        <f t="shared" si="108"/>
        <v>37475</v>
      </c>
      <c r="P859" s="9" t="str">
        <f t="shared" si="111"/>
        <v>PERCENTAGE</v>
      </c>
    </row>
    <row r="860" spans="1:16" s="6" customFormat="1" x14ac:dyDescent="0.25">
      <c r="A860" s="7" t="str">
        <f t="shared" si="109"/>
        <v>2024 ALL D75</v>
      </c>
      <c r="B860" s="8">
        <f t="shared" si="110"/>
        <v>46104</v>
      </c>
      <c r="C860" s="8">
        <f t="shared" si="112"/>
        <v>46113</v>
      </c>
      <c r="D860" s="7">
        <v>3272</v>
      </c>
      <c r="E860" s="7">
        <v>336</v>
      </c>
      <c r="F860" s="7">
        <v>4</v>
      </c>
      <c r="G860" s="7">
        <v>1</v>
      </c>
      <c r="H860" s="7">
        <v>81379</v>
      </c>
      <c r="I860" s="7" t="s">
        <v>16</v>
      </c>
      <c r="J860" s="7">
        <v>51503390</v>
      </c>
      <c r="K860" s="7" t="s">
        <v>1018</v>
      </c>
      <c r="L860" s="13" t="s">
        <v>1019</v>
      </c>
      <c r="M860" s="14">
        <v>139900</v>
      </c>
      <c r="N860" s="10" t="str">
        <f t="shared" si="113"/>
        <v>BXGY</v>
      </c>
      <c r="O860" s="9">
        <f t="shared" si="108"/>
        <v>34975</v>
      </c>
      <c r="P860" s="9" t="str">
        <f t="shared" si="111"/>
        <v>PERCENTAGE</v>
      </c>
    </row>
    <row r="861" spans="1:16" s="6" customFormat="1" x14ac:dyDescent="0.25">
      <c r="A861" s="7" t="str">
        <f t="shared" si="109"/>
        <v>2024 ALL D75</v>
      </c>
      <c r="B861" s="8">
        <f t="shared" si="110"/>
        <v>46104</v>
      </c>
      <c r="C861" s="8">
        <f t="shared" si="112"/>
        <v>46113</v>
      </c>
      <c r="D861" s="7">
        <v>3272</v>
      </c>
      <c r="E861" s="7">
        <v>336</v>
      </c>
      <c r="F861" s="7">
        <v>4</v>
      </c>
      <c r="G861" s="7">
        <v>1</v>
      </c>
      <c r="H861" s="7">
        <v>81379</v>
      </c>
      <c r="I861" s="7" t="s">
        <v>16</v>
      </c>
      <c r="J861" s="7">
        <v>51503407</v>
      </c>
      <c r="K861" s="7" t="s">
        <v>1018</v>
      </c>
      <c r="L861" s="13" t="s">
        <v>1020</v>
      </c>
      <c r="M861" s="14">
        <v>139900</v>
      </c>
      <c r="N861" s="10" t="str">
        <f t="shared" si="113"/>
        <v>BXGY</v>
      </c>
      <c r="O861" s="9">
        <f t="shared" si="108"/>
        <v>34975</v>
      </c>
      <c r="P861" s="9" t="str">
        <f t="shared" si="111"/>
        <v>PERCENTAGE</v>
      </c>
    </row>
    <row r="862" spans="1:16" s="6" customFormat="1" x14ac:dyDescent="0.25">
      <c r="A862" s="7" t="str">
        <f t="shared" si="109"/>
        <v>2024 ALL D75</v>
      </c>
      <c r="B862" s="8">
        <f t="shared" si="110"/>
        <v>46104</v>
      </c>
      <c r="C862" s="8">
        <f t="shared" si="112"/>
        <v>46113</v>
      </c>
      <c r="D862" s="7">
        <v>3272</v>
      </c>
      <c r="E862" s="7">
        <v>336</v>
      </c>
      <c r="F862" s="7">
        <v>4</v>
      </c>
      <c r="G862" s="7">
        <v>1</v>
      </c>
      <c r="H862" s="7">
        <v>81379</v>
      </c>
      <c r="I862" s="7" t="s">
        <v>16</v>
      </c>
      <c r="J862" s="7">
        <v>51503416</v>
      </c>
      <c r="K862" s="7" t="s">
        <v>1018</v>
      </c>
      <c r="L862" s="13" t="s">
        <v>1021</v>
      </c>
      <c r="M862" s="14">
        <v>139900</v>
      </c>
      <c r="N862" s="10" t="str">
        <f t="shared" si="113"/>
        <v>BXGY</v>
      </c>
      <c r="O862" s="9">
        <f t="shared" si="108"/>
        <v>34975</v>
      </c>
      <c r="P862" s="9" t="str">
        <f t="shared" si="111"/>
        <v>PERCENTAGE</v>
      </c>
    </row>
    <row r="863" spans="1:16" s="6" customFormat="1" x14ac:dyDescent="0.25">
      <c r="A863" s="7" t="str">
        <f t="shared" si="109"/>
        <v>2024 ALL D75</v>
      </c>
      <c r="B863" s="8">
        <f t="shared" si="110"/>
        <v>46104</v>
      </c>
      <c r="C863" s="8">
        <f t="shared" si="112"/>
        <v>46113</v>
      </c>
      <c r="D863" s="7">
        <v>3272</v>
      </c>
      <c r="E863" s="7">
        <v>336</v>
      </c>
      <c r="F863" s="7">
        <v>4</v>
      </c>
      <c r="G863" s="7">
        <v>1</v>
      </c>
      <c r="H863" s="7">
        <v>81379</v>
      </c>
      <c r="I863" s="7" t="s">
        <v>16</v>
      </c>
      <c r="J863" s="7">
        <v>51503425</v>
      </c>
      <c r="K863" s="7" t="s">
        <v>1018</v>
      </c>
      <c r="L863" s="13" t="s">
        <v>1022</v>
      </c>
      <c r="M863" s="14">
        <v>139900</v>
      </c>
      <c r="N863" s="10" t="str">
        <f t="shared" si="113"/>
        <v>BXGY</v>
      </c>
      <c r="O863" s="9">
        <f t="shared" si="108"/>
        <v>34975</v>
      </c>
      <c r="P863" s="9" t="str">
        <f t="shared" si="111"/>
        <v>PERCENTAGE</v>
      </c>
    </row>
    <row r="864" spans="1:16" s="6" customFormat="1" x14ac:dyDescent="0.25">
      <c r="A864" s="7" t="str">
        <f t="shared" si="109"/>
        <v>2024 ALL D75</v>
      </c>
      <c r="B864" s="8">
        <f t="shared" si="110"/>
        <v>46104</v>
      </c>
      <c r="C864" s="8">
        <f t="shared" si="112"/>
        <v>46113</v>
      </c>
      <c r="D864" s="7">
        <v>3272</v>
      </c>
      <c r="E864" s="7">
        <v>336</v>
      </c>
      <c r="F864" s="7">
        <v>4</v>
      </c>
      <c r="G864" s="7">
        <v>1</v>
      </c>
      <c r="H864" s="7">
        <v>81379</v>
      </c>
      <c r="I864" s="7" t="s">
        <v>16</v>
      </c>
      <c r="J864" s="7">
        <v>51503434</v>
      </c>
      <c r="K864" s="7" t="s">
        <v>1018</v>
      </c>
      <c r="L864" s="13" t="s">
        <v>1023</v>
      </c>
      <c r="M864" s="14">
        <v>139900</v>
      </c>
      <c r="N864" s="10" t="str">
        <f t="shared" si="113"/>
        <v>BXGY</v>
      </c>
      <c r="O864" s="9">
        <f t="shared" si="108"/>
        <v>34975</v>
      </c>
      <c r="P864" s="9" t="str">
        <f t="shared" si="111"/>
        <v>PERCENTAGE</v>
      </c>
    </row>
    <row r="865" spans="1:16" s="6" customFormat="1" x14ac:dyDescent="0.25">
      <c r="A865" s="7" t="str">
        <f t="shared" si="109"/>
        <v>2024 ALL D75</v>
      </c>
      <c r="B865" s="8">
        <f t="shared" si="110"/>
        <v>46104</v>
      </c>
      <c r="C865" s="8">
        <f t="shared" si="112"/>
        <v>46113</v>
      </c>
      <c r="D865" s="7">
        <v>3272</v>
      </c>
      <c r="E865" s="7">
        <v>336</v>
      </c>
      <c r="F865" s="7">
        <v>4</v>
      </c>
      <c r="G865" s="7">
        <v>1</v>
      </c>
      <c r="H865" s="7">
        <v>81379</v>
      </c>
      <c r="I865" s="7" t="s">
        <v>16</v>
      </c>
      <c r="J865" s="7">
        <v>51503443</v>
      </c>
      <c r="K865" s="7" t="s">
        <v>1024</v>
      </c>
      <c r="L865" s="13" t="s">
        <v>1025</v>
      </c>
      <c r="M865" s="14">
        <v>139900</v>
      </c>
      <c r="N865" s="10" t="str">
        <f t="shared" si="113"/>
        <v>BXGY</v>
      </c>
      <c r="O865" s="9">
        <f t="shared" si="108"/>
        <v>34975</v>
      </c>
      <c r="P865" s="9" t="str">
        <f t="shared" si="111"/>
        <v>PERCENTAGE</v>
      </c>
    </row>
    <row r="866" spans="1:16" s="6" customFormat="1" x14ac:dyDescent="0.25">
      <c r="A866" s="7" t="str">
        <f t="shared" si="109"/>
        <v>2024 ALL D75</v>
      </c>
      <c r="B866" s="8">
        <f t="shared" si="110"/>
        <v>46104</v>
      </c>
      <c r="C866" s="8">
        <f t="shared" si="112"/>
        <v>46113</v>
      </c>
      <c r="D866" s="7">
        <v>3272</v>
      </c>
      <c r="E866" s="7">
        <v>336</v>
      </c>
      <c r="F866" s="7">
        <v>4</v>
      </c>
      <c r="G866" s="7">
        <v>1</v>
      </c>
      <c r="H866" s="7">
        <v>81379</v>
      </c>
      <c r="I866" s="7" t="s">
        <v>16</v>
      </c>
      <c r="J866" s="7">
        <v>51503452</v>
      </c>
      <c r="K866" s="7" t="s">
        <v>1024</v>
      </c>
      <c r="L866" s="13" t="s">
        <v>1026</v>
      </c>
      <c r="M866" s="14">
        <v>139900</v>
      </c>
      <c r="N866" s="10" t="str">
        <f t="shared" si="113"/>
        <v>BXGY</v>
      </c>
      <c r="O866" s="9">
        <f t="shared" si="108"/>
        <v>34975</v>
      </c>
      <c r="P866" s="9" t="str">
        <f t="shared" si="111"/>
        <v>PERCENTAGE</v>
      </c>
    </row>
    <row r="867" spans="1:16" s="6" customFormat="1" x14ac:dyDescent="0.25">
      <c r="A867" s="7" t="str">
        <f t="shared" si="109"/>
        <v>2024 ALL D75</v>
      </c>
      <c r="B867" s="8">
        <f t="shared" si="110"/>
        <v>46104</v>
      </c>
      <c r="C867" s="8">
        <f t="shared" si="112"/>
        <v>46113</v>
      </c>
      <c r="D867" s="7">
        <v>3272</v>
      </c>
      <c r="E867" s="7">
        <v>336</v>
      </c>
      <c r="F867" s="7">
        <v>4</v>
      </c>
      <c r="G867" s="7">
        <v>1</v>
      </c>
      <c r="H867" s="7">
        <v>81379</v>
      </c>
      <c r="I867" s="7" t="s">
        <v>16</v>
      </c>
      <c r="J867" s="7">
        <v>51503461</v>
      </c>
      <c r="K867" s="7" t="s">
        <v>1024</v>
      </c>
      <c r="L867" s="13" t="s">
        <v>1027</v>
      </c>
      <c r="M867" s="14">
        <v>139900</v>
      </c>
      <c r="N867" s="10" t="str">
        <f t="shared" si="113"/>
        <v>BXGY</v>
      </c>
      <c r="O867" s="9">
        <f t="shared" si="108"/>
        <v>34975</v>
      </c>
      <c r="P867" s="9" t="str">
        <f t="shared" si="111"/>
        <v>PERCENTAGE</v>
      </c>
    </row>
    <row r="868" spans="1:16" s="6" customFormat="1" x14ac:dyDescent="0.25">
      <c r="A868" s="7" t="str">
        <f t="shared" si="109"/>
        <v>2024 ALL D75</v>
      </c>
      <c r="B868" s="8">
        <f t="shared" si="110"/>
        <v>46104</v>
      </c>
      <c r="C868" s="8">
        <f t="shared" si="112"/>
        <v>46113</v>
      </c>
      <c r="D868" s="7">
        <v>3272</v>
      </c>
      <c r="E868" s="7">
        <v>336</v>
      </c>
      <c r="F868" s="7">
        <v>4</v>
      </c>
      <c r="G868" s="7">
        <v>1</v>
      </c>
      <c r="H868" s="7">
        <v>81379</v>
      </c>
      <c r="I868" s="7" t="s">
        <v>16</v>
      </c>
      <c r="J868" s="7">
        <v>51503470</v>
      </c>
      <c r="K868" s="7" t="s">
        <v>1024</v>
      </c>
      <c r="L868" s="13" t="s">
        <v>1028</v>
      </c>
      <c r="M868" s="14">
        <v>139900</v>
      </c>
      <c r="N868" s="10" t="str">
        <f t="shared" si="113"/>
        <v>BXGY</v>
      </c>
      <c r="O868" s="9">
        <f t="shared" si="108"/>
        <v>34975</v>
      </c>
      <c r="P868" s="9" t="str">
        <f t="shared" si="111"/>
        <v>PERCENTAGE</v>
      </c>
    </row>
    <row r="869" spans="1:16" s="6" customFormat="1" x14ac:dyDescent="0.25">
      <c r="A869" s="7" t="str">
        <f t="shared" si="109"/>
        <v>2024 ALL D75</v>
      </c>
      <c r="B869" s="8">
        <f t="shared" si="110"/>
        <v>46104</v>
      </c>
      <c r="C869" s="8">
        <f t="shared" si="112"/>
        <v>46113</v>
      </c>
      <c r="D869" s="7">
        <v>3272</v>
      </c>
      <c r="E869" s="7">
        <v>336</v>
      </c>
      <c r="F869" s="7">
        <v>4</v>
      </c>
      <c r="G869" s="7">
        <v>1</v>
      </c>
      <c r="H869" s="7">
        <v>81379</v>
      </c>
      <c r="I869" s="7" t="s">
        <v>16</v>
      </c>
      <c r="J869" s="7">
        <v>51503489</v>
      </c>
      <c r="K869" s="7" t="s">
        <v>1024</v>
      </c>
      <c r="L869" s="13" t="s">
        <v>1029</v>
      </c>
      <c r="M869" s="14">
        <v>139900</v>
      </c>
      <c r="N869" s="10" t="str">
        <f t="shared" si="113"/>
        <v>BXGY</v>
      </c>
      <c r="O869" s="9">
        <f t="shared" si="108"/>
        <v>34975</v>
      </c>
      <c r="P869" s="9" t="str">
        <f t="shared" si="111"/>
        <v>PERCENTAGE</v>
      </c>
    </row>
    <row r="870" spans="1:16" s="6" customFormat="1" x14ac:dyDescent="0.25">
      <c r="A870" s="7" t="str">
        <f t="shared" si="109"/>
        <v>2024 ALL D75</v>
      </c>
      <c r="B870" s="8">
        <f t="shared" si="110"/>
        <v>46104</v>
      </c>
      <c r="C870" s="8">
        <f t="shared" si="112"/>
        <v>46113</v>
      </c>
      <c r="D870" s="7">
        <v>3272</v>
      </c>
      <c r="E870" s="7">
        <v>336</v>
      </c>
      <c r="F870" s="7">
        <v>4</v>
      </c>
      <c r="G870" s="7">
        <v>3</v>
      </c>
      <c r="H870" s="7">
        <v>81379</v>
      </c>
      <c r="I870" s="7" t="s">
        <v>16</v>
      </c>
      <c r="J870" s="7">
        <v>45646579</v>
      </c>
      <c r="K870" s="7" t="s">
        <v>1030</v>
      </c>
      <c r="L870" s="13" t="s">
        <v>1031</v>
      </c>
      <c r="M870" s="15">
        <v>279900</v>
      </c>
      <c r="N870" s="10" t="str">
        <f t="shared" si="113"/>
        <v>BXGY</v>
      </c>
      <c r="O870" s="9">
        <f t="shared" si="108"/>
        <v>69975</v>
      </c>
      <c r="P870" s="9" t="str">
        <f t="shared" si="111"/>
        <v>PERCENTAGE</v>
      </c>
    </row>
    <row r="871" spans="1:16" s="6" customFormat="1" x14ac:dyDescent="0.25">
      <c r="A871" s="7" t="str">
        <f t="shared" si="109"/>
        <v>2024 ALL D75</v>
      </c>
      <c r="B871" s="8">
        <f t="shared" si="110"/>
        <v>46104</v>
      </c>
      <c r="C871" s="8">
        <f t="shared" si="112"/>
        <v>46113</v>
      </c>
      <c r="D871" s="7">
        <v>3272</v>
      </c>
      <c r="E871" s="7">
        <v>336</v>
      </c>
      <c r="F871" s="7">
        <v>4</v>
      </c>
      <c r="G871" s="7">
        <v>3</v>
      </c>
      <c r="H871" s="7">
        <v>81379</v>
      </c>
      <c r="I871" s="7" t="s">
        <v>16</v>
      </c>
      <c r="J871" s="7">
        <v>45646588</v>
      </c>
      <c r="K871" s="7" t="s">
        <v>1030</v>
      </c>
      <c r="L871" s="13" t="s">
        <v>1032</v>
      </c>
      <c r="M871" s="15">
        <v>279900</v>
      </c>
      <c r="N871" s="10" t="str">
        <f t="shared" si="113"/>
        <v>BXGY</v>
      </c>
      <c r="O871" s="9">
        <f t="shared" si="108"/>
        <v>69975</v>
      </c>
      <c r="P871" s="9" t="str">
        <f t="shared" si="111"/>
        <v>PERCENTAGE</v>
      </c>
    </row>
    <row r="872" spans="1:16" s="6" customFormat="1" x14ac:dyDescent="0.25">
      <c r="A872" s="7" t="str">
        <f t="shared" si="109"/>
        <v>2024 ALL D75</v>
      </c>
      <c r="B872" s="8">
        <f t="shared" si="110"/>
        <v>46104</v>
      </c>
      <c r="C872" s="8">
        <f t="shared" si="112"/>
        <v>46113</v>
      </c>
      <c r="D872" s="7">
        <v>3272</v>
      </c>
      <c r="E872" s="7">
        <v>336</v>
      </c>
      <c r="F872" s="7">
        <v>4</v>
      </c>
      <c r="G872" s="7">
        <v>3</v>
      </c>
      <c r="H872" s="7">
        <v>81379</v>
      </c>
      <c r="I872" s="7" t="s">
        <v>16</v>
      </c>
      <c r="J872" s="7">
        <v>45646597</v>
      </c>
      <c r="K872" s="7" t="s">
        <v>1030</v>
      </c>
      <c r="L872" s="13" t="s">
        <v>1033</v>
      </c>
      <c r="M872" s="15">
        <v>279900</v>
      </c>
      <c r="N872" s="10" t="str">
        <f t="shared" si="113"/>
        <v>BXGY</v>
      </c>
      <c r="O872" s="9">
        <f t="shared" si="108"/>
        <v>69975</v>
      </c>
      <c r="P872" s="9" t="str">
        <f t="shared" si="111"/>
        <v>PERCENTAGE</v>
      </c>
    </row>
    <row r="873" spans="1:16" s="6" customFormat="1" x14ac:dyDescent="0.25">
      <c r="A873" s="7" t="str">
        <f t="shared" si="109"/>
        <v>2024 ALL D75</v>
      </c>
      <c r="B873" s="8">
        <f t="shared" si="110"/>
        <v>46104</v>
      </c>
      <c r="C873" s="8">
        <f t="shared" si="112"/>
        <v>46113</v>
      </c>
      <c r="D873" s="7">
        <v>3272</v>
      </c>
      <c r="E873" s="7">
        <v>336</v>
      </c>
      <c r="F873" s="7">
        <v>4</v>
      </c>
      <c r="G873" s="7">
        <v>3</v>
      </c>
      <c r="H873" s="7">
        <v>81379</v>
      </c>
      <c r="I873" s="7" t="s">
        <v>16</v>
      </c>
      <c r="J873" s="7">
        <v>45646604</v>
      </c>
      <c r="K873" s="7" t="s">
        <v>1030</v>
      </c>
      <c r="L873" s="13" t="s">
        <v>1034</v>
      </c>
      <c r="M873" s="15">
        <v>279900</v>
      </c>
      <c r="N873" s="10" t="str">
        <f t="shared" si="113"/>
        <v>BXGY</v>
      </c>
      <c r="O873" s="9">
        <f t="shared" si="108"/>
        <v>69975</v>
      </c>
      <c r="P873" s="9" t="str">
        <f t="shared" si="111"/>
        <v>PERCENTAGE</v>
      </c>
    </row>
    <row r="874" spans="1:16" s="6" customFormat="1" x14ac:dyDescent="0.25">
      <c r="A874" s="7" t="str">
        <f t="shared" si="109"/>
        <v>2024 ALL D75</v>
      </c>
      <c r="B874" s="8">
        <f t="shared" si="110"/>
        <v>46104</v>
      </c>
      <c r="C874" s="8">
        <f t="shared" si="112"/>
        <v>46113</v>
      </c>
      <c r="D874" s="7">
        <v>3272</v>
      </c>
      <c r="E874" s="7">
        <v>336</v>
      </c>
      <c r="F874" s="7">
        <v>4</v>
      </c>
      <c r="G874" s="7">
        <v>3</v>
      </c>
      <c r="H874" s="7">
        <v>81379</v>
      </c>
      <c r="I874" s="7" t="s">
        <v>16</v>
      </c>
      <c r="J874" s="7">
        <v>45646613</v>
      </c>
      <c r="K874" s="7" t="s">
        <v>1030</v>
      </c>
      <c r="L874" s="13" t="s">
        <v>1035</v>
      </c>
      <c r="M874" s="15">
        <v>279900</v>
      </c>
      <c r="N874" s="10" t="str">
        <f t="shared" si="113"/>
        <v>BXGY</v>
      </c>
      <c r="O874" s="9">
        <f t="shared" si="108"/>
        <v>69975</v>
      </c>
      <c r="P874" s="9" t="str">
        <f t="shared" si="111"/>
        <v>PERCENTAGE</v>
      </c>
    </row>
  </sheetData>
  <conditionalFormatting sqref="J1:J466">
    <cfRule type="duplicateValues" dxfId="13" priority="6"/>
    <cfRule type="duplicateValues" dxfId="12" priority="7"/>
  </conditionalFormatting>
  <conditionalFormatting sqref="J431">
    <cfRule type="duplicateValues" dxfId="11" priority="5"/>
  </conditionalFormatting>
  <conditionalFormatting sqref="J467:J659">
    <cfRule type="duplicateValues" dxfId="10" priority="4"/>
  </conditionalFormatting>
  <conditionalFormatting sqref="J660:J826">
    <cfRule type="duplicateValues" dxfId="9" priority="3"/>
  </conditionalFormatting>
  <conditionalFormatting sqref="J827:J874">
    <cfRule type="duplicateValues" dxfId="8" priority="1"/>
    <cfRule type="duplicateValues" dxfId="7" priority="2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2DB9-91D1-42E3-87AA-5491ACACA3C9}">
  <dimension ref="A1:P806"/>
  <sheetViews>
    <sheetView topLeftCell="A788" zoomScale="95" zoomScaleNormal="95" workbookViewId="0">
      <selection activeCell="B807" sqref="B807"/>
    </sheetView>
  </sheetViews>
  <sheetFormatPr defaultColWidth="8.7109375" defaultRowHeight="15" x14ac:dyDescent="0.25"/>
  <cols>
    <col min="1" max="1" width="25.85546875" style="30" customWidth="1"/>
    <col min="2" max="2" width="15.7109375" style="17" bestFit="1" customWidth="1"/>
    <col min="3" max="3" width="10.7109375" style="17" bestFit="1" customWidth="1"/>
    <col min="4" max="4" width="5.28515625" style="17" bestFit="1" customWidth="1"/>
    <col min="5" max="5" width="7.28515625" style="17" bestFit="1" customWidth="1"/>
    <col min="6" max="6" width="8.42578125" style="17" bestFit="1" customWidth="1"/>
    <col min="7" max="7" width="5.7109375" style="17" bestFit="1" customWidth="1"/>
    <col min="8" max="8" width="8.7109375" style="17" bestFit="1" customWidth="1"/>
    <col min="9" max="9" width="14.28515625" style="17" bestFit="1" customWidth="1"/>
    <col min="10" max="10" width="9.28515625" style="17" bestFit="1" customWidth="1"/>
    <col min="11" max="11" width="10" style="17" bestFit="1" customWidth="1"/>
    <col min="12" max="12" width="114.85546875" style="28" bestFit="1" customWidth="1"/>
    <col min="13" max="13" width="14.7109375" style="6" bestFit="1" customWidth="1"/>
    <col min="14" max="14" width="10.42578125" style="17" bestFit="1" customWidth="1"/>
    <col min="15" max="15" width="14" style="33" bestFit="1" customWidth="1"/>
    <col min="16" max="16" width="14.28515625" style="17" bestFit="1" customWidth="1"/>
    <col min="17" max="16384" width="8.7109375" style="17"/>
  </cols>
  <sheetData>
    <row r="1" spans="1:16" x14ac:dyDescent="0.25">
      <c r="A1" s="29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26" t="s">
        <v>11</v>
      </c>
      <c r="M1" s="4" t="s">
        <v>12</v>
      </c>
      <c r="N1" s="5" t="s">
        <v>13</v>
      </c>
      <c r="O1" s="31" t="s">
        <v>14</v>
      </c>
      <c r="P1" s="1" t="s">
        <v>15</v>
      </c>
    </row>
    <row r="2" spans="1:16" x14ac:dyDescent="0.25">
      <c r="A2" s="25" t="s">
        <v>1960</v>
      </c>
      <c r="B2" s="8">
        <v>46104</v>
      </c>
      <c r="C2" s="8">
        <v>46113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16</v>
      </c>
      <c r="J2" s="7">
        <v>15500273</v>
      </c>
      <c r="K2" s="7" t="s">
        <v>1036</v>
      </c>
      <c r="L2" s="27" t="s">
        <v>1037</v>
      </c>
      <c r="M2" s="9">
        <v>149900</v>
      </c>
      <c r="N2" s="18">
        <v>0.7</v>
      </c>
      <c r="O2" s="32">
        <f>M2-((70*M2)/100)</f>
        <v>44970</v>
      </c>
      <c r="P2" s="18" t="s">
        <v>19</v>
      </c>
    </row>
    <row r="3" spans="1:16" x14ac:dyDescent="0.25">
      <c r="A3" s="25" t="str">
        <f>A2</f>
        <v>2025 JAN-JUN D70</v>
      </c>
      <c r="B3" s="8">
        <f>B2</f>
        <v>46104</v>
      </c>
      <c r="C3" s="8">
        <f t="shared" ref="C3:C18" si="0">C2</f>
        <v>46113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16</v>
      </c>
      <c r="J3" s="7">
        <v>15500282</v>
      </c>
      <c r="K3" s="7" t="s">
        <v>1036</v>
      </c>
      <c r="L3" s="27" t="s">
        <v>1038</v>
      </c>
      <c r="M3" s="9">
        <v>149900</v>
      </c>
      <c r="N3" s="18">
        <f>N2</f>
        <v>0.7</v>
      </c>
      <c r="O3" s="32">
        <f>M3-((70*M3)/100)</f>
        <v>44970</v>
      </c>
      <c r="P3" s="18" t="s">
        <v>19</v>
      </c>
    </row>
    <row r="4" spans="1:16" x14ac:dyDescent="0.25">
      <c r="A4" s="25" t="str">
        <f t="shared" ref="A4:A67" si="1">A3</f>
        <v>2025 JAN-JUN D70</v>
      </c>
      <c r="B4" s="8">
        <f t="shared" ref="B4:B67" si="2">B3</f>
        <v>46104</v>
      </c>
      <c r="C4" s="8">
        <f t="shared" si="0"/>
        <v>46113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16</v>
      </c>
      <c r="J4" s="7">
        <v>15500291</v>
      </c>
      <c r="K4" s="7" t="s">
        <v>1036</v>
      </c>
      <c r="L4" s="27" t="s">
        <v>1039</v>
      </c>
      <c r="M4" s="9">
        <v>149900</v>
      </c>
      <c r="N4" s="18">
        <f t="shared" ref="N4:N67" si="3">N3</f>
        <v>0.7</v>
      </c>
      <c r="O4" s="32">
        <f t="shared" ref="O4:O67" si="4">M4-((70*M4)/100)</f>
        <v>44970</v>
      </c>
      <c r="P4" s="18" t="s">
        <v>19</v>
      </c>
    </row>
    <row r="5" spans="1:16" x14ac:dyDescent="0.25">
      <c r="A5" s="25" t="str">
        <f t="shared" si="1"/>
        <v>2025 JAN-JUN D70</v>
      </c>
      <c r="B5" s="8">
        <f t="shared" si="2"/>
        <v>46104</v>
      </c>
      <c r="C5" s="8">
        <f t="shared" si="0"/>
        <v>46113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16</v>
      </c>
      <c r="J5" s="7">
        <v>15500308</v>
      </c>
      <c r="K5" s="7" t="s">
        <v>1036</v>
      </c>
      <c r="L5" s="27" t="s">
        <v>1040</v>
      </c>
      <c r="M5" s="9">
        <v>149900</v>
      </c>
      <c r="N5" s="18">
        <f t="shared" si="3"/>
        <v>0.7</v>
      </c>
      <c r="O5" s="32">
        <f t="shared" si="4"/>
        <v>44970</v>
      </c>
      <c r="P5" s="18" t="s">
        <v>19</v>
      </c>
    </row>
    <row r="6" spans="1:16" x14ac:dyDescent="0.25">
      <c r="A6" s="25" t="str">
        <f t="shared" si="1"/>
        <v>2025 JAN-JUN D70</v>
      </c>
      <c r="B6" s="8">
        <f t="shared" si="2"/>
        <v>46104</v>
      </c>
      <c r="C6" s="8">
        <f t="shared" si="0"/>
        <v>46113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16</v>
      </c>
      <c r="J6" s="7">
        <v>15500317</v>
      </c>
      <c r="K6" s="7" t="s">
        <v>1036</v>
      </c>
      <c r="L6" s="27" t="s">
        <v>1041</v>
      </c>
      <c r="M6" s="9">
        <v>149900</v>
      </c>
      <c r="N6" s="18">
        <f t="shared" si="3"/>
        <v>0.7</v>
      </c>
      <c r="O6" s="32">
        <f t="shared" si="4"/>
        <v>44970</v>
      </c>
      <c r="P6" s="18" t="s">
        <v>19</v>
      </c>
    </row>
    <row r="7" spans="1:16" x14ac:dyDescent="0.25">
      <c r="A7" s="25" t="str">
        <f t="shared" si="1"/>
        <v>2025 JAN-JUN D70</v>
      </c>
      <c r="B7" s="8">
        <f t="shared" si="2"/>
        <v>46104</v>
      </c>
      <c r="C7" s="8">
        <f t="shared" si="0"/>
        <v>46113</v>
      </c>
      <c r="D7" s="7">
        <v>3272</v>
      </c>
      <c r="E7" s="7">
        <v>336</v>
      </c>
      <c r="F7" s="7">
        <v>4</v>
      </c>
      <c r="G7" s="7">
        <v>1</v>
      </c>
      <c r="H7" s="7">
        <v>4953</v>
      </c>
      <c r="I7" s="7" t="s">
        <v>16</v>
      </c>
      <c r="J7" s="7">
        <v>45646328</v>
      </c>
      <c r="K7" s="7" t="s">
        <v>1042</v>
      </c>
      <c r="L7" s="27" t="s">
        <v>1043</v>
      </c>
      <c r="M7" s="9">
        <v>139900</v>
      </c>
      <c r="N7" s="18">
        <f t="shared" si="3"/>
        <v>0.7</v>
      </c>
      <c r="O7" s="32">
        <f t="shared" si="4"/>
        <v>41970</v>
      </c>
      <c r="P7" s="18" t="s">
        <v>19</v>
      </c>
    </row>
    <row r="8" spans="1:16" x14ac:dyDescent="0.25">
      <c r="A8" s="25" t="str">
        <f t="shared" si="1"/>
        <v>2025 JAN-JUN D70</v>
      </c>
      <c r="B8" s="8">
        <f t="shared" si="2"/>
        <v>46104</v>
      </c>
      <c r="C8" s="8">
        <f t="shared" si="0"/>
        <v>46113</v>
      </c>
      <c r="D8" s="7">
        <v>3272</v>
      </c>
      <c r="E8" s="7">
        <v>336</v>
      </c>
      <c r="F8" s="7">
        <v>4</v>
      </c>
      <c r="G8" s="7">
        <v>1</v>
      </c>
      <c r="H8" s="7">
        <v>4953</v>
      </c>
      <c r="I8" s="7" t="s">
        <v>16</v>
      </c>
      <c r="J8" s="7">
        <v>45646337</v>
      </c>
      <c r="K8" s="7" t="s">
        <v>1042</v>
      </c>
      <c r="L8" s="27" t="s">
        <v>1044</v>
      </c>
      <c r="M8" s="9">
        <v>139900</v>
      </c>
      <c r="N8" s="18">
        <f t="shared" si="3"/>
        <v>0.7</v>
      </c>
      <c r="O8" s="32">
        <f t="shared" si="4"/>
        <v>41970</v>
      </c>
      <c r="P8" s="18" t="s">
        <v>19</v>
      </c>
    </row>
    <row r="9" spans="1:16" x14ac:dyDescent="0.25">
      <c r="A9" s="25" t="str">
        <f t="shared" si="1"/>
        <v>2025 JAN-JUN D70</v>
      </c>
      <c r="B9" s="8">
        <f t="shared" si="2"/>
        <v>46104</v>
      </c>
      <c r="C9" s="8">
        <f t="shared" si="0"/>
        <v>46113</v>
      </c>
      <c r="D9" s="7">
        <v>3272</v>
      </c>
      <c r="E9" s="7">
        <v>336</v>
      </c>
      <c r="F9" s="7">
        <v>4</v>
      </c>
      <c r="G9" s="7">
        <v>1</v>
      </c>
      <c r="H9" s="7">
        <v>4953</v>
      </c>
      <c r="I9" s="7" t="s">
        <v>16</v>
      </c>
      <c r="J9" s="7">
        <v>45646346</v>
      </c>
      <c r="K9" s="7" t="s">
        <v>1042</v>
      </c>
      <c r="L9" s="27" t="s">
        <v>1045</v>
      </c>
      <c r="M9" s="9">
        <v>139900</v>
      </c>
      <c r="N9" s="18">
        <f t="shared" si="3"/>
        <v>0.7</v>
      </c>
      <c r="O9" s="32">
        <f t="shared" si="4"/>
        <v>41970</v>
      </c>
      <c r="P9" s="18" t="s">
        <v>19</v>
      </c>
    </row>
    <row r="10" spans="1:16" x14ac:dyDescent="0.25">
      <c r="A10" s="25" t="str">
        <f t="shared" si="1"/>
        <v>2025 JAN-JUN D70</v>
      </c>
      <c r="B10" s="8">
        <f t="shared" si="2"/>
        <v>46104</v>
      </c>
      <c r="C10" s="8">
        <f t="shared" si="0"/>
        <v>46113</v>
      </c>
      <c r="D10" s="7">
        <v>3272</v>
      </c>
      <c r="E10" s="7">
        <v>336</v>
      </c>
      <c r="F10" s="7">
        <v>4</v>
      </c>
      <c r="G10" s="7">
        <v>1</v>
      </c>
      <c r="H10" s="7">
        <v>4953</v>
      </c>
      <c r="I10" s="7" t="s">
        <v>16</v>
      </c>
      <c r="J10" s="7">
        <v>45646355</v>
      </c>
      <c r="K10" s="7" t="s">
        <v>1042</v>
      </c>
      <c r="L10" s="27" t="s">
        <v>1046</v>
      </c>
      <c r="M10" s="9">
        <v>139900</v>
      </c>
      <c r="N10" s="18">
        <f t="shared" si="3"/>
        <v>0.7</v>
      </c>
      <c r="O10" s="32">
        <f t="shared" si="4"/>
        <v>41970</v>
      </c>
      <c r="P10" s="18" t="s">
        <v>19</v>
      </c>
    </row>
    <row r="11" spans="1:16" x14ac:dyDescent="0.25">
      <c r="A11" s="25" t="str">
        <f t="shared" si="1"/>
        <v>2025 JAN-JUN D70</v>
      </c>
      <c r="B11" s="8">
        <f t="shared" si="2"/>
        <v>46104</v>
      </c>
      <c r="C11" s="8">
        <f t="shared" si="0"/>
        <v>46113</v>
      </c>
      <c r="D11" s="7">
        <v>3272</v>
      </c>
      <c r="E11" s="7">
        <v>336</v>
      </c>
      <c r="F11" s="7">
        <v>4</v>
      </c>
      <c r="G11" s="7">
        <v>1</v>
      </c>
      <c r="H11" s="7">
        <v>4953</v>
      </c>
      <c r="I11" s="7" t="s">
        <v>16</v>
      </c>
      <c r="J11" s="7">
        <v>45646364</v>
      </c>
      <c r="K11" s="7" t="s">
        <v>1042</v>
      </c>
      <c r="L11" s="27" t="s">
        <v>1047</v>
      </c>
      <c r="M11" s="9">
        <v>139900</v>
      </c>
      <c r="N11" s="18">
        <f t="shared" si="3"/>
        <v>0.7</v>
      </c>
      <c r="O11" s="32">
        <f t="shared" si="4"/>
        <v>41970</v>
      </c>
      <c r="P11" s="18" t="s">
        <v>19</v>
      </c>
    </row>
    <row r="12" spans="1:16" x14ac:dyDescent="0.25">
      <c r="A12" s="25" t="str">
        <f t="shared" si="1"/>
        <v>2025 JAN-JUN D70</v>
      </c>
      <c r="B12" s="8">
        <f t="shared" si="2"/>
        <v>46104</v>
      </c>
      <c r="C12" s="8">
        <f t="shared" si="0"/>
        <v>46113</v>
      </c>
      <c r="D12" s="7">
        <v>3272</v>
      </c>
      <c r="E12" s="7">
        <v>336</v>
      </c>
      <c r="F12" s="7">
        <v>4</v>
      </c>
      <c r="G12" s="7">
        <v>1</v>
      </c>
      <c r="H12" s="7">
        <v>81588</v>
      </c>
      <c r="I12" s="7" t="s">
        <v>16</v>
      </c>
      <c r="J12" s="7">
        <v>45647069</v>
      </c>
      <c r="K12" s="7" t="s">
        <v>1048</v>
      </c>
      <c r="L12" s="27" t="s">
        <v>1049</v>
      </c>
      <c r="M12" s="9">
        <v>139900</v>
      </c>
      <c r="N12" s="18">
        <f t="shared" si="3"/>
        <v>0.7</v>
      </c>
      <c r="O12" s="32">
        <f t="shared" si="4"/>
        <v>41970</v>
      </c>
      <c r="P12" s="18" t="s">
        <v>19</v>
      </c>
    </row>
    <row r="13" spans="1:16" x14ac:dyDescent="0.25">
      <c r="A13" s="25" t="str">
        <f t="shared" si="1"/>
        <v>2025 JAN-JUN D70</v>
      </c>
      <c r="B13" s="8">
        <f t="shared" si="2"/>
        <v>46104</v>
      </c>
      <c r="C13" s="8">
        <f t="shared" si="0"/>
        <v>46113</v>
      </c>
      <c r="D13" s="7">
        <v>3272</v>
      </c>
      <c r="E13" s="7">
        <v>336</v>
      </c>
      <c r="F13" s="7">
        <v>4</v>
      </c>
      <c r="G13" s="7">
        <v>1</v>
      </c>
      <c r="H13" s="7">
        <v>81588</v>
      </c>
      <c r="I13" s="7" t="s">
        <v>16</v>
      </c>
      <c r="J13" s="7">
        <v>45647078</v>
      </c>
      <c r="K13" s="7" t="s">
        <v>1048</v>
      </c>
      <c r="L13" s="27" t="s">
        <v>1050</v>
      </c>
      <c r="M13" s="9">
        <v>139900</v>
      </c>
      <c r="N13" s="18">
        <f t="shared" si="3"/>
        <v>0.7</v>
      </c>
      <c r="O13" s="32">
        <f t="shared" si="4"/>
        <v>41970</v>
      </c>
      <c r="P13" s="18" t="s">
        <v>19</v>
      </c>
    </row>
    <row r="14" spans="1:16" x14ac:dyDescent="0.25">
      <c r="A14" s="25" t="str">
        <f t="shared" si="1"/>
        <v>2025 JAN-JUN D70</v>
      </c>
      <c r="B14" s="8">
        <f t="shared" si="2"/>
        <v>46104</v>
      </c>
      <c r="C14" s="8">
        <f t="shared" si="0"/>
        <v>46113</v>
      </c>
      <c r="D14" s="7">
        <v>3272</v>
      </c>
      <c r="E14" s="7">
        <v>336</v>
      </c>
      <c r="F14" s="7">
        <v>4</v>
      </c>
      <c r="G14" s="7">
        <v>1</v>
      </c>
      <c r="H14" s="7">
        <v>81588</v>
      </c>
      <c r="I14" s="7" t="s">
        <v>16</v>
      </c>
      <c r="J14" s="7">
        <v>45647087</v>
      </c>
      <c r="K14" s="7" t="s">
        <v>1048</v>
      </c>
      <c r="L14" s="27" t="s">
        <v>1051</v>
      </c>
      <c r="M14" s="9">
        <v>139900</v>
      </c>
      <c r="N14" s="18">
        <f t="shared" si="3"/>
        <v>0.7</v>
      </c>
      <c r="O14" s="32">
        <f t="shared" si="4"/>
        <v>41970</v>
      </c>
      <c r="P14" s="18" t="s">
        <v>19</v>
      </c>
    </row>
    <row r="15" spans="1:16" x14ac:dyDescent="0.25">
      <c r="A15" s="25" t="str">
        <f t="shared" si="1"/>
        <v>2025 JAN-JUN D70</v>
      </c>
      <c r="B15" s="8">
        <f t="shared" si="2"/>
        <v>46104</v>
      </c>
      <c r="C15" s="8">
        <f t="shared" si="0"/>
        <v>46113</v>
      </c>
      <c r="D15" s="7">
        <v>3272</v>
      </c>
      <c r="E15" s="7">
        <v>336</v>
      </c>
      <c r="F15" s="7">
        <v>4</v>
      </c>
      <c r="G15" s="7">
        <v>1</v>
      </c>
      <c r="H15" s="7">
        <v>81588</v>
      </c>
      <c r="I15" s="7" t="s">
        <v>16</v>
      </c>
      <c r="J15" s="7">
        <v>45647096</v>
      </c>
      <c r="K15" s="7" t="s">
        <v>1048</v>
      </c>
      <c r="L15" s="27" t="s">
        <v>1052</v>
      </c>
      <c r="M15" s="9">
        <v>149900</v>
      </c>
      <c r="N15" s="18">
        <f t="shared" si="3"/>
        <v>0.7</v>
      </c>
      <c r="O15" s="32">
        <f t="shared" si="4"/>
        <v>44970</v>
      </c>
      <c r="P15" s="18" t="s">
        <v>19</v>
      </c>
    </row>
    <row r="16" spans="1:16" x14ac:dyDescent="0.25">
      <c r="A16" s="25" t="str">
        <f t="shared" si="1"/>
        <v>2025 JAN-JUN D70</v>
      </c>
      <c r="B16" s="8">
        <f t="shared" si="2"/>
        <v>46104</v>
      </c>
      <c r="C16" s="8">
        <f t="shared" si="0"/>
        <v>46113</v>
      </c>
      <c r="D16" s="7">
        <v>3272</v>
      </c>
      <c r="E16" s="7">
        <v>336</v>
      </c>
      <c r="F16" s="7">
        <v>4</v>
      </c>
      <c r="G16" s="7">
        <v>1</v>
      </c>
      <c r="H16" s="7">
        <v>81588</v>
      </c>
      <c r="I16" s="7" t="s">
        <v>16</v>
      </c>
      <c r="J16" s="7">
        <v>45647103</v>
      </c>
      <c r="K16" s="7" t="s">
        <v>1048</v>
      </c>
      <c r="L16" s="27" t="s">
        <v>1053</v>
      </c>
      <c r="M16" s="9">
        <v>149900</v>
      </c>
      <c r="N16" s="18">
        <f t="shared" si="3"/>
        <v>0.7</v>
      </c>
      <c r="O16" s="32">
        <f t="shared" si="4"/>
        <v>44970</v>
      </c>
      <c r="P16" s="18" t="s">
        <v>19</v>
      </c>
    </row>
    <row r="17" spans="1:16" x14ac:dyDescent="0.25">
      <c r="A17" s="25" t="str">
        <f t="shared" si="1"/>
        <v>2025 JAN-JUN D70</v>
      </c>
      <c r="B17" s="8">
        <f t="shared" si="2"/>
        <v>46104</v>
      </c>
      <c r="C17" s="8">
        <f t="shared" si="0"/>
        <v>46113</v>
      </c>
      <c r="D17" s="7">
        <v>3272</v>
      </c>
      <c r="E17" s="7">
        <v>336</v>
      </c>
      <c r="F17" s="7">
        <v>4</v>
      </c>
      <c r="G17" s="7">
        <v>1</v>
      </c>
      <c r="H17" s="7">
        <v>81588</v>
      </c>
      <c r="I17" s="7" t="s">
        <v>16</v>
      </c>
      <c r="J17" s="7">
        <v>45647112</v>
      </c>
      <c r="K17" s="7" t="s">
        <v>1048</v>
      </c>
      <c r="L17" s="27" t="s">
        <v>1054</v>
      </c>
      <c r="M17" s="9">
        <v>149900</v>
      </c>
      <c r="N17" s="18">
        <f t="shared" si="3"/>
        <v>0.7</v>
      </c>
      <c r="O17" s="32">
        <f t="shared" si="4"/>
        <v>44970</v>
      </c>
      <c r="P17" s="18" t="s">
        <v>19</v>
      </c>
    </row>
    <row r="18" spans="1:16" x14ac:dyDescent="0.25">
      <c r="A18" s="25" t="str">
        <f t="shared" si="1"/>
        <v>2025 JAN-JUN D70</v>
      </c>
      <c r="B18" s="8">
        <f t="shared" si="2"/>
        <v>46104</v>
      </c>
      <c r="C18" s="8">
        <f t="shared" si="0"/>
        <v>46113</v>
      </c>
      <c r="D18" s="7">
        <v>3272</v>
      </c>
      <c r="E18" s="7">
        <v>336</v>
      </c>
      <c r="F18" s="7">
        <v>4</v>
      </c>
      <c r="G18" s="7">
        <v>1</v>
      </c>
      <c r="H18" s="7">
        <v>81588</v>
      </c>
      <c r="I18" s="7" t="s">
        <v>16</v>
      </c>
      <c r="J18" s="7">
        <v>45647121</v>
      </c>
      <c r="K18" s="7" t="s">
        <v>1048</v>
      </c>
      <c r="L18" s="27" t="s">
        <v>1055</v>
      </c>
      <c r="M18" s="9">
        <v>149900</v>
      </c>
      <c r="N18" s="18">
        <f t="shared" si="3"/>
        <v>0.7</v>
      </c>
      <c r="O18" s="32">
        <f t="shared" si="4"/>
        <v>44970</v>
      </c>
      <c r="P18" s="18" t="s">
        <v>19</v>
      </c>
    </row>
    <row r="19" spans="1:16" x14ac:dyDescent="0.25">
      <c r="A19" s="25" t="str">
        <f t="shared" si="1"/>
        <v>2025 JAN-JUN D70</v>
      </c>
      <c r="B19" s="8">
        <f t="shared" si="2"/>
        <v>46104</v>
      </c>
      <c r="C19" s="8">
        <f t="shared" ref="C19:C34" si="5">C18</f>
        <v>46113</v>
      </c>
      <c r="D19" s="7">
        <v>3272</v>
      </c>
      <c r="E19" s="7">
        <v>336</v>
      </c>
      <c r="F19" s="7">
        <v>4</v>
      </c>
      <c r="G19" s="7">
        <v>1</v>
      </c>
      <c r="H19" s="7">
        <v>81588</v>
      </c>
      <c r="I19" s="7" t="s">
        <v>16</v>
      </c>
      <c r="J19" s="7">
        <v>45647130</v>
      </c>
      <c r="K19" s="7" t="s">
        <v>1048</v>
      </c>
      <c r="L19" s="27" t="s">
        <v>1056</v>
      </c>
      <c r="M19" s="9">
        <v>149900</v>
      </c>
      <c r="N19" s="18">
        <f t="shared" si="3"/>
        <v>0.7</v>
      </c>
      <c r="O19" s="32">
        <f t="shared" si="4"/>
        <v>44970</v>
      </c>
      <c r="P19" s="18" t="s">
        <v>19</v>
      </c>
    </row>
    <row r="20" spans="1:16" x14ac:dyDescent="0.25">
      <c r="A20" s="25" t="str">
        <f t="shared" si="1"/>
        <v>2025 JAN-JUN D70</v>
      </c>
      <c r="B20" s="8">
        <f t="shared" si="2"/>
        <v>46104</v>
      </c>
      <c r="C20" s="8">
        <f t="shared" si="5"/>
        <v>46113</v>
      </c>
      <c r="D20" s="7">
        <v>3272</v>
      </c>
      <c r="E20" s="7">
        <v>336</v>
      </c>
      <c r="F20" s="7">
        <v>4</v>
      </c>
      <c r="G20" s="7">
        <v>1</v>
      </c>
      <c r="H20" s="7">
        <v>81379</v>
      </c>
      <c r="I20" s="7" t="s">
        <v>16</v>
      </c>
      <c r="J20" s="7">
        <v>45647149</v>
      </c>
      <c r="K20" s="7" t="s">
        <v>1057</v>
      </c>
      <c r="L20" s="27" t="s">
        <v>1058</v>
      </c>
      <c r="M20" s="9">
        <v>149900</v>
      </c>
      <c r="N20" s="18">
        <f t="shared" si="3"/>
        <v>0.7</v>
      </c>
      <c r="O20" s="32">
        <f t="shared" si="4"/>
        <v>44970</v>
      </c>
      <c r="P20" s="18" t="s">
        <v>19</v>
      </c>
    </row>
    <row r="21" spans="1:16" x14ac:dyDescent="0.25">
      <c r="A21" s="25" t="str">
        <f t="shared" si="1"/>
        <v>2025 JAN-JUN D70</v>
      </c>
      <c r="B21" s="8">
        <f t="shared" si="2"/>
        <v>46104</v>
      </c>
      <c r="C21" s="8">
        <f t="shared" si="5"/>
        <v>46113</v>
      </c>
      <c r="D21" s="7">
        <v>3272</v>
      </c>
      <c r="E21" s="7">
        <v>336</v>
      </c>
      <c r="F21" s="7">
        <v>4</v>
      </c>
      <c r="G21" s="7">
        <v>1</v>
      </c>
      <c r="H21" s="7">
        <v>81379</v>
      </c>
      <c r="I21" s="7" t="s">
        <v>16</v>
      </c>
      <c r="J21" s="7">
        <v>45647158</v>
      </c>
      <c r="K21" s="7" t="s">
        <v>1057</v>
      </c>
      <c r="L21" s="27" t="s">
        <v>1059</v>
      </c>
      <c r="M21" s="9">
        <v>149900</v>
      </c>
      <c r="N21" s="18">
        <f t="shared" si="3"/>
        <v>0.7</v>
      </c>
      <c r="O21" s="32">
        <f t="shared" si="4"/>
        <v>44970</v>
      </c>
      <c r="P21" s="18" t="s">
        <v>19</v>
      </c>
    </row>
    <row r="22" spans="1:16" x14ac:dyDescent="0.25">
      <c r="A22" s="25" t="str">
        <f t="shared" si="1"/>
        <v>2025 JAN-JUN D70</v>
      </c>
      <c r="B22" s="8">
        <f t="shared" si="2"/>
        <v>46104</v>
      </c>
      <c r="C22" s="8">
        <f t="shared" si="5"/>
        <v>46113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16</v>
      </c>
      <c r="J22" s="7">
        <v>45647167</v>
      </c>
      <c r="K22" s="7" t="s">
        <v>1057</v>
      </c>
      <c r="L22" s="27" t="s">
        <v>1060</v>
      </c>
      <c r="M22" s="9">
        <v>149900</v>
      </c>
      <c r="N22" s="18">
        <f t="shared" si="3"/>
        <v>0.7</v>
      </c>
      <c r="O22" s="32">
        <f t="shared" si="4"/>
        <v>44970</v>
      </c>
      <c r="P22" s="18" t="s">
        <v>19</v>
      </c>
    </row>
    <row r="23" spans="1:16" x14ac:dyDescent="0.25">
      <c r="A23" s="25" t="str">
        <f t="shared" si="1"/>
        <v>2025 JAN-JUN D70</v>
      </c>
      <c r="B23" s="8">
        <f t="shared" si="2"/>
        <v>46104</v>
      </c>
      <c r="C23" s="8">
        <f t="shared" si="5"/>
        <v>46113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16</v>
      </c>
      <c r="J23" s="7">
        <v>45647176</v>
      </c>
      <c r="K23" s="7" t="s">
        <v>1057</v>
      </c>
      <c r="L23" s="27" t="s">
        <v>1061</v>
      </c>
      <c r="M23" s="9">
        <v>149900</v>
      </c>
      <c r="N23" s="18">
        <f t="shared" si="3"/>
        <v>0.7</v>
      </c>
      <c r="O23" s="32">
        <f t="shared" si="4"/>
        <v>44970</v>
      </c>
      <c r="P23" s="18" t="s">
        <v>19</v>
      </c>
    </row>
    <row r="24" spans="1:16" x14ac:dyDescent="0.25">
      <c r="A24" s="25" t="str">
        <f t="shared" si="1"/>
        <v>2025 JAN-JUN D70</v>
      </c>
      <c r="B24" s="8">
        <f t="shared" si="2"/>
        <v>46104</v>
      </c>
      <c r="C24" s="8">
        <f t="shared" si="5"/>
        <v>46113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16</v>
      </c>
      <c r="J24" s="7">
        <v>45647185</v>
      </c>
      <c r="K24" s="7" t="s">
        <v>1057</v>
      </c>
      <c r="L24" s="27" t="s">
        <v>1062</v>
      </c>
      <c r="M24" s="9">
        <v>149900</v>
      </c>
      <c r="N24" s="18">
        <f t="shared" si="3"/>
        <v>0.7</v>
      </c>
      <c r="O24" s="32">
        <f t="shared" si="4"/>
        <v>44970</v>
      </c>
      <c r="P24" s="18" t="s">
        <v>19</v>
      </c>
    </row>
    <row r="25" spans="1:16" x14ac:dyDescent="0.25">
      <c r="A25" s="25" t="str">
        <f t="shared" si="1"/>
        <v>2025 JAN-JUN D70</v>
      </c>
      <c r="B25" s="8">
        <f t="shared" si="2"/>
        <v>46104</v>
      </c>
      <c r="C25" s="8">
        <f t="shared" si="5"/>
        <v>46113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16</v>
      </c>
      <c r="J25" s="7">
        <v>45647194</v>
      </c>
      <c r="K25" s="7" t="s">
        <v>1057</v>
      </c>
      <c r="L25" s="27" t="s">
        <v>1063</v>
      </c>
      <c r="M25" s="9">
        <v>149900</v>
      </c>
      <c r="N25" s="18">
        <f t="shared" si="3"/>
        <v>0.7</v>
      </c>
      <c r="O25" s="32">
        <f t="shared" si="4"/>
        <v>44970</v>
      </c>
      <c r="P25" s="18" t="s">
        <v>19</v>
      </c>
    </row>
    <row r="26" spans="1:16" x14ac:dyDescent="0.25">
      <c r="A26" s="25" t="str">
        <f t="shared" si="1"/>
        <v>2025 JAN-JUN D70</v>
      </c>
      <c r="B26" s="8">
        <f t="shared" si="2"/>
        <v>46104</v>
      </c>
      <c r="C26" s="8">
        <f t="shared" si="5"/>
        <v>46113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16</v>
      </c>
      <c r="J26" s="7">
        <v>45647201</v>
      </c>
      <c r="K26" s="7" t="s">
        <v>1057</v>
      </c>
      <c r="L26" s="27" t="s">
        <v>1064</v>
      </c>
      <c r="M26" s="9">
        <v>149900</v>
      </c>
      <c r="N26" s="18">
        <f t="shared" si="3"/>
        <v>0.7</v>
      </c>
      <c r="O26" s="32">
        <f t="shared" si="4"/>
        <v>44970</v>
      </c>
      <c r="P26" s="18" t="s">
        <v>19</v>
      </c>
    </row>
    <row r="27" spans="1:16" x14ac:dyDescent="0.25">
      <c r="A27" s="25" t="str">
        <f t="shared" si="1"/>
        <v>2025 JAN-JUN D70</v>
      </c>
      <c r="B27" s="8">
        <f t="shared" si="2"/>
        <v>46104</v>
      </c>
      <c r="C27" s="8">
        <f t="shared" si="5"/>
        <v>46113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16</v>
      </c>
      <c r="J27" s="7">
        <v>45647210</v>
      </c>
      <c r="K27" s="7" t="s">
        <v>1057</v>
      </c>
      <c r="L27" s="27" t="s">
        <v>1065</v>
      </c>
      <c r="M27" s="9">
        <v>149900</v>
      </c>
      <c r="N27" s="18">
        <f t="shared" si="3"/>
        <v>0.7</v>
      </c>
      <c r="O27" s="32">
        <f t="shared" si="4"/>
        <v>44970</v>
      </c>
      <c r="P27" s="18" t="s">
        <v>19</v>
      </c>
    </row>
    <row r="28" spans="1:16" x14ac:dyDescent="0.25">
      <c r="A28" s="25" t="str">
        <f t="shared" si="1"/>
        <v>2025 JAN-JUN D70</v>
      </c>
      <c r="B28" s="8">
        <f t="shared" si="2"/>
        <v>46104</v>
      </c>
      <c r="C28" s="8">
        <f t="shared" si="5"/>
        <v>46113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16</v>
      </c>
      <c r="J28" s="7">
        <v>45647309</v>
      </c>
      <c r="K28" s="7" t="s">
        <v>1066</v>
      </c>
      <c r="L28" s="27" t="s">
        <v>1067</v>
      </c>
      <c r="M28" s="9">
        <v>149900</v>
      </c>
      <c r="N28" s="18">
        <f t="shared" si="3"/>
        <v>0.7</v>
      </c>
      <c r="O28" s="32">
        <f t="shared" si="4"/>
        <v>44970</v>
      </c>
      <c r="P28" s="18" t="s">
        <v>19</v>
      </c>
    </row>
    <row r="29" spans="1:16" x14ac:dyDescent="0.25">
      <c r="A29" s="25" t="str">
        <f t="shared" si="1"/>
        <v>2025 JAN-JUN D70</v>
      </c>
      <c r="B29" s="8">
        <f t="shared" si="2"/>
        <v>46104</v>
      </c>
      <c r="C29" s="8">
        <f t="shared" si="5"/>
        <v>46113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16</v>
      </c>
      <c r="J29" s="7">
        <v>45647318</v>
      </c>
      <c r="K29" s="7" t="s">
        <v>1066</v>
      </c>
      <c r="L29" s="27" t="s">
        <v>1068</v>
      </c>
      <c r="M29" s="9">
        <v>149900</v>
      </c>
      <c r="N29" s="18">
        <f t="shared" si="3"/>
        <v>0.7</v>
      </c>
      <c r="O29" s="32">
        <f t="shared" si="4"/>
        <v>44970</v>
      </c>
      <c r="P29" s="18" t="s">
        <v>19</v>
      </c>
    </row>
    <row r="30" spans="1:16" x14ac:dyDescent="0.25">
      <c r="A30" s="25" t="str">
        <f t="shared" si="1"/>
        <v>2025 JAN-JUN D70</v>
      </c>
      <c r="B30" s="8">
        <f t="shared" si="2"/>
        <v>46104</v>
      </c>
      <c r="C30" s="8">
        <f t="shared" si="5"/>
        <v>46113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16</v>
      </c>
      <c r="J30" s="7">
        <v>45647327</v>
      </c>
      <c r="K30" s="7" t="s">
        <v>1066</v>
      </c>
      <c r="L30" s="27" t="s">
        <v>1069</v>
      </c>
      <c r="M30" s="9">
        <v>149900</v>
      </c>
      <c r="N30" s="18">
        <f t="shared" si="3"/>
        <v>0.7</v>
      </c>
      <c r="O30" s="32">
        <f t="shared" si="4"/>
        <v>44970</v>
      </c>
      <c r="P30" s="18" t="s">
        <v>19</v>
      </c>
    </row>
    <row r="31" spans="1:16" x14ac:dyDescent="0.25">
      <c r="A31" s="25" t="str">
        <f t="shared" si="1"/>
        <v>2025 JAN-JUN D70</v>
      </c>
      <c r="B31" s="8">
        <f t="shared" si="2"/>
        <v>46104</v>
      </c>
      <c r="C31" s="8">
        <f t="shared" si="5"/>
        <v>46113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16</v>
      </c>
      <c r="J31" s="7">
        <v>45647336</v>
      </c>
      <c r="K31" s="7" t="s">
        <v>1066</v>
      </c>
      <c r="L31" s="27" t="s">
        <v>1070</v>
      </c>
      <c r="M31" s="9">
        <v>149900</v>
      </c>
      <c r="N31" s="18">
        <f t="shared" si="3"/>
        <v>0.7</v>
      </c>
      <c r="O31" s="32">
        <f t="shared" si="4"/>
        <v>44970</v>
      </c>
      <c r="P31" s="18" t="s">
        <v>19</v>
      </c>
    </row>
    <row r="32" spans="1:16" x14ac:dyDescent="0.25">
      <c r="A32" s="25" t="str">
        <f t="shared" si="1"/>
        <v>2025 JAN-JUN D70</v>
      </c>
      <c r="B32" s="8">
        <f t="shared" si="2"/>
        <v>46104</v>
      </c>
      <c r="C32" s="8">
        <f t="shared" si="5"/>
        <v>46113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16</v>
      </c>
      <c r="J32" s="7">
        <v>45647345</v>
      </c>
      <c r="K32" s="7" t="s">
        <v>1066</v>
      </c>
      <c r="L32" s="27" t="s">
        <v>1071</v>
      </c>
      <c r="M32" s="9">
        <v>149900</v>
      </c>
      <c r="N32" s="18">
        <f t="shared" si="3"/>
        <v>0.7</v>
      </c>
      <c r="O32" s="32">
        <f t="shared" si="4"/>
        <v>44970</v>
      </c>
      <c r="P32" s="18" t="s">
        <v>19</v>
      </c>
    </row>
    <row r="33" spans="1:16" x14ac:dyDescent="0.25">
      <c r="A33" s="25" t="str">
        <f t="shared" si="1"/>
        <v>2025 JAN-JUN D70</v>
      </c>
      <c r="B33" s="8">
        <f t="shared" si="2"/>
        <v>46104</v>
      </c>
      <c r="C33" s="8">
        <f t="shared" si="5"/>
        <v>46113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16</v>
      </c>
      <c r="J33" s="7">
        <v>45647354</v>
      </c>
      <c r="K33" s="7" t="s">
        <v>1066</v>
      </c>
      <c r="L33" s="27" t="s">
        <v>1072</v>
      </c>
      <c r="M33" s="9">
        <v>149900</v>
      </c>
      <c r="N33" s="18">
        <f t="shared" si="3"/>
        <v>0.7</v>
      </c>
      <c r="O33" s="32">
        <f t="shared" si="4"/>
        <v>44970</v>
      </c>
      <c r="P33" s="18" t="s">
        <v>19</v>
      </c>
    </row>
    <row r="34" spans="1:16" x14ac:dyDescent="0.25">
      <c r="A34" s="25" t="str">
        <f t="shared" si="1"/>
        <v>2025 JAN-JUN D70</v>
      </c>
      <c r="B34" s="8">
        <f t="shared" si="2"/>
        <v>46104</v>
      </c>
      <c r="C34" s="8">
        <f t="shared" si="5"/>
        <v>46113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16</v>
      </c>
      <c r="J34" s="7">
        <v>45647363</v>
      </c>
      <c r="K34" s="7" t="s">
        <v>1066</v>
      </c>
      <c r="L34" s="27" t="s">
        <v>1073</v>
      </c>
      <c r="M34" s="9">
        <v>149900</v>
      </c>
      <c r="N34" s="18">
        <f t="shared" si="3"/>
        <v>0.7</v>
      </c>
      <c r="O34" s="32">
        <f t="shared" si="4"/>
        <v>44970</v>
      </c>
      <c r="P34" s="18" t="s">
        <v>19</v>
      </c>
    </row>
    <row r="35" spans="1:16" x14ac:dyDescent="0.25">
      <c r="A35" s="25" t="str">
        <f t="shared" si="1"/>
        <v>2025 JAN-JUN D70</v>
      </c>
      <c r="B35" s="8">
        <f t="shared" si="2"/>
        <v>46104</v>
      </c>
      <c r="C35" s="8">
        <f t="shared" ref="C35:C50" si="6">C34</f>
        <v>46113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16</v>
      </c>
      <c r="J35" s="7">
        <v>45647372</v>
      </c>
      <c r="K35" s="7" t="s">
        <v>1066</v>
      </c>
      <c r="L35" s="27" t="s">
        <v>1074</v>
      </c>
      <c r="M35" s="9">
        <v>149900</v>
      </c>
      <c r="N35" s="18">
        <f t="shared" si="3"/>
        <v>0.7</v>
      </c>
      <c r="O35" s="32">
        <f t="shared" si="4"/>
        <v>44970</v>
      </c>
      <c r="P35" s="18" t="s">
        <v>19</v>
      </c>
    </row>
    <row r="36" spans="1:16" x14ac:dyDescent="0.25">
      <c r="A36" s="25" t="str">
        <f t="shared" si="1"/>
        <v>2025 JAN-JUN D70</v>
      </c>
      <c r="B36" s="8">
        <f t="shared" si="2"/>
        <v>46104</v>
      </c>
      <c r="C36" s="8">
        <f t="shared" si="6"/>
        <v>46113</v>
      </c>
      <c r="D36" s="7">
        <v>3272</v>
      </c>
      <c r="E36" s="7">
        <v>336</v>
      </c>
      <c r="F36" s="7">
        <v>4</v>
      </c>
      <c r="G36" s="7">
        <v>1</v>
      </c>
      <c r="H36" s="7">
        <v>81379</v>
      </c>
      <c r="I36" s="7" t="s">
        <v>16</v>
      </c>
      <c r="J36" s="7">
        <v>45647381</v>
      </c>
      <c r="K36" s="7" t="s">
        <v>1075</v>
      </c>
      <c r="L36" s="27" t="s">
        <v>1076</v>
      </c>
      <c r="M36" s="9">
        <v>149900</v>
      </c>
      <c r="N36" s="18">
        <f t="shared" si="3"/>
        <v>0.7</v>
      </c>
      <c r="O36" s="32">
        <f t="shared" si="4"/>
        <v>44970</v>
      </c>
      <c r="P36" s="18" t="s">
        <v>19</v>
      </c>
    </row>
    <row r="37" spans="1:16" x14ac:dyDescent="0.25">
      <c r="A37" s="25" t="str">
        <f t="shared" si="1"/>
        <v>2025 JAN-JUN D70</v>
      </c>
      <c r="B37" s="8">
        <f t="shared" si="2"/>
        <v>46104</v>
      </c>
      <c r="C37" s="8">
        <f t="shared" si="6"/>
        <v>46113</v>
      </c>
      <c r="D37" s="7">
        <v>3272</v>
      </c>
      <c r="E37" s="7">
        <v>336</v>
      </c>
      <c r="F37" s="7">
        <v>4</v>
      </c>
      <c r="G37" s="7">
        <v>1</v>
      </c>
      <c r="H37" s="7">
        <v>81379</v>
      </c>
      <c r="I37" s="7" t="s">
        <v>16</v>
      </c>
      <c r="J37" s="7">
        <v>45647390</v>
      </c>
      <c r="K37" s="7" t="s">
        <v>1075</v>
      </c>
      <c r="L37" s="27" t="s">
        <v>1077</v>
      </c>
      <c r="M37" s="9">
        <v>149900</v>
      </c>
      <c r="N37" s="18">
        <f t="shared" si="3"/>
        <v>0.7</v>
      </c>
      <c r="O37" s="32">
        <f t="shared" si="4"/>
        <v>44970</v>
      </c>
      <c r="P37" s="18" t="s">
        <v>19</v>
      </c>
    </row>
    <row r="38" spans="1:16" x14ac:dyDescent="0.25">
      <c r="A38" s="25" t="str">
        <f t="shared" si="1"/>
        <v>2025 JAN-JUN D70</v>
      </c>
      <c r="B38" s="8">
        <f t="shared" si="2"/>
        <v>46104</v>
      </c>
      <c r="C38" s="8">
        <f t="shared" si="6"/>
        <v>46113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16</v>
      </c>
      <c r="J38" s="7">
        <v>45647407</v>
      </c>
      <c r="K38" s="7" t="s">
        <v>1075</v>
      </c>
      <c r="L38" s="27" t="s">
        <v>1078</v>
      </c>
      <c r="M38" s="9">
        <v>149900</v>
      </c>
      <c r="N38" s="18">
        <f t="shared" si="3"/>
        <v>0.7</v>
      </c>
      <c r="O38" s="32">
        <f t="shared" si="4"/>
        <v>44970</v>
      </c>
      <c r="P38" s="18" t="s">
        <v>19</v>
      </c>
    </row>
    <row r="39" spans="1:16" x14ac:dyDescent="0.25">
      <c r="A39" s="25" t="str">
        <f t="shared" si="1"/>
        <v>2025 JAN-JUN D70</v>
      </c>
      <c r="B39" s="8">
        <f t="shared" si="2"/>
        <v>46104</v>
      </c>
      <c r="C39" s="8">
        <f t="shared" si="6"/>
        <v>46113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16</v>
      </c>
      <c r="J39" s="7">
        <v>45647416</v>
      </c>
      <c r="K39" s="7" t="s">
        <v>1075</v>
      </c>
      <c r="L39" s="27" t="s">
        <v>1079</v>
      </c>
      <c r="M39" s="9">
        <v>149900</v>
      </c>
      <c r="N39" s="18">
        <f t="shared" si="3"/>
        <v>0.7</v>
      </c>
      <c r="O39" s="32">
        <f t="shared" si="4"/>
        <v>44970</v>
      </c>
      <c r="P39" s="18" t="s">
        <v>19</v>
      </c>
    </row>
    <row r="40" spans="1:16" x14ac:dyDescent="0.25">
      <c r="A40" s="25" t="str">
        <f t="shared" si="1"/>
        <v>2025 JAN-JUN D70</v>
      </c>
      <c r="B40" s="8">
        <f t="shared" si="2"/>
        <v>46104</v>
      </c>
      <c r="C40" s="8">
        <f t="shared" si="6"/>
        <v>46113</v>
      </c>
      <c r="D40" s="7">
        <v>3272</v>
      </c>
      <c r="E40" s="7">
        <v>336</v>
      </c>
      <c r="F40" s="7">
        <v>4</v>
      </c>
      <c r="G40" s="7">
        <v>1</v>
      </c>
      <c r="H40" s="7">
        <v>81379</v>
      </c>
      <c r="I40" s="7" t="s">
        <v>16</v>
      </c>
      <c r="J40" s="7">
        <v>45647425</v>
      </c>
      <c r="K40" s="7" t="s">
        <v>1075</v>
      </c>
      <c r="L40" s="27" t="s">
        <v>1080</v>
      </c>
      <c r="M40" s="9">
        <v>149900</v>
      </c>
      <c r="N40" s="18">
        <f t="shared" si="3"/>
        <v>0.7</v>
      </c>
      <c r="O40" s="32">
        <f t="shared" si="4"/>
        <v>44970</v>
      </c>
      <c r="P40" s="18" t="s">
        <v>19</v>
      </c>
    </row>
    <row r="41" spans="1:16" x14ac:dyDescent="0.25">
      <c r="A41" s="25" t="str">
        <f t="shared" si="1"/>
        <v>2025 JAN-JUN D70</v>
      </c>
      <c r="B41" s="8">
        <f t="shared" si="2"/>
        <v>46104</v>
      </c>
      <c r="C41" s="8">
        <f t="shared" si="6"/>
        <v>46113</v>
      </c>
      <c r="D41" s="7">
        <v>3272</v>
      </c>
      <c r="E41" s="7">
        <v>336</v>
      </c>
      <c r="F41" s="7">
        <v>4</v>
      </c>
      <c r="G41" s="7">
        <v>1</v>
      </c>
      <c r="H41" s="7">
        <v>81379</v>
      </c>
      <c r="I41" s="7" t="s">
        <v>16</v>
      </c>
      <c r="J41" s="7">
        <v>45647434</v>
      </c>
      <c r="K41" s="7" t="s">
        <v>1075</v>
      </c>
      <c r="L41" s="27" t="s">
        <v>1081</v>
      </c>
      <c r="M41" s="9">
        <v>149900</v>
      </c>
      <c r="N41" s="18">
        <f t="shared" si="3"/>
        <v>0.7</v>
      </c>
      <c r="O41" s="32">
        <f t="shared" si="4"/>
        <v>44970</v>
      </c>
      <c r="P41" s="18" t="s">
        <v>19</v>
      </c>
    </row>
    <row r="42" spans="1:16" x14ac:dyDescent="0.25">
      <c r="A42" s="25" t="str">
        <f t="shared" si="1"/>
        <v>2025 JAN-JUN D70</v>
      </c>
      <c r="B42" s="8">
        <f t="shared" si="2"/>
        <v>46104</v>
      </c>
      <c r="C42" s="8">
        <f t="shared" si="6"/>
        <v>46113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16</v>
      </c>
      <c r="J42" s="7">
        <v>45647443</v>
      </c>
      <c r="K42" s="7" t="s">
        <v>1075</v>
      </c>
      <c r="L42" s="27" t="s">
        <v>1082</v>
      </c>
      <c r="M42" s="9">
        <v>149900</v>
      </c>
      <c r="N42" s="18">
        <f t="shared" si="3"/>
        <v>0.7</v>
      </c>
      <c r="O42" s="32">
        <f t="shared" si="4"/>
        <v>44970</v>
      </c>
      <c r="P42" s="18" t="s">
        <v>19</v>
      </c>
    </row>
    <row r="43" spans="1:16" x14ac:dyDescent="0.25">
      <c r="A43" s="25" t="str">
        <f t="shared" si="1"/>
        <v>2025 JAN-JUN D70</v>
      </c>
      <c r="B43" s="8">
        <f t="shared" si="2"/>
        <v>46104</v>
      </c>
      <c r="C43" s="8">
        <f t="shared" si="6"/>
        <v>46113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16</v>
      </c>
      <c r="J43" s="7">
        <v>45647452</v>
      </c>
      <c r="K43" s="7" t="s">
        <v>1075</v>
      </c>
      <c r="L43" s="27" t="s">
        <v>1083</v>
      </c>
      <c r="M43" s="9">
        <v>149900</v>
      </c>
      <c r="N43" s="18">
        <f t="shared" si="3"/>
        <v>0.7</v>
      </c>
      <c r="O43" s="32">
        <f t="shared" si="4"/>
        <v>44970</v>
      </c>
      <c r="P43" s="18" t="s">
        <v>19</v>
      </c>
    </row>
    <row r="44" spans="1:16" x14ac:dyDescent="0.25">
      <c r="A44" s="25" t="str">
        <f t="shared" si="1"/>
        <v>2025 JAN-JUN D70</v>
      </c>
      <c r="B44" s="8">
        <f t="shared" si="2"/>
        <v>46104</v>
      </c>
      <c r="C44" s="8">
        <f t="shared" si="6"/>
        <v>46113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16</v>
      </c>
      <c r="J44" s="7">
        <v>45647461</v>
      </c>
      <c r="K44" s="7" t="s">
        <v>1084</v>
      </c>
      <c r="L44" s="27" t="s">
        <v>1085</v>
      </c>
      <c r="M44" s="9">
        <v>149900</v>
      </c>
      <c r="N44" s="18">
        <f t="shared" si="3"/>
        <v>0.7</v>
      </c>
      <c r="O44" s="32">
        <f t="shared" si="4"/>
        <v>44970</v>
      </c>
      <c r="P44" s="18" t="s">
        <v>19</v>
      </c>
    </row>
    <row r="45" spans="1:16" x14ac:dyDescent="0.25">
      <c r="A45" s="25" t="str">
        <f t="shared" si="1"/>
        <v>2025 JAN-JUN D70</v>
      </c>
      <c r="B45" s="8">
        <f t="shared" si="2"/>
        <v>46104</v>
      </c>
      <c r="C45" s="8">
        <f t="shared" si="6"/>
        <v>46113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16</v>
      </c>
      <c r="J45" s="7">
        <v>45647470</v>
      </c>
      <c r="K45" s="7" t="s">
        <v>1084</v>
      </c>
      <c r="L45" s="27" t="s">
        <v>1086</v>
      </c>
      <c r="M45" s="9">
        <v>149900</v>
      </c>
      <c r="N45" s="18">
        <f t="shared" si="3"/>
        <v>0.7</v>
      </c>
      <c r="O45" s="32">
        <f t="shared" si="4"/>
        <v>44970</v>
      </c>
      <c r="P45" s="18" t="s">
        <v>19</v>
      </c>
    </row>
    <row r="46" spans="1:16" x14ac:dyDescent="0.25">
      <c r="A46" s="25" t="str">
        <f t="shared" si="1"/>
        <v>2025 JAN-JUN D70</v>
      </c>
      <c r="B46" s="8">
        <f t="shared" si="2"/>
        <v>46104</v>
      </c>
      <c r="C46" s="8">
        <f t="shared" si="6"/>
        <v>46113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16</v>
      </c>
      <c r="J46" s="7">
        <v>45647489</v>
      </c>
      <c r="K46" s="7" t="s">
        <v>1084</v>
      </c>
      <c r="L46" s="27" t="s">
        <v>1087</v>
      </c>
      <c r="M46" s="9">
        <v>149900</v>
      </c>
      <c r="N46" s="18">
        <f t="shared" si="3"/>
        <v>0.7</v>
      </c>
      <c r="O46" s="32">
        <f t="shared" si="4"/>
        <v>44970</v>
      </c>
      <c r="P46" s="18" t="s">
        <v>19</v>
      </c>
    </row>
    <row r="47" spans="1:16" x14ac:dyDescent="0.25">
      <c r="A47" s="25" t="str">
        <f t="shared" si="1"/>
        <v>2025 JAN-JUN D70</v>
      </c>
      <c r="B47" s="8">
        <f t="shared" si="2"/>
        <v>46104</v>
      </c>
      <c r="C47" s="8">
        <f t="shared" si="6"/>
        <v>46113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16</v>
      </c>
      <c r="J47" s="7">
        <v>45647498</v>
      </c>
      <c r="K47" s="7" t="s">
        <v>1084</v>
      </c>
      <c r="L47" s="27" t="s">
        <v>1088</v>
      </c>
      <c r="M47" s="9">
        <v>139900</v>
      </c>
      <c r="N47" s="18">
        <f t="shared" si="3"/>
        <v>0.7</v>
      </c>
      <c r="O47" s="32">
        <f t="shared" si="4"/>
        <v>41970</v>
      </c>
      <c r="P47" s="18" t="s">
        <v>19</v>
      </c>
    </row>
    <row r="48" spans="1:16" x14ac:dyDescent="0.25">
      <c r="A48" s="25" t="str">
        <f t="shared" si="1"/>
        <v>2025 JAN-JUN D70</v>
      </c>
      <c r="B48" s="8">
        <f t="shared" si="2"/>
        <v>46104</v>
      </c>
      <c r="C48" s="8">
        <f t="shared" si="6"/>
        <v>46113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16</v>
      </c>
      <c r="J48" s="7">
        <v>45647505</v>
      </c>
      <c r="K48" s="7" t="s">
        <v>1084</v>
      </c>
      <c r="L48" s="27" t="s">
        <v>1089</v>
      </c>
      <c r="M48" s="9">
        <v>139900</v>
      </c>
      <c r="N48" s="18">
        <f t="shared" si="3"/>
        <v>0.7</v>
      </c>
      <c r="O48" s="32">
        <f t="shared" si="4"/>
        <v>41970</v>
      </c>
      <c r="P48" s="18" t="s">
        <v>19</v>
      </c>
    </row>
    <row r="49" spans="1:16" x14ac:dyDescent="0.25">
      <c r="A49" s="25" t="str">
        <f t="shared" si="1"/>
        <v>2025 JAN-JUN D70</v>
      </c>
      <c r="B49" s="8">
        <f t="shared" si="2"/>
        <v>46104</v>
      </c>
      <c r="C49" s="8">
        <f t="shared" si="6"/>
        <v>46113</v>
      </c>
      <c r="D49" s="7">
        <v>3272</v>
      </c>
      <c r="E49" s="7">
        <v>336</v>
      </c>
      <c r="F49" s="7">
        <v>4</v>
      </c>
      <c r="G49" s="7">
        <v>1</v>
      </c>
      <c r="H49" s="7">
        <v>81379</v>
      </c>
      <c r="I49" s="7" t="s">
        <v>16</v>
      </c>
      <c r="J49" s="7">
        <v>45647514</v>
      </c>
      <c r="K49" s="7" t="s">
        <v>1084</v>
      </c>
      <c r="L49" s="27" t="s">
        <v>1090</v>
      </c>
      <c r="M49" s="9">
        <v>139900</v>
      </c>
      <c r="N49" s="18">
        <f t="shared" si="3"/>
        <v>0.7</v>
      </c>
      <c r="O49" s="32">
        <f t="shared" si="4"/>
        <v>41970</v>
      </c>
      <c r="P49" s="18" t="s">
        <v>19</v>
      </c>
    </row>
    <row r="50" spans="1:16" x14ac:dyDescent="0.25">
      <c r="A50" s="25" t="str">
        <f t="shared" si="1"/>
        <v>2025 JAN-JUN D70</v>
      </c>
      <c r="B50" s="8">
        <f t="shared" si="2"/>
        <v>46104</v>
      </c>
      <c r="C50" s="8">
        <f t="shared" si="6"/>
        <v>46113</v>
      </c>
      <c r="D50" s="7">
        <v>3272</v>
      </c>
      <c r="E50" s="7">
        <v>336</v>
      </c>
      <c r="F50" s="7">
        <v>4</v>
      </c>
      <c r="G50" s="7">
        <v>1</v>
      </c>
      <c r="H50" s="7">
        <v>81379</v>
      </c>
      <c r="I50" s="7" t="s">
        <v>16</v>
      </c>
      <c r="J50" s="7">
        <v>45647523</v>
      </c>
      <c r="K50" s="7" t="s">
        <v>1084</v>
      </c>
      <c r="L50" s="27" t="s">
        <v>1091</v>
      </c>
      <c r="M50" s="9">
        <v>139900</v>
      </c>
      <c r="N50" s="18">
        <f t="shared" si="3"/>
        <v>0.7</v>
      </c>
      <c r="O50" s="32">
        <f t="shared" si="4"/>
        <v>41970</v>
      </c>
      <c r="P50" s="18" t="s">
        <v>19</v>
      </c>
    </row>
    <row r="51" spans="1:16" x14ac:dyDescent="0.25">
      <c r="A51" s="25" t="str">
        <f t="shared" si="1"/>
        <v>2025 JAN-JUN D70</v>
      </c>
      <c r="B51" s="8">
        <f t="shared" si="2"/>
        <v>46104</v>
      </c>
      <c r="C51" s="8">
        <f t="shared" ref="C51:C66" si="7">C50</f>
        <v>46113</v>
      </c>
      <c r="D51" s="7">
        <v>3272</v>
      </c>
      <c r="E51" s="7">
        <v>336</v>
      </c>
      <c r="F51" s="7">
        <v>4</v>
      </c>
      <c r="G51" s="7">
        <v>1</v>
      </c>
      <c r="H51" s="7">
        <v>81379</v>
      </c>
      <c r="I51" s="7" t="s">
        <v>16</v>
      </c>
      <c r="J51" s="7">
        <v>45647532</v>
      </c>
      <c r="K51" s="7" t="s">
        <v>1084</v>
      </c>
      <c r="L51" s="27" t="s">
        <v>1092</v>
      </c>
      <c r="M51" s="9">
        <v>139900</v>
      </c>
      <c r="N51" s="18">
        <f t="shared" si="3"/>
        <v>0.7</v>
      </c>
      <c r="O51" s="32">
        <f t="shared" si="4"/>
        <v>41970</v>
      </c>
      <c r="P51" s="18" t="s">
        <v>19</v>
      </c>
    </row>
    <row r="52" spans="1:16" x14ac:dyDescent="0.25">
      <c r="A52" s="25" t="str">
        <f t="shared" si="1"/>
        <v>2025 JAN-JUN D70</v>
      </c>
      <c r="B52" s="8">
        <f t="shared" si="2"/>
        <v>46104</v>
      </c>
      <c r="C52" s="8">
        <f t="shared" si="7"/>
        <v>46113</v>
      </c>
      <c r="D52" s="7">
        <v>3272</v>
      </c>
      <c r="E52" s="7">
        <v>336</v>
      </c>
      <c r="F52" s="7">
        <v>4</v>
      </c>
      <c r="G52" s="7">
        <v>3</v>
      </c>
      <c r="H52" s="7">
        <v>81379</v>
      </c>
      <c r="I52" s="7" t="s">
        <v>16</v>
      </c>
      <c r="J52" s="7">
        <v>45647541</v>
      </c>
      <c r="K52" s="7" t="s">
        <v>1093</v>
      </c>
      <c r="L52" s="27" t="s">
        <v>1094</v>
      </c>
      <c r="M52" s="9">
        <v>139900</v>
      </c>
      <c r="N52" s="18">
        <f t="shared" si="3"/>
        <v>0.7</v>
      </c>
      <c r="O52" s="32">
        <f t="shared" si="4"/>
        <v>41970</v>
      </c>
      <c r="P52" s="18" t="s">
        <v>19</v>
      </c>
    </row>
    <row r="53" spans="1:16" x14ac:dyDescent="0.25">
      <c r="A53" s="25" t="str">
        <f t="shared" si="1"/>
        <v>2025 JAN-JUN D70</v>
      </c>
      <c r="B53" s="8">
        <f t="shared" si="2"/>
        <v>46104</v>
      </c>
      <c r="C53" s="8">
        <f t="shared" si="7"/>
        <v>46113</v>
      </c>
      <c r="D53" s="7">
        <v>3272</v>
      </c>
      <c r="E53" s="7">
        <v>336</v>
      </c>
      <c r="F53" s="7">
        <v>4</v>
      </c>
      <c r="G53" s="7">
        <v>3</v>
      </c>
      <c r="H53" s="7">
        <v>81379</v>
      </c>
      <c r="I53" s="7" t="s">
        <v>16</v>
      </c>
      <c r="J53" s="7">
        <v>45647550</v>
      </c>
      <c r="K53" s="7" t="s">
        <v>1093</v>
      </c>
      <c r="L53" s="27" t="s">
        <v>1095</v>
      </c>
      <c r="M53" s="9">
        <v>139900</v>
      </c>
      <c r="N53" s="18">
        <f t="shared" si="3"/>
        <v>0.7</v>
      </c>
      <c r="O53" s="32">
        <f t="shared" si="4"/>
        <v>41970</v>
      </c>
      <c r="P53" s="18" t="s">
        <v>19</v>
      </c>
    </row>
    <row r="54" spans="1:16" x14ac:dyDescent="0.25">
      <c r="A54" s="25" t="str">
        <f t="shared" si="1"/>
        <v>2025 JAN-JUN D70</v>
      </c>
      <c r="B54" s="8">
        <f t="shared" si="2"/>
        <v>46104</v>
      </c>
      <c r="C54" s="8">
        <f t="shared" si="7"/>
        <v>46113</v>
      </c>
      <c r="D54" s="7">
        <v>3272</v>
      </c>
      <c r="E54" s="7">
        <v>336</v>
      </c>
      <c r="F54" s="7">
        <v>4</v>
      </c>
      <c r="G54" s="7">
        <v>3</v>
      </c>
      <c r="H54" s="7">
        <v>81379</v>
      </c>
      <c r="I54" s="7" t="s">
        <v>16</v>
      </c>
      <c r="J54" s="7">
        <v>45647569</v>
      </c>
      <c r="K54" s="7" t="s">
        <v>1093</v>
      </c>
      <c r="L54" s="27" t="s">
        <v>1096</v>
      </c>
      <c r="M54" s="9">
        <v>139900</v>
      </c>
      <c r="N54" s="18">
        <f t="shared" si="3"/>
        <v>0.7</v>
      </c>
      <c r="O54" s="32">
        <f t="shared" si="4"/>
        <v>41970</v>
      </c>
      <c r="P54" s="18" t="s">
        <v>19</v>
      </c>
    </row>
    <row r="55" spans="1:16" x14ac:dyDescent="0.25">
      <c r="A55" s="25" t="str">
        <f t="shared" si="1"/>
        <v>2025 JAN-JUN D70</v>
      </c>
      <c r="B55" s="8">
        <f t="shared" si="2"/>
        <v>46104</v>
      </c>
      <c r="C55" s="8">
        <f t="shared" si="7"/>
        <v>46113</v>
      </c>
      <c r="D55" s="7">
        <v>3272</v>
      </c>
      <c r="E55" s="7">
        <v>336</v>
      </c>
      <c r="F55" s="7">
        <v>4</v>
      </c>
      <c r="G55" s="7">
        <v>3</v>
      </c>
      <c r="H55" s="7">
        <v>81379</v>
      </c>
      <c r="I55" s="7" t="s">
        <v>16</v>
      </c>
      <c r="J55" s="7">
        <v>45647578</v>
      </c>
      <c r="K55" s="7" t="s">
        <v>1093</v>
      </c>
      <c r="L55" s="27" t="s">
        <v>1097</v>
      </c>
      <c r="M55" s="9">
        <v>139900</v>
      </c>
      <c r="N55" s="18">
        <f t="shared" si="3"/>
        <v>0.7</v>
      </c>
      <c r="O55" s="32">
        <f t="shared" si="4"/>
        <v>41970</v>
      </c>
      <c r="P55" s="18" t="s">
        <v>19</v>
      </c>
    </row>
    <row r="56" spans="1:16" x14ac:dyDescent="0.25">
      <c r="A56" s="25" t="str">
        <f t="shared" si="1"/>
        <v>2025 JAN-JUN D70</v>
      </c>
      <c r="B56" s="8">
        <f t="shared" si="2"/>
        <v>46104</v>
      </c>
      <c r="C56" s="8">
        <f t="shared" si="7"/>
        <v>46113</v>
      </c>
      <c r="D56" s="7">
        <v>3272</v>
      </c>
      <c r="E56" s="7">
        <v>336</v>
      </c>
      <c r="F56" s="7">
        <v>4</v>
      </c>
      <c r="G56" s="7">
        <v>3</v>
      </c>
      <c r="H56" s="7">
        <v>81379</v>
      </c>
      <c r="I56" s="7" t="s">
        <v>16</v>
      </c>
      <c r="J56" s="7">
        <v>45647587</v>
      </c>
      <c r="K56" s="7" t="s">
        <v>1093</v>
      </c>
      <c r="L56" s="27" t="s">
        <v>1098</v>
      </c>
      <c r="M56" s="9">
        <v>139900</v>
      </c>
      <c r="N56" s="18">
        <f t="shared" si="3"/>
        <v>0.7</v>
      </c>
      <c r="O56" s="32">
        <f t="shared" si="4"/>
        <v>41970</v>
      </c>
      <c r="P56" s="18" t="s">
        <v>19</v>
      </c>
    </row>
    <row r="57" spans="1:16" x14ac:dyDescent="0.25">
      <c r="A57" s="25" t="str">
        <f t="shared" si="1"/>
        <v>2025 JAN-JUN D70</v>
      </c>
      <c r="B57" s="8">
        <f t="shared" si="2"/>
        <v>46104</v>
      </c>
      <c r="C57" s="8">
        <f t="shared" si="7"/>
        <v>46113</v>
      </c>
      <c r="D57" s="7">
        <v>3272</v>
      </c>
      <c r="E57" s="7">
        <v>336</v>
      </c>
      <c r="F57" s="7">
        <v>4</v>
      </c>
      <c r="G57" s="7">
        <v>3</v>
      </c>
      <c r="H57" s="7">
        <v>81379</v>
      </c>
      <c r="I57" s="7" t="s">
        <v>16</v>
      </c>
      <c r="J57" s="7">
        <v>45647596</v>
      </c>
      <c r="K57" s="7" t="s">
        <v>1093</v>
      </c>
      <c r="L57" s="27" t="s">
        <v>1099</v>
      </c>
      <c r="M57" s="9">
        <v>139900</v>
      </c>
      <c r="N57" s="18">
        <f t="shared" si="3"/>
        <v>0.7</v>
      </c>
      <c r="O57" s="32">
        <f t="shared" si="4"/>
        <v>41970</v>
      </c>
      <c r="P57" s="18" t="s">
        <v>19</v>
      </c>
    </row>
    <row r="58" spans="1:16" x14ac:dyDescent="0.25">
      <c r="A58" s="25" t="str">
        <f t="shared" si="1"/>
        <v>2025 JAN-JUN D70</v>
      </c>
      <c r="B58" s="8">
        <f t="shared" si="2"/>
        <v>46104</v>
      </c>
      <c r="C58" s="8">
        <f t="shared" si="7"/>
        <v>46113</v>
      </c>
      <c r="D58" s="7">
        <v>3272</v>
      </c>
      <c r="E58" s="7">
        <v>336</v>
      </c>
      <c r="F58" s="7">
        <v>4</v>
      </c>
      <c r="G58" s="7">
        <v>3</v>
      </c>
      <c r="H58" s="7">
        <v>81379</v>
      </c>
      <c r="I58" s="7" t="s">
        <v>16</v>
      </c>
      <c r="J58" s="7">
        <v>45647603</v>
      </c>
      <c r="K58" s="7" t="s">
        <v>1093</v>
      </c>
      <c r="L58" s="27" t="s">
        <v>1100</v>
      </c>
      <c r="M58" s="9">
        <v>139900</v>
      </c>
      <c r="N58" s="18">
        <f t="shared" si="3"/>
        <v>0.7</v>
      </c>
      <c r="O58" s="32">
        <f t="shared" si="4"/>
        <v>41970</v>
      </c>
      <c r="P58" s="18" t="s">
        <v>19</v>
      </c>
    </row>
    <row r="59" spans="1:16" x14ac:dyDescent="0.25">
      <c r="A59" s="25" t="str">
        <f t="shared" si="1"/>
        <v>2025 JAN-JUN D70</v>
      </c>
      <c r="B59" s="8">
        <f t="shared" si="2"/>
        <v>46104</v>
      </c>
      <c r="C59" s="8">
        <f t="shared" si="7"/>
        <v>46113</v>
      </c>
      <c r="D59" s="7">
        <v>3272</v>
      </c>
      <c r="E59" s="7">
        <v>336</v>
      </c>
      <c r="F59" s="7">
        <v>4</v>
      </c>
      <c r="G59" s="7">
        <v>3</v>
      </c>
      <c r="H59" s="7">
        <v>81379</v>
      </c>
      <c r="I59" s="7" t="s">
        <v>16</v>
      </c>
      <c r="J59" s="7">
        <v>45647612</v>
      </c>
      <c r="K59" s="7" t="s">
        <v>1093</v>
      </c>
      <c r="L59" s="27" t="s">
        <v>1101</v>
      </c>
      <c r="M59" s="9">
        <v>139900</v>
      </c>
      <c r="N59" s="18">
        <f t="shared" si="3"/>
        <v>0.7</v>
      </c>
      <c r="O59" s="32">
        <f t="shared" si="4"/>
        <v>41970</v>
      </c>
      <c r="P59" s="18" t="s">
        <v>19</v>
      </c>
    </row>
    <row r="60" spans="1:16" x14ac:dyDescent="0.25">
      <c r="A60" s="25" t="str">
        <f t="shared" si="1"/>
        <v>2025 JAN-JUN D70</v>
      </c>
      <c r="B60" s="8">
        <f t="shared" si="2"/>
        <v>46104</v>
      </c>
      <c r="C60" s="8">
        <f t="shared" si="7"/>
        <v>46113</v>
      </c>
      <c r="D60" s="7">
        <v>3272</v>
      </c>
      <c r="E60" s="7">
        <v>336</v>
      </c>
      <c r="F60" s="7">
        <v>4</v>
      </c>
      <c r="G60" s="7">
        <v>5</v>
      </c>
      <c r="H60" s="7">
        <v>81379</v>
      </c>
      <c r="I60" s="7" t="s">
        <v>16</v>
      </c>
      <c r="J60" s="7">
        <v>45647701</v>
      </c>
      <c r="K60" s="7" t="s">
        <v>1102</v>
      </c>
      <c r="L60" s="27" t="s">
        <v>1103</v>
      </c>
      <c r="M60" s="9">
        <v>139900</v>
      </c>
      <c r="N60" s="18">
        <f t="shared" si="3"/>
        <v>0.7</v>
      </c>
      <c r="O60" s="32">
        <f t="shared" si="4"/>
        <v>41970</v>
      </c>
      <c r="P60" s="18" t="s">
        <v>19</v>
      </c>
    </row>
    <row r="61" spans="1:16" x14ac:dyDescent="0.25">
      <c r="A61" s="25" t="str">
        <f t="shared" si="1"/>
        <v>2025 JAN-JUN D70</v>
      </c>
      <c r="B61" s="8">
        <f t="shared" si="2"/>
        <v>46104</v>
      </c>
      <c r="C61" s="8">
        <f t="shared" si="7"/>
        <v>46113</v>
      </c>
      <c r="D61" s="7">
        <v>3272</v>
      </c>
      <c r="E61" s="7">
        <v>336</v>
      </c>
      <c r="F61" s="7">
        <v>4</v>
      </c>
      <c r="G61" s="7">
        <v>5</v>
      </c>
      <c r="H61" s="7">
        <v>81379</v>
      </c>
      <c r="I61" s="7" t="s">
        <v>16</v>
      </c>
      <c r="J61" s="7">
        <v>45647710</v>
      </c>
      <c r="K61" s="7" t="s">
        <v>1102</v>
      </c>
      <c r="L61" s="27" t="s">
        <v>1104</v>
      </c>
      <c r="M61" s="9">
        <v>139900</v>
      </c>
      <c r="N61" s="18">
        <f t="shared" si="3"/>
        <v>0.7</v>
      </c>
      <c r="O61" s="32">
        <f t="shared" si="4"/>
        <v>41970</v>
      </c>
      <c r="P61" s="18" t="s">
        <v>19</v>
      </c>
    </row>
    <row r="62" spans="1:16" x14ac:dyDescent="0.25">
      <c r="A62" s="25" t="str">
        <f t="shared" si="1"/>
        <v>2025 JAN-JUN D70</v>
      </c>
      <c r="B62" s="8">
        <f t="shared" si="2"/>
        <v>46104</v>
      </c>
      <c r="C62" s="8">
        <f t="shared" si="7"/>
        <v>46113</v>
      </c>
      <c r="D62" s="7">
        <v>3272</v>
      </c>
      <c r="E62" s="7">
        <v>336</v>
      </c>
      <c r="F62" s="7">
        <v>4</v>
      </c>
      <c r="G62" s="7">
        <v>5</v>
      </c>
      <c r="H62" s="7">
        <v>81379</v>
      </c>
      <c r="I62" s="7" t="s">
        <v>16</v>
      </c>
      <c r="J62" s="7">
        <v>45647729</v>
      </c>
      <c r="K62" s="7" t="s">
        <v>1102</v>
      </c>
      <c r="L62" s="27" t="s">
        <v>1105</v>
      </c>
      <c r="M62" s="9">
        <v>149900</v>
      </c>
      <c r="N62" s="18">
        <f t="shared" si="3"/>
        <v>0.7</v>
      </c>
      <c r="O62" s="32">
        <f t="shared" si="4"/>
        <v>44970</v>
      </c>
      <c r="P62" s="18" t="s">
        <v>19</v>
      </c>
    </row>
    <row r="63" spans="1:16" x14ac:dyDescent="0.25">
      <c r="A63" s="25" t="str">
        <f t="shared" si="1"/>
        <v>2025 JAN-JUN D70</v>
      </c>
      <c r="B63" s="8">
        <f t="shared" si="2"/>
        <v>46104</v>
      </c>
      <c r="C63" s="8">
        <f t="shared" si="7"/>
        <v>46113</v>
      </c>
      <c r="D63" s="7">
        <v>3272</v>
      </c>
      <c r="E63" s="7">
        <v>336</v>
      </c>
      <c r="F63" s="7">
        <v>4</v>
      </c>
      <c r="G63" s="7">
        <v>5</v>
      </c>
      <c r="H63" s="7">
        <v>81379</v>
      </c>
      <c r="I63" s="7" t="s">
        <v>16</v>
      </c>
      <c r="J63" s="7">
        <v>45647738</v>
      </c>
      <c r="K63" s="7" t="s">
        <v>1102</v>
      </c>
      <c r="L63" s="27" t="s">
        <v>1106</v>
      </c>
      <c r="M63" s="9">
        <v>149900</v>
      </c>
      <c r="N63" s="18">
        <f t="shared" si="3"/>
        <v>0.7</v>
      </c>
      <c r="O63" s="32">
        <f t="shared" si="4"/>
        <v>44970</v>
      </c>
      <c r="P63" s="18" t="s">
        <v>19</v>
      </c>
    </row>
    <row r="64" spans="1:16" x14ac:dyDescent="0.25">
      <c r="A64" s="25" t="str">
        <f t="shared" si="1"/>
        <v>2025 JAN-JUN D70</v>
      </c>
      <c r="B64" s="8">
        <f t="shared" si="2"/>
        <v>46104</v>
      </c>
      <c r="C64" s="8">
        <f t="shared" si="7"/>
        <v>46113</v>
      </c>
      <c r="D64" s="7">
        <v>3272</v>
      </c>
      <c r="E64" s="7">
        <v>336</v>
      </c>
      <c r="F64" s="7">
        <v>4</v>
      </c>
      <c r="G64" s="7">
        <v>5</v>
      </c>
      <c r="H64" s="7">
        <v>81379</v>
      </c>
      <c r="I64" s="7" t="s">
        <v>16</v>
      </c>
      <c r="J64" s="7">
        <v>45647747</v>
      </c>
      <c r="K64" s="7" t="s">
        <v>1102</v>
      </c>
      <c r="L64" s="27" t="s">
        <v>1107</v>
      </c>
      <c r="M64" s="9">
        <v>149900</v>
      </c>
      <c r="N64" s="18">
        <f t="shared" si="3"/>
        <v>0.7</v>
      </c>
      <c r="O64" s="32">
        <f t="shared" si="4"/>
        <v>44970</v>
      </c>
      <c r="P64" s="18" t="s">
        <v>19</v>
      </c>
    </row>
    <row r="65" spans="1:16" x14ac:dyDescent="0.25">
      <c r="A65" s="25" t="str">
        <f t="shared" si="1"/>
        <v>2025 JAN-JUN D70</v>
      </c>
      <c r="B65" s="8">
        <f t="shared" si="2"/>
        <v>46104</v>
      </c>
      <c r="C65" s="8">
        <f t="shared" si="7"/>
        <v>46113</v>
      </c>
      <c r="D65" s="7">
        <v>3272</v>
      </c>
      <c r="E65" s="7">
        <v>336</v>
      </c>
      <c r="F65" s="7">
        <v>4</v>
      </c>
      <c r="G65" s="7">
        <v>5</v>
      </c>
      <c r="H65" s="7">
        <v>81379</v>
      </c>
      <c r="I65" s="7" t="s">
        <v>16</v>
      </c>
      <c r="J65" s="7">
        <v>45647756</v>
      </c>
      <c r="K65" s="7" t="s">
        <v>1102</v>
      </c>
      <c r="L65" s="27" t="s">
        <v>1108</v>
      </c>
      <c r="M65" s="9">
        <v>149900</v>
      </c>
      <c r="N65" s="18">
        <f t="shared" si="3"/>
        <v>0.7</v>
      </c>
      <c r="O65" s="32">
        <f t="shared" si="4"/>
        <v>44970</v>
      </c>
      <c r="P65" s="18" t="s">
        <v>19</v>
      </c>
    </row>
    <row r="66" spans="1:16" x14ac:dyDescent="0.25">
      <c r="A66" s="25" t="str">
        <f t="shared" si="1"/>
        <v>2025 JAN-JUN D70</v>
      </c>
      <c r="B66" s="8">
        <f t="shared" si="2"/>
        <v>46104</v>
      </c>
      <c r="C66" s="8">
        <f t="shared" si="7"/>
        <v>46113</v>
      </c>
      <c r="D66" s="7">
        <v>3272</v>
      </c>
      <c r="E66" s="7">
        <v>336</v>
      </c>
      <c r="F66" s="7">
        <v>4</v>
      </c>
      <c r="G66" s="7">
        <v>5</v>
      </c>
      <c r="H66" s="7">
        <v>81379</v>
      </c>
      <c r="I66" s="7" t="s">
        <v>16</v>
      </c>
      <c r="J66" s="7">
        <v>45647765</v>
      </c>
      <c r="K66" s="7" t="s">
        <v>1102</v>
      </c>
      <c r="L66" s="27" t="s">
        <v>1109</v>
      </c>
      <c r="M66" s="9">
        <v>149900</v>
      </c>
      <c r="N66" s="18">
        <f t="shared" si="3"/>
        <v>0.7</v>
      </c>
      <c r="O66" s="32">
        <f t="shared" si="4"/>
        <v>44970</v>
      </c>
      <c r="P66" s="18" t="s">
        <v>19</v>
      </c>
    </row>
    <row r="67" spans="1:16" x14ac:dyDescent="0.25">
      <c r="A67" s="25" t="str">
        <f t="shared" si="1"/>
        <v>2025 JAN-JUN D70</v>
      </c>
      <c r="B67" s="8">
        <f t="shared" si="2"/>
        <v>46104</v>
      </c>
      <c r="C67" s="8">
        <f t="shared" ref="C67:C82" si="8">C66</f>
        <v>46113</v>
      </c>
      <c r="D67" s="7">
        <v>3272</v>
      </c>
      <c r="E67" s="7">
        <v>336</v>
      </c>
      <c r="F67" s="7">
        <v>4</v>
      </c>
      <c r="G67" s="7">
        <v>5</v>
      </c>
      <c r="H67" s="7">
        <v>81379</v>
      </c>
      <c r="I67" s="7" t="s">
        <v>16</v>
      </c>
      <c r="J67" s="7">
        <v>45647774</v>
      </c>
      <c r="K67" s="7" t="s">
        <v>1102</v>
      </c>
      <c r="L67" s="27" t="s">
        <v>1110</v>
      </c>
      <c r="M67" s="9">
        <v>149900</v>
      </c>
      <c r="N67" s="18">
        <f t="shared" si="3"/>
        <v>0.7</v>
      </c>
      <c r="O67" s="32">
        <f t="shared" si="4"/>
        <v>44970</v>
      </c>
      <c r="P67" s="18" t="s">
        <v>19</v>
      </c>
    </row>
    <row r="68" spans="1:16" x14ac:dyDescent="0.25">
      <c r="A68" s="25" t="str">
        <f t="shared" ref="A68:A131" si="9">A67</f>
        <v>2025 JAN-JUN D70</v>
      </c>
      <c r="B68" s="8">
        <f t="shared" ref="B68:B131" si="10">B67</f>
        <v>46104</v>
      </c>
      <c r="C68" s="8">
        <f t="shared" si="8"/>
        <v>46113</v>
      </c>
      <c r="D68" s="7">
        <v>3272</v>
      </c>
      <c r="E68" s="7">
        <v>336</v>
      </c>
      <c r="F68" s="7">
        <v>4</v>
      </c>
      <c r="G68" s="7">
        <v>1</v>
      </c>
      <c r="H68" s="7">
        <v>81379</v>
      </c>
      <c r="I68" s="7" t="s">
        <v>16</v>
      </c>
      <c r="J68" s="7">
        <v>45647836</v>
      </c>
      <c r="K68" s="7" t="s">
        <v>1111</v>
      </c>
      <c r="L68" s="27" t="s">
        <v>1112</v>
      </c>
      <c r="M68" s="9">
        <v>149900</v>
      </c>
      <c r="N68" s="18">
        <f t="shared" ref="N68:N131" si="11">N67</f>
        <v>0.7</v>
      </c>
      <c r="O68" s="32">
        <f t="shared" ref="O68:O131" si="12">M68-((70*M68)/100)</f>
        <v>44970</v>
      </c>
      <c r="P68" s="18" t="s">
        <v>19</v>
      </c>
    </row>
    <row r="69" spans="1:16" x14ac:dyDescent="0.25">
      <c r="A69" s="25" t="str">
        <f t="shared" si="9"/>
        <v>2025 JAN-JUN D70</v>
      </c>
      <c r="B69" s="8">
        <f t="shared" si="10"/>
        <v>46104</v>
      </c>
      <c r="C69" s="8">
        <f t="shared" si="8"/>
        <v>46113</v>
      </c>
      <c r="D69" s="7">
        <v>3272</v>
      </c>
      <c r="E69" s="7">
        <v>336</v>
      </c>
      <c r="F69" s="7">
        <v>4</v>
      </c>
      <c r="G69" s="7">
        <v>1</v>
      </c>
      <c r="H69" s="7">
        <v>81379</v>
      </c>
      <c r="I69" s="7" t="s">
        <v>16</v>
      </c>
      <c r="J69" s="7">
        <v>45647845</v>
      </c>
      <c r="K69" s="7" t="s">
        <v>1111</v>
      </c>
      <c r="L69" s="27" t="s">
        <v>1113</v>
      </c>
      <c r="M69" s="9">
        <v>149900</v>
      </c>
      <c r="N69" s="18">
        <f t="shared" si="11"/>
        <v>0.7</v>
      </c>
      <c r="O69" s="32">
        <f t="shared" si="12"/>
        <v>44970</v>
      </c>
      <c r="P69" s="18" t="s">
        <v>19</v>
      </c>
    </row>
    <row r="70" spans="1:16" x14ac:dyDescent="0.25">
      <c r="A70" s="25" t="str">
        <f t="shared" si="9"/>
        <v>2025 JAN-JUN D70</v>
      </c>
      <c r="B70" s="8">
        <f t="shared" si="10"/>
        <v>46104</v>
      </c>
      <c r="C70" s="8">
        <f t="shared" si="8"/>
        <v>46113</v>
      </c>
      <c r="D70" s="7">
        <v>3272</v>
      </c>
      <c r="E70" s="7">
        <v>336</v>
      </c>
      <c r="F70" s="7">
        <v>4</v>
      </c>
      <c r="G70" s="7">
        <v>1</v>
      </c>
      <c r="H70" s="7">
        <v>81379</v>
      </c>
      <c r="I70" s="7" t="s">
        <v>16</v>
      </c>
      <c r="J70" s="7">
        <v>45647854</v>
      </c>
      <c r="K70" s="7" t="s">
        <v>1111</v>
      </c>
      <c r="L70" s="27" t="s">
        <v>1114</v>
      </c>
      <c r="M70" s="9">
        <v>149900</v>
      </c>
      <c r="N70" s="18">
        <f t="shared" si="11"/>
        <v>0.7</v>
      </c>
      <c r="O70" s="32">
        <f t="shared" si="12"/>
        <v>44970</v>
      </c>
      <c r="P70" s="18" t="s">
        <v>19</v>
      </c>
    </row>
    <row r="71" spans="1:16" x14ac:dyDescent="0.25">
      <c r="A71" s="25" t="str">
        <f t="shared" si="9"/>
        <v>2025 JAN-JUN D70</v>
      </c>
      <c r="B71" s="8">
        <f t="shared" si="10"/>
        <v>46104</v>
      </c>
      <c r="C71" s="8">
        <f t="shared" si="8"/>
        <v>46113</v>
      </c>
      <c r="D71" s="7">
        <v>3272</v>
      </c>
      <c r="E71" s="7">
        <v>336</v>
      </c>
      <c r="F71" s="7">
        <v>4</v>
      </c>
      <c r="G71" s="7">
        <v>1</v>
      </c>
      <c r="H71" s="7">
        <v>81379</v>
      </c>
      <c r="I71" s="7" t="s">
        <v>16</v>
      </c>
      <c r="J71" s="7">
        <v>45647863</v>
      </c>
      <c r="K71" s="7" t="s">
        <v>1111</v>
      </c>
      <c r="L71" s="27" t="s">
        <v>1115</v>
      </c>
      <c r="M71" s="9">
        <v>149900</v>
      </c>
      <c r="N71" s="18">
        <f t="shared" si="11"/>
        <v>0.7</v>
      </c>
      <c r="O71" s="32">
        <f t="shared" si="12"/>
        <v>44970</v>
      </c>
      <c r="P71" s="18" t="s">
        <v>19</v>
      </c>
    </row>
    <row r="72" spans="1:16" x14ac:dyDescent="0.25">
      <c r="A72" s="25" t="str">
        <f t="shared" si="9"/>
        <v>2025 JAN-JUN D70</v>
      </c>
      <c r="B72" s="8">
        <f t="shared" si="10"/>
        <v>46104</v>
      </c>
      <c r="C72" s="8">
        <f t="shared" si="8"/>
        <v>46113</v>
      </c>
      <c r="D72" s="7">
        <v>3272</v>
      </c>
      <c r="E72" s="7">
        <v>336</v>
      </c>
      <c r="F72" s="7">
        <v>4</v>
      </c>
      <c r="G72" s="7">
        <v>1</v>
      </c>
      <c r="H72" s="7">
        <v>81379</v>
      </c>
      <c r="I72" s="7" t="s">
        <v>16</v>
      </c>
      <c r="J72" s="7">
        <v>45647872</v>
      </c>
      <c r="K72" s="7" t="s">
        <v>1111</v>
      </c>
      <c r="L72" s="27" t="s">
        <v>1116</v>
      </c>
      <c r="M72" s="9">
        <v>139900</v>
      </c>
      <c r="N72" s="18">
        <f t="shared" si="11"/>
        <v>0.7</v>
      </c>
      <c r="O72" s="32">
        <f t="shared" si="12"/>
        <v>41970</v>
      </c>
      <c r="P72" s="18" t="s">
        <v>19</v>
      </c>
    </row>
    <row r="73" spans="1:16" x14ac:dyDescent="0.25">
      <c r="A73" s="25" t="str">
        <f t="shared" si="9"/>
        <v>2025 JAN-JUN D70</v>
      </c>
      <c r="B73" s="8">
        <f t="shared" si="10"/>
        <v>46104</v>
      </c>
      <c r="C73" s="8">
        <f t="shared" si="8"/>
        <v>46113</v>
      </c>
      <c r="D73" s="7">
        <v>3272</v>
      </c>
      <c r="E73" s="7">
        <v>336</v>
      </c>
      <c r="F73" s="7">
        <v>4</v>
      </c>
      <c r="G73" s="7">
        <v>1</v>
      </c>
      <c r="H73" s="7">
        <v>81379</v>
      </c>
      <c r="I73" s="7" t="s">
        <v>16</v>
      </c>
      <c r="J73" s="7">
        <v>45647881</v>
      </c>
      <c r="K73" s="7" t="s">
        <v>1117</v>
      </c>
      <c r="L73" s="27" t="s">
        <v>1118</v>
      </c>
      <c r="M73" s="9">
        <v>139900</v>
      </c>
      <c r="N73" s="18">
        <f t="shared" si="11"/>
        <v>0.7</v>
      </c>
      <c r="O73" s="32">
        <f t="shared" si="12"/>
        <v>41970</v>
      </c>
      <c r="P73" s="18" t="s">
        <v>19</v>
      </c>
    </row>
    <row r="74" spans="1:16" x14ac:dyDescent="0.25">
      <c r="A74" s="25" t="str">
        <f t="shared" si="9"/>
        <v>2025 JAN-JUN D70</v>
      </c>
      <c r="B74" s="8">
        <f t="shared" si="10"/>
        <v>46104</v>
      </c>
      <c r="C74" s="8">
        <f t="shared" si="8"/>
        <v>46113</v>
      </c>
      <c r="D74" s="7">
        <v>3272</v>
      </c>
      <c r="E74" s="7">
        <v>336</v>
      </c>
      <c r="F74" s="7">
        <v>4</v>
      </c>
      <c r="G74" s="7">
        <v>1</v>
      </c>
      <c r="H74" s="7">
        <v>81379</v>
      </c>
      <c r="I74" s="7" t="s">
        <v>16</v>
      </c>
      <c r="J74" s="7">
        <v>45647890</v>
      </c>
      <c r="K74" s="7" t="s">
        <v>1117</v>
      </c>
      <c r="L74" s="27" t="s">
        <v>1119</v>
      </c>
      <c r="M74" s="9">
        <v>139900</v>
      </c>
      <c r="N74" s="18">
        <f t="shared" si="11"/>
        <v>0.7</v>
      </c>
      <c r="O74" s="32">
        <f t="shared" si="12"/>
        <v>41970</v>
      </c>
      <c r="P74" s="18" t="s">
        <v>19</v>
      </c>
    </row>
    <row r="75" spans="1:16" x14ac:dyDescent="0.25">
      <c r="A75" s="25" t="str">
        <f t="shared" si="9"/>
        <v>2025 JAN-JUN D70</v>
      </c>
      <c r="B75" s="8">
        <f t="shared" si="10"/>
        <v>46104</v>
      </c>
      <c r="C75" s="8">
        <f t="shared" si="8"/>
        <v>46113</v>
      </c>
      <c r="D75" s="7">
        <v>3272</v>
      </c>
      <c r="E75" s="7">
        <v>336</v>
      </c>
      <c r="F75" s="7">
        <v>4</v>
      </c>
      <c r="G75" s="7">
        <v>1</v>
      </c>
      <c r="H75" s="7">
        <v>81379</v>
      </c>
      <c r="I75" s="7" t="s">
        <v>16</v>
      </c>
      <c r="J75" s="7">
        <v>45647907</v>
      </c>
      <c r="K75" s="7" t="s">
        <v>1117</v>
      </c>
      <c r="L75" s="27" t="s">
        <v>1120</v>
      </c>
      <c r="M75" s="9">
        <v>139900</v>
      </c>
      <c r="N75" s="18">
        <f t="shared" si="11"/>
        <v>0.7</v>
      </c>
      <c r="O75" s="32">
        <f t="shared" si="12"/>
        <v>41970</v>
      </c>
      <c r="P75" s="18" t="s">
        <v>19</v>
      </c>
    </row>
    <row r="76" spans="1:16" x14ac:dyDescent="0.25">
      <c r="A76" s="25" t="str">
        <f t="shared" si="9"/>
        <v>2025 JAN-JUN D70</v>
      </c>
      <c r="B76" s="8">
        <f t="shared" si="10"/>
        <v>46104</v>
      </c>
      <c r="C76" s="8">
        <f t="shared" si="8"/>
        <v>46113</v>
      </c>
      <c r="D76" s="7">
        <v>3272</v>
      </c>
      <c r="E76" s="7">
        <v>336</v>
      </c>
      <c r="F76" s="7">
        <v>4</v>
      </c>
      <c r="G76" s="7">
        <v>1</v>
      </c>
      <c r="H76" s="7">
        <v>81379</v>
      </c>
      <c r="I76" s="7" t="s">
        <v>16</v>
      </c>
      <c r="J76" s="7">
        <v>45647916</v>
      </c>
      <c r="K76" s="7" t="s">
        <v>1117</v>
      </c>
      <c r="L76" s="27" t="s">
        <v>1121</v>
      </c>
      <c r="M76" s="9">
        <v>139900</v>
      </c>
      <c r="N76" s="18">
        <f t="shared" si="11"/>
        <v>0.7</v>
      </c>
      <c r="O76" s="32">
        <f t="shared" si="12"/>
        <v>41970</v>
      </c>
      <c r="P76" s="18" t="s">
        <v>19</v>
      </c>
    </row>
    <row r="77" spans="1:16" x14ac:dyDescent="0.25">
      <c r="A77" s="25" t="str">
        <f t="shared" si="9"/>
        <v>2025 JAN-JUN D70</v>
      </c>
      <c r="B77" s="8">
        <f t="shared" si="10"/>
        <v>46104</v>
      </c>
      <c r="C77" s="8">
        <f t="shared" si="8"/>
        <v>46113</v>
      </c>
      <c r="D77" s="7">
        <v>3272</v>
      </c>
      <c r="E77" s="7">
        <v>336</v>
      </c>
      <c r="F77" s="7">
        <v>4</v>
      </c>
      <c r="G77" s="7">
        <v>1</v>
      </c>
      <c r="H77" s="7">
        <v>81379</v>
      </c>
      <c r="I77" s="7" t="s">
        <v>16</v>
      </c>
      <c r="J77" s="7">
        <v>45647925</v>
      </c>
      <c r="K77" s="7" t="s">
        <v>1117</v>
      </c>
      <c r="L77" s="27" t="s">
        <v>1122</v>
      </c>
      <c r="M77" s="9">
        <v>149900</v>
      </c>
      <c r="N77" s="18">
        <f t="shared" si="11"/>
        <v>0.7</v>
      </c>
      <c r="O77" s="32">
        <f t="shared" si="12"/>
        <v>44970</v>
      </c>
      <c r="P77" s="18" t="s">
        <v>19</v>
      </c>
    </row>
    <row r="78" spans="1:16" x14ac:dyDescent="0.25">
      <c r="A78" s="25" t="str">
        <f t="shared" si="9"/>
        <v>2025 JAN-JUN D70</v>
      </c>
      <c r="B78" s="8">
        <f t="shared" si="10"/>
        <v>46104</v>
      </c>
      <c r="C78" s="8">
        <f t="shared" si="8"/>
        <v>46113</v>
      </c>
      <c r="D78" s="7">
        <v>3272</v>
      </c>
      <c r="E78" s="7">
        <v>336</v>
      </c>
      <c r="F78" s="7">
        <v>4</v>
      </c>
      <c r="G78" s="7">
        <v>1</v>
      </c>
      <c r="H78" s="7">
        <v>81379</v>
      </c>
      <c r="I78" s="7" t="s">
        <v>16</v>
      </c>
      <c r="J78" s="7">
        <v>45647934</v>
      </c>
      <c r="K78" s="7" t="s">
        <v>1123</v>
      </c>
      <c r="L78" s="27" t="s">
        <v>1124</v>
      </c>
      <c r="M78" s="9">
        <v>149900</v>
      </c>
      <c r="N78" s="18">
        <f t="shared" si="11"/>
        <v>0.7</v>
      </c>
      <c r="O78" s="32">
        <f t="shared" si="12"/>
        <v>44970</v>
      </c>
      <c r="P78" s="18" t="s">
        <v>19</v>
      </c>
    </row>
    <row r="79" spans="1:16" x14ac:dyDescent="0.25">
      <c r="A79" s="25" t="str">
        <f t="shared" si="9"/>
        <v>2025 JAN-JUN D70</v>
      </c>
      <c r="B79" s="8">
        <f t="shared" si="10"/>
        <v>46104</v>
      </c>
      <c r="C79" s="8">
        <f t="shared" si="8"/>
        <v>46113</v>
      </c>
      <c r="D79" s="7">
        <v>3272</v>
      </c>
      <c r="E79" s="7">
        <v>336</v>
      </c>
      <c r="F79" s="7">
        <v>4</v>
      </c>
      <c r="G79" s="7">
        <v>1</v>
      </c>
      <c r="H79" s="7">
        <v>81379</v>
      </c>
      <c r="I79" s="7" t="s">
        <v>16</v>
      </c>
      <c r="J79" s="7">
        <v>45647943</v>
      </c>
      <c r="K79" s="7" t="s">
        <v>1123</v>
      </c>
      <c r="L79" s="27" t="s">
        <v>1125</v>
      </c>
      <c r="M79" s="9">
        <v>149900</v>
      </c>
      <c r="N79" s="18">
        <f t="shared" si="11"/>
        <v>0.7</v>
      </c>
      <c r="O79" s="32">
        <f t="shared" si="12"/>
        <v>44970</v>
      </c>
      <c r="P79" s="18" t="s">
        <v>19</v>
      </c>
    </row>
    <row r="80" spans="1:16" x14ac:dyDescent="0.25">
      <c r="A80" s="25" t="str">
        <f t="shared" si="9"/>
        <v>2025 JAN-JUN D70</v>
      </c>
      <c r="B80" s="8">
        <f t="shared" si="10"/>
        <v>46104</v>
      </c>
      <c r="C80" s="8">
        <f t="shared" si="8"/>
        <v>46113</v>
      </c>
      <c r="D80" s="7">
        <v>3272</v>
      </c>
      <c r="E80" s="7">
        <v>336</v>
      </c>
      <c r="F80" s="7">
        <v>4</v>
      </c>
      <c r="G80" s="7">
        <v>1</v>
      </c>
      <c r="H80" s="7">
        <v>81379</v>
      </c>
      <c r="I80" s="7" t="s">
        <v>16</v>
      </c>
      <c r="J80" s="7">
        <v>45647952</v>
      </c>
      <c r="K80" s="7" t="s">
        <v>1123</v>
      </c>
      <c r="L80" s="27" t="s">
        <v>1126</v>
      </c>
      <c r="M80" s="9">
        <v>149900</v>
      </c>
      <c r="N80" s="18">
        <f t="shared" si="11"/>
        <v>0.7</v>
      </c>
      <c r="O80" s="32">
        <f t="shared" si="12"/>
        <v>44970</v>
      </c>
      <c r="P80" s="18" t="s">
        <v>19</v>
      </c>
    </row>
    <row r="81" spans="1:16" x14ac:dyDescent="0.25">
      <c r="A81" s="25" t="str">
        <f t="shared" si="9"/>
        <v>2025 JAN-JUN D70</v>
      </c>
      <c r="B81" s="8">
        <f t="shared" si="10"/>
        <v>46104</v>
      </c>
      <c r="C81" s="8">
        <f t="shared" si="8"/>
        <v>46113</v>
      </c>
      <c r="D81" s="7">
        <v>3272</v>
      </c>
      <c r="E81" s="7">
        <v>336</v>
      </c>
      <c r="F81" s="7">
        <v>4</v>
      </c>
      <c r="G81" s="7">
        <v>1</v>
      </c>
      <c r="H81" s="7">
        <v>81379</v>
      </c>
      <c r="I81" s="7" t="s">
        <v>16</v>
      </c>
      <c r="J81" s="7">
        <v>45647961</v>
      </c>
      <c r="K81" s="7" t="s">
        <v>1123</v>
      </c>
      <c r="L81" s="27" t="s">
        <v>1127</v>
      </c>
      <c r="M81" s="9">
        <v>149900</v>
      </c>
      <c r="N81" s="18">
        <f t="shared" si="11"/>
        <v>0.7</v>
      </c>
      <c r="O81" s="32">
        <f t="shared" si="12"/>
        <v>44970</v>
      </c>
      <c r="P81" s="18" t="s">
        <v>19</v>
      </c>
    </row>
    <row r="82" spans="1:16" x14ac:dyDescent="0.25">
      <c r="A82" s="25" t="str">
        <f t="shared" si="9"/>
        <v>2025 JAN-JUN D70</v>
      </c>
      <c r="B82" s="8">
        <f t="shared" si="10"/>
        <v>46104</v>
      </c>
      <c r="C82" s="8">
        <f t="shared" si="8"/>
        <v>46113</v>
      </c>
      <c r="D82" s="7">
        <v>3272</v>
      </c>
      <c r="E82" s="7">
        <v>336</v>
      </c>
      <c r="F82" s="7">
        <v>4</v>
      </c>
      <c r="G82" s="7">
        <v>1</v>
      </c>
      <c r="H82" s="7">
        <v>81379</v>
      </c>
      <c r="I82" s="7" t="s">
        <v>16</v>
      </c>
      <c r="J82" s="7">
        <v>45647970</v>
      </c>
      <c r="K82" s="7" t="s">
        <v>1123</v>
      </c>
      <c r="L82" s="27" t="s">
        <v>1128</v>
      </c>
      <c r="M82" s="9">
        <v>139900</v>
      </c>
      <c r="N82" s="18">
        <f t="shared" si="11"/>
        <v>0.7</v>
      </c>
      <c r="O82" s="32">
        <f t="shared" si="12"/>
        <v>41970</v>
      </c>
      <c r="P82" s="18" t="s">
        <v>19</v>
      </c>
    </row>
    <row r="83" spans="1:16" x14ac:dyDescent="0.25">
      <c r="A83" s="25" t="str">
        <f t="shared" si="9"/>
        <v>2025 JAN-JUN D70</v>
      </c>
      <c r="B83" s="8">
        <f t="shared" si="10"/>
        <v>46104</v>
      </c>
      <c r="C83" s="8">
        <f t="shared" ref="C83:C98" si="13">C82</f>
        <v>46113</v>
      </c>
      <c r="D83" s="7">
        <v>3272</v>
      </c>
      <c r="E83" s="7">
        <v>336</v>
      </c>
      <c r="F83" s="7">
        <v>4</v>
      </c>
      <c r="G83" s="7">
        <v>1</v>
      </c>
      <c r="H83" s="7">
        <v>81379</v>
      </c>
      <c r="I83" s="7" t="s">
        <v>16</v>
      </c>
      <c r="J83" s="7">
        <v>51502917</v>
      </c>
      <c r="K83" s="7" t="s">
        <v>1129</v>
      </c>
      <c r="L83" s="27" t="s">
        <v>1130</v>
      </c>
      <c r="M83" s="9">
        <v>139900</v>
      </c>
      <c r="N83" s="18">
        <f t="shared" si="11"/>
        <v>0.7</v>
      </c>
      <c r="O83" s="32">
        <f t="shared" si="12"/>
        <v>41970</v>
      </c>
      <c r="P83" s="18" t="s">
        <v>19</v>
      </c>
    </row>
    <row r="84" spans="1:16" x14ac:dyDescent="0.25">
      <c r="A84" s="25" t="str">
        <f t="shared" si="9"/>
        <v>2025 JAN-JUN D70</v>
      </c>
      <c r="B84" s="8">
        <f t="shared" si="10"/>
        <v>46104</v>
      </c>
      <c r="C84" s="8">
        <f t="shared" si="13"/>
        <v>46113</v>
      </c>
      <c r="D84" s="7">
        <v>3272</v>
      </c>
      <c r="E84" s="7">
        <v>336</v>
      </c>
      <c r="F84" s="7">
        <v>4</v>
      </c>
      <c r="G84" s="7">
        <v>1</v>
      </c>
      <c r="H84" s="7">
        <v>81379</v>
      </c>
      <c r="I84" s="7" t="s">
        <v>16</v>
      </c>
      <c r="J84" s="7">
        <v>51502926</v>
      </c>
      <c r="K84" s="7" t="s">
        <v>1129</v>
      </c>
      <c r="L84" s="27" t="s">
        <v>1131</v>
      </c>
      <c r="M84" s="9">
        <v>139900</v>
      </c>
      <c r="N84" s="18">
        <f t="shared" si="11"/>
        <v>0.7</v>
      </c>
      <c r="O84" s="32">
        <f t="shared" si="12"/>
        <v>41970</v>
      </c>
      <c r="P84" s="18" t="s">
        <v>19</v>
      </c>
    </row>
    <row r="85" spans="1:16" x14ac:dyDescent="0.25">
      <c r="A85" s="25" t="str">
        <f t="shared" si="9"/>
        <v>2025 JAN-JUN D70</v>
      </c>
      <c r="B85" s="8">
        <f t="shared" si="10"/>
        <v>46104</v>
      </c>
      <c r="C85" s="8">
        <f t="shared" si="13"/>
        <v>46113</v>
      </c>
      <c r="D85" s="7">
        <v>3272</v>
      </c>
      <c r="E85" s="7">
        <v>336</v>
      </c>
      <c r="F85" s="7">
        <v>4</v>
      </c>
      <c r="G85" s="7">
        <v>1</v>
      </c>
      <c r="H85" s="7">
        <v>81379</v>
      </c>
      <c r="I85" s="7" t="s">
        <v>16</v>
      </c>
      <c r="J85" s="7">
        <v>51502935</v>
      </c>
      <c r="K85" s="7" t="s">
        <v>1129</v>
      </c>
      <c r="L85" s="27" t="s">
        <v>1132</v>
      </c>
      <c r="M85" s="9">
        <v>139900</v>
      </c>
      <c r="N85" s="18">
        <f t="shared" si="11"/>
        <v>0.7</v>
      </c>
      <c r="O85" s="32">
        <f t="shared" si="12"/>
        <v>41970</v>
      </c>
      <c r="P85" s="18" t="s">
        <v>19</v>
      </c>
    </row>
    <row r="86" spans="1:16" x14ac:dyDescent="0.25">
      <c r="A86" s="25" t="str">
        <f t="shared" si="9"/>
        <v>2025 JAN-JUN D70</v>
      </c>
      <c r="B86" s="8">
        <f t="shared" si="10"/>
        <v>46104</v>
      </c>
      <c r="C86" s="8">
        <f t="shared" si="13"/>
        <v>46113</v>
      </c>
      <c r="D86" s="7">
        <v>3272</v>
      </c>
      <c r="E86" s="7">
        <v>336</v>
      </c>
      <c r="F86" s="7">
        <v>4</v>
      </c>
      <c r="G86" s="7">
        <v>1</v>
      </c>
      <c r="H86" s="7">
        <v>81379</v>
      </c>
      <c r="I86" s="7" t="s">
        <v>16</v>
      </c>
      <c r="J86" s="7">
        <v>51502944</v>
      </c>
      <c r="K86" s="7" t="s">
        <v>1129</v>
      </c>
      <c r="L86" s="27" t="s">
        <v>1133</v>
      </c>
      <c r="M86" s="9">
        <v>139900</v>
      </c>
      <c r="N86" s="18">
        <f t="shared" si="11"/>
        <v>0.7</v>
      </c>
      <c r="O86" s="32">
        <f t="shared" si="12"/>
        <v>41970</v>
      </c>
      <c r="P86" s="18" t="s">
        <v>19</v>
      </c>
    </row>
    <row r="87" spans="1:16" x14ac:dyDescent="0.25">
      <c r="A87" s="25" t="str">
        <f t="shared" si="9"/>
        <v>2025 JAN-JUN D70</v>
      </c>
      <c r="B87" s="8">
        <f t="shared" si="10"/>
        <v>46104</v>
      </c>
      <c r="C87" s="8">
        <f t="shared" si="13"/>
        <v>46113</v>
      </c>
      <c r="D87" s="7">
        <v>3272</v>
      </c>
      <c r="E87" s="7">
        <v>336</v>
      </c>
      <c r="F87" s="7">
        <v>4</v>
      </c>
      <c r="G87" s="7">
        <v>1</v>
      </c>
      <c r="H87" s="7">
        <v>81379</v>
      </c>
      <c r="I87" s="7" t="s">
        <v>16</v>
      </c>
      <c r="J87" s="7">
        <v>51502953</v>
      </c>
      <c r="K87" s="7" t="s">
        <v>1129</v>
      </c>
      <c r="L87" s="27" t="s">
        <v>1134</v>
      </c>
      <c r="M87" s="9">
        <v>139900</v>
      </c>
      <c r="N87" s="18">
        <f t="shared" si="11"/>
        <v>0.7</v>
      </c>
      <c r="O87" s="32">
        <f t="shared" si="12"/>
        <v>41970</v>
      </c>
      <c r="P87" s="18" t="s">
        <v>19</v>
      </c>
    </row>
    <row r="88" spans="1:16" x14ac:dyDescent="0.25">
      <c r="A88" s="25" t="str">
        <f t="shared" si="9"/>
        <v>2025 JAN-JUN D70</v>
      </c>
      <c r="B88" s="8">
        <f t="shared" si="10"/>
        <v>46104</v>
      </c>
      <c r="C88" s="8">
        <f t="shared" si="13"/>
        <v>46113</v>
      </c>
      <c r="D88" s="7">
        <v>3272</v>
      </c>
      <c r="E88" s="7">
        <v>336</v>
      </c>
      <c r="F88" s="7">
        <v>4</v>
      </c>
      <c r="G88" s="7">
        <v>4</v>
      </c>
      <c r="H88" s="7">
        <v>81379</v>
      </c>
      <c r="I88" s="7" t="s">
        <v>16</v>
      </c>
      <c r="J88" s="7">
        <v>51503014</v>
      </c>
      <c r="K88" s="7" t="s">
        <v>1135</v>
      </c>
      <c r="L88" s="27" t="s">
        <v>1136</v>
      </c>
      <c r="M88" s="9">
        <v>139900</v>
      </c>
      <c r="N88" s="18">
        <f t="shared" si="11"/>
        <v>0.7</v>
      </c>
      <c r="O88" s="32">
        <f t="shared" si="12"/>
        <v>41970</v>
      </c>
      <c r="P88" s="18" t="s">
        <v>19</v>
      </c>
    </row>
    <row r="89" spans="1:16" x14ac:dyDescent="0.25">
      <c r="A89" s="25" t="str">
        <f t="shared" si="9"/>
        <v>2025 JAN-JUN D70</v>
      </c>
      <c r="B89" s="8">
        <f t="shared" si="10"/>
        <v>46104</v>
      </c>
      <c r="C89" s="8">
        <f t="shared" si="13"/>
        <v>46113</v>
      </c>
      <c r="D89" s="7">
        <v>3272</v>
      </c>
      <c r="E89" s="7">
        <v>336</v>
      </c>
      <c r="F89" s="7">
        <v>4</v>
      </c>
      <c r="G89" s="7">
        <v>4</v>
      </c>
      <c r="H89" s="7">
        <v>81379</v>
      </c>
      <c r="I89" s="7" t="s">
        <v>16</v>
      </c>
      <c r="J89" s="7">
        <v>51503023</v>
      </c>
      <c r="K89" s="7" t="s">
        <v>1135</v>
      </c>
      <c r="L89" s="27" t="s">
        <v>1137</v>
      </c>
      <c r="M89" s="9">
        <v>139900</v>
      </c>
      <c r="N89" s="18">
        <f t="shared" si="11"/>
        <v>0.7</v>
      </c>
      <c r="O89" s="32">
        <f t="shared" si="12"/>
        <v>41970</v>
      </c>
      <c r="P89" s="18" t="s">
        <v>19</v>
      </c>
    </row>
    <row r="90" spans="1:16" x14ac:dyDescent="0.25">
      <c r="A90" s="25" t="str">
        <f t="shared" si="9"/>
        <v>2025 JAN-JUN D70</v>
      </c>
      <c r="B90" s="8">
        <f t="shared" si="10"/>
        <v>46104</v>
      </c>
      <c r="C90" s="8">
        <f t="shared" si="13"/>
        <v>46113</v>
      </c>
      <c r="D90" s="7">
        <v>3272</v>
      </c>
      <c r="E90" s="7">
        <v>336</v>
      </c>
      <c r="F90" s="7">
        <v>4</v>
      </c>
      <c r="G90" s="7">
        <v>4</v>
      </c>
      <c r="H90" s="7">
        <v>81379</v>
      </c>
      <c r="I90" s="7" t="s">
        <v>16</v>
      </c>
      <c r="J90" s="7">
        <v>51503032</v>
      </c>
      <c r="K90" s="7" t="s">
        <v>1135</v>
      </c>
      <c r="L90" s="27" t="s">
        <v>1138</v>
      </c>
      <c r="M90" s="9">
        <v>139900</v>
      </c>
      <c r="N90" s="18">
        <f t="shared" si="11"/>
        <v>0.7</v>
      </c>
      <c r="O90" s="32">
        <f t="shared" si="12"/>
        <v>41970</v>
      </c>
      <c r="P90" s="18" t="s">
        <v>19</v>
      </c>
    </row>
    <row r="91" spans="1:16" x14ac:dyDescent="0.25">
      <c r="A91" s="25" t="str">
        <f t="shared" si="9"/>
        <v>2025 JAN-JUN D70</v>
      </c>
      <c r="B91" s="8">
        <f t="shared" si="10"/>
        <v>46104</v>
      </c>
      <c r="C91" s="8">
        <f t="shared" si="13"/>
        <v>46113</v>
      </c>
      <c r="D91" s="7">
        <v>3272</v>
      </c>
      <c r="E91" s="7">
        <v>336</v>
      </c>
      <c r="F91" s="7">
        <v>4</v>
      </c>
      <c r="G91" s="7">
        <v>4</v>
      </c>
      <c r="H91" s="7">
        <v>81379</v>
      </c>
      <c r="I91" s="7" t="s">
        <v>16</v>
      </c>
      <c r="J91" s="7">
        <v>51503041</v>
      </c>
      <c r="K91" s="7" t="s">
        <v>1135</v>
      </c>
      <c r="L91" s="27" t="s">
        <v>1139</v>
      </c>
      <c r="M91" s="9">
        <v>139900</v>
      </c>
      <c r="N91" s="18">
        <f t="shared" si="11"/>
        <v>0.7</v>
      </c>
      <c r="O91" s="32">
        <f t="shared" si="12"/>
        <v>41970</v>
      </c>
      <c r="P91" s="18" t="s">
        <v>19</v>
      </c>
    </row>
    <row r="92" spans="1:16" x14ac:dyDescent="0.25">
      <c r="A92" s="25" t="str">
        <f t="shared" si="9"/>
        <v>2025 JAN-JUN D70</v>
      </c>
      <c r="B92" s="8">
        <f t="shared" si="10"/>
        <v>46104</v>
      </c>
      <c r="C92" s="8">
        <f t="shared" si="13"/>
        <v>46113</v>
      </c>
      <c r="D92" s="7">
        <v>3272</v>
      </c>
      <c r="E92" s="7">
        <v>336</v>
      </c>
      <c r="F92" s="7">
        <v>4</v>
      </c>
      <c r="G92" s="7">
        <v>4</v>
      </c>
      <c r="H92" s="7">
        <v>81379</v>
      </c>
      <c r="I92" s="7" t="s">
        <v>16</v>
      </c>
      <c r="J92" s="7">
        <v>51503050</v>
      </c>
      <c r="K92" s="7" t="s">
        <v>1135</v>
      </c>
      <c r="L92" s="27" t="s">
        <v>1140</v>
      </c>
      <c r="M92" s="9">
        <v>139900</v>
      </c>
      <c r="N92" s="18">
        <f t="shared" si="11"/>
        <v>0.7</v>
      </c>
      <c r="O92" s="32">
        <f t="shared" si="12"/>
        <v>41970</v>
      </c>
      <c r="P92" s="18" t="s">
        <v>19</v>
      </c>
    </row>
    <row r="93" spans="1:16" x14ac:dyDescent="0.25">
      <c r="A93" s="25" t="str">
        <f t="shared" si="9"/>
        <v>2025 JAN-JUN D70</v>
      </c>
      <c r="B93" s="8">
        <f t="shared" si="10"/>
        <v>46104</v>
      </c>
      <c r="C93" s="8">
        <f t="shared" si="13"/>
        <v>46113</v>
      </c>
      <c r="D93" s="7">
        <v>3272</v>
      </c>
      <c r="E93" s="7">
        <v>336</v>
      </c>
      <c r="F93" s="7">
        <v>4</v>
      </c>
      <c r="G93" s="7">
        <v>1</v>
      </c>
      <c r="H93" s="7">
        <v>81379</v>
      </c>
      <c r="I93" s="7" t="s">
        <v>16</v>
      </c>
      <c r="J93" s="7">
        <v>51503069</v>
      </c>
      <c r="K93" s="7" t="s">
        <v>1141</v>
      </c>
      <c r="L93" s="27" t="s">
        <v>1142</v>
      </c>
      <c r="M93" s="9">
        <v>139900</v>
      </c>
      <c r="N93" s="18">
        <f t="shared" si="11"/>
        <v>0.7</v>
      </c>
      <c r="O93" s="32">
        <f t="shared" si="12"/>
        <v>41970</v>
      </c>
      <c r="P93" s="18" t="s">
        <v>19</v>
      </c>
    </row>
    <row r="94" spans="1:16" x14ac:dyDescent="0.25">
      <c r="A94" s="25" t="str">
        <f t="shared" si="9"/>
        <v>2025 JAN-JUN D70</v>
      </c>
      <c r="B94" s="8">
        <f t="shared" si="10"/>
        <v>46104</v>
      </c>
      <c r="C94" s="8">
        <f t="shared" si="13"/>
        <v>46113</v>
      </c>
      <c r="D94" s="7">
        <v>3272</v>
      </c>
      <c r="E94" s="7">
        <v>336</v>
      </c>
      <c r="F94" s="7">
        <v>4</v>
      </c>
      <c r="G94" s="7">
        <v>1</v>
      </c>
      <c r="H94" s="7">
        <v>81379</v>
      </c>
      <c r="I94" s="7" t="s">
        <v>16</v>
      </c>
      <c r="J94" s="7">
        <v>51503078</v>
      </c>
      <c r="K94" s="7" t="s">
        <v>1141</v>
      </c>
      <c r="L94" s="27" t="s">
        <v>1143</v>
      </c>
      <c r="M94" s="9">
        <v>139900</v>
      </c>
      <c r="N94" s="18">
        <f t="shared" si="11"/>
        <v>0.7</v>
      </c>
      <c r="O94" s="32">
        <f t="shared" si="12"/>
        <v>41970</v>
      </c>
      <c r="P94" s="18" t="s">
        <v>19</v>
      </c>
    </row>
    <row r="95" spans="1:16" x14ac:dyDescent="0.25">
      <c r="A95" s="25" t="str">
        <f t="shared" si="9"/>
        <v>2025 JAN-JUN D70</v>
      </c>
      <c r="B95" s="8">
        <f t="shared" si="10"/>
        <v>46104</v>
      </c>
      <c r="C95" s="8">
        <f t="shared" si="13"/>
        <v>46113</v>
      </c>
      <c r="D95" s="7">
        <v>3272</v>
      </c>
      <c r="E95" s="7">
        <v>336</v>
      </c>
      <c r="F95" s="7">
        <v>4</v>
      </c>
      <c r="G95" s="7">
        <v>1</v>
      </c>
      <c r="H95" s="7">
        <v>81379</v>
      </c>
      <c r="I95" s="7" t="s">
        <v>16</v>
      </c>
      <c r="J95" s="7">
        <v>51503087</v>
      </c>
      <c r="K95" s="7" t="s">
        <v>1141</v>
      </c>
      <c r="L95" s="27" t="s">
        <v>1144</v>
      </c>
      <c r="M95" s="9">
        <v>139900</v>
      </c>
      <c r="N95" s="18">
        <f t="shared" si="11"/>
        <v>0.7</v>
      </c>
      <c r="O95" s="32">
        <f t="shared" si="12"/>
        <v>41970</v>
      </c>
      <c r="P95" s="18" t="s">
        <v>19</v>
      </c>
    </row>
    <row r="96" spans="1:16" x14ac:dyDescent="0.25">
      <c r="A96" s="25" t="str">
        <f t="shared" si="9"/>
        <v>2025 JAN-JUN D70</v>
      </c>
      <c r="B96" s="8">
        <f t="shared" si="10"/>
        <v>46104</v>
      </c>
      <c r="C96" s="8">
        <f t="shared" si="13"/>
        <v>46113</v>
      </c>
      <c r="D96" s="7">
        <v>3272</v>
      </c>
      <c r="E96" s="7">
        <v>336</v>
      </c>
      <c r="F96" s="7">
        <v>4</v>
      </c>
      <c r="G96" s="7">
        <v>1</v>
      </c>
      <c r="H96" s="7">
        <v>81379</v>
      </c>
      <c r="I96" s="7" t="s">
        <v>16</v>
      </c>
      <c r="J96" s="7">
        <v>51503096</v>
      </c>
      <c r="K96" s="7" t="s">
        <v>1141</v>
      </c>
      <c r="L96" s="27" t="s">
        <v>1145</v>
      </c>
      <c r="M96" s="9">
        <v>139900</v>
      </c>
      <c r="N96" s="18">
        <f t="shared" si="11"/>
        <v>0.7</v>
      </c>
      <c r="O96" s="32">
        <f t="shared" si="12"/>
        <v>41970</v>
      </c>
      <c r="P96" s="18" t="s">
        <v>19</v>
      </c>
    </row>
    <row r="97" spans="1:16" x14ac:dyDescent="0.25">
      <c r="A97" s="25" t="str">
        <f t="shared" si="9"/>
        <v>2025 JAN-JUN D70</v>
      </c>
      <c r="B97" s="8">
        <f t="shared" si="10"/>
        <v>46104</v>
      </c>
      <c r="C97" s="8">
        <f t="shared" si="13"/>
        <v>46113</v>
      </c>
      <c r="D97" s="7">
        <v>3272</v>
      </c>
      <c r="E97" s="7">
        <v>336</v>
      </c>
      <c r="F97" s="7">
        <v>4</v>
      </c>
      <c r="G97" s="7">
        <v>1</v>
      </c>
      <c r="H97" s="7">
        <v>81379</v>
      </c>
      <c r="I97" s="7" t="s">
        <v>16</v>
      </c>
      <c r="J97" s="7">
        <v>51503103</v>
      </c>
      <c r="K97" s="7" t="s">
        <v>1141</v>
      </c>
      <c r="L97" s="27" t="s">
        <v>1146</v>
      </c>
      <c r="M97" s="9">
        <v>139900</v>
      </c>
      <c r="N97" s="18">
        <f t="shared" si="11"/>
        <v>0.7</v>
      </c>
      <c r="O97" s="32">
        <f t="shared" si="12"/>
        <v>41970</v>
      </c>
      <c r="P97" s="18" t="s">
        <v>19</v>
      </c>
    </row>
    <row r="98" spans="1:16" x14ac:dyDescent="0.25">
      <c r="A98" s="25" t="str">
        <f t="shared" si="9"/>
        <v>2025 JAN-JUN D70</v>
      </c>
      <c r="B98" s="8">
        <f t="shared" si="10"/>
        <v>46104</v>
      </c>
      <c r="C98" s="8">
        <f t="shared" si="13"/>
        <v>46113</v>
      </c>
      <c r="D98" s="7">
        <v>3272</v>
      </c>
      <c r="E98" s="7">
        <v>336</v>
      </c>
      <c r="F98" s="7">
        <v>4</v>
      </c>
      <c r="G98" s="7">
        <v>1</v>
      </c>
      <c r="H98" s="7">
        <v>81379</v>
      </c>
      <c r="I98" s="7" t="s">
        <v>16</v>
      </c>
      <c r="J98" s="7">
        <v>51503112</v>
      </c>
      <c r="K98" s="7" t="s">
        <v>1147</v>
      </c>
      <c r="L98" s="27" t="s">
        <v>1148</v>
      </c>
      <c r="M98" s="9">
        <v>139900</v>
      </c>
      <c r="N98" s="18">
        <f t="shared" si="11"/>
        <v>0.7</v>
      </c>
      <c r="O98" s="32">
        <f t="shared" si="12"/>
        <v>41970</v>
      </c>
      <c r="P98" s="18" t="s">
        <v>19</v>
      </c>
    </row>
    <row r="99" spans="1:16" x14ac:dyDescent="0.25">
      <c r="A99" s="25" t="str">
        <f t="shared" si="9"/>
        <v>2025 JAN-JUN D70</v>
      </c>
      <c r="B99" s="8">
        <f t="shared" si="10"/>
        <v>46104</v>
      </c>
      <c r="C99" s="8">
        <f t="shared" ref="C99:C114" si="14">C98</f>
        <v>46113</v>
      </c>
      <c r="D99" s="7">
        <v>3272</v>
      </c>
      <c r="E99" s="7">
        <v>336</v>
      </c>
      <c r="F99" s="7">
        <v>4</v>
      </c>
      <c r="G99" s="7">
        <v>1</v>
      </c>
      <c r="H99" s="7">
        <v>81379</v>
      </c>
      <c r="I99" s="7" t="s">
        <v>16</v>
      </c>
      <c r="J99" s="7">
        <v>51503121</v>
      </c>
      <c r="K99" s="7" t="s">
        <v>1147</v>
      </c>
      <c r="L99" s="27" t="s">
        <v>1149</v>
      </c>
      <c r="M99" s="9">
        <v>139900</v>
      </c>
      <c r="N99" s="18">
        <f t="shared" si="11"/>
        <v>0.7</v>
      </c>
      <c r="O99" s="32">
        <f t="shared" si="12"/>
        <v>41970</v>
      </c>
      <c r="P99" s="18" t="s">
        <v>19</v>
      </c>
    </row>
    <row r="100" spans="1:16" x14ac:dyDescent="0.25">
      <c r="A100" s="25" t="str">
        <f t="shared" si="9"/>
        <v>2025 JAN-JUN D70</v>
      </c>
      <c r="B100" s="8">
        <f t="shared" si="10"/>
        <v>46104</v>
      </c>
      <c r="C100" s="8">
        <f t="shared" si="14"/>
        <v>46113</v>
      </c>
      <c r="D100" s="7">
        <v>3272</v>
      </c>
      <c r="E100" s="7">
        <v>336</v>
      </c>
      <c r="F100" s="7">
        <v>4</v>
      </c>
      <c r="G100" s="7">
        <v>1</v>
      </c>
      <c r="H100" s="7">
        <v>81379</v>
      </c>
      <c r="I100" s="7" t="s">
        <v>16</v>
      </c>
      <c r="J100" s="7">
        <v>51503130</v>
      </c>
      <c r="K100" s="7" t="s">
        <v>1147</v>
      </c>
      <c r="L100" s="27" t="s">
        <v>1150</v>
      </c>
      <c r="M100" s="9">
        <v>149900</v>
      </c>
      <c r="N100" s="18">
        <f t="shared" si="11"/>
        <v>0.7</v>
      </c>
      <c r="O100" s="32">
        <f t="shared" si="12"/>
        <v>44970</v>
      </c>
      <c r="P100" s="18" t="s">
        <v>19</v>
      </c>
    </row>
    <row r="101" spans="1:16" x14ac:dyDescent="0.25">
      <c r="A101" s="25" t="str">
        <f t="shared" si="9"/>
        <v>2025 JAN-JUN D70</v>
      </c>
      <c r="B101" s="8">
        <f t="shared" si="10"/>
        <v>46104</v>
      </c>
      <c r="C101" s="8">
        <f t="shared" si="14"/>
        <v>46113</v>
      </c>
      <c r="D101" s="7">
        <v>3272</v>
      </c>
      <c r="E101" s="7">
        <v>336</v>
      </c>
      <c r="F101" s="7">
        <v>4</v>
      </c>
      <c r="G101" s="7">
        <v>1</v>
      </c>
      <c r="H101" s="7">
        <v>81379</v>
      </c>
      <c r="I101" s="7" t="s">
        <v>16</v>
      </c>
      <c r="J101" s="7">
        <v>51503149</v>
      </c>
      <c r="K101" s="7" t="s">
        <v>1147</v>
      </c>
      <c r="L101" s="27" t="s">
        <v>1151</v>
      </c>
      <c r="M101" s="9">
        <v>149900</v>
      </c>
      <c r="N101" s="18">
        <f t="shared" si="11"/>
        <v>0.7</v>
      </c>
      <c r="O101" s="32">
        <f t="shared" si="12"/>
        <v>44970</v>
      </c>
      <c r="P101" s="18" t="s">
        <v>19</v>
      </c>
    </row>
    <row r="102" spans="1:16" x14ac:dyDescent="0.25">
      <c r="A102" s="25" t="str">
        <f t="shared" si="9"/>
        <v>2025 JAN-JUN D70</v>
      </c>
      <c r="B102" s="8">
        <f t="shared" si="10"/>
        <v>46104</v>
      </c>
      <c r="C102" s="8">
        <f t="shared" si="14"/>
        <v>46113</v>
      </c>
      <c r="D102" s="7">
        <v>3272</v>
      </c>
      <c r="E102" s="7">
        <v>336</v>
      </c>
      <c r="F102" s="7">
        <v>4</v>
      </c>
      <c r="G102" s="7">
        <v>1</v>
      </c>
      <c r="H102" s="7">
        <v>81379</v>
      </c>
      <c r="I102" s="7" t="s">
        <v>16</v>
      </c>
      <c r="J102" s="7">
        <v>51503158</v>
      </c>
      <c r="K102" s="7" t="s">
        <v>1147</v>
      </c>
      <c r="L102" s="27" t="s">
        <v>1152</v>
      </c>
      <c r="M102" s="9">
        <v>149900</v>
      </c>
      <c r="N102" s="18">
        <f t="shared" si="11"/>
        <v>0.7</v>
      </c>
      <c r="O102" s="32">
        <f t="shared" si="12"/>
        <v>44970</v>
      </c>
      <c r="P102" s="18" t="s">
        <v>19</v>
      </c>
    </row>
    <row r="103" spans="1:16" x14ac:dyDescent="0.25">
      <c r="A103" s="25" t="str">
        <f t="shared" si="9"/>
        <v>2025 JAN-JUN D70</v>
      </c>
      <c r="B103" s="8">
        <f t="shared" si="10"/>
        <v>46104</v>
      </c>
      <c r="C103" s="8">
        <f t="shared" si="14"/>
        <v>46113</v>
      </c>
      <c r="D103" s="7">
        <v>3272</v>
      </c>
      <c r="E103" s="7">
        <v>336</v>
      </c>
      <c r="F103" s="7">
        <v>4</v>
      </c>
      <c r="G103" s="7">
        <v>1</v>
      </c>
      <c r="H103" s="7">
        <v>81676</v>
      </c>
      <c r="I103" s="7" t="s">
        <v>16</v>
      </c>
      <c r="J103" s="7">
        <v>51503210</v>
      </c>
      <c r="K103" s="7" t="s">
        <v>1153</v>
      </c>
      <c r="L103" s="27" t="s">
        <v>1154</v>
      </c>
      <c r="M103" s="9">
        <v>149900</v>
      </c>
      <c r="N103" s="18">
        <f t="shared" si="11"/>
        <v>0.7</v>
      </c>
      <c r="O103" s="32">
        <f t="shared" si="12"/>
        <v>44970</v>
      </c>
      <c r="P103" s="18" t="s">
        <v>19</v>
      </c>
    </row>
    <row r="104" spans="1:16" x14ac:dyDescent="0.25">
      <c r="A104" s="25" t="str">
        <f t="shared" si="9"/>
        <v>2025 JAN-JUN D70</v>
      </c>
      <c r="B104" s="8">
        <f t="shared" si="10"/>
        <v>46104</v>
      </c>
      <c r="C104" s="8">
        <f t="shared" si="14"/>
        <v>46113</v>
      </c>
      <c r="D104" s="7">
        <v>3272</v>
      </c>
      <c r="E104" s="7">
        <v>336</v>
      </c>
      <c r="F104" s="7">
        <v>4</v>
      </c>
      <c r="G104" s="7">
        <v>1</v>
      </c>
      <c r="H104" s="7">
        <v>81676</v>
      </c>
      <c r="I104" s="7" t="s">
        <v>16</v>
      </c>
      <c r="J104" s="7">
        <v>51503229</v>
      </c>
      <c r="K104" s="7" t="s">
        <v>1153</v>
      </c>
      <c r="L104" s="27" t="s">
        <v>1155</v>
      </c>
      <c r="M104" s="9">
        <v>149900</v>
      </c>
      <c r="N104" s="18">
        <f t="shared" si="11"/>
        <v>0.7</v>
      </c>
      <c r="O104" s="32">
        <f t="shared" si="12"/>
        <v>44970</v>
      </c>
      <c r="P104" s="18" t="s">
        <v>19</v>
      </c>
    </row>
    <row r="105" spans="1:16" x14ac:dyDescent="0.25">
      <c r="A105" s="25" t="str">
        <f t="shared" si="9"/>
        <v>2025 JAN-JUN D70</v>
      </c>
      <c r="B105" s="8">
        <f t="shared" si="10"/>
        <v>46104</v>
      </c>
      <c r="C105" s="8">
        <f t="shared" si="14"/>
        <v>46113</v>
      </c>
      <c r="D105" s="7">
        <v>3272</v>
      </c>
      <c r="E105" s="7">
        <v>336</v>
      </c>
      <c r="F105" s="7">
        <v>4</v>
      </c>
      <c r="G105" s="7">
        <v>1</v>
      </c>
      <c r="H105" s="7">
        <v>81676</v>
      </c>
      <c r="I105" s="7" t="s">
        <v>16</v>
      </c>
      <c r="J105" s="7">
        <v>51503238</v>
      </c>
      <c r="K105" s="7" t="s">
        <v>1153</v>
      </c>
      <c r="L105" s="27" t="s">
        <v>1156</v>
      </c>
      <c r="M105" s="9">
        <v>149900</v>
      </c>
      <c r="N105" s="18">
        <f t="shared" si="11"/>
        <v>0.7</v>
      </c>
      <c r="O105" s="32">
        <f t="shared" si="12"/>
        <v>44970</v>
      </c>
      <c r="P105" s="18" t="s">
        <v>19</v>
      </c>
    </row>
    <row r="106" spans="1:16" x14ac:dyDescent="0.25">
      <c r="A106" s="25" t="str">
        <f t="shared" si="9"/>
        <v>2025 JAN-JUN D70</v>
      </c>
      <c r="B106" s="8">
        <f t="shared" si="10"/>
        <v>46104</v>
      </c>
      <c r="C106" s="8">
        <f t="shared" si="14"/>
        <v>46113</v>
      </c>
      <c r="D106" s="7">
        <v>3272</v>
      </c>
      <c r="E106" s="7">
        <v>336</v>
      </c>
      <c r="F106" s="7">
        <v>4</v>
      </c>
      <c r="G106" s="7">
        <v>1</v>
      </c>
      <c r="H106" s="7">
        <v>81676</v>
      </c>
      <c r="I106" s="7" t="s">
        <v>16</v>
      </c>
      <c r="J106" s="7">
        <v>51503247</v>
      </c>
      <c r="K106" s="7" t="s">
        <v>1153</v>
      </c>
      <c r="L106" s="27" t="s">
        <v>1157</v>
      </c>
      <c r="M106" s="9">
        <v>149900</v>
      </c>
      <c r="N106" s="18">
        <f t="shared" si="11"/>
        <v>0.7</v>
      </c>
      <c r="O106" s="32">
        <f t="shared" si="12"/>
        <v>44970</v>
      </c>
      <c r="P106" s="18" t="s">
        <v>19</v>
      </c>
    </row>
    <row r="107" spans="1:16" x14ac:dyDescent="0.25">
      <c r="A107" s="25" t="str">
        <f t="shared" si="9"/>
        <v>2025 JAN-JUN D70</v>
      </c>
      <c r="B107" s="8">
        <f t="shared" si="10"/>
        <v>46104</v>
      </c>
      <c r="C107" s="8">
        <f t="shared" si="14"/>
        <v>46113</v>
      </c>
      <c r="D107" s="7">
        <v>3272</v>
      </c>
      <c r="E107" s="7">
        <v>336</v>
      </c>
      <c r="F107" s="7">
        <v>4</v>
      </c>
      <c r="G107" s="7">
        <v>1</v>
      </c>
      <c r="H107" s="7">
        <v>81676</v>
      </c>
      <c r="I107" s="7" t="s">
        <v>16</v>
      </c>
      <c r="J107" s="7">
        <v>51503256</v>
      </c>
      <c r="K107" s="7" t="s">
        <v>1153</v>
      </c>
      <c r="L107" s="27" t="s">
        <v>1158</v>
      </c>
      <c r="M107" s="9">
        <v>149900</v>
      </c>
      <c r="N107" s="18">
        <f t="shared" si="11"/>
        <v>0.7</v>
      </c>
      <c r="O107" s="32">
        <f t="shared" si="12"/>
        <v>44970</v>
      </c>
      <c r="P107" s="18" t="s">
        <v>19</v>
      </c>
    </row>
    <row r="108" spans="1:16" x14ac:dyDescent="0.25">
      <c r="A108" s="25" t="str">
        <f t="shared" si="9"/>
        <v>2025 JAN-JUN D70</v>
      </c>
      <c r="B108" s="8">
        <f t="shared" si="10"/>
        <v>46104</v>
      </c>
      <c r="C108" s="8">
        <f t="shared" si="14"/>
        <v>46113</v>
      </c>
      <c r="D108" s="7">
        <v>3272</v>
      </c>
      <c r="E108" s="7">
        <v>336</v>
      </c>
      <c r="F108" s="7">
        <v>4</v>
      </c>
      <c r="G108" s="7">
        <v>1</v>
      </c>
      <c r="H108" s="7">
        <v>81379</v>
      </c>
      <c r="I108" s="7" t="s">
        <v>16</v>
      </c>
      <c r="J108" s="7">
        <v>51503318</v>
      </c>
      <c r="K108" s="7" t="s">
        <v>1159</v>
      </c>
      <c r="L108" s="27" t="s">
        <v>1160</v>
      </c>
      <c r="M108" s="9">
        <v>149900</v>
      </c>
      <c r="N108" s="18">
        <f t="shared" si="11"/>
        <v>0.7</v>
      </c>
      <c r="O108" s="32">
        <f t="shared" si="12"/>
        <v>44970</v>
      </c>
      <c r="P108" s="18" t="s">
        <v>19</v>
      </c>
    </row>
    <row r="109" spans="1:16" x14ac:dyDescent="0.25">
      <c r="A109" s="25" t="str">
        <f t="shared" si="9"/>
        <v>2025 JAN-JUN D70</v>
      </c>
      <c r="B109" s="8">
        <f t="shared" si="10"/>
        <v>46104</v>
      </c>
      <c r="C109" s="8">
        <f t="shared" si="14"/>
        <v>46113</v>
      </c>
      <c r="D109" s="7">
        <v>3272</v>
      </c>
      <c r="E109" s="7">
        <v>336</v>
      </c>
      <c r="F109" s="7">
        <v>4</v>
      </c>
      <c r="G109" s="7">
        <v>1</v>
      </c>
      <c r="H109" s="7">
        <v>81379</v>
      </c>
      <c r="I109" s="7" t="s">
        <v>16</v>
      </c>
      <c r="J109" s="7">
        <v>51503327</v>
      </c>
      <c r="K109" s="7" t="s">
        <v>1159</v>
      </c>
      <c r="L109" s="27" t="s">
        <v>1161</v>
      </c>
      <c r="M109" s="9">
        <v>149900</v>
      </c>
      <c r="N109" s="18">
        <f t="shared" si="11"/>
        <v>0.7</v>
      </c>
      <c r="O109" s="32">
        <f t="shared" si="12"/>
        <v>44970</v>
      </c>
      <c r="P109" s="18" t="s">
        <v>19</v>
      </c>
    </row>
    <row r="110" spans="1:16" x14ac:dyDescent="0.25">
      <c r="A110" s="25" t="str">
        <f t="shared" si="9"/>
        <v>2025 JAN-JUN D70</v>
      </c>
      <c r="B110" s="8">
        <f t="shared" si="10"/>
        <v>46104</v>
      </c>
      <c r="C110" s="8">
        <f t="shared" si="14"/>
        <v>46113</v>
      </c>
      <c r="D110" s="7">
        <v>3272</v>
      </c>
      <c r="E110" s="7">
        <v>336</v>
      </c>
      <c r="F110" s="7">
        <v>4</v>
      </c>
      <c r="G110" s="7">
        <v>1</v>
      </c>
      <c r="H110" s="7">
        <v>81379</v>
      </c>
      <c r="I110" s="7" t="s">
        <v>16</v>
      </c>
      <c r="J110" s="7">
        <v>51503336</v>
      </c>
      <c r="K110" s="7" t="s">
        <v>1159</v>
      </c>
      <c r="L110" s="27" t="s">
        <v>1162</v>
      </c>
      <c r="M110" s="9">
        <v>149900</v>
      </c>
      <c r="N110" s="18">
        <f t="shared" si="11"/>
        <v>0.7</v>
      </c>
      <c r="O110" s="32">
        <f t="shared" si="12"/>
        <v>44970</v>
      </c>
      <c r="P110" s="18" t="s">
        <v>19</v>
      </c>
    </row>
    <row r="111" spans="1:16" x14ac:dyDescent="0.25">
      <c r="A111" s="25" t="str">
        <f t="shared" si="9"/>
        <v>2025 JAN-JUN D70</v>
      </c>
      <c r="B111" s="8">
        <f t="shared" si="10"/>
        <v>46104</v>
      </c>
      <c r="C111" s="8">
        <f t="shared" si="14"/>
        <v>46113</v>
      </c>
      <c r="D111" s="7">
        <v>3272</v>
      </c>
      <c r="E111" s="7">
        <v>336</v>
      </c>
      <c r="F111" s="7">
        <v>4</v>
      </c>
      <c r="G111" s="7">
        <v>1</v>
      </c>
      <c r="H111" s="7">
        <v>81379</v>
      </c>
      <c r="I111" s="7" t="s">
        <v>16</v>
      </c>
      <c r="J111" s="7">
        <v>51503345</v>
      </c>
      <c r="K111" s="7" t="s">
        <v>1159</v>
      </c>
      <c r="L111" s="27" t="s">
        <v>1163</v>
      </c>
      <c r="M111" s="9">
        <v>149900</v>
      </c>
      <c r="N111" s="18">
        <f t="shared" si="11"/>
        <v>0.7</v>
      </c>
      <c r="O111" s="32">
        <f t="shared" si="12"/>
        <v>44970</v>
      </c>
      <c r="P111" s="18" t="s">
        <v>19</v>
      </c>
    </row>
    <row r="112" spans="1:16" x14ac:dyDescent="0.25">
      <c r="A112" s="25" t="str">
        <f t="shared" si="9"/>
        <v>2025 JAN-JUN D70</v>
      </c>
      <c r="B112" s="8">
        <f t="shared" si="10"/>
        <v>46104</v>
      </c>
      <c r="C112" s="8">
        <f t="shared" si="14"/>
        <v>46113</v>
      </c>
      <c r="D112" s="7">
        <v>3272</v>
      </c>
      <c r="E112" s="7">
        <v>336</v>
      </c>
      <c r="F112" s="7">
        <v>4</v>
      </c>
      <c r="G112" s="7">
        <v>1</v>
      </c>
      <c r="H112" s="7">
        <v>81379</v>
      </c>
      <c r="I112" s="7" t="s">
        <v>16</v>
      </c>
      <c r="J112" s="7">
        <v>51503354</v>
      </c>
      <c r="K112" s="7" t="s">
        <v>1159</v>
      </c>
      <c r="L112" s="27" t="s">
        <v>1164</v>
      </c>
      <c r="M112" s="9">
        <v>149900</v>
      </c>
      <c r="N112" s="18">
        <f t="shared" si="11"/>
        <v>0.7</v>
      </c>
      <c r="O112" s="32">
        <f t="shared" si="12"/>
        <v>44970</v>
      </c>
      <c r="P112" s="18" t="s">
        <v>19</v>
      </c>
    </row>
    <row r="113" spans="1:16" x14ac:dyDescent="0.25">
      <c r="A113" s="25" t="str">
        <f t="shared" si="9"/>
        <v>2025 JAN-JUN D70</v>
      </c>
      <c r="B113" s="8">
        <f t="shared" si="10"/>
        <v>46104</v>
      </c>
      <c r="C113" s="8">
        <f t="shared" si="14"/>
        <v>46113</v>
      </c>
      <c r="D113" s="7">
        <v>3272</v>
      </c>
      <c r="E113" s="7">
        <v>336</v>
      </c>
      <c r="F113" s="7">
        <v>4</v>
      </c>
      <c r="G113" s="7">
        <v>1</v>
      </c>
      <c r="H113" s="7">
        <v>81379</v>
      </c>
      <c r="I113" s="7" t="s">
        <v>16</v>
      </c>
      <c r="J113" s="7">
        <v>51503363</v>
      </c>
      <c r="K113" s="7" t="s">
        <v>1159</v>
      </c>
      <c r="L113" s="27" t="s">
        <v>1165</v>
      </c>
      <c r="M113" s="9">
        <v>149900</v>
      </c>
      <c r="N113" s="18">
        <f t="shared" si="11"/>
        <v>0.7</v>
      </c>
      <c r="O113" s="32">
        <f t="shared" si="12"/>
        <v>44970</v>
      </c>
      <c r="P113" s="18" t="s">
        <v>19</v>
      </c>
    </row>
    <row r="114" spans="1:16" x14ac:dyDescent="0.25">
      <c r="A114" s="25" t="str">
        <f t="shared" si="9"/>
        <v>2025 JAN-JUN D70</v>
      </c>
      <c r="B114" s="8">
        <f t="shared" si="10"/>
        <v>46104</v>
      </c>
      <c r="C114" s="8">
        <f t="shared" si="14"/>
        <v>46113</v>
      </c>
      <c r="D114" s="7">
        <v>3272</v>
      </c>
      <c r="E114" s="7">
        <v>336</v>
      </c>
      <c r="F114" s="7">
        <v>4</v>
      </c>
      <c r="G114" s="7">
        <v>1</v>
      </c>
      <c r="H114" s="7">
        <v>81379</v>
      </c>
      <c r="I114" s="7" t="s">
        <v>16</v>
      </c>
      <c r="J114" s="7">
        <v>51503372</v>
      </c>
      <c r="K114" s="7" t="s">
        <v>1159</v>
      </c>
      <c r="L114" s="27" t="s">
        <v>1166</v>
      </c>
      <c r="M114" s="9">
        <v>149900</v>
      </c>
      <c r="N114" s="18">
        <f t="shared" si="11"/>
        <v>0.7</v>
      </c>
      <c r="O114" s="32">
        <f t="shared" si="12"/>
        <v>44970</v>
      </c>
      <c r="P114" s="18" t="s">
        <v>19</v>
      </c>
    </row>
    <row r="115" spans="1:16" x14ac:dyDescent="0.25">
      <c r="A115" s="25" t="str">
        <f t="shared" si="9"/>
        <v>2025 JAN-JUN D70</v>
      </c>
      <c r="B115" s="8">
        <f t="shared" si="10"/>
        <v>46104</v>
      </c>
      <c r="C115" s="8">
        <f t="shared" ref="C115:C130" si="15">C114</f>
        <v>46113</v>
      </c>
      <c r="D115" s="7">
        <v>3272</v>
      </c>
      <c r="E115" s="7">
        <v>336</v>
      </c>
      <c r="F115" s="7">
        <v>4</v>
      </c>
      <c r="G115" s="7">
        <v>1</v>
      </c>
      <c r="H115" s="7">
        <v>81379</v>
      </c>
      <c r="I115" s="7" t="s">
        <v>16</v>
      </c>
      <c r="J115" s="7">
        <v>51503381</v>
      </c>
      <c r="K115" s="7" t="s">
        <v>1159</v>
      </c>
      <c r="L115" s="27" t="s">
        <v>1167</v>
      </c>
      <c r="M115" s="9">
        <v>139900</v>
      </c>
      <c r="N115" s="18">
        <f t="shared" si="11"/>
        <v>0.7</v>
      </c>
      <c r="O115" s="32">
        <f t="shared" si="12"/>
        <v>41970</v>
      </c>
      <c r="P115" s="18" t="s">
        <v>19</v>
      </c>
    </row>
    <row r="116" spans="1:16" x14ac:dyDescent="0.25">
      <c r="A116" s="25" t="str">
        <f t="shared" si="9"/>
        <v>2025 JAN-JUN D70</v>
      </c>
      <c r="B116" s="8">
        <f t="shared" si="10"/>
        <v>46104</v>
      </c>
      <c r="C116" s="8">
        <f t="shared" si="15"/>
        <v>46113</v>
      </c>
      <c r="D116" s="7">
        <v>3272</v>
      </c>
      <c r="E116" s="7">
        <v>336</v>
      </c>
      <c r="F116" s="7">
        <v>4</v>
      </c>
      <c r="G116" s="7">
        <v>1</v>
      </c>
      <c r="H116" s="7">
        <v>81379</v>
      </c>
      <c r="I116" s="7" t="s">
        <v>16</v>
      </c>
      <c r="J116" s="7">
        <v>51503498</v>
      </c>
      <c r="K116" s="7" t="s">
        <v>1168</v>
      </c>
      <c r="L116" s="27" t="s">
        <v>1169</v>
      </c>
      <c r="M116" s="9">
        <v>139900</v>
      </c>
      <c r="N116" s="18">
        <f t="shared" si="11"/>
        <v>0.7</v>
      </c>
      <c r="O116" s="32">
        <f t="shared" si="12"/>
        <v>41970</v>
      </c>
      <c r="P116" s="18" t="s">
        <v>19</v>
      </c>
    </row>
    <row r="117" spans="1:16" x14ac:dyDescent="0.25">
      <c r="A117" s="25" t="str">
        <f t="shared" si="9"/>
        <v>2025 JAN-JUN D70</v>
      </c>
      <c r="B117" s="8">
        <f t="shared" si="10"/>
        <v>46104</v>
      </c>
      <c r="C117" s="8">
        <f t="shared" si="15"/>
        <v>46113</v>
      </c>
      <c r="D117" s="7">
        <v>3272</v>
      </c>
      <c r="E117" s="7">
        <v>336</v>
      </c>
      <c r="F117" s="7">
        <v>4</v>
      </c>
      <c r="G117" s="7">
        <v>1</v>
      </c>
      <c r="H117" s="7">
        <v>81379</v>
      </c>
      <c r="I117" s="7" t="s">
        <v>16</v>
      </c>
      <c r="J117" s="7">
        <v>51503505</v>
      </c>
      <c r="K117" s="7" t="s">
        <v>1168</v>
      </c>
      <c r="L117" s="27" t="s">
        <v>1170</v>
      </c>
      <c r="M117" s="9">
        <v>139900</v>
      </c>
      <c r="N117" s="18">
        <f t="shared" si="11"/>
        <v>0.7</v>
      </c>
      <c r="O117" s="32">
        <f t="shared" si="12"/>
        <v>41970</v>
      </c>
      <c r="P117" s="18" t="s">
        <v>19</v>
      </c>
    </row>
    <row r="118" spans="1:16" x14ac:dyDescent="0.25">
      <c r="A118" s="25" t="str">
        <f t="shared" si="9"/>
        <v>2025 JAN-JUN D70</v>
      </c>
      <c r="B118" s="8">
        <f t="shared" si="10"/>
        <v>46104</v>
      </c>
      <c r="C118" s="8">
        <f t="shared" si="15"/>
        <v>46113</v>
      </c>
      <c r="D118" s="7">
        <v>3272</v>
      </c>
      <c r="E118" s="7">
        <v>336</v>
      </c>
      <c r="F118" s="7">
        <v>4</v>
      </c>
      <c r="G118" s="7">
        <v>1</v>
      </c>
      <c r="H118" s="7">
        <v>81379</v>
      </c>
      <c r="I118" s="7" t="s">
        <v>16</v>
      </c>
      <c r="J118" s="7">
        <v>51503514</v>
      </c>
      <c r="K118" s="7" t="s">
        <v>1168</v>
      </c>
      <c r="L118" s="27" t="s">
        <v>1171</v>
      </c>
      <c r="M118" s="9">
        <v>139900</v>
      </c>
      <c r="N118" s="18">
        <f t="shared" si="11"/>
        <v>0.7</v>
      </c>
      <c r="O118" s="32">
        <f t="shared" si="12"/>
        <v>41970</v>
      </c>
      <c r="P118" s="18" t="s">
        <v>19</v>
      </c>
    </row>
    <row r="119" spans="1:16" x14ac:dyDescent="0.25">
      <c r="A119" s="25" t="str">
        <f t="shared" si="9"/>
        <v>2025 JAN-JUN D70</v>
      </c>
      <c r="B119" s="8">
        <f t="shared" si="10"/>
        <v>46104</v>
      </c>
      <c r="C119" s="8">
        <f t="shared" si="15"/>
        <v>46113</v>
      </c>
      <c r="D119" s="7">
        <v>3272</v>
      </c>
      <c r="E119" s="7">
        <v>336</v>
      </c>
      <c r="F119" s="7">
        <v>4</v>
      </c>
      <c r="G119" s="7">
        <v>1</v>
      </c>
      <c r="H119" s="7">
        <v>81379</v>
      </c>
      <c r="I119" s="7" t="s">
        <v>16</v>
      </c>
      <c r="J119" s="7">
        <v>51503523</v>
      </c>
      <c r="K119" s="7" t="s">
        <v>1168</v>
      </c>
      <c r="L119" s="27" t="s">
        <v>1172</v>
      </c>
      <c r="M119" s="9">
        <v>139900</v>
      </c>
      <c r="N119" s="18">
        <f t="shared" si="11"/>
        <v>0.7</v>
      </c>
      <c r="O119" s="32">
        <f t="shared" si="12"/>
        <v>41970</v>
      </c>
      <c r="P119" s="18" t="s">
        <v>19</v>
      </c>
    </row>
    <row r="120" spans="1:16" x14ac:dyDescent="0.25">
      <c r="A120" s="25" t="str">
        <f t="shared" si="9"/>
        <v>2025 JAN-JUN D70</v>
      </c>
      <c r="B120" s="8">
        <f t="shared" si="10"/>
        <v>46104</v>
      </c>
      <c r="C120" s="8">
        <f t="shared" si="15"/>
        <v>46113</v>
      </c>
      <c r="D120" s="7">
        <v>3272</v>
      </c>
      <c r="E120" s="7">
        <v>336</v>
      </c>
      <c r="F120" s="7">
        <v>4</v>
      </c>
      <c r="G120" s="7">
        <v>1</v>
      </c>
      <c r="H120" s="7">
        <v>81379</v>
      </c>
      <c r="I120" s="7" t="s">
        <v>16</v>
      </c>
      <c r="J120" s="7">
        <v>51503532</v>
      </c>
      <c r="K120" s="7" t="s">
        <v>1168</v>
      </c>
      <c r="L120" s="27" t="s">
        <v>1173</v>
      </c>
      <c r="M120" s="9">
        <v>149900</v>
      </c>
      <c r="N120" s="18">
        <f t="shared" si="11"/>
        <v>0.7</v>
      </c>
      <c r="O120" s="32">
        <f t="shared" si="12"/>
        <v>44970</v>
      </c>
      <c r="P120" s="18" t="s">
        <v>19</v>
      </c>
    </row>
    <row r="121" spans="1:16" x14ac:dyDescent="0.25">
      <c r="A121" s="25" t="str">
        <f t="shared" si="9"/>
        <v>2025 JAN-JUN D70</v>
      </c>
      <c r="B121" s="8">
        <f t="shared" si="10"/>
        <v>46104</v>
      </c>
      <c r="C121" s="8">
        <f t="shared" si="15"/>
        <v>46113</v>
      </c>
      <c r="D121" s="7">
        <v>3272</v>
      </c>
      <c r="E121" s="7">
        <v>336</v>
      </c>
      <c r="F121" s="7">
        <v>4</v>
      </c>
      <c r="G121" s="7">
        <v>1</v>
      </c>
      <c r="H121" s="7">
        <v>81379</v>
      </c>
      <c r="I121" s="7" t="s">
        <v>16</v>
      </c>
      <c r="J121" s="7">
        <v>51503541</v>
      </c>
      <c r="K121" s="7" t="s">
        <v>1174</v>
      </c>
      <c r="L121" s="27" t="s">
        <v>1175</v>
      </c>
      <c r="M121" s="9">
        <v>149900</v>
      </c>
      <c r="N121" s="18">
        <f t="shared" si="11"/>
        <v>0.7</v>
      </c>
      <c r="O121" s="32">
        <f t="shared" si="12"/>
        <v>44970</v>
      </c>
      <c r="P121" s="18" t="s">
        <v>19</v>
      </c>
    </row>
    <row r="122" spans="1:16" x14ac:dyDescent="0.25">
      <c r="A122" s="25" t="str">
        <f t="shared" si="9"/>
        <v>2025 JAN-JUN D70</v>
      </c>
      <c r="B122" s="8">
        <f t="shared" si="10"/>
        <v>46104</v>
      </c>
      <c r="C122" s="8">
        <f t="shared" si="15"/>
        <v>46113</v>
      </c>
      <c r="D122" s="7">
        <v>3272</v>
      </c>
      <c r="E122" s="7">
        <v>336</v>
      </c>
      <c r="F122" s="7">
        <v>4</v>
      </c>
      <c r="G122" s="7">
        <v>1</v>
      </c>
      <c r="H122" s="7">
        <v>81379</v>
      </c>
      <c r="I122" s="7" t="s">
        <v>16</v>
      </c>
      <c r="J122" s="7">
        <v>51503550</v>
      </c>
      <c r="K122" s="7" t="s">
        <v>1174</v>
      </c>
      <c r="L122" s="27" t="s">
        <v>1176</v>
      </c>
      <c r="M122" s="9">
        <v>149900</v>
      </c>
      <c r="N122" s="18">
        <f t="shared" si="11"/>
        <v>0.7</v>
      </c>
      <c r="O122" s="32">
        <f t="shared" si="12"/>
        <v>44970</v>
      </c>
      <c r="P122" s="18" t="s">
        <v>19</v>
      </c>
    </row>
    <row r="123" spans="1:16" x14ac:dyDescent="0.25">
      <c r="A123" s="25" t="str">
        <f t="shared" si="9"/>
        <v>2025 JAN-JUN D70</v>
      </c>
      <c r="B123" s="8">
        <f t="shared" si="10"/>
        <v>46104</v>
      </c>
      <c r="C123" s="8">
        <f t="shared" si="15"/>
        <v>46113</v>
      </c>
      <c r="D123" s="7">
        <v>3272</v>
      </c>
      <c r="E123" s="7">
        <v>336</v>
      </c>
      <c r="F123" s="7">
        <v>4</v>
      </c>
      <c r="G123" s="7">
        <v>1</v>
      </c>
      <c r="H123" s="7">
        <v>81379</v>
      </c>
      <c r="I123" s="7" t="s">
        <v>16</v>
      </c>
      <c r="J123" s="7">
        <v>51503569</v>
      </c>
      <c r="K123" s="7" t="s">
        <v>1174</v>
      </c>
      <c r="L123" s="27" t="s">
        <v>1177</v>
      </c>
      <c r="M123" s="9">
        <v>149900</v>
      </c>
      <c r="N123" s="18">
        <f t="shared" si="11"/>
        <v>0.7</v>
      </c>
      <c r="O123" s="32">
        <f t="shared" si="12"/>
        <v>44970</v>
      </c>
      <c r="P123" s="18" t="s">
        <v>19</v>
      </c>
    </row>
    <row r="124" spans="1:16" x14ac:dyDescent="0.25">
      <c r="A124" s="25" t="str">
        <f t="shared" si="9"/>
        <v>2025 JAN-JUN D70</v>
      </c>
      <c r="B124" s="8">
        <f t="shared" si="10"/>
        <v>46104</v>
      </c>
      <c r="C124" s="8">
        <f t="shared" si="15"/>
        <v>46113</v>
      </c>
      <c r="D124" s="7">
        <v>3272</v>
      </c>
      <c r="E124" s="7">
        <v>336</v>
      </c>
      <c r="F124" s="7">
        <v>4</v>
      </c>
      <c r="G124" s="7">
        <v>1</v>
      </c>
      <c r="H124" s="7">
        <v>81379</v>
      </c>
      <c r="I124" s="7" t="s">
        <v>16</v>
      </c>
      <c r="J124" s="7">
        <v>51503578</v>
      </c>
      <c r="K124" s="7" t="s">
        <v>1174</v>
      </c>
      <c r="L124" s="27" t="s">
        <v>1178</v>
      </c>
      <c r="M124" s="9">
        <v>149900</v>
      </c>
      <c r="N124" s="18">
        <f t="shared" si="11"/>
        <v>0.7</v>
      </c>
      <c r="O124" s="32">
        <f t="shared" si="12"/>
        <v>44970</v>
      </c>
      <c r="P124" s="18" t="s">
        <v>19</v>
      </c>
    </row>
    <row r="125" spans="1:16" x14ac:dyDescent="0.25">
      <c r="A125" s="25" t="str">
        <f t="shared" si="9"/>
        <v>2025 JAN-JUN D70</v>
      </c>
      <c r="B125" s="8">
        <f t="shared" si="10"/>
        <v>46104</v>
      </c>
      <c r="C125" s="8">
        <f t="shared" si="15"/>
        <v>46113</v>
      </c>
      <c r="D125" s="7">
        <v>3272</v>
      </c>
      <c r="E125" s="7">
        <v>336</v>
      </c>
      <c r="F125" s="7">
        <v>4</v>
      </c>
      <c r="G125" s="7">
        <v>1</v>
      </c>
      <c r="H125" s="7">
        <v>81379</v>
      </c>
      <c r="I125" s="7" t="s">
        <v>16</v>
      </c>
      <c r="J125" s="7">
        <v>51503587</v>
      </c>
      <c r="K125" s="7" t="s">
        <v>1174</v>
      </c>
      <c r="L125" s="27" t="s">
        <v>1179</v>
      </c>
      <c r="M125" s="9">
        <v>149900</v>
      </c>
      <c r="N125" s="18">
        <f t="shared" si="11"/>
        <v>0.7</v>
      </c>
      <c r="O125" s="32">
        <f t="shared" si="12"/>
        <v>44970</v>
      </c>
      <c r="P125" s="18" t="s">
        <v>19</v>
      </c>
    </row>
    <row r="126" spans="1:16" x14ac:dyDescent="0.25">
      <c r="A126" s="25" t="str">
        <f t="shared" si="9"/>
        <v>2025 JAN-JUN D70</v>
      </c>
      <c r="B126" s="8">
        <f t="shared" si="10"/>
        <v>46104</v>
      </c>
      <c r="C126" s="8">
        <f t="shared" si="15"/>
        <v>46113</v>
      </c>
      <c r="D126" s="7">
        <v>3272</v>
      </c>
      <c r="E126" s="7">
        <v>336</v>
      </c>
      <c r="F126" s="7">
        <v>4</v>
      </c>
      <c r="G126" s="7">
        <v>1</v>
      </c>
      <c r="H126" s="7">
        <v>81379</v>
      </c>
      <c r="I126" s="7" t="s">
        <v>16</v>
      </c>
      <c r="J126" s="7">
        <v>51503596</v>
      </c>
      <c r="K126" s="7" t="s">
        <v>1180</v>
      </c>
      <c r="L126" s="27" t="s">
        <v>1181</v>
      </c>
      <c r="M126" s="9">
        <v>149900</v>
      </c>
      <c r="N126" s="18">
        <f t="shared" si="11"/>
        <v>0.7</v>
      </c>
      <c r="O126" s="32">
        <f t="shared" si="12"/>
        <v>44970</v>
      </c>
      <c r="P126" s="18" t="s">
        <v>19</v>
      </c>
    </row>
    <row r="127" spans="1:16" x14ac:dyDescent="0.25">
      <c r="A127" s="25" t="str">
        <f t="shared" si="9"/>
        <v>2025 JAN-JUN D70</v>
      </c>
      <c r="B127" s="8">
        <f t="shared" si="10"/>
        <v>46104</v>
      </c>
      <c r="C127" s="8">
        <f t="shared" si="15"/>
        <v>46113</v>
      </c>
      <c r="D127" s="7">
        <v>3272</v>
      </c>
      <c r="E127" s="7">
        <v>336</v>
      </c>
      <c r="F127" s="7">
        <v>4</v>
      </c>
      <c r="G127" s="7">
        <v>1</v>
      </c>
      <c r="H127" s="7">
        <v>81379</v>
      </c>
      <c r="I127" s="7" t="s">
        <v>16</v>
      </c>
      <c r="J127" s="7">
        <v>51503603</v>
      </c>
      <c r="K127" s="7" t="s">
        <v>1180</v>
      </c>
      <c r="L127" s="27" t="s">
        <v>1182</v>
      </c>
      <c r="M127" s="9">
        <v>149900</v>
      </c>
      <c r="N127" s="18">
        <f t="shared" si="11"/>
        <v>0.7</v>
      </c>
      <c r="O127" s="32">
        <f t="shared" si="12"/>
        <v>44970</v>
      </c>
      <c r="P127" s="18" t="s">
        <v>19</v>
      </c>
    </row>
    <row r="128" spans="1:16" x14ac:dyDescent="0.25">
      <c r="A128" s="25" t="str">
        <f t="shared" si="9"/>
        <v>2025 JAN-JUN D70</v>
      </c>
      <c r="B128" s="8">
        <f t="shared" si="10"/>
        <v>46104</v>
      </c>
      <c r="C128" s="8">
        <f t="shared" si="15"/>
        <v>46113</v>
      </c>
      <c r="D128" s="7">
        <v>3272</v>
      </c>
      <c r="E128" s="7">
        <v>336</v>
      </c>
      <c r="F128" s="7">
        <v>4</v>
      </c>
      <c r="G128" s="7">
        <v>1</v>
      </c>
      <c r="H128" s="7">
        <v>81379</v>
      </c>
      <c r="I128" s="7" t="s">
        <v>16</v>
      </c>
      <c r="J128" s="7">
        <v>51503612</v>
      </c>
      <c r="K128" s="7" t="s">
        <v>1180</v>
      </c>
      <c r="L128" s="27" t="s">
        <v>1183</v>
      </c>
      <c r="M128" s="9">
        <v>149900</v>
      </c>
      <c r="N128" s="18">
        <f t="shared" si="11"/>
        <v>0.7</v>
      </c>
      <c r="O128" s="32">
        <f t="shared" si="12"/>
        <v>44970</v>
      </c>
      <c r="P128" s="18" t="s">
        <v>19</v>
      </c>
    </row>
    <row r="129" spans="1:16" x14ac:dyDescent="0.25">
      <c r="A129" s="25" t="str">
        <f t="shared" si="9"/>
        <v>2025 JAN-JUN D70</v>
      </c>
      <c r="B129" s="8">
        <f t="shared" si="10"/>
        <v>46104</v>
      </c>
      <c r="C129" s="8">
        <f t="shared" si="15"/>
        <v>46113</v>
      </c>
      <c r="D129" s="7">
        <v>3272</v>
      </c>
      <c r="E129" s="7">
        <v>336</v>
      </c>
      <c r="F129" s="7">
        <v>4</v>
      </c>
      <c r="G129" s="7">
        <v>1</v>
      </c>
      <c r="H129" s="7">
        <v>81379</v>
      </c>
      <c r="I129" s="7" t="s">
        <v>16</v>
      </c>
      <c r="J129" s="7">
        <v>51503621</v>
      </c>
      <c r="K129" s="7" t="s">
        <v>1180</v>
      </c>
      <c r="L129" s="27" t="s">
        <v>1184</v>
      </c>
      <c r="M129" s="9">
        <v>149900</v>
      </c>
      <c r="N129" s="18">
        <f t="shared" si="11"/>
        <v>0.7</v>
      </c>
      <c r="O129" s="32">
        <f t="shared" si="12"/>
        <v>44970</v>
      </c>
      <c r="P129" s="18" t="s">
        <v>19</v>
      </c>
    </row>
    <row r="130" spans="1:16" x14ac:dyDescent="0.25">
      <c r="A130" s="25" t="str">
        <f t="shared" si="9"/>
        <v>2025 JAN-JUN D70</v>
      </c>
      <c r="B130" s="8">
        <f t="shared" si="10"/>
        <v>46104</v>
      </c>
      <c r="C130" s="8">
        <f t="shared" si="15"/>
        <v>46113</v>
      </c>
      <c r="D130" s="7">
        <v>3272</v>
      </c>
      <c r="E130" s="7">
        <v>336</v>
      </c>
      <c r="F130" s="7">
        <v>4</v>
      </c>
      <c r="G130" s="7">
        <v>1</v>
      </c>
      <c r="H130" s="7">
        <v>81379</v>
      </c>
      <c r="I130" s="7" t="s">
        <v>16</v>
      </c>
      <c r="J130" s="7">
        <v>51503630</v>
      </c>
      <c r="K130" s="7" t="s">
        <v>1180</v>
      </c>
      <c r="L130" s="27" t="s">
        <v>1185</v>
      </c>
      <c r="M130" s="9">
        <v>149900</v>
      </c>
      <c r="N130" s="18">
        <f t="shared" si="11"/>
        <v>0.7</v>
      </c>
      <c r="O130" s="32">
        <f t="shared" si="12"/>
        <v>44970</v>
      </c>
      <c r="P130" s="18" t="s">
        <v>19</v>
      </c>
    </row>
    <row r="131" spans="1:16" x14ac:dyDescent="0.25">
      <c r="A131" s="25" t="str">
        <f t="shared" si="9"/>
        <v>2025 JAN-JUN D70</v>
      </c>
      <c r="B131" s="8">
        <f t="shared" si="10"/>
        <v>46104</v>
      </c>
      <c r="C131" s="8">
        <f t="shared" ref="C131:C146" si="16">C130</f>
        <v>46113</v>
      </c>
      <c r="D131" s="7">
        <v>3272</v>
      </c>
      <c r="E131" s="7">
        <v>336</v>
      </c>
      <c r="F131" s="7">
        <v>4</v>
      </c>
      <c r="G131" s="7">
        <v>1</v>
      </c>
      <c r="H131" s="7">
        <v>81379</v>
      </c>
      <c r="I131" s="7" t="s">
        <v>16</v>
      </c>
      <c r="J131" s="7">
        <v>51503649</v>
      </c>
      <c r="K131" s="7" t="s">
        <v>1186</v>
      </c>
      <c r="L131" s="27" t="s">
        <v>1187</v>
      </c>
      <c r="M131" s="9">
        <v>149900</v>
      </c>
      <c r="N131" s="18">
        <f t="shared" si="11"/>
        <v>0.7</v>
      </c>
      <c r="O131" s="32">
        <f t="shared" si="12"/>
        <v>44970</v>
      </c>
      <c r="P131" s="18" t="s">
        <v>19</v>
      </c>
    </row>
    <row r="132" spans="1:16" x14ac:dyDescent="0.25">
      <c r="A132" s="25" t="str">
        <f t="shared" ref="A132:A195" si="17">A131</f>
        <v>2025 JAN-JUN D70</v>
      </c>
      <c r="B132" s="8">
        <f t="shared" ref="B132:B195" si="18">B131</f>
        <v>46104</v>
      </c>
      <c r="C132" s="8">
        <f t="shared" si="16"/>
        <v>46113</v>
      </c>
      <c r="D132" s="7">
        <v>3272</v>
      </c>
      <c r="E132" s="7">
        <v>336</v>
      </c>
      <c r="F132" s="7">
        <v>4</v>
      </c>
      <c r="G132" s="7">
        <v>1</v>
      </c>
      <c r="H132" s="7">
        <v>81379</v>
      </c>
      <c r="I132" s="7" t="s">
        <v>16</v>
      </c>
      <c r="J132" s="7">
        <v>51503658</v>
      </c>
      <c r="K132" s="7" t="s">
        <v>1186</v>
      </c>
      <c r="L132" s="27" t="s">
        <v>1188</v>
      </c>
      <c r="M132" s="9">
        <v>149900</v>
      </c>
      <c r="N132" s="18">
        <f t="shared" ref="N132:N195" si="19">N131</f>
        <v>0.7</v>
      </c>
      <c r="O132" s="32">
        <f t="shared" ref="O132:O195" si="20">M132-((70*M132)/100)</f>
        <v>44970</v>
      </c>
      <c r="P132" s="18" t="s">
        <v>19</v>
      </c>
    </row>
    <row r="133" spans="1:16" x14ac:dyDescent="0.25">
      <c r="A133" s="25" t="str">
        <f t="shared" si="17"/>
        <v>2025 JAN-JUN D70</v>
      </c>
      <c r="B133" s="8">
        <f t="shared" si="18"/>
        <v>46104</v>
      </c>
      <c r="C133" s="8">
        <f t="shared" si="16"/>
        <v>46113</v>
      </c>
      <c r="D133" s="7">
        <v>3272</v>
      </c>
      <c r="E133" s="7">
        <v>336</v>
      </c>
      <c r="F133" s="7">
        <v>4</v>
      </c>
      <c r="G133" s="7">
        <v>1</v>
      </c>
      <c r="H133" s="7">
        <v>81379</v>
      </c>
      <c r="I133" s="7" t="s">
        <v>16</v>
      </c>
      <c r="J133" s="7">
        <v>51503667</v>
      </c>
      <c r="K133" s="7" t="s">
        <v>1186</v>
      </c>
      <c r="L133" s="27" t="s">
        <v>1189</v>
      </c>
      <c r="M133" s="9">
        <v>149900</v>
      </c>
      <c r="N133" s="18">
        <f t="shared" si="19"/>
        <v>0.7</v>
      </c>
      <c r="O133" s="32">
        <f t="shared" si="20"/>
        <v>44970</v>
      </c>
      <c r="P133" s="18" t="s">
        <v>19</v>
      </c>
    </row>
    <row r="134" spans="1:16" x14ac:dyDescent="0.25">
      <c r="A134" s="25" t="str">
        <f t="shared" si="17"/>
        <v>2025 JAN-JUN D70</v>
      </c>
      <c r="B134" s="8">
        <f t="shared" si="18"/>
        <v>46104</v>
      </c>
      <c r="C134" s="8">
        <f t="shared" si="16"/>
        <v>46113</v>
      </c>
      <c r="D134" s="7">
        <v>3272</v>
      </c>
      <c r="E134" s="7">
        <v>336</v>
      </c>
      <c r="F134" s="7">
        <v>4</v>
      </c>
      <c r="G134" s="7">
        <v>1</v>
      </c>
      <c r="H134" s="7">
        <v>81379</v>
      </c>
      <c r="I134" s="7" t="s">
        <v>16</v>
      </c>
      <c r="J134" s="7">
        <v>51503676</v>
      </c>
      <c r="K134" s="7" t="s">
        <v>1186</v>
      </c>
      <c r="L134" s="27" t="s">
        <v>1190</v>
      </c>
      <c r="M134" s="9">
        <v>149900</v>
      </c>
      <c r="N134" s="18">
        <f t="shared" si="19"/>
        <v>0.7</v>
      </c>
      <c r="O134" s="32">
        <f t="shared" si="20"/>
        <v>44970</v>
      </c>
      <c r="P134" s="18" t="s">
        <v>19</v>
      </c>
    </row>
    <row r="135" spans="1:16" x14ac:dyDescent="0.25">
      <c r="A135" s="25" t="str">
        <f t="shared" si="17"/>
        <v>2025 JAN-JUN D70</v>
      </c>
      <c r="B135" s="8">
        <f t="shared" si="18"/>
        <v>46104</v>
      </c>
      <c r="C135" s="8">
        <f t="shared" si="16"/>
        <v>46113</v>
      </c>
      <c r="D135" s="7">
        <v>3272</v>
      </c>
      <c r="E135" s="7">
        <v>336</v>
      </c>
      <c r="F135" s="7">
        <v>4</v>
      </c>
      <c r="G135" s="7">
        <v>1</v>
      </c>
      <c r="H135" s="7">
        <v>81379</v>
      </c>
      <c r="I135" s="7" t="s">
        <v>16</v>
      </c>
      <c r="J135" s="7">
        <v>51503685</v>
      </c>
      <c r="K135" s="7" t="s">
        <v>1186</v>
      </c>
      <c r="L135" s="27" t="s">
        <v>1191</v>
      </c>
      <c r="M135" s="9">
        <v>149900</v>
      </c>
      <c r="N135" s="18">
        <f t="shared" si="19"/>
        <v>0.7</v>
      </c>
      <c r="O135" s="32">
        <f t="shared" si="20"/>
        <v>44970</v>
      </c>
      <c r="P135" s="18" t="s">
        <v>19</v>
      </c>
    </row>
    <row r="136" spans="1:16" x14ac:dyDescent="0.25">
      <c r="A136" s="25" t="str">
        <f t="shared" si="17"/>
        <v>2025 JAN-JUN D70</v>
      </c>
      <c r="B136" s="8">
        <f t="shared" si="18"/>
        <v>46104</v>
      </c>
      <c r="C136" s="8">
        <f t="shared" si="16"/>
        <v>46113</v>
      </c>
      <c r="D136" s="7">
        <v>3272</v>
      </c>
      <c r="E136" s="7">
        <v>336</v>
      </c>
      <c r="F136" s="7">
        <v>4</v>
      </c>
      <c r="G136" s="7">
        <v>3</v>
      </c>
      <c r="H136" s="7">
        <v>81379</v>
      </c>
      <c r="I136" s="7" t="s">
        <v>16</v>
      </c>
      <c r="J136" s="7">
        <v>51503694</v>
      </c>
      <c r="K136" s="7" t="s">
        <v>1192</v>
      </c>
      <c r="L136" s="27" t="s">
        <v>1193</v>
      </c>
      <c r="M136" s="9">
        <v>149900</v>
      </c>
      <c r="N136" s="18">
        <f t="shared" si="19"/>
        <v>0.7</v>
      </c>
      <c r="O136" s="32">
        <f t="shared" si="20"/>
        <v>44970</v>
      </c>
      <c r="P136" s="18" t="s">
        <v>19</v>
      </c>
    </row>
    <row r="137" spans="1:16" x14ac:dyDescent="0.25">
      <c r="A137" s="25" t="str">
        <f t="shared" si="17"/>
        <v>2025 JAN-JUN D70</v>
      </c>
      <c r="B137" s="8">
        <f t="shared" si="18"/>
        <v>46104</v>
      </c>
      <c r="C137" s="8">
        <f t="shared" si="16"/>
        <v>46113</v>
      </c>
      <c r="D137" s="7">
        <v>3272</v>
      </c>
      <c r="E137" s="7">
        <v>336</v>
      </c>
      <c r="F137" s="7">
        <v>4</v>
      </c>
      <c r="G137" s="7">
        <v>3</v>
      </c>
      <c r="H137" s="7">
        <v>81379</v>
      </c>
      <c r="I137" s="7" t="s">
        <v>16</v>
      </c>
      <c r="J137" s="7">
        <v>51503701</v>
      </c>
      <c r="K137" s="7" t="s">
        <v>1192</v>
      </c>
      <c r="L137" s="27" t="s">
        <v>1194</v>
      </c>
      <c r="M137" s="9">
        <v>149900</v>
      </c>
      <c r="N137" s="18">
        <f t="shared" si="19"/>
        <v>0.7</v>
      </c>
      <c r="O137" s="32">
        <f t="shared" si="20"/>
        <v>44970</v>
      </c>
      <c r="P137" s="18" t="s">
        <v>19</v>
      </c>
    </row>
    <row r="138" spans="1:16" x14ac:dyDescent="0.25">
      <c r="A138" s="25" t="str">
        <f t="shared" si="17"/>
        <v>2025 JAN-JUN D70</v>
      </c>
      <c r="B138" s="8">
        <f t="shared" si="18"/>
        <v>46104</v>
      </c>
      <c r="C138" s="8">
        <f t="shared" si="16"/>
        <v>46113</v>
      </c>
      <c r="D138" s="7">
        <v>3272</v>
      </c>
      <c r="E138" s="7">
        <v>336</v>
      </c>
      <c r="F138" s="7">
        <v>4</v>
      </c>
      <c r="G138" s="7">
        <v>3</v>
      </c>
      <c r="H138" s="7">
        <v>81379</v>
      </c>
      <c r="I138" s="7" t="s">
        <v>16</v>
      </c>
      <c r="J138" s="7">
        <v>51503710</v>
      </c>
      <c r="K138" s="7" t="s">
        <v>1192</v>
      </c>
      <c r="L138" s="27" t="s">
        <v>1195</v>
      </c>
      <c r="M138" s="9">
        <v>139900</v>
      </c>
      <c r="N138" s="18">
        <f t="shared" si="19"/>
        <v>0.7</v>
      </c>
      <c r="O138" s="32">
        <f t="shared" si="20"/>
        <v>41970</v>
      </c>
      <c r="P138" s="18" t="s">
        <v>19</v>
      </c>
    </row>
    <row r="139" spans="1:16" x14ac:dyDescent="0.25">
      <c r="A139" s="25" t="str">
        <f t="shared" si="17"/>
        <v>2025 JAN-JUN D70</v>
      </c>
      <c r="B139" s="8">
        <f t="shared" si="18"/>
        <v>46104</v>
      </c>
      <c r="C139" s="8">
        <f t="shared" si="16"/>
        <v>46113</v>
      </c>
      <c r="D139" s="7">
        <v>3272</v>
      </c>
      <c r="E139" s="7">
        <v>336</v>
      </c>
      <c r="F139" s="7">
        <v>4</v>
      </c>
      <c r="G139" s="7">
        <v>3</v>
      </c>
      <c r="H139" s="7">
        <v>81379</v>
      </c>
      <c r="I139" s="7" t="s">
        <v>16</v>
      </c>
      <c r="J139" s="7">
        <v>51503729</v>
      </c>
      <c r="K139" s="7" t="s">
        <v>1192</v>
      </c>
      <c r="L139" s="27" t="s">
        <v>1196</v>
      </c>
      <c r="M139" s="9">
        <v>139900</v>
      </c>
      <c r="N139" s="18">
        <f t="shared" si="19"/>
        <v>0.7</v>
      </c>
      <c r="O139" s="32">
        <f t="shared" si="20"/>
        <v>41970</v>
      </c>
      <c r="P139" s="18" t="s">
        <v>19</v>
      </c>
    </row>
    <row r="140" spans="1:16" x14ac:dyDescent="0.25">
      <c r="A140" s="25" t="str">
        <f t="shared" si="17"/>
        <v>2025 JAN-JUN D70</v>
      </c>
      <c r="B140" s="8">
        <f t="shared" si="18"/>
        <v>46104</v>
      </c>
      <c r="C140" s="8">
        <f t="shared" si="16"/>
        <v>46113</v>
      </c>
      <c r="D140" s="7">
        <v>3272</v>
      </c>
      <c r="E140" s="7">
        <v>336</v>
      </c>
      <c r="F140" s="7">
        <v>4</v>
      </c>
      <c r="G140" s="7">
        <v>3</v>
      </c>
      <c r="H140" s="7">
        <v>81379</v>
      </c>
      <c r="I140" s="7" t="s">
        <v>16</v>
      </c>
      <c r="J140" s="7">
        <v>51503738</v>
      </c>
      <c r="K140" s="7" t="s">
        <v>1192</v>
      </c>
      <c r="L140" s="27" t="s">
        <v>1197</v>
      </c>
      <c r="M140" s="9">
        <v>139900</v>
      </c>
      <c r="N140" s="18">
        <f t="shared" si="19"/>
        <v>0.7</v>
      </c>
      <c r="O140" s="32">
        <f t="shared" si="20"/>
        <v>41970</v>
      </c>
      <c r="P140" s="18" t="s">
        <v>19</v>
      </c>
    </row>
    <row r="141" spans="1:16" x14ac:dyDescent="0.25">
      <c r="A141" s="25" t="str">
        <f t="shared" si="17"/>
        <v>2025 JAN-JUN D70</v>
      </c>
      <c r="B141" s="8">
        <f t="shared" si="18"/>
        <v>46104</v>
      </c>
      <c r="C141" s="8">
        <f t="shared" si="16"/>
        <v>46113</v>
      </c>
      <c r="D141" s="7">
        <v>3272</v>
      </c>
      <c r="E141" s="7">
        <v>336</v>
      </c>
      <c r="F141" s="7">
        <v>4</v>
      </c>
      <c r="G141" s="7">
        <v>1</v>
      </c>
      <c r="H141" s="7">
        <v>81379</v>
      </c>
      <c r="I141" s="7" t="s">
        <v>16</v>
      </c>
      <c r="J141" s="7">
        <v>51510908</v>
      </c>
      <c r="K141" s="7" t="s">
        <v>1198</v>
      </c>
      <c r="L141" s="27" t="s">
        <v>1199</v>
      </c>
      <c r="M141" s="9">
        <v>149900</v>
      </c>
      <c r="N141" s="18">
        <f t="shared" si="19"/>
        <v>0.7</v>
      </c>
      <c r="O141" s="32">
        <f t="shared" si="20"/>
        <v>44970</v>
      </c>
      <c r="P141" s="18" t="s">
        <v>19</v>
      </c>
    </row>
    <row r="142" spans="1:16" x14ac:dyDescent="0.25">
      <c r="A142" s="25" t="str">
        <f t="shared" si="17"/>
        <v>2025 JAN-JUN D70</v>
      </c>
      <c r="B142" s="8">
        <f t="shared" si="18"/>
        <v>46104</v>
      </c>
      <c r="C142" s="8">
        <f t="shared" si="16"/>
        <v>46113</v>
      </c>
      <c r="D142" s="7">
        <v>3272</v>
      </c>
      <c r="E142" s="7">
        <v>336</v>
      </c>
      <c r="F142" s="7">
        <v>4</v>
      </c>
      <c r="G142" s="7">
        <v>1</v>
      </c>
      <c r="H142" s="7">
        <v>81379</v>
      </c>
      <c r="I142" s="7" t="s">
        <v>16</v>
      </c>
      <c r="J142" s="7">
        <v>51510917</v>
      </c>
      <c r="K142" s="7" t="s">
        <v>1198</v>
      </c>
      <c r="L142" s="27" t="s">
        <v>1200</v>
      </c>
      <c r="M142" s="9">
        <v>149900</v>
      </c>
      <c r="N142" s="18">
        <f t="shared" si="19"/>
        <v>0.7</v>
      </c>
      <c r="O142" s="32">
        <f t="shared" si="20"/>
        <v>44970</v>
      </c>
      <c r="P142" s="18" t="s">
        <v>19</v>
      </c>
    </row>
    <row r="143" spans="1:16" x14ac:dyDescent="0.25">
      <c r="A143" s="25" t="str">
        <f t="shared" si="17"/>
        <v>2025 JAN-JUN D70</v>
      </c>
      <c r="B143" s="8">
        <f t="shared" si="18"/>
        <v>46104</v>
      </c>
      <c r="C143" s="8">
        <f t="shared" si="16"/>
        <v>46113</v>
      </c>
      <c r="D143" s="7">
        <v>3272</v>
      </c>
      <c r="E143" s="7">
        <v>336</v>
      </c>
      <c r="F143" s="7">
        <v>4</v>
      </c>
      <c r="G143" s="7">
        <v>1</v>
      </c>
      <c r="H143" s="7">
        <v>81379</v>
      </c>
      <c r="I143" s="7" t="s">
        <v>16</v>
      </c>
      <c r="J143" s="7">
        <v>51510926</v>
      </c>
      <c r="K143" s="7" t="s">
        <v>1198</v>
      </c>
      <c r="L143" s="27" t="s">
        <v>1201</v>
      </c>
      <c r="M143" s="9">
        <v>149900</v>
      </c>
      <c r="N143" s="18">
        <f t="shared" si="19"/>
        <v>0.7</v>
      </c>
      <c r="O143" s="32">
        <f t="shared" si="20"/>
        <v>44970</v>
      </c>
      <c r="P143" s="18" t="s">
        <v>19</v>
      </c>
    </row>
    <row r="144" spans="1:16" x14ac:dyDescent="0.25">
      <c r="A144" s="25" t="str">
        <f t="shared" si="17"/>
        <v>2025 JAN-JUN D70</v>
      </c>
      <c r="B144" s="8">
        <f t="shared" si="18"/>
        <v>46104</v>
      </c>
      <c r="C144" s="8">
        <f t="shared" si="16"/>
        <v>46113</v>
      </c>
      <c r="D144" s="7">
        <v>3272</v>
      </c>
      <c r="E144" s="7">
        <v>336</v>
      </c>
      <c r="F144" s="7">
        <v>4</v>
      </c>
      <c r="G144" s="7">
        <v>1</v>
      </c>
      <c r="H144" s="7">
        <v>81379</v>
      </c>
      <c r="I144" s="7" t="s">
        <v>16</v>
      </c>
      <c r="J144" s="7">
        <v>51510935</v>
      </c>
      <c r="K144" s="7" t="s">
        <v>1198</v>
      </c>
      <c r="L144" s="27" t="s">
        <v>1202</v>
      </c>
      <c r="M144" s="9">
        <v>149900</v>
      </c>
      <c r="N144" s="18">
        <f t="shared" si="19"/>
        <v>0.7</v>
      </c>
      <c r="O144" s="32">
        <f t="shared" si="20"/>
        <v>44970</v>
      </c>
      <c r="P144" s="18" t="s">
        <v>19</v>
      </c>
    </row>
    <row r="145" spans="1:16" x14ac:dyDescent="0.25">
      <c r="A145" s="25" t="str">
        <f t="shared" si="17"/>
        <v>2025 JAN-JUN D70</v>
      </c>
      <c r="B145" s="8">
        <f t="shared" si="18"/>
        <v>46104</v>
      </c>
      <c r="C145" s="8">
        <f t="shared" si="16"/>
        <v>46113</v>
      </c>
      <c r="D145" s="7">
        <v>3272</v>
      </c>
      <c r="E145" s="7">
        <v>336</v>
      </c>
      <c r="F145" s="7">
        <v>4</v>
      </c>
      <c r="G145" s="7">
        <v>1</v>
      </c>
      <c r="H145" s="7">
        <v>81379</v>
      </c>
      <c r="I145" s="7" t="s">
        <v>16</v>
      </c>
      <c r="J145" s="7">
        <v>51510944</v>
      </c>
      <c r="K145" s="7" t="s">
        <v>1198</v>
      </c>
      <c r="L145" s="27" t="s">
        <v>1203</v>
      </c>
      <c r="M145" s="9">
        <v>149900</v>
      </c>
      <c r="N145" s="18">
        <f t="shared" si="19"/>
        <v>0.7</v>
      </c>
      <c r="O145" s="32">
        <f t="shared" si="20"/>
        <v>44970</v>
      </c>
      <c r="P145" s="18" t="s">
        <v>19</v>
      </c>
    </row>
    <row r="146" spans="1:16" x14ac:dyDescent="0.25">
      <c r="A146" s="25" t="str">
        <f t="shared" si="17"/>
        <v>2025 JAN-JUN D70</v>
      </c>
      <c r="B146" s="8">
        <f t="shared" si="18"/>
        <v>46104</v>
      </c>
      <c r="C146" s="8">
        <f t="shared" si="16"/>
        <v>46113</v>
      </c>
      <c r="D146" s="7">
        <v>3272</v>
      </c>
      <c r="E146" s="7">
        <v>336</v>
      </c>
      <c r="F146" s="7">
        <v>4</v>
      </c>
      <c r="G146" s="7">
        <v>1</v>
      </c>
      <c r="H146" s="7">
        <v>81379</v>
      </c>
      <c r="I146" s="7" t="s">
        <v>16</v>
      </c>
      <c r="J146" s="7">
        <v>51510953</v>
      </c>
      <c r="K146" s="7" t="s">
        <v>1198</v>
      </c>
      <c r="L146" s="27" t="s">
        <v>1204</v>
      </c>
      <c r="M146" s="9">
        <v>149900</v>
      </c>
      <c r="N146" s="18">
        <f t="shared" si="19"/>
        <v>0.7</v>
      </c>
      <c r="O146" s="32">
        <f t="shared" si="20"/>
        <v>44970</v>
      </c>
      <c r="P146" s="18" t="s">
        <v>19</v>
      </c>
    </row>
    <row r="147" spans="1:16" x14ac:dyDescent="0.25">
      <c r="A147" s="25" t="str">
        <f t="shared" si="17"/>
        <v>2025 JAN-JUN D70</v>
      </c>
      <c r="B147" s="8">
        <f t="shared" si="18"/>
        <v>46104</v>
      </c>
      <c r="C147" s="8">
        <f t="shared" ref="C147:C162" si="21">C146</f>
        <v>46113</v>
      </c>
      <c r="D147" s="7">
        <v>3272</v>
      </c>
      <c r="E147" s="7">
        <v>336</v>
      </c>
      <c r="F147" s="7">
        <v>4</v>
      </c>
      <c r="G147" s="7">
        <v>1</v>
      </c>
      <c r="H147" s="7">
        <v>81379</v>
      </c>
      <c r="I147" s="7" t="s">
        <v>16</v>
      </c>
      <c r="J147" s="7">
        <v>51510962</v>
      </c>
      <c r="K147" s="7" t="s">
        <v>1198</v>
      </c>
      <c r="L147" s="27" t="s">
        <v>1205</v>
      </c>
      <c r="M147" s="9">
        <v>139900</v>
      </c>
      <c r="N147" s="18">
        <f t="shared" si="19"/>
        <v>0.7</v>
      </c>
      <c r="O147" s="32">
        <f t="shared" si="20"/>
        <v>41970</v>
      </c>
      <c r="P147" s="18" t="s">
        <v>19</v>
      </c>
    </row>
    <row r="148" spans="1:16" x14ac:dyDescent="0.25">
      <c r="A148" s="25" t="str">
        <f t="shared" si="17"/>
        <v>2025 JAN-JUN D70</v>
      </c>
      <c r="B148" s="8">
        <f t="shared" si="18"/>
        <v>46104</v>
      </c>
      <c r="C148" s="8">
        <f t="shared" si="21"/>
        <v>46113</v>
      </c>
      <c r="D148" s="7">
        <v>3272</v>
      </c>
      <c r="E148" s="7">
        <v>336</v>
      </c>
      <c r="F148" s="7">
        <v>4</v>
      </c>
      <c r="G148" s="7">
        <v>1</v>
      </c>
      <c r="H148" s="7">
        <v>81379</v>
      </c>
      <c r="I148" s="7" t="s">
        <v>16</v>
      </c>
      <c r="J148" s="7">
        <v>51510971</v>
      </c>
      <c r="K148" s="7" t="s">
        <v>1198</v>
      </c>
      <c r="L148" s="27" t="s">
        <v>1206</v>
      </c>
      <c r="M148" s="9">
        <v>139900</v>
      </c>
      <c r="N148" s="18">
        <f t="shared" si="19"/>
        <v>0.7</v>
      </c>
      <c r="O148" s="32">
        <f t="shared" si="20"/>
        <v>41970</v>
      </c>
      <c r="P148" s="18" t="s">
        <v>19</v>
      </c>
    </row>
    <row r="149" spans="1:16" x14ac:dyDescent="0.25">
      <c r="A149" s="25" t="str">
        <f t="shared" si="17"/>
        <v>2025 JAN-JUN D70</v>
      </c>
      <c r="B149" s="8">
        <f t="shared" si="18"/>
        <v>46104</v>
      </c>
      <c r="C149" s="8">
        <f t="shared" si="21"/>
        <v>46113</v>
      </c>
      <c r="D149" s="7">
        <v>3272</v>
      </c>
      <c r="E149" s="7">
        <v>336</v>
      </c>
      <c r="F149" s="7">
        <v>4</v>
      </c>
      <c r="G149" s="7">
        <v>1</v>
      </c>
      <c r="H149" s="7">
        <v>81379</v>
      </c>
      <c r="I149" s="7" t="s">
        <v>16</v>
      </c>
      <c r="J149" s="7">
        <v>51510980</v>
      </c>
      <c r="K149" s="7" t="s">
        <v>1207</v>
      </c>
      <c r="L149" s="27" t="s">
        <v>1208</v>
      </c>
      <c r="M149" s="9">
        <v>139900</v>
      </c>
      <c r="N149" s="18">
        <f t="shared" si="19"/>
        <v>0.7</v>
      </c>
      <c r="O149" s="32">
        <f t="shared" si="20"/>
        <v>41970</v>
      </c>
      <c r="P149" s="18" t="s">
        <v>19</v>
      </c>
    </row>
    <row r="150" spans="1:16" x14ac:dyDescent="0.25">
      <c r="A150" s="25" t="str">
        <f t="shared" si="17"/>
        <v>2025 JAN-JUN D70</v>
      </c>
      <c r="B150" s="8">
        <f t="shared" si="18"/>
        <v>46104</v>
      </c>
      <c r="C150" s="8">
        <f t="shared" si="21"/>
        <v>46113</v>
      </c>
      <c r="D150" s="7">
        <v>3272</v>
      </c>
      <c r="E150" s="7">
        <v>336</v>
      </c>
      <c r="F150" s="7">
        <v>4</v>
      </c>
      <c r="G150" s="7">
        <v>1</v>
      </c>
      <c r="H150" s="7">
        <v>81379</v>
      </c>
      <c r="I150" s="7" t="s">
        <v>16</v>
      </c>
      <c r="J150" s="7">
        <v>51510999</v>
      </c>
      <c r="K150" s="7" t="s">
        <v>1207</v>
      </c>
      <c r="L150" s="27" t="s">
        <v>1209</v>
      </c>
      <c r="M150" s="9">
        <v>139900</v>
      </c>
      <c r="N150" s="18">
        <f t="shared" si="19"/>
        <v>0.7</v>
      </c>
      <c r="O150" s="32">
        <f t="shared" si="20"/>
        <v>41970</v>
      </c>
      <c r="P150" s="18" t="s">
        <v>19</v>
      </c>
    </row>
    <row r="151" spans="1:16" x14ac:dyDescent="0.25">
      <c r="A151" s="25" t="str">
        <f t="shared" si="17"/>
        <v>2025 JAN-JUN D70</v>
      </c>
      <c r="B151" s="8">
        <f t="shared" si="18"/>
        <v>46104</v>
      </c>
      <c r="C151" s="8">
        <f t="shared" si="21"/>
        <v>46113</v>
      </c>
      <c r="D151" s="7">
        <v>3272</v>
      </c>
      <c r="E151" s="7">
        <v>336</v>
      </c>
      <c r="F151" s="7">
        <v>4</v>
      </c>
      <c r="G151" s="7">
        <v>1</v>
      </c>
      <c r="H151" s="7">
        <v>81379</v>
      </c>
      <c r="I151" s="7" t="s">
        <v>16</v>
      </c>
      <c r="J151" s="7">
        <v>51511005</v>
      </c>
      <c r="K151" s="7" t="s">
        <v>1207</v>
      </c>
      <c r="L151" s="27" t="s">
        <v>1210</v>
      </c>
      <c r="M151" s="9">
        <v>139900</v>
      </c>
      <c r="N151" s="18">
        <f t="shared" si="19"/>
        <v>0.7</v>
      </c>
      <c r="O151" s="32">
        <f t="shared" si="20"/>
        <v>41970</v>
      </c>
      <c r="P151" s="18" t="s">
        <v>19</v>
      </c>
    </row>
    <row r="152" spans="1:16" x14ac:dyDescent="0.25">
      <c r="A152" s="25" t="str">
        <f t="shared" si="17"/>
        <v>2025 JAN-JUN D70</v>
      </c>
      <c r="B152" s="8">
        <f t="shared" si="18"/>
        <v>46104</v>
      </c>
      <c r="C152" s="8">
        <f t="shared" si="21"/>
        <v>46113</v>
      </c>
      <c r="D152" s="7">
        <v>3272</v>
      </c>
      <c r="E152" s="7">
        <v>336</v>
      </c>
      <c r="F152" s="7">
        <v>4</v>
      </c>
      <c r="G152" s="7">
        <v>1</v>
      </c>
      <c r="H152" s="7">
        <v>81379</v>
      </c>
      <c r="I152" s="7" t="s">
        <v>16</v>
      </c>
      <c r="J152" s="7">
        <v>51511014</v>
      </c>
      <c r="K152" s="7" t="s">
        <v>1207</v>
      </c>
      <c r="L152" s="27" t="s">
        <v>1211</v>
      </c>
      <c r="M152" s="9">
        <v>139900</v>
      </c>
      <c r="N152" s="18">
        <f t="shared" si="19"/>
        <v>0.7</v>
      </c>
      <c r="O152" s="32">
        <f t="shared" si="20"/>
        <v>41970</v>
      </c>
      <c r="P152" s="18" t="s">
        <v>19</v>
      </c>
    </row>
    <row r="153" spans="1:16" x14ac:dyDescent="0.25">
      <c r="A153" s="25" t="str">
        <f t="shared" si="17"/>
        <v>2025 JAN-JUN D70</v>
      </c>
      <c r="B153" s="8">
        <f t="shared" si="18"/>
        <v>46104</v>
      </c>
      <c r="C153" s="8">
        <f t="shared" si="21"/>
        <v>46113</v>
      </c>
      <c r="D153" s="7">
        <v>3272</v>
      </c>
      <c r="E153" s="7">
        <v>336</v>
      </c>
      <c r="F153" s="7">
        <v>4</v>
      </c>
      <c r="G153" s="7">
        <v>1</v>
      </c>
      <c r="H153" s="7">
        <v>81379</v>
      </c>
      <c r="I153" s="7" t="s">
        <v>16</v>
      </c>
      <c r="J153" s="7">
        <v>51511023</v>
      </c>
      <c r="K153" s="7" t="s">
        <v>1207</v>
      </c>
      <c r="L153" s="27" t="s">
        <v>1212</v>
      </c>
      <c r="M153" s="9">
        <v>139900</v>
      </c>
      <c r="N153" s="18">
        <f t="shared" si="19"/>
        <v>0.7</v>
      </c>
      <c r="O153" s="32">
        <f t="shared" si="20"/>
        <v>41970</v>
      </c>
      <c r="P153" s="18" t="s">
        <v>19</v>
      </c>
    </row>
    <row r="154" spans="1:16" x14ac:dyDescent="0.25">
      <c r="A154" s="25" t="str">
        <f t="shared" si="17"/>
        <v>2025 JAN-JUN D70</v>
      </c>
      <c r="B154" s="8">
        <f t="shared" si="18"/>
        <v>46104</v>
      </c>
      <c r="C154" s="8">
        <f t="shared" si="21"/>
        <v>46113</v>
      </c>
      <c r="D154" s="7">
        <v>3272</v>
      </c>
      <c r="E154" s="7">
        <v>336</v>
      </c>
      <c r="F154" s="7">
        <v>4</v>
      </c>
      <c r="G154" s="7">
        <v>1</v>
      </c>
      <c r="H154" s="7">
        <v>81379</v>
      </c>
      <c r="I154" s="7" t="s">
        <v>16</v>
      </c>
      <c r="J154" s="7">
        <v>51511032</v>
      </c>
      <c r="K154" s="7" t="s">
        <v>1207</v>
      </c>
      <c r="L154" s="27" t="s">
        <v>1213</v>
      </c>
      <c r="M154" s="9">
        <v>139900</v>
      </c>
      <c r="N154" s="18">
        <f t="shared" si="19"/>
        <v>0.7</v>
      </c>
      <c r="O154" s="32">
        <f t="shared" si="20"/>
        <v>41970</v>
      </c>
      <c r="P154" s="18" t="s">
        <v>19</v>
      </c>
    </row>
    <row r="155" spans="1:16" x14ac:dyDescent="0.25">
      <c r="A155" s="25" t="str">
        <f t="shared" si="17"/>
        <v>2025 JAN-JUN D70</v>
      </c>
      <c r="B155" s="8">
        <f t="shared" si="18"/>
        <v>46104</v>
      </c>
      <c r="C155" s="8">
        <f t="shared" si="21"/>
        <v>46113</v>
      </c>
      <c r="D155" s="7">
        <v>3272</v>
      </c>
      <c r="E155" s="7">
        <v>336</v>
      </c>
      <c r="F155" s="7">
        <v>4</v>
      </c>
      <c r="G155" s="7">
        <v>1</v>
      </c>
      <c r="H155" s="7">
        <v>81379</v>
      </c>
      <c r="I155" s="7" t="s">
        <v>16</v>
      </c>
      <c r="J155" s="7">
        <v>51511041</v>
      </c>
      <c r="K155" s="7" t="s">
        <v>1207</v>
      </c>
      <c r="L155" s="27" t="s">
        <v>1214</v>
      </c>
      <c r="M155" s="9">
        <v>139900</v>
      </c>
      <c r="N155" s="18">
        <f t="shared" si="19"/>
        <v>0.7</v>
      </c>
      <c r="O155" s="32">
        <f t="shared" si="20"/>
        <v>41970</v>
      </c>
      <c r="P155" s="18" t="s">
        <v>19</v>
      </c>
    </row>
    <row r="156" spans="1:16" x14ac:dyDescent="0.25">
      <c r="A156" s="25" t="str">
        <f t="shared" si="17"/>
        <v>2025 JAN-JUN D70</v>
      </c>
      <c r="B156" s="8">
        <f t="shared" si="18"/>
        <v>46104</v>
      </c>
      <c r="C156" s="8">
        <f t="shared" si="21"/>
        <v>46113</v>
      </c>
      <c r="D156" s="7">
        <v>3272</v>
      </c>
      <c r="E156" s="7">
        <v>336</v>
      </c>
      <c r="F156" s="7">
        <v>4</v>
      </c>
      <c r="G156" s="7">
        <v>1</v>
      </c>
      <c r="H156" s="7">
        <v>81379</v>
      </c>
      <c r="I156" s="7" t="s">
        <v>16</v>
      </c>
      <c r="J156" s="7">
        <v>51511050</v>
      </c>
      <c r="K156" s="7" t="s">
        <v>1207</v>
      </c>
      <c r="L156" s="27" t="s">
        <v>1215</v>
      </c>
      <c r="M156" s="9">
        <v>139900</v>
      </c>
      <c r="N156" s="18">
        <f t="shared" si="19"/>
        <v>0.7</v>
      </c>
      <c r="O156" s="32">
        <f t="shared" si="20"/>
        <v>41970</v>
      </c>
      <c r="P156" s="18" t="s">
        <v>19</v>
      </c>
    </row>
    <row r="157" spans="1:16" x14ac:dyDescent="0.25">
      <c r="A157" s="25" t="str">
        <f t="shared" si="17"/>
        <v>2025 JAN-JUN D70</v>
      </c>
      <c r="B157" s="8">
        <f t="shared" si="18"/>
        <v>46104</v>
      </c>
      <c r="C157" s="8">
        <f t="shared" si="21"/>
        <v>46113</v>
      </c>
      <c r="D157" s="7">
        <v>3272</v>
      </c>
      <c r="E157" s="7">
        <v>336</v>
      </c>
      <c r="F157" s="7">
        <v>4</v>
      </c>
      <c r="G157" s="7">
        <v>5</v>
      </c>
      <c r="H157" s="7">
        <v>81379</v>
      </c>
      <c r="I157" s="7" t="s">
        <v>16</v>
      </c>
      <c r="J157" s="7">
        <v>51511309</v>
      </c>
      <c r="K157" s="7" t="s">
        <v>1216</v>
      </c>
      <c r="L157" s="27" t="s">
        <v>1217</v>
      </c>
      <c r="M157" s="9">
        <v>149900</v>
      </c>
      <c r="N157" s="18">
        <f t="shared" si="19"/>
        <v>0.7</v>
      </c>
      <c r="O157" s="32">
        <f t="shared" si="20"/>
        <v>44970</v>
      </c>
      <c r="P157" s="18" t="s">
        <v>19</v>
      </c>
    </row>
    <row r="158" spans="1:16" x14ac:dyDescent="0.25">
      <c r="A158" s="25" t="str">
        <f t="shared" si="17"/>
        <v>2025 JAN-JUN D70</v>
      </c>
      <c r="B158" s="8">
        <f t="shared" si="18"/>
        <v>46104</v>
      </c>
      <c r="C158" s="8">
        <f t="shared" si="21"/>
        <v>46113</v>
      </c>
      <c r="D158" s="7">
        <v>3272</v>
      </c>
      <c r="E158" s="7">
        <v>336</v>
      </c>
      <c r="F158" s="7">
        <v>4</v>
      </c>
      <c r="G158" s="7">
        <v>5</v>
      </c>
      <c r="H158" s="7">
        <v>81379</v>
      </c>
      <c r="I158" s="7" t="s">
        <v>16</v>
      </c>
      <c r="J158" s="7">
        <v>51511318</v>
      </c>
      <c r="K158" s="7" t="s">
        <v>1216</v>
      </c>
      <c r="L158" s="27" t="s">
        <v>1218</v>
      </c>
      <c r="M158" s="9">
        <v>149900</v>
      </c>
      <c r="N158" s="18">
        <f t="shared" si="19"/>
        <v>0.7</v>
      </c>
      <c r="O158" s="32">
        <f t="shared" si="20"/>
        <v>44970</v>
      </c>
      <c r="P158" s="18" t="s">
        <v>19</v>
      </c>
    </row>
    <row r="159" spans="1:16" x14ac:dyDescent="0.25">
      <c r="A159" s="25" t="str">
        <f t="shared" si="17"/>
        <v>2025 JAN-JUN D70</v>
      </c>
      <c r="B159" s="8">
        <f t="shared" si="18"/>
        <v>46104</v>
      </c>
      <c r="C159" s="8">
        <f t="shared" si="21"/>
        <v>46113</v>
      </c>
      <c r="D159" s="7">
        <v>3272</v>
      </c>
      <c r="E159" s="7">
        <v>336</v>
      </c>
      <c r="F159" s="7">
        <v>4</v>
      </c>
      <c r="G159" s="7">
        <v>5</v>
      </c>
      <c r="H159" s="7">
        <v>81379</v>
      </c>
      <c r="I159" s="7" t="s">
        <v>16</v>
      </c>
      <c r="J159" s="7">
        <v>51511327</v>
      </c>
      <c r="K159" s="7" t="s">
        <v>1216</v>
      </c>
      <c r="L159" s="27" t="s">
        <v>1219</v>
      </c>
      <c r="M159" s="9">
        <v>149900</v>
      </c>
      <c r="N159" s="18">
        <f t="shared" si="19"/>
        <v>0.7</v>
      </c>
      <c r="O159" s="32">
        <f t="shared" si="20"/>
        <v>44970</v>
      </c>
      <c r="P159" s="18" t="s">
        <v>19</v>
      </c>
    </row>
    <row r="160" spans="1:16" x14ac:dyDescent="0.25">
      <c r="A160" s="25" t="str">
        <f t="shared" si="17"/>
        <v>2025 JAN-JUN D70</v>
      </c>
      <c r="B160" s="8">
        <f t="shared" si="18"/>
        <v>46104</v>
      </c>
      <c r="C160" s="8">
        <f t="shared" si="21"/>
        <v>46113</v>
      </c>
      <c r="D160" s="7">
        <v>3272</v>
      </c>
      <c r="E160" s="7">
        <v>336</v>
      </c>
      <c r="F160" s="7">
        <v>4</v>
      </c>
      <c r="G160" s="7">
        <v>5</v>
      </c>
      <c r="H160" s="7">
        <v>81379</v>
      </c>
      <c r="I160" s="7" t="s">
        <v>16</v>
      </c>
      <c r="J160" s="7">
        <v>51511336</v>
      </c>
      <c r="K160" s="7" t="s">
        <v>1216</v>
      </c>
      <c r="L160" s="27" t="s">
        <v>1220</v>
      </c>
      <c r="M160" s="9">
        <v>149900</v>
      </c>
      <c r="N160" s="18">
        <f t="shared" si="19"/>
        <v>0.7</v>
      </c>
      <c r="O160" s="32">
        <f t="shared" si="20"/>
        <v>44970</v>
      </c>
      <c r="P160" s="18" t="s">
        <v>19</v>
      </c>
    </row>
    <row r="161" spans="1:16" x14ac:dyDescent="0.25">
      <c r="A161" s="25" t="str">
        <f t="shared" si="17"/>
        <v>2025 JAN-JUN D70</v>
      </c>
      <c r="B161" s="8">
        <f t="shared" si="18"/>
        <v>46104</v>
      </c>
      <c r="C161" s="8">
        <f t="shared" si="21"/>
        <v>46113</v>
      </c>
      <c r="D161" s="7">
        <v>3272</v>
      </c>
      <c r="E161" s="7">
        <v>336</v>
      </c>
      <c r="F161" s="7">
        <v>4</v>
      </c>
      <c r="G161" s="7">
        <v>5</v>
      </c>
      <c r="H161" s="7">
        <v>81379</v>
      </c>
      <c r="I161" s="7" t="s">
        <v>16</v>
      </c>
      <c r="J161" s="7">
        <v>51511345</v>
      </c>
      <c r="K161" s="7" t="s">
        <v>1216</v>
      </c>
      <c r="L161" s="27" t="s">
        <v>1221</v>
      </c>
      <c r="M161" s="9">
        <v>149900</v>
      </c>
      <c r="N161" s="18">
        <f t="shared" si="19"/>
        <v>0.7</v>
      </c>
      <c r="O161" s="32">
        <f t="shared" si="20"/>
        <v>44970</v>
      </c>
      <c r="P161" s="18" t="s">
        <v>19</v>
      </c>
    </row>
    <row r="162" spans="1:16" x14ac:dyDescent="0.25">
      <c r="A162" s="25" t="str">
        <f t="shared" si="17"/>
        <v>2025 JAN-JUN D70</v>
      </c>
      <c r="B162" s="8">
        <f t="shared" si="18"/>
        <v>46104</v>
      </c>
      <c r="C162" s="8">
        <f t="shared" si="21"/>
        <v>46113</v>
      </c>
      <c r="D162" s="7">
        <v>3272</v>
      </c>
      <c r="E162" s="7">
        <v>336</v>
      </c>
      <c r="F162" s="7">
        <v>4</v>
      </c>
      <c r="G162" s="7">
        <v>5</v>
      </c>
      <c r="H162" s="7">
        <v>81379</v>
      </c>
      <c r="I162" s="7" t="s">
        <v>16</v>
      </c>
      <c r="J162" s="7">
        <v>51511354</v>
      </c>
      <c r="K162" s="7" t="s">
        <v>1216</v>
      </c>
      <c r="L162" s="27" t="s">
        <v>1222</v>
      </c>
      <c r="M162" s="9">
        <v>149900</v>
      </c>
      <c r="N162" s="18">
        <f t="shared" si="19"/>
        <v>0.7</v>
      </c>
      <c r="O162" s="32">
        <f t="shared" si="20"/>
        <v>44970</v>
      </c>
      <c r="P162" s="18" t="s">
        <v>19</v>
      </c>
    </row>
    <row r="163" spans="1:16" x14ac:dyDescent="0.25">
      <c r="A163" s="25" t="str">
        <f t="shared" si="17"/>
        <v>2025 JAN-JUN D70</v>
      </c>
      <c r="B163" s="8">
        <f t="shared" si="18"/>
        <v>46104</v>
      </c>
      <c r="C163" s="8">
        <f t="shared" ref="C163:C178" si="22">C162</f>
        <v>46113</v>
      </c>
      <c r="D163" s="7">
        <v>3272</v>
      </c>
      <c r="E163" s="7">
        <v>336</v>
      </c>
      <c r="F163" s="7">
        <v>4</v>
      </c>
      <c r="G163" s="7">
        <v>5</v>
      </c>
      <c r="H163" s="7">
        <v>81379</v>
      </c>
      <c r="I163" s="7" t="s">
        <v>16</v>
      </c>
      <c r="J163" s="7">
        <v>51511363</v>
      </c>
      <c r="K163" s="7" t="s">
        <v>1216</v>
      </c>
      <c r="L163" s="27" t="s">
        <v>1223</v>
      </c>
      <c r="M163" s="9">
        <v>139900</v>
      </c>
      <c r="N163" s="18">
        <f t="shared" si="19"/>
        <v>0.7</v>
      </c>
      <c r="O163" s="32">
        <f t="shared" si="20"/>
        <v>41970</v>
      </c>
      <c r="P163" s="18" t="s">
        <v>19</v>
      </c>
    </row>
    <row r="164" spans="1:16" x14ac:dyDescent="0.25">
      <c r="A164" s="25" t="str">
        <f t="shared" si="17"/>
        <v>2025 JAN-JUN D70</v>
      </c>
      <c r="B164" s="8">
        <f t="shared" si="18"/>
        <v>46104</v>
      </c>
      <c r="C164" s="8">
        <f t="shared" si="22"/>
        <v>46113</v>
      </c>
      <c r="D164" s="7">
        <v>3272</v>
      </c>
      <c r="E164" s="7">
        <v>336</v>
      </c>
      <c r="F164" s="7">
        <v>4</v>
      </c>
      <c r="G164" s="7">
        <v>5</v>
      </c>
      <c r="H164" s="7">
        <v>81379</v>
      </c>
      <c r="I164" s="7" t="s">
        <v>16</v>
      </c>
      <c r="J164" s="7">
        <v>51511372</v>
      </c>
      <c r="K164" s="7" t="s">
        <v>1216</v>
      </c>
      <c r="L164" s="27" t="s">
        <v>1224</v>
      </c>
      <c r="M164" s="9">
        <v>139900</v>
      </c>
      <c r="N164" s="18">
        <f t="shared" si="19"/>
        <v>0.7</v>
      </c>
      <c r="O164" s="32">
        <f t="shared" si="20"/>
        <v>41970</v>
      </c>
      <c r="P164" s="18" t="s">
        <v>19</v>
      </c>
    </row>
    <row r="165" spans="1:16" x14ac:dyDescent="0.25">
      <c r="A165" s="25" t="str">
        <f t="shared" si="17"/>
        <v>2025 JAN-JUN D70</v>
      </c>
      <c r="B165" s="8">
        <f t="shared" si="18"/>
        <v>46104</v>
      </c>
      <c r="C165" s="8">
        <f t="shared" si="22"/>
        <v>46113</v>
      </c>
      <c r="D165" s="7">
        <v>3272</v>
      </c>
      <c r="E165" s="7">
        <v>336</v>
      </c>
      <c r="F165" s="7">
        <v>4</v>
      </c>
      <c r="G165" s="7">
        <v>1</v>
      </c>
      <c r="H165" s="7">
        <v>81588</v>
      </c>
      <c r="I165" s="7" t="s">
        <v>16</v>
      </c>
      <c r="J165" s="7">
        <v>51511649</v>
      </c>
      <c r="K165" s="7" t="s">
        <v>1225</v>
      </c>
      <c r="L165" s="27" t="s">
        <v>1226</v>
      </c>
      <c r="M165" s="9">
        <v>139900</v>
      </c>
      <c r="N165" s="18">
        <f t="shared" si="19"/>
        <v>0.7</v>
      </c>
      <c r="O165" s="32">
        <f t="shared" si="20"/>
        <v>41970</v>
      </c>
      <c r="P165" s="18" t="s">
        <v>19</v>
      </c>
    </row>
    <row r="166" spans="1:16" x14ac:dyDescent="0.25">
      <c r="A166" s="25" t="str">
        <f t="shared" si="17"/>
        <v>2025 JAN-JUN D70</v>
      </c>
      <c r="B166" s="8">
        <f t="shared" si="18"/>
        <v>46104</v>
      </c>
      <c r="C166" s="8">
        <f t="shared" si="22"/>
        <v>46113</v>
      </c>
      <c r="D166" s="7">
        <v>3272</v>
      </c>
      <c r="E166" s="7">
        <v>336</v>
      </c>
      <c r="F166" s="7">
        <v>4</v>
      </c>
      <c r="G166" s="7">
        <v>1</v>
      </c>
      <c r="H166" s="7">
        <v>81588</v>
      </c>
      <c r="I166" s="7" t="s">
        <v>16</v>
      </c>
      <c r="J166" s="7">
        <v>51511658</v>
      </c>
      <c r="K166" s="7" t="s">
        <v>1225</v>
      </c>
      <c r="L166" s="27" t="s">
        <v>1227</v>
      </c>
      <c r="M166" s="9">
        <v>139900</v>
      </c>
      <c r="N166" s="18">
        <f t="shared" si="19"/>
        <v>0.7</v>
      </c>
      <c r="O166" s="32">
        <f t="shared" si="20"/>
        <v>41970</v>
      </c>
      <c r="P166" s="18" t="s">
        <v>19</v>
      </c>
    </row>
    <row r="167" spans="1:16" x14ac:dyDescent="0.25">
      <c r="A167" s="25" t="str">
        <f t="shared" si="17"/>
        <v>2025 JAN-JUN D70</v>
      </c>
      <c r="B167" s="8">
        <f t="shared" si="18"/>
        <v>46104</v>
      </c>
      <c r="C167" s="8">
        <f t="shared" si="22"/>
        <v>46113</v>
      </c>
      <c r="D167" s="7">
        <v>3272</v>
      </c>
      <c r="E167" s="7">
        <v>336</v>
      </c>
      <c r="F167" s="7">
        <v>4</v>
      </c>
      <c r="G167" s="7">
        <v>1</v>
      </c>
      <c r="H167" s="7">
        <v>81588</v>
      </c>
      <c r="I167" s="7" t="s">
        <v>16</v>
      </c>
      <c r="J167" s="7">
        <v>51511667</v>
      </c>
      <c r="K167" s="7" t="s">
        <v>1225</v>
      </c>
      <c r="L167" s="27" t="s">
        <v>1228</v>
      </c>
      <c r="M167" s="9">
        <v>149900</v>
      </c>
      <c r="N167" s="18">
        <f t="shared" si="19"/>
        <v>0.7</v>
      </c>
      <c r="O167" s="32">
        <f t="shared" si="20"/>
        <v>44970</v>
      </c>
      <c r="P167" s="18" t="s">
        <v>19</v>
      </c>
    </row>
    <row r="168" spans="1:16" x14ac:dyDescent="0.25">
      <c r="A168" s="25" t="str">
        <f t="shared" si="17"/>
        <v>2025 JAN-JUN D70</v>
      </c>
      <c r="B168" s="8">
        <f t="shared" si="18"/>
        <v>46104</v>
      </c>
      <c r="C168" s="8">
        <f t="shared" si="22"/>
        <v>46113</v>
      </c>
      <c r="D168" s="7">
        <v>3272</v>
      </c>
      <c r="E168" s="7">
        <v>336</v>
      </c>
      <c r="F168" s="7">
        <v>4</v>
      </c>
      <c r="G168" s="7">
        <v>1</v>
      </c>
      <c r="H168" s="7">
        <v>81588</v>
      </c>
      <c r="I168" s="7" t="s">
        <v>16</v>
      </c>
      <c r="J168" s="7">
        <v>51511676</v>
      </c>
      <c r="K168" s="7" t="s">
        <v>1225</v>
      </c>
      <c r="L168" s="27" t="s">
        <v>1229</v>
      </c>
      <c r="M168" s="9">
        <v>149900</v>
      </c>
      <c r="N168" s="18">
        <f t="shared" si="19"/>
        <v>0.7</v>
      </c>
      <c r="O168" s="32">
        <f t="shared" si="20"/>
        <v>44970</v>
      </c>
      <c r="P168" s="18" t="s">
        <v>19</v>
      </c>
    </row>
    <row r="169" spans="1:16" x14ac:dyDescent="0.25">
      <c r="A169" s="25" t="str">
        <f t="shared" si="17"/>
        <v>2025 JAN-JUN D70</v>
      </c>
      <c r="B169" s="8">
        <f t="shared" si="18"/>
        <v>46104</v>
      </c>
      <c r="C169" s="8">
        <f t="shared" si="22"/>
        <v>46113</v>
      </c>
      <c r="D169" s="7">
        <v>3272</v>
      </c>
      <c r="E169" s="7">
        <v>336</v>
      </c>
      <c r="F169" s="7">
        <v>4</v>
      </c>
      <c r="G169" s="7">
        <v>1</v>
      </c>
      <c r="H169" s="7">
        <v>81588</v>
      </c>
      <c r="I169" s="7" t="s">
        <v>16</v>
      </c>
      <c r="J169" s="7">
        <v>51511685</v>
      </c>
      <c r="K169" s="7" t="s">
        <v>1225</v>
      </c>
      <c r="L169" s="27" t="s">
        <v>1230</v>
      </c>
      <c r="M169" s="9">
        <v>149900</v>
      </c>
      <c r="N169" s="18">
        <f t="shared" si="19"/>
        <v>0.7</v>
      </c>
      <c r="O169" s="32">
        <f t="shared" si="20"/>
        <v>44970</v>
      </c>
      <c r="P169" s="18" t="s">
        <v>19</v>
      </c>
    </row>
    <row r="170" spans="1:16" x14ac:dyDescent="0.25">
      <c r="A170" s="25" t="str">
        <f t="shared" si="17"/>
        <v>2025 JAN-JUN D70</v>
      </c>
      <c r="B170" s="8">
        <f t="shared" si="18"/>
        <v>46104</v>
      </c>
      <c r="C170" s="8">
        <f t="shared" si="22"/>
        <v>46113</v>
      </c>
      <c r="D170" s="7">
        <v>3272</v>
      </c>
      <c r="E170" s="7">
        <v>336</v>
      </c>
      <c r="F170" s="7">
        <v>4</v>
      </c>
      <c r="G170" s="7">
        <v>1</v>
      </c>
      <c r="H170" s="7">
        <v>81588</v>
      </c>
      <c r="I170" s="7" t="s">
        <v>16</v>
      </c>
      <c r="J170" s="7">
        <v>51511694</v>
      </c>
      <c r="K170" s="7" t="s">
        <v>1225</v>
      </c>
      <c r="L170" s="27" t="s">
        <v>1231</v>
      </c>
      <c r="M170" s="9">
        <v>149900</v>
      </c>
      <c r="N170" s="18">
        <f t="shared" si="19"/>
        <v>0.7</v>
      </c>
      <c r="O170" s="32">
        <f t="shared" si="20"/>
        <v>44970</v>
      </c>
      <c r="P170" s="18" t="s">
        <v>19</v>
      </c>
    </row>
    <row r="171" spans="1:16" x14ac:dyDescent="0.25">
      <c r="A171" s="25" t="str">
        <f t="shared" si="17"/>
        <v>2025 JAN-JUN D70</v>
      </c>
      <c r="B171" s="8">
        <f t="shared" si="18"/>
        <v>46104</v>
      </c>
      <c r="C171" s="8">
        <f t="shared" si="22"/>
        <v>46113</v>
      </c>
      <c r="D171" s="7">
        <v>3272</v>
      </c>
      <c r="E171" s="7">
        <v>336</v>
      </c>
      <c r="F171" s="7">
        <v>4</v>
      </c>
      <c r="G171" s="7">
        <v>1</v>
      </c>
      <c r="H171" s="7">
        <v>81588</v>
      </c>
      <c r="I171" s="7" t="s">
        <v>16</v>
      </c>
      <c r="J171" s="7">
        <v>51511701</v>
      </c>
      <c r="K171" s="7" t="s">
        <v>1232</v>
      </c>
      <c r="L171" s="27" t="s">
        <v>1233</v>
      </c>
      <c r="M171" s="9">
        <v>149900</v>
      </c>
      <c r="N171" s="18">
        <f t="shared" si="19"/>
        <v>0.7</v>
      </c>
      <c r="O171" s="32">
        <f t="shared" si="20"/>
        <v>44970</v>
      </c>
      <c r="P171" s="18" t="s">
        <v>19</v>
      </c>
    </row>
    <row r="172" spans="1:16" x14ac:dyDescent="0.25">
      <c r="A172" s="25" t="str">
        <f t="shared" si="17"/>
        <v>2025 JAN-JUN D70</v>
      </c>
      <c r="B172" s="8">
        <f t="shared" si="18"/>
        <v>46104</v>
      </c>
      <c r="C172" s="8">
        <f t="shared" si="22"/>
        <v>46113</v>
      </c>
      <c r="D172" s="7">
        <v>3272</v>
      </c>
      <c r="E172" s="7">
        <v>336</v>
      </c>
      <c r="F172" s="7">
        <v>4</v>
      </c>
      <c r="G172" s="7">
        <v>1</v>
      </c>
      <c r="H172" s="7">
        <v>81588</v>
      </c>
      <c r="I172" s="7" t="s">
        <v>16</v>
      </c>
      <c r="J172" s="7">
        <v>51511710</v>
      </c>
      <c r="K172" s="7" t="s">
        <v>1232</v>
      </c>
      <c r="L172" s="27" t="s">
        <v>1234</v>
      </c>
      <c r="M172" s="9">
        <v>149900</v>
      </c>
      <c r="N172" s="18">
        <f t="shared" si="19"/>
        <v>0.7</v>
      </c>
      <c r="O172" s="32">
        <f t="shared" si="20"/>
        <v>44970</v>
      </c>
      <c r="P172" s="18" t="s">
        <v>19</v>
      </c>
    </row>
    <row r="173" spans="1:16" x14ac:dyDescent="0.25">
      <c r="A173" s="25" t="str">
        <f t="shared" si="17"/>
        <v>2025 JAN-JUN D70</v>
      </c>
      <c r="B173" s="8">
        <f t="shared" si="18"/>
        <v>46104</v>
      </c>
      <c r="C173" s="8">
        <f t="shared" si="22"/>
        <v>46113</v>
      </c>
      <c r="D173" s="7">
        <v>3272</v>
      </c>
      <c r="E173" s="7">
        <v>336</v>
      </c>
      <c r="F173" s="7">
        <v>4</v>
      </c>
      <c r="G173" s="7">
        <v>1</v>
      </c>
      <c r="H173" s="7">
        <v>81588</v>
      </c>
      <c r="I173" s="7" t="s">
        <v>16</v>
      </c>
      <c r="J173" s="7">
        <v>51511729</v>
      </c>
      <c r="K173" s="7" t="s">
        <v>1232</v>
      </c>
      <c r="L173" s="27" t="s">
        <v>1235</v>
      </c>
      <c r="M173" s="9">
        <v>149900</v>
      </c>
      <c r="N173" s="18">
        <f t="shared" si="19"/>
        <v>0.7</v>
      </c>
      <c r="O173" s="32">
        <f t="shared" si="20"/>
        <v>44970</v>
      </c>
      <c r="P173" s="18" t="s">
        <v>19</v>
      </c>
    </row>
    <row r="174" spans="1:16" x14ac:dyDescent="0.25">
      <c r="A174" s="25" t="str">
        <f t="shared" si="17"/>
        <v>2025 JAN-JUN D70</v>
      </c>
      <c r="B174" s="8">
        <f t="shared" si="18"/>
        <v>46104</v>
      </c>
      <c r="C174" s="8">
        <f t="shared" si="22"/>
        <v>46113</v>
      </c>
      <c r="D174" s="7">
        <v>3272</v>
      </c>
      <c r="E174" s="7">
        <v>336</v>
      </c>
      <c r="F174" s="7">
        <v>4</v>
      </c>
      <c r="G174" s="7">
        <v>1</v>
      </c>
      <c r="H174" s="7">
        <v>81588</v>
      </c>
      <c r="I174" s="7" t="s">
        <v>16</v>
      </c>
      <c r="J174" s="7">
        <v>51511738</v>
      </c>
      <c r="K174" s="7" t="s">
        <v>1232</v>
      </c>
      <c r="L174" s="27" t="s">
        <v>1236</v>
      </c>
      <c r="M174" s="9">
        <v>149900</v>
      </c>
      <c r="N174" s="18">
        <f t="shared" si="19"/>
        <v>0.7</v>
      </c>
      <c r="O174" s="32">
        <f t="shared" si="20"/>
        <v>44970</v>
      </c>
      <c r="P174" s="18" t="s">
        <v>19</v>
      </c>
    </row>
    <row r="175" spans="1:16" x14ac:dyDescent="0.25">
      <c r="A175" s="25" t="str">
        <f t="shared" si="17"/>
        <v>2025 JAN-JUN D70</v>
      </c>
      <c r="B175" s="8">
        <f t="shared" si="18"/>
        <v>46104</v>
      </c>
      <c r="C175" s="8">
        <f t="shared" si="22"/>
        <v>46113</v>
      </c>
      <c r="D175" s="7">
        <v>3272</v>
      </c>
      <c r="E175" s="7">
        <v>336</v>
      </c>
      <c r="F175" s="7">
        <v>4</v>
      </c>
      <c r="G175" s="7">
        <v>1</v>
      </c>
      <c r="H175" s="7">
        <v>81588</v>
      </c>
      <c r="I175" s="7" t="s">
        <v>16</v>
      </c>
      <c r="J175" s="7">
        <v>51511747</v>
      </c>
      <c r="K175" s="7" t="s">
        <v>1232</v>
      </c>
      <c r="L175" s="27" t="s">
        <v>1237</v>
      </c>
      <c r="M175" s="9">
        <v>149900</v>
      </c>
      <c r="N175" s="18">
        <f t="shared" si="19"/>
        <v>0.7</v>
      </c>
      <c r="O175" s="32">
        <f t="shared" si="20"/>
        <v>44970</v>
      </c>
      <c r="P175" s="18" t="s">
        <v>19</v>
      </c>
    </row>
    <row r="176" spans="1:16" x14ac:dyDescent="0.25">
      <c r="A176" s="25" t="str">
        <f t="shared" si="17"/>
        <v>2025 JAN-JUN D70</v>
      </c>
      <c r="B176" s="8">
        <f t="shared" si="18"/>
        <v>46104</v>
      </c>
      <c r="C176" s="8">
        <f t="shared" si="22"/>
        <v>46113</v>
      </c>
      <c r="D176" s="7">
        <v>3272</v>
      </c>
      <c r="E176" s="7">
        <v>336</v>
      </c>
      <c r="F176" s="7">
        <v>4</v>
      </c>
      <c r="G176" s="7">
        <v>1</v>
      </c>
      <c r="H176" s="7">
        <v>81588</v>
      </c>
      <c r="I176" s="7" t="s">
        <v>16</v>
      </c>
      <c r="J176" s="7">
        <v>51511756</v>
      </c>
      <c r="K176" s="7" t="s">
        <v>1232</v>
      </c>
      <c r="L176" s="27" t="s">
        <v>1238</v>
      </c>
      <c r="M176" s="9">
        <v>149900</v>
      </c>
      <c r="N176" s="18">
        <f t="shared" si="19"/>
        <v>0.7</v>
      </c>
      <c r="O176" s="32">
        <f t="shared" si="20"/>
        <v>44970</v>
      </c>
      <c r="P176" s="18" t="s">
        <v>19</v>
      </c>
    </row>
    <row r="177" spans="1:16" x14ac:dyDescent="0.25">
      <c r="A177" s="25" t="str">
        <f t="shared" si="17"/>
        <v>2025 JAN-JUN D70</v>
      </c>
      <c r="B177" s="8">
        <f t="shared" si="18"/>
        <v>46104</v>
      </c>
      <c r="C177" s="8">
        <f t="shared" si="22"/>
        <v>46113</v>
      </c>
      <c r="D177" s="7">
        <v>3272</v>
      </c>
      <c r="E177" s="7">
        <v>336</v>
      </c>
      <c r="F177" s="7">
        <v>4</v>
      </c>
      <c r="G177" s="7">
        <v>1</v>
      </c>
      <c r="H177" s="7">
        <v>81588</v>
      </c>
      <c r="I177" s="7" t="s">
        <v>16</v>
      </c>
      <c r="J177" s="7">
        <v>51511765</v>
      </c>
      <c r="K177" s="7" t="s">
        <v>1239</v>
      </c>
      <c r="L177" s="27" t="s">
        <v>1240</v>
      </c>
      <c r="M177" s="9">
        <v>149900</v>
      </c>
      <c r="N177" s="18">
        <f t="shared" si="19"/>
        <v>0.7</v>
      </c>
      <c r="O177" s="32">
        <f t="shared" si="20"/>
        <v>44970</v>
      </c>
      <c r="P177" s="18" t="s">
        <v>19</v>
      </c>
    </row>
    <row r="178" spans="1:16" x14ac:dyDescent="0.25">
      <c r="A178" s="25" t="str">
        <f t="shared" si="17"/>
        <v>2025 JAN-JUN D70</v>
      </c>
      <c r="B178" s="8">
        <f t="shared" si="18"/>
        <v>46104</v>
      </c>
      <c r="C178" s="8">
        <f t="shared" si="22"/>
        <v>46113</v>
      </c>
      <c r="D178" s="7">
        <v>3272</v>
      </c>
      <c r="E178" s="7">
        <v>336</v>
      </c>
      <c r="F178" s="7">
        <v>4</v>
      </c>
      <c r="G178" s="7">
        <v>1</v>
      </c>
      <c r="H178" s="7">
        <v>81588</v>
      </c>
      <c r="I178" s="7" t="s">
        <v>16</v>
      </c>
      <c r="J178" s="7">
        <v>51511774</v>
      </c>
      <c r="K178" s="7" t="s">
        <v>1239</v>
      </c>
      <c r="L178" s="27" t="s">
        <v>1241</v>
      </c>
      <c r="M178" s="9">
        <v>149900</v>
      </c>
      <c r="N178" s="18">
        <f t="shared" si="19"/>
        <v>0.7</v>
      </c>
      <c r="O178" s="32">
        <f t="shared" si="20"/>
        <v>44970</v>
      </c>
      <c r="P178" s="18" t="s">
        <v>19</v>
      </c>
    </row>
    <row r="179" spans="1:16" x14ac:dyDescent="0.25">
      <c r="A179" s="25" t="str">
        <f t="shared" si="17"/>
        <v>2025 JAN-JUN D70</v>
      </c>
      <c r="B179" s="8">
        <f t="shared" si="18"/>
        <v>46104</v>
      </c>
      <c r="C179" s="8">
        <f t="shared" ref="C179:C194" si="23">C178</f>
        <v>46113</v>
      </c>
      <c r="D179" s="7">
        <v>3272</v>
      </c>
      <c r="E179" s="7">
        <v>336</v>
      </c>
      <c r="F179" s="7">
        <v>4</v>
      </c>
      <c r="G179" s="7">
        <v>1</v>
      </c>
      <c r="H179" s="7">
        <v>81588</v>
      </c>
      <c r="I179" s="7" t="s">
        <v>16</v>
      </c>
      <c r="J179" s="7">
        <v>51511783</v>
      </c>
      <c r="K179" s="7" t="s">
        <v>1239</v>
      </c>
      <c r="L179" s="27" t="s">
        <v>1242</v>
      </c>
      <c r="M179" s="9">
        <v>149900</v>
      </c>
      <c r="N179" s="18">
        <f t="shared" si="19"/>
        <v>0.7</v>
      </c>
      <c r="O179" s="32">
        <f t="shared" si="20"/>
        <v>44970</v>
      </c>
      <c r="P179" s="18" t="s">
        <v>19</v>
      </c>
    </row>
    <row r="180" spans="1:16" x14ac:dyDescent="0.25">
      <c r="A180" s="25" t="str">
        <f t="shared" si="17"/>
        <v>2025 JAN-JUN D70</v>
      </c>
      <c r="B180" s="8">
        <f t="shared" si="18"/>
        <v>46104</v>
      </c>
      <c r="C180" s="8">
        <f t="shared" si="23"/>
        <v>46113</v>
      </c>
      <c r="D180" s="7">
        <v>3272</v>
      </c>
      <c r="E180" s="7">
        <v>336</v>
      </c>
      <c r="F180" s="7">
        <v>4</v>
      </c>
      <c r="G180" s="7">
        <v>1</v>
      </c>
      <c r="H180" s="7">
        <v>81588</v>
      </c>
      <c r="I180" s="7" t="s">
        <v>16</v>
      </c>
      <c r="J180" s="7">
        <v>51511792</v>
      </c>
      <c r="K180" s="7" t="s">
        <v>1239</v>
      </c>
      <c r="L180" s="27" t="s">
        <v>1243</v>
      </c>
      <c r="M180" s="9">
        <v>149900</v>
      </c>
      <c r="N180" s="18">
        <f t="shared" si="19"/>
        <v>0.7</v>
      </c>
      <c r="O180" s="32">
        <f t="shared" si="20"/>
        <v>44970</v>
      </c>
      <c r="P180" s="18" t="s">
        <v>19</v>
      </c>
    </row>
    <row r="181" spans="1:16" x14ac:dyDescent="0.25">
      <c r="A181" s="25" t="str">
        <f t="shared" si="17"/>
        <v>2025 JAN-JUN D70</v>
      </c>
      <c r="B181" s="8">
        <f t="shared" si="18"/>
        <v>46104</v>
      </c>
      <c r="C181" s="8">
        <f t="shared" si="23"/>
        <v>46113</v>
      </c>
      <c r="D181" s="7">
        <v>3272</v>
      </c>
      <c r="E181" s="7">
        <v>336</v>
      </c>
      <c r="F181" s="7">
        <v>4</v>
      </c>
      <c r="G181" s="7">
        <v>1</v>
      </c>
      <c r="H181" s="7">
        <v>81588</v>
      </c>
      <c r="I181" s="7" t="s">
        <v>16</v>
      </c>
      <c r="J181" s="7">
        <v>51511809</v>
      </c>
      <c r="K181" s="7" t="s">
        <v>1239</v>
      </c>
      <c r="L181" s="27" t="s">
        <v>1244</v>
      </c>
      <c r="M181" s="9">
        <v>149900</v>
      </c>
      <c r="N181" s="18">
        <f t="shared" si="19"/>
        <v>0.7</v>
      </c>
      <c r="O181" s="32">
        <f t="shared" si="20"/>
        <v>44970</v>
      </c>
      <c r="P181" s="18" t="s">
        <v>19</v>
      </c>
    </row>
    <row r="182" spans="1:16" x14ac:dyDescent="0.25">
      <c r="A182" s="25" t="str">
        <f t="shared" si="17"/>
        <v>2025 JAN-JUN D70</v>
      </c>
      <c r="B182" s="8">
        <f t="shared" si="18"/>
        <v>46104</v>
      </c>
      <c r="C182" s="8">
        <f t="shared" si="23"/>
        <v>46113</v>
      </c>
      <c r="D182" s="7">
        <v>3272</v>
      </c>
      <c r="E182" s="7">
        <v>336</v>
      </c>
      <c r="F182" s="7">
        <v>4</v>
      </c>
      <c r="G182" s="7">
        <v>1</v>
      </c>
      <c r="H182" s="7">
        <v>81588</v>
      </c>
      <c r="I182" s="7" t="s">
        <v>16</v>
      </c>
      <c r="J182" s="7">
        <v>51511818</v>
      </c>
      <c r="K182" s="7" t="s">
        <v>1239</v>
      </c>
      <c r="L182" s="27" t="s">
        <v>1245</v>
      </c>
      <c r="M182" s="9">
        <v>149900</v>
      </c>
      <c r="N182" s="18">
        <f t="shared" si="19"/>
        <v>0.7</v>
      </c>
      <c r="O182" s="32">
        <f t="shared" si="20"/>
        <v>44970</v>
      </c>
      <c r="P182" s="18" t="s">
        <v>19</v>
      </c>
    </row>
    <row r="183" spans="1:16" x14ac:dyDescent="0.25">
      <c r="A183" s="25" t="str">
        <f t="shared" si="17"/>
        <v>2025 JAN-JUN D70</v>
      </c>
      <c r="B183" s="8">
        <f t="shared" si="18"/>
        <v>46104</v>
      </c>
      <c r="C183" s="8">
        <f t="shared" si="23"/>
        <v>46113</v>
      </c>
      <c r="D183" s="7">
        <v>3272</v>
      </c>
      <c r="E183" s="7">
        <v>336</v>
      </c>
      <c r="F183" s="7">
        <v>4</v>
      </c>
      <c r="G183" s="7">
        <v>1</v>
      </c>
      <c r="H183" s="7">
        <v>81588</v>
      </c>
      <c r="I183" s="7" t="s">
        <v>16</v>
      </c>
      <c r="J183" s="7">
        <v>51511881</v>
      </c>
      <c r="K183" s="7" t="s">
        <v>1246</v>
      </c>
      <c r="L183" s="27" t="s">
        <v>1247</v>
      </c>
      <c r="M183" s="9">
        <v>139900</v>
      </c>
      <c r="N183" s="18">
        <f t="shared" si="19"/>
        <v>0.7</v>
      </c>
      <c r="O183" s="32">
        <f t="shared" si="20"/>
        <v>41970</v>
      </c>
      <c r="P183" s="18" t="s">
        <v>19</v>
      </c>
    </row>
    <row r="184" spans="1:16" x14ac:dyDescent="0.25">
      <c r="A184" s="25" t="str">
        <f t="shared" si="17"/>
        <v>2025 JAN-JUN D70</v>
      </c>
      <c r="B184" s="8">
        <f t="shared" si="18"/>
        <v>46104</v>
      </c>
      <c r="C184" s="8">
        <f t="shared" si="23"/>
        <v>46113</v>
      </c>
      <c r="D184" s="7">
        <v>3272</v>
      </c>
      <c r="E184" s="7">
        <v>336</v>
      </c>
      <c r="F184" s="7">
        <v>4</v>
      </c>
      <c r="G184" s="7">
        <v>1</v>
      </c>
      <c r="H184" s="7">
        <v>81588</v>
      </c>
      <c r="I184" s="7" t="s">
        <v>16</v>
      </c>
      <c r="J184" s="7">
        <v>51511890</v>
      </c>
      <c r="K184" s="7" t="s">
        <v>1246</v>
      </c>
      <c r="L184" s="27" t="s">
        <v>1248</v>
      </c>
      <c r="M184" s="9">
        <v>139900</v>
      </c>
      <c r="N184" s="18">
        <f t="shared" si="19"/>
        <v>0.7</v>
      </c>
      <c r="O184" s="32">
        <f t="shared" si="20"/>
        <v>41970</v>
      </c>
      <c r="P184" s="18" t="s">
        <v>19</v>
      </c>
    </row>
    <row r="185" spans="1:16" x14ac:dyDescent="0.25">
      <c r="A185" s="25" t="str">
        <f t="shared" si="17"/>
        <v>2025 JAN-JUN D70</v>
      </c>
      <c r="B185" s="8">
        <f t="shared" si="18"/>
        <v>46104</v>
      </c>
      <c r="C185" s="8">
        <f t="shared" si="23"/>
        <v>46113</v>
      </c>
      <c r="D185" s="7">
        <v>3272</v>
      </c>
      <c r="E185" s="7">
        <v>336</v>
      </c>
      <c r="F185" s="7">
        <v>4</v>
      </c>
      <c r="G185" s="7">
        <v>1</v>
      </c>
      <c r="H185" s="7">
        <v>81588</v>
      </c>
      <c r="I185" s="7" t="s">
        <v>16</v>
      </c>
      <c r="J185" s="7">
        <v>51511907</v>
      </c>
      <c r="K185" s="7" t="s">
        <v>1246</v>
      </c>
      <c r="L185" s="27" t="s">
        <v>1249</v>
      </c>
      <c r="M185" s="9">
        <v>139900</v>
      </c>
      <c r="N185" s="18">
        <f t="shared" si="19"/>
        <v>0.7</v>
      </c>
      <c r="O185" s="32">
        <f t="shared" si="20"/>
        <v>41970</v>
      </c>
      <c r="P185" s="18" t="s">
        <v>19</v>
      </c>
    </row>
    <row r="186" spans="1:16" x14ac:dyDescent="0.25">
      <c r="A186" s="25" t="str">
        <f t="shared" si="17"/>
        <v>2025 JAN-JUN D70</v>
      </c>
      <c r="B186" s="8">
        <f t="shared" si="18"/>
        <v>46104</v>
      </c>
      <c r="C186" s="8">
        <f t="shared" si="23"/>
        <v>46113</v>
      </c>
      <c r="D186" s="7">
        <v>3272</v>
      </c>
      <c r="E186" s="7">
        <v>336</v>
      </c>
      <c r="F186" s="7">
        <v>4</v>
      </c>
      <c r="G186" s="7">
        <v>1</v>
      </c>
      <c r="H186" s="7">
        <v>81588</v>
      </c>
      <c r="I186" s="7" t="s">
        <v>16</v>
      </c>
      <c r="J186" s="7">
        <v>51511916</v>
      </c>
      <c r="K186" s="7" t="s">
        <v>1246</v>
      </c>
      <c r="L186" s="27" t="s">
        <v>1250</v>
      </c>
      <c r="M186" s="9">
        <v>139900</v>
      </c>
      <c r="N186" s="18">
        <f t="shared" si="19"/>
        <v>0.7</v>
      </c>
      <c r="O186" s="32">
        <f t="shared" si="20"/>
        <v>41970</v>
      </c>
      <c r="P186" s="18" t="s">
        <v>19</v>
      </c>
    </row>
    <row r="187" spans="1:16" x14ac:dyDescent="0.25">
      <c r="A187" s="25" t="str">
        <f t="shared" si="17"/>
        <v>2025 JAN-JUN D70</v>
      </c>
      <c r="B187" s="8">
        <f t="shared" si="18"/>
        <v>46104</v>
      </c>
      <c r="C187" s="8">
        <f t="shared" si="23"/>
        <v>46113</v>
      </c>
      <c r="D187" s="7">
        <v>3272</v>
      </c>
      <c r="E187" s="7">
        <v>336</v>
      </c>
      <c r="F187" s="7">
        <v>4</v>
      </c>
      <c r="G187" s="7">
        <v>1</v>
      </c>
      <c r="H187" s="7">
        <v>81588</v>
      </c>
      <c r="I187" s="7" t="s">
        <v>16</v>
      </c>
      <c r="J187" s="7">
        <v>51511925</v>
      </c>
      <c r="K187" s="7" t="s">
        <v>1246</v>
      </c>
      <c r="L187" s="27" t="s">
        <v>1251</v>
      </c>
      <c r="M187" s="9">
        <v>139900</v>
      </c>
      <c r="N187" s="18">
        <f t="shared" si="19"/>
        <v>0.7</v>
      </c>
      <c r="O187" s="32">
        <f t="shared" si="20"/>
        <v>41970</v>
      </c>
      <c r="P187" s="18" t="s">
        <v>19</v>
      </c>
    </row>
    <row r="188" spans="1:16" x14ac:dyDescent="0.25">
      <c r="A188" s="25" t="str">
        <f t="shared" si="17"/>
        <v>2025 JAN-JUN D70</v>
      </c>
      <c r="B188" s="8">
        <f t="shared" si="18"/>
        <v>46104</v>
      </c>
      <c r="C188" s="8">
        <f t="shared" si="23"/>
        <v>46113</v>
      </c>
      <c r="D188" s="7">
        <v>3272</v>
      </c>
      <c r="E188" s="7">
        <v>336</v>
      </c>
      <c r="F188" s="7">
        <v>4</v>
      </c>
      <c r="G188" s="7">
        <v>1</v>
      </c>
      <c r="H188" s="7">
        <v>81588</v>
      </c>
      <c r="I188" s="7" t="s">
        <v>16</v>
      </c>
      <c r="J188" s="7">
        <v>51511934</v>
      </c>
      <c r="K188" s="7" t="s">
        <v>1246</v>
      </c>
      <c r="L188" s="27" t="s">
        <v>1252</v>
      </c>
      <c r="M188" s="9">
        <v>139900</v>
      </c>
      <c r="N188" s="18">
        <f t="shared" si="19"/>
        <v>0.7</v>
      </c>
      <c r="O188" s="32">
        <f t="shared" si="20"/>
        <v>41970</v>
      </c>
      <c r="P188" s="18" t="s">
        <v>19</v>
      </c>
    </row>
    <row r="189" spans="1:16" x14ac:dyDescent="0.25">
      <c r="A189" s="25" t="str">
        <f t="shared" si="17"/>
        <v>2025 JAN-JUN D70</v>
      </c>
      <c r="B189" s="8">
        <f t="shared" si="18"/>
        <v>46104</v>
      </c>
      <c r="C189" s="8">
        <f t="shared" si="23"/>
        <v>46113</v>
      </c>
      <c r="D189" s="7">
        <v>3272</v>
      </c>
      <c r="E189" s="7">
        <v>336</v>
      </c>
      <c r="F189" s="7">
        <v>4</v>
      </c>
      <c r="G189" s="7">
        <v>1</v>
      </c>
      <c r="H189" s="7">
        <v>81588</v>
      </c>
      <c r="I189" s="7" t="s">
        <v>16</v>
      </c>
      <c r="J189" s="7">
        <v>51511943</v>
      </c>
      <c r="K189" s="7" t="s">
        <v>1253</v>
      </c>
      <c r="L189" s="27" t="s">
        <v>1254</v>
      </c>
      <c r="M189" s="9">
        <v>139900</v>
      </c>
      <c r="N189" s="18">
        <f t="shared" si="19"/>
        <v>0.7</v>
      </c>
      <c r="O189" s="32">
        <f t="shared" si="20"/>
        <v>41970</v>
      </c>
      <c r="P189" s="18" t="s">
        <v>19</v>
      </c>
    </row>
    <row r="190" spans="1:16" x14ac:dyDescent="0.25">
      <c r="A190" s="25" t="str">
        <f t="shared" si="17"/>
        <v>2025 JAN-JUN D70</v>
      </c>
      <c r="B190" s="8">
        <f t="shared" si="18"/>
        <v>46104</v>
      </c>
      <c r="C190" s="8">
        <f t="shared" si="23"/>
        <v>46113</v>
      </c>
      <c r="D190" s="7">
        <v>3272</v>
      </c>
      <c r="E190" s="7">
        <v>336</v>
      </c>
      <c r="F190" s="7">
        <v>4</v>
      </c>
      <c r="G190" s="7">
        <v>1</v>
      </c>
      <c r="H190" s="7">
        <v>81588</v>
      </c>
      <c r="I190" s="7" t="s">
        <v>16</v>
      </c>
      <c r="J190" s="7">
        <v>51511952</v>
      </c>
      <c r="K190" s="7" t="s">
        <v>1253</v>
      </c>
      <c r="L190" s="27" t="s">
        <v>1255</v>
      </c>
      <c r="M190" s="9">
        <v>139900</v>
      </c>
      <c r="N190" s="18">
        <f t="shared" si="19"/>
        <v>0.7</v>
      </c>
      <c r="O190" s="32">
        <f t="shared" si="20"/>
        <v>41970</v>
      </c>
      <c r="P190" s="18" t="s">
        <v>19</v>
      </c>
    </row>
    <row r="191" spans="1:16" x14ac:dyDescent="0.25">
      <c r="A191" s="25" t="str">
        <f t="shared" si="17"/>
        <v>2025 JAN-JUN D70</v>
      </c>
      <c r="B191" s="8">
        <f t="shared" si="18"/>
        <v>46104</v>
      </c>
      <c r="C191" s="8">
        <f t="shared" si="23"/>
        <v>46113</v>
      </c>
      <c r="D191" s="7">
        <v>3272</v>
      </c>
      <c r="E191" s="7">
        <v>336</v>
      </c>
      <c r="F191" s="7">
        <v>4</v>
      </c>
      <c r="G191" s="7">
        <v>1</v>
      </c>
      <c r="H191" s="7">
        <v>81588</v>
      </c>
      <c r="I191" s="7" t="s">
        <v>16</v>
      </c>
      <c r="J191" s="7">
        <v>51511961</v>
      </c>
      <c r="K191" s="7" t="s">
        <v>1253</v>
      </c>
      <c r="L191" s="27" t="s">
        <v>1256</v>
      </c>
      <c r="M191" s="9">
        <v>139900</v>
      </c>
      <c r="N191" s="18">
        <f t="shared" si="19"/>
        <v>0.7</v>
      </c>
      <c r="O191" s="32">
        <f t="shared" si="20"/>
        <v>41970</v>
      </c>
      <c r="P191" s="18" t="s">
        <v>19</v>
      </c>
    </row>
    <row r="192" spans="1:16" x14ac:dyDescent="0.25">
      <c r="A192" s="25" t="str">
        <f t="shared" si="17"/>
        <v>2025 JAN-JUN D70</v>
      </c>
      <c r="B192" s="8">
        <f t="shared" si="18"/>
        <v>46104</v>
      </c>
      <c r="C192" s="8">
        <f t="shared" si="23"/>
        <v>46113</v>
      </c>
      <c r="D192" s="7">
        <v>3272</v>
      </c>
      <c r="E192" s="7">
        <v>336</v>
      </c>
      <c r="F192" s="7">
        <v>4</v>
      </c>
      <c r="G192" s="7">
        <v>1</v>
      </c>
      <c r="H192" s="7">
        <v>81588</v>
      </c>
      <c r="I192" s="7" t="s">
        <v>16</v>
      </c>
      <c r="J192" s="7">
        <v>51511970</v>
      </c>
      <c r="K192" s="7" t="s">
        <v>1253</v>
      </c>
      <c r="L192" s="27" t="s">
        <v>1257</v>
      </c>
      <c r="M192" s="9">
        <v>139900</v>
      </c>
      <c r="N192" s="18">
        <f t="shared" si="19"/>
        <v>0.7</v>
      </c>
      <c r="O192" s="32">
        <f t="shared" si="20"/>
        <v>41970</v>
      </c>
      <c r="P192" s="18" t="s">
        <v>19</v>
      </c>
    </row>
    <row r="193" spans="1:16" x14ac:dyDescent="0.25">
      <c r="A193" s="25" t="str">
        <f t="shared" si="17"/>
        <v>2025 JAN-JUN D70</v>
      </c>
      <c r="B193" s="8">
        <f t="shared" si="18"/>
        <v>46104</v>
      </c>
      <c r="C193" s="8">
        <f t="shared" si="23"/>
        <v>46113</v>
      </c>
      <c r="D193" s="7">
        <v>3272</v>
      </c>
      <c r="E193" s="7">
        <v>336</v>
      </c>
      <c r="F193" s="7">
        <v>4</v>
      </c>
      <c r="G193" s="7">
        <v>1</v>
      </c>
      <c r="H193" s="7">
        <v>81588</v>
      </c>
      <c r="I193" s="7" t="s">
        <v>16</v>
      </c>
      <c r="J193" s="7">
        <v>51511989</v>
      </c>
      <c r="K193" s="7" t="s">
        <v>1253</v>
      </c>
      <c r="L193" s="27" t="s">
        <v>1258</v>
      </c>
      <c r="M193" s="9">
        <v>139900</v>
      </c>
      <c r="N193" s="18">
        <f t="shared" si="19"/>
        <v>0.7</v>
      </c>
      <c r="O193" s="32">
        <f t="shared" si="20"/>
        <v>41970</v>
      </c>
      <c r="P193" s="18" t="s">
        <v>19</v>
      </c>
    </row>
    <row r="194" spans="1:16" x14ac:dyDescent="0.25">
      <c r="A194" s="25" t="str">
        <f t="shared" si="17"/>
        <v>2025 JAN-JUN D70</v>
      </c>
      <c r="B194" s="8">
        <f t="shared" si="18"/>
        <v>46104</v>
      </c>
      <c r="C194" s="8">
        <f t="shared" si="23"/>
        <v>46113</v>
      </c>
      <c r="D194" s="7">
        <v>3272</v>
      </c>
      <c r="E194" s="7">
        <v>336</v>
      </c>
      <c r="F194" s="7">
        <v>4</v>
      </c>
      <c r="G194" s="7">
        <v>1</v>
      </c>
      <c r="H194" s="7">
        <v>81588</v>
      </c>
      <c r="I194" s="7" t="s">
        <v>16</v>
      </c>
      <c r="J194" s="7">
        <v>51511998</v>
      </c>
      <c r="K194" s="7" t="s">
        <v>1253</v>
      </c>
      <c r="L194" s="27" t="s">
        <v>1259</v>
      </c>
      <c r="M194" s="9">
        <v>139900</v>
      </c>
      <c r="N194" s="18">
        <f t="shared" si="19"/>
        <v>0.7</v>
      </c>
      <c r="O194" s="32">
        <f t="shared" si="20"/>
        <v>41970</v>
      </c>
      <c r="P194" s="18" t="s">
        <v>19</v>
      </c>
    </row>
    <row r="195" spans="1:16" x14ac:dyDescent="0.25">
      <c r="A195" s="25" t="str">
        <f t="shared" si="17"/>
        <v>2025 JAN-JUN D70</v>
      </c>
      <c r="B195" s="8">
        <f t="shared" si="18"/>
        <v>46104</v>
      </c>
      <c r="C195" s="8">
        <f t="shared" ref="C195:C210" si="24">C194</f>
        <v>46113</v>
      </c>
      <c r="D195" s="7">
        <v>3272</v>
      </c>
      <c r="E195" s="7">
        <v>336</v>
      </c>
      <c r="F195" s="7">
        <v>4</v>
      </c>
      <c r="G195" s="7">
        <v>5</v>
      </c>
      <c r="H195" s="7">
        <v>81588</v>
      </c>
      <c r="I195" s="7" t="s">
        <v>16</v>
      </c>
      <c r="J195" s="7">
        <v>51512120</v>
      </c>
      <c r="K195" s="7" t="s">
        <v>1260</v>
      </c>
      <c r="L195" s="27" t="s">
        <v>1261</v>
      </c>
      <c r="M195" s="9">
        <v>139900</v>
      </c>
      <c r="N195" s="18">
        <f t="shared" si="19"/>
        <v>0.7</v>
      </c>
      <c r="O195" s="32">
        <f t="shared" si="20"/>
        <v>41970</v>
      </c>
      <c r="P195" s="18" t="s">
        <v>19</v>
      </c>
    </row>
    <row r="196" spans="1:16" x14ac:dyDescent="0.25">
      <c r="A196" s="25" t="str">
        <f t="shared" ref="A196:A259" si="25">A195</f>
        <v>2025 JAN-JUN D70</v>
      </c>
      <c r="B196" s="8">
        <f t="shared" ref="B196:B259" si="26">B195</f>
        <v>46104</v>
      </c>
      <c r="C196" s="8">
        <f t="shared" si="24"/>
        <v>46113</v>
      </c>
      <c r="D196" s="7">
        <v>3272</v>
      </c>
      <c r="E196" s="7">
        <v>336</v>
      </c>
      <c r="F196" s="7">
        <v>4</v>
      </c>
      <c r="G196" s="7">
        <v>5</v>
      </c>
      <c r="H196" s="7">
        <v>81588</v>
      </c>
      <c r="I196" s="7" t="s">
        <v>16</v>
      </c>
      <c r="J196" s="7">
        <v>51512139</v>
      </c>
      <c r="K196" s="7" t="s">
        <v>1260</v>
      </c>
      <c r="L196" s="27" t="s">
        <v>1262</v>
      </c>
      <c r="M196" s="9">
        <v>139900</v>
      </c>
      <c r="N196" s="18">
        <f t="shared" ref="N196:N259" si="27">N195</f>
        <v>0.7</v>
      </c>
      <c r="O196" s="32">
        <f t="shared" ref="O196:O259" si="28">M196-((70*M196)/100)</f>
        <v>41970</v>
      </c>
      <c r="P196" s="18" t="s">
        <v>19</v>
      </c>
    </row>
    <row r="197" spans="1:16" x14ac:dyDescent="0.25">
      <c r="A197" s="25" t="str">
        <f t="shared" si="25"/>
        <v>2025 JAN-JUN D70</v>
      </c>
      <c r="B197" s="8">
        <f t="shared" si="26"/>
        <v>46104</v>
      </c>
      <c r="C197" s="8">
        <f t="shared" si="24"/>
        <v>46113</v>
      </c>
      <c r="D197" s="7">
        <v>3272</v>
      </c>
      <c r="E197" s="7">
        <v>336</v>
      </c>
      <c r="F197" s="7">
        <v>4</v>
      </c>
      <c r="G197" s="7">
        <v>5</v>
      </c>
      <c r="H197" s="7">
        <v>81588</v>
      </c>
      <c r="I197" s="7" t="s">
        <v>16</v>
      </c>
      <c r="J197" s="7">
        <v>51512148</v>
      </c>
      <c r="K197" s="7" t="s">
        <v>1260</v>
      </c>
      <c r="L197" s="27" t="s">
        <v>1263</v>
      </c>
      <c r="M197" s="9">
        <v>139900</v>
      </c>
      <c r="N197" s="18">
        <f t="shared" si="27"/>
        <v>0.7</v>
      </c>
      <c r="O197" s="32">
        <f t="shared" si="28"/>
        <v>41970</v>
      </c>
      <c r="P197" s="18" t="s">
        <v>19</v>
      </c>
    </row>
    <row r="198" spans="1:16" x14ac:dyDescent="0.25">
      <c r="A198" s="25" t="str">
        <f t="shared" si="25"/>
        <v>2025 JAN-JUN D70</v>
      </c>
      <c r="B198" s="8">
        <f t="shared" si="26"/>
        <v>46104</v>
      </c>
      <c r="C198" s="8">
        <f t="shared" si="24"/>
        <v>46113</v>
      </c>
      <c r="D198" s="7">
        <v>3272</v>
      </c>
      <c r="E198" s="7">
        <v>336</v>
      </c>
      <c r="F198" s="7">
        <v>4</v>
      </c>
      <c r="G198" s="7">
        <v>5</v>
      </c>
      <c r="H198" s="7">
        <v>81588</v>
      </c>
      <c r="I198" s="7" t="s">
        <v>16</v>
      </c>
      <c r="J198" s="7">
        <v>51512157</v>
      </c>
      <c r="K198" s="7" t="s">
        <v>1260</v>
      </c>
      <c r="L198" s="27" t="s">
        <v>1264</v>
      </c>
      <c r="M198" s="9">
        <v>139900</v>
      </c>
      <c r="N198" s="18">
        <f t="shared" si="27"/>
        <v>0.7</v>
      </c>
      <c r="O198" s="32">
        <f t="shared" si="28"/>
        <v>41970</v>
      </c>
      <c r="P198" s="18" t="s">
        <v>19</v>
      </c>
    </row>
    <row r="199" spans="1:16" x14ac:dyDescent="0.25">
      <c r="A199" s="25" t="str">
        <f t="shared" si="25"/>
        <v>2025 JAN-JUN D70</v>
      </c>
      <c r="B199" s="8">
        <f t="shared" si="26"/>
        <v>46104</v>
      </c>
      <c r="C199" s="8">
        <f t="shared" si="24"/>
        <v>46113</v>
      </c>
      <c r="D199" s="7">
        <v>3272</v>
      </c>
      <c r="E199" s="7">
        <v>336</v>
      </c>
      <c r="F199" s="7">
        <v>4</v>
      </c>
      <c r="G199" s="7">
        <v>5</v>
      </c>
      <c r="H199" s="7">
        <v>81588</v>
      </c>
      <c r="I199" s="7" t="s">
        <v>16</v>
      </c>
      <c r="J199" s="7">
        <v>51512166</v>
      </c>
      <c r="K199" s="7" t="s">
        <v>1260</v>
      </c>
      <c r="L199" s="27" t="s">
        <v>1265</v>
      </c>
      <c r="M199" s="9">
        <v>139900</v>
      </c>
      <c r="N199" s="18">
        <f t="shared" si="27"/>
        <v>0.7</v>
      </c>
      <c r="O199" s="32">
        <f t="shared" si="28"/>
        <v>41970</v>
      </c>
      <c r="P199" s="18" t="s">
        <v>19</v>
      </c>
    </row>
    <row r="200" spans="1:16" x14ac:dyDescent="0.25">
      <c r="A200" s="25" t="str">
        <f t="shared" si="25"/>
        <v>2025 JAN-JUN D70</v>
      </c>
      <c r="B200" s="8">
        <f t="shared" si="26"/>
        <v>46104</v>
      </c>
      <c r="C200" s="8">
        <f t="shared" si="24"/>
        <v>46113</v>
      </c>
      <c r="D200" s="7">
        <v>3272</v>
      </c>
      <c r="E200" s="7">
        <v>336</v>
      </c>
      <c r="F200" s="7">
        <v>4</v>
      </c>
      <c r="G200" s="7">
        <v>5</v>
      </c>
      <c r="H200" s="7">
        <v>81588</v>
      </c>
      <c r="I200" s="7" t="s">
        <v>16</v>
      </c>
      <c r="J200" s="7">
        <v>51512175</v>
      </c>
      <c r="K200" s="7" t="s">
        <v>1260</v>
      </c>
      <c r="L200" s="27" t="s">
        <v>1266</v>
      </c>
      <c r="M200" s="9">
        <v>139900</v>
      </c>
      <c r="N200" s="18">
        <f t="shared" si="27"/>
        <v>0.7</v>
      </c>
      <c r="O200" s="32">
        <f t="shared" si="28"/>
        <v>41970</v>
      </c>
      <c r="P200" s="18" t="s">
        <v>19</v>
      </c>
    </row>
    <row r="201" spans="1:16" x14ac:dyDescent="0.25">
      <c r="A201" s="25" t="str">
        <f t="shared" si="25"/>
        <v>2025 JAN-JUN D70</v>
      </c>
      <c r="B201" s="8">
        <f t="shared" si="26"/>
        <v>46104</v>
      </c>
      <c r="C201" s="8">
        <f t="shared" si="24"/>
        <v>46113</v>
      </c>
      <c r="D201" s="7">
        <v>3272</v>
      </c>
      <c r="E201" s="7">
        <v>336</v>
      </c>
      <c r="F201" s="7">
        <v>4</v>
      </c>
      <c r="G201" s="7">
        <v>1</v>
      </c>
      <c r="H201" s="7">
        <v>81588</v>
      </c>
      <c r="I201" s="7" t="s">
        <v>16</v>
      </c>
      <c r="J201" s="7">
        <v>51522922</v>
      </c>
      <c r="K201" s="7" t="s">
        <v>1267</v>
      </c>
      <c r="L201" s="27" t="s">
        <v>1268</v>
      </c>
      <c r="M201" s="9">
        <v>139900</v>
      </c>
      <c r="N201" s="18">
        <f t="shared" si="27"/>
        <v>0.7</v>
      </c>
      <c r="O201" s="32">
        <f t="shared" si="28"/>
        <v>41970</v>
      </c>
      <c r="P201" s="18" t="s">
        <v>19</v>
      </c>
    </row>
    <row r="202" spans="1:16" x14ac:dyDescent="0.25">
      <c r="A202" s="25" t="str">
        <f t="shared" si="25"/>
        <v>2025 JAN-JUN D70</v>
      </c>
      <c r="B202" s="8">
        <f t="shared" si="26"/>
        <v>46104</v>
      </c>
      <c r="C202" s="8">
        <f t="shared" si="24"/>
        <v>46113</v>
      </c>
      <c r="D202" s="7">
        <v>3272</v>
      </c>
      <c r="E202" s="7">
        <v>336</v>
      </c>
      <c r="F202" s="7">
        <v>4</v>
      </c>
      <c r="G202" s="7">
        <v>1</v>
      </c>
      <c r="H202" s="7">
        <v>81588</v>
      </c>
      <c r="I202" s="7" t="s">
        <v>16</v>
      </c>
      <c r="J202" s="7">
        <v>51522931</v>
      </c>
      <c r="K202" s="7" t="s">
        <v>1267</v>
      </c>
      <c r="L202" s="27" t="s">
        <v>1269</v>
      </c>
      <c r="M202" s="9">
        <v>139900</v>
      </c>
      <c r="N202" s="18">
        <f t="shared" si="27"/>
        <v>0.7</v>
      </c>
      <c r="O202" s="32">
        <f t="shared" si="28"/>
        <v>41970</v>
      </c>
      <c r="P202" s="18" t="s">
        <v>19</v>
      </c>
    </row>
    <row r="203" spans="1:16" x14ac:dyDescent="0.25">
      <c r="A203" s="25" t="str">
        <f t="shared" si="25"/>
        <v>2025 JAN-JUN D70</v>
      </c>
      <c r="B203" s="8">
        <f t="shared" si="26"/>
        <v>46104</v>
      </c>
      <c r="C203" s="8">
        <f t="shared" si="24"/>
        <v>46113</v>
      </c>
      <c r="D203" s="7">
        <v>3272</v>
      </c>
      <c r="E203" s="7">
        <v>336</v>
      </c>
      <c r="F203" s="7">
        <v>4</v>
      </c>
      <c r="G203" s="7">
        <v>1</v>
      </c>
      <c r="H203" s="7">
        <v>81588</v>
      </c>
      <c r="I203" s="7" t="s">
        <v>16</v>
      </c>
      <c r="J203" s="7">
        <v>51522940</v>
      </c>
      <c r="K203" s="7" t="s">
        <v>1267</v>
      </c>
      <c r="L203" s="27" t="s">
        <v>1270</v>
      </c>
      <c r="M203" s="9">
        <v>139900</v>
      </c>
      <c r="N203" s="18">
        <f t="shared" si="27"/>
        <v>0.7</v>
      </c>
      <c r="O203" s="32">
        <f t="shared" si="28"/>
        <v>41970</v>
      </c>
      <c r="P203" s="18" t="s">
        <v>19</v>
      </c>
    </row>
    <row r="204" spans="1:16" x14ac:dyDescent="0.25">
      <c r="A204" s="25" t="str">
        <f t="shared" si="25"/>
        <v>2025 JAN-JUN D70</v>
      </c>
      <c r="B204" s="8">
        <f t="shared" si="26"/>
        <v>46104</v>
      </c>
      <c r="C204" s="8">
        <f t="shared" si="24"/>
        <v>46113</v>
      </c>
      <c r="D204" s="7">
        <v>3272</v>
      </c>
      <c r="E204" s="7">
        <v>336</v>
      </c>
      <c r="F204" s="7">
        <v>4</v>
      </c>
      <c r="G204" s="7">
        <v>1</v>
      </c>
      <c r="H204" s="7">
        <v>81588</v>
      </c>
      <c r="I204" s="7" t="s">
        <v>16</v>
      </c>
      <c r="J204" s="7">
        <v>51522959</v>
      </c>
      <c r="K204" s="7" t="s">
        <v>1267</v>
      </c>
      <c r="L204" s="27" t="s">
        <v>1271</v>
      </c>
      <c r="M204" s="9">
        <v>139900</v>
      </c>
      <c r="N204" s="18">
        <f t="shared" si="27"/>
        <v>0.7</v>
      </c>
      <c r="O204" s="32">
        <f t="shared" si="28"/>
        <v>41970</v>
      </c>
      <c r="P204" s="18" t="s">
        <v>19</v>
      </c>
    </row>
    <row r="205" spans="1:16" x14ac:dyDescent="0.25">
      <c r="A205" s="25" t="str">
        <f t="shared" si="25"/>
        <v>2025 JAN-JUN D70</v>
      </c>
      <c r="B205" s="8">
        <f t="shared" si="26"/>
        <v>46104</v>
      </c>
      <c r="C205" s="8">
        <f t="shared" si="24"/>
        <v>46113</v>
      </c>
      <c r="D205" s="7">
        <v>3272</v>
      </c>
      <c r="E205" s="7">
        <v>336</v>
      </c>
      <c r="F205" s="7">
        <v>4</v>
      </c>
      <c r="G205" s="7">
        <v>1</v>
      </c>
      <c r="H205" s="7">
        <v>81588</v>
      </c>
      <c r="I205" s="7" t="s">
        <v>16</v>
      </c>
      <c r="J205" s="7">
        <v>51522968</v>
      </c>
      <c r="K205" s="7" t="s">
        <v>1267</v>
      </c>
      <c r="L205" s="27" t="s">
        <v>1272</v>
      </c>
      <c r="M205" s="9">
        <v>139900</v>
      </c>
      <c r="N205" s="18">
        <f t="shared" si="27"/>
        <v>0.7</v>
      </c>
      <c r="O205" s="32">
        <f t="shared" si="28"/>
        <v>41970</v>
      </c>
      <c r="P205" s="18" t="s">
        <v>19</v>
      </c>
    </row>
    <row r="206" spans="1:16" x14ac:dyDescent="0.25">
      <c r="A206" s="25" t="str">
        <f t="shared" si="25"/>
        <v>2025 JAN-JUN D70</v>
      </c>
      <c r="B206" s="8">
        <f t="shared" si="26"/>
        <v>46104</v>
      </c>
      <c r="C206" s="8">
        <f t="shared" si="24"/>
        <v>46113</v>
      </c>
      <c r="D206" s="7">
        <v>3272</v>
      </c>
      <c r="E206" s="7">
        <v>336</v>
      </c>
      <c r="F206" s="7">
        <v>4</v>
      </c>
      <c r="G206" s="7">
        <v>1</v>
      </c>
      <c r="H206" s="7">
        <v>81588</v>
      </c>
      <c r="I206" s="7" t="s">
        <v>16</v>
      </c>
      <c r="J206" s="7">
        <v>51522977</v>
      </c>
      <c r="K206" s="7" t="s">
        <v>1267</v>
      </c>
      <c r="L206" s="27" t="s">
        <v>1273</v>
      </c>
      <c r="M206" s="9">
        <v>139900</v>
      </c>
      <c r="N206" s="18">
        <f t="shared" si="27"/>
        <v>0.7</v>
      </c>
      <c r="O206" s="32">
        <f t="shared" si="28"/>
        <v>41970</v>
      </c>
      <c r="P206" s="18" t="s">
        <v>19</v>
      </c>
    </row>
    <row r="207" spans="1:16" x14ac:dyDescent="0.25">
      <c r="A207" s="25" t="str">
        <f t="shared" si="25"/>
        <v>2025 JAN-JUN D70</v>
      </c>
      <c r="B207" s="8">
        <f t="shared" si="26"/>
        <v>46104</v>
      </c>
      <c r="C207" s="8">
        <f t="shared" si="24"/>
        <v>46113</v>
      </c>
      <c r="D207" s="7">
        <v>3272</v>
      </c>
      <c r="E207" s="7">
        <v>336</v>
      </c>
      <c r="F207" s="7">
        <v>4</v>
      </c>
      <c r="G207" s="7">
        <v>1</v>
      </c>
      <c r="H207" s="7">
        <v>81588</v>
      </c>
      <c r="I207" s="7" t="s">
        <v>16</v>
      </c>
      <c r="J207" s="7">
        <v>51522986</v>
      </c>
      <c r="K207" s="7" t="s">
        <v>1267</v>
      </c>
      <c r="L207" s="27" t="s">
        <v>1274</v>
      </c>
      <c r="M207" s="9">
        <v>149900</v>
      </c>
      <c r="N207" s="18">
        <f t="shared" si="27"/>
        <v>0.7</v>
      </c>
      <c r="O207" s="32">
        <f t="shared" si="28"/>
        <v>44970</v>
      </c>
      <c r="P207" s="18" t="s">
        <v>19</v>
      </c>
    </row>
    <row r="208" spans="1:16" x14ac:dyDescent="0.25">
      <c r="A208" s="25" t="str">
        <f t="shared" si="25"/>
        <v>2025 JAN-JUN D70</v>
      </c>
      <c r="B208" s="8">
        <f t="shared" si="26"/>
        <v>46104</v>
      </c>
      <c r="C208" s="8">
        <f t="shared" si="24"/>
        <v>46113</v>
      </c>
      <c r="D208" s="7">
        <v>3272</v>
      </c>
      <c r="E208" s="7">
        <v>336</v>
      </c>
      <c r="F208" s="7">
        <v>4</v>
      </c>
      <c r="G208" s="7">
        <v>1</v>
      </c>
      <c r="H208" s="7">
        <v>81588</v>
      </c>
      <c r="I208" s="7" t="s">
        <v>16</v>
      </c>
      <c r="J208" s="7">
        <v>51522995</v>
      </c>
      <c r="K208" s="7" t="s">
        <v>1267</v>
      </c>
      <c r="L208" s="27" t="s">
        <v>1275</v>
      </c>
      <c r="M208" s="9">
        <v>149900</v>
      </c>
      <c r="N208" s="18">
        <f t="shared" si="27"/>
        <v>0.7</v>
      </c>
      <c r="O208" s="32">
        <f t="shared" si="28"/>
        <v>44970</v>
      </c>
      <c r="P208" s="18" t="s">
        <v>19</v>
      </c>
    </row>
    <row r="209" spans="1:16" x14ac:dyDescent="0.25">
      <c r="A209" s="25" t="str">
        <f t="shared" si="25"/>
        <v>2025 JAN-JUN D70</v>
      </c>
      <c r="B209" s="8">
        <f t="shared" si="26"/>
        <v>46104</v>
      </c>
      <c r="C209" s="8">
        <f t="shared" si="24"/>
        <v>46113</v>
      </c>
      <c r="D209" s="7">
        <v>3272</v>
      </c>
      <c r="E209" s="7">
        <v>336</v>
      </c>
      <c r="F209" s="7">
        <v>4</v>
      </c>
      <c r="G209" s="7">
        <v>1</v>
      </c>
      <c r="H209" s="7">
        <v>81588</v>
      </c>
      <c r="I209" s="7" t="s">
        <v>16</v>
      </c>
      <c r="J209" s="7">
        <v>51523083</v>
      </c>
      <c r="K209" s="7" t="s">
        <v>1276</v>
      </c>
      <c r="L209" s="27" t="s">
        <v>1277</v>
      </c>
      <c r="M209" s="9">
        <v>149900</v>
      </c>
      <c r="N209" s="18">
        <f t="shared" si="27"/>
        <v>0.7</v>
      </c>
      <c r="O209" s="32">
        <f t="shared" si="28"/>
        <v>44970</v>
      </c>
      <c r="P209" s="18" t="s">
        <v>19</v>
      </c>
    </row>
    <row r="210" spans="1:16" x14ac:dyDescent="0.25">
      <c r="A210" s="25" t="str">
        <f t="shared" si="25"/>
        <v>2025 JAN-JUN D70</v>
      </c>
      <c r="B210" s="8">
        <f t="shared" si="26"/>
        <v>46104</v>
      </c>
      <c r="C210" s="8">
        <f t="shared" si="24"/>
        <v>46113</v>
      </c>
      <c r="D210" s="7">
        <v>3272</v>
      </c>
      <c r="E210" s="7">
        <v>336</v>
      </c>
      <c r="F210" s="7">
        <v>4</v>
      </c>
      <c r="G210" s="7">
        <v>1</v>
      </c>
      <c r="H210" s="7">
        <v>81588</v>
      </c>
      <c r="I210" s="7" t="s">
        <v>16</v>
      </c>
      <c r="J210" s="7">
        <v>51523092</v>
      </c>
      <c r="K210" s="7" t="s">
        <v>1276</v>
      </c>
      <c r="L210" s="27" t="s">
        <v>1278</v>
      </c>
      <c r="M210" s="9">
        <v>149900</v>
      </c>
      <c r="N210" s="18">
        <f t="shared" si="27"/>
        <v>0.7</v>
      </c>
      <c r="O210" s="32">
        <f t="shared" si="28"/>
        <v>44970</v>
      </c>
      <c r="P210" s="18" t="s">
        <v>19</v>
      </c>
    </row>
    <row r="211" spans="1:16" x14ac:dyDescent="0.25">
      <c r="A211" s="25" t="str">
        <f t="shared" si="25"/>
        <v>2025 JAN-JUN D70</v>
      </c>
      <c r="B211" s="8">
        <f t="shared" si="26"/>
        <v>46104</v>
      </c>
      <c r="C211" s="8">
        <f t="shared" ref="C211:C226" si="29">C210</f>
        <v>46113</v>
      </c>
      <c r="D211" s="7">
        <v>3272</v>
      </c>
      <c r="E211" s="7">
        <v>336</v>
      </c>
      <c r="F211" s="7">
        <v>4</v>
      </c>
      <c r="G211" s="7">
        <v>1</v>
      </c>
      <c r="H211" s="7">
        <v>81588</v>
      </c>
      <c r="I211" s="7" t="s">
        <v>16</v>
      </c>
      <c r="J211" s="7">
        <v>51523109</v>
      </c>
      <c r="K211" s="7" t="s">
        <v>1276</v>
      </c>
      <c r="L211" s="27" t="s">
        <v>1279</v>
      </c>
      <c r="M211" s="9">
        <v>149900</v>
      </c>
      <c r="N211" s="18">
        <f t="shared" si="27"/>
        <v>0.7</v>
      </c>
      <c r="O211" s="32">
        <f t="shared" si="28"/>
        <v>44970</v>
      </c>
      <c r="P211" s="18" t="s">
        <v>19</v>
      </c>
    </row>
    <row r="212" spans="1:16" x14ac:dyDescent="0.25">
      <c r="A212" s="25" t="str">
        <f t="shared" si="25"/>
        <v>2025 JAN-JUN D70</v>
      </c>
      <c r="B212" s="8">
        <f t="shared" si="26"/>
        <v>46104</v>
      </c>
      <c r="C212" s="8">
        <f t="shared" si="29"/>
        <v>46113</v>
      </c>
      <c r="D212" s="7">
        <v>3272</v>
      </c>
      <c r="E212" s="7">
        <v>336</v>
      </c>
      <c r="F212" s="7">
        <v>4</v>
      </c>
      <c r="G212" s="7">
        <v>1</v>
      </c>
      <c r="H212" s="7">
        <v>81588</v>
      </c>
      <c r="I212" s="7" t="s">
        <v>16</v>
      </c>
      <c r="J212" s="7">
        <v>51523118</v>
      </c>
      <c r="K212" s="7" t="s">
        <v>1276</v>
      </c>
      <c r="L212" s="27" t="s">
        <v>1280</v>
      </c>
      <c r="M212" s="9">
        <v>149900</v>
      </c>
      <c r="N212" s="18">
        <f t="shared" si="27"/>
        <v>0.7</v>
      </c>
      <c r="O212" s="32">
        <f t="shared" si="28"/>
        <v>44970</v>
      </c>
      <c r="P212" s="18" t="s">
        <v>19</v>
      </c>
    </row>
    <row r="213" spans="1:16" x14ac:dyDescent="0.25">
      <c r="A213" s="25" t="str">
        <f t="shared" si="25"/>
        <v>2025 JAN-JUN D70</v>
      </c>
      <c r="B213" s="8">
        <f t="shared" si="26"/>
        <v>46104</v>
      </c>
      <c r="C213" s="8">
        <f t="shared" si="29"/>
        <v>46113</v>
      </c>
      <c r="D213" s="7">
        <v>3272</v>
      </c>
      <c r="E213" s="7">
        <v>336</v>
      </c>
      <c r="F213" s="7">
        <v>4</v>
      </c>
      <c r="G213" s="7">
        <v>1</v>
      </c>
      <c r="H213" s="7">
        <v>81588</v>
      </c>
      <c r="I213" s="7" t="s">
        <v>16</v>
      </c>
      <c r="J213" s="7">
        <v>51523127</v>
      </c>
      <c r="K213" s="7" t="s">
        <v>1276</v>
      </c>
      <c r="L213" s="27" t="s">
        <v>1281</v>
      </c>
      <c r="M213" s="9">
        <v>149900</v>
      </c>
      <c r="N213" s="18">
        <f t="shared" si="27"/>
        <v>0.7</v>
      </c>
      <c r="O213" s="32">
        <f t="shared" si="28"/>
        <v>44970</v>
      </c>
      <c r="P213" s="18" t="s">
        <v>19</v>
      </c>
    </row>
    <row r="214" spans="1:16" x14ac:dyDescent="0.25">
      <c r="A214" s="25" t="str">
        <f t="shared" si="25"/>
        <v>2025 JAN-JUN D70</v>
      </c>
      <c r="B214" s="8">
        <f t="shared" si="26"/>
        <v>46104</v>
      </c>
      <c r="C214" s="8">
        <f t="shared" si="29"/>
        <v>46113</v>
      </c>
      <c r="D214" s="7">
        <v>3272</v>
      </c>
      <c r="E214" s="7">
        <v>336</v>
      </c>
      <c r="F214" s="7">
        <v>4</v>
      </c>
      <c r="G214" s="7">
        <v>1</v>
      </c>
      <c r="H214" s="7">
        <v>81588</v>
      </c>
      <c r="I214" s="7" t="s">
        <v>16</v>
      </c>
      <c r="J214" s="7">
        <v>51523136</v>
      </c>
      <c r="K214" s="7" t="s">
        <v>1276</v>
      </c>
      <c r="L214" s="27" t="s">
        <v>1282</v>
      </c>
      <c r="M214" s="9">
        <v>149900</v>
      </c>
      <c r="N214" s="18">
        <f t="shared" si="27"/>
        <v>0.7</v>
      </c>
      <c r="O214" s="32">
        <f t="shared" si="28"/>
        <v>44970</v>
      </c>
      <c r="P214" s="18" t="s">
        <v>19</v>
      </c>
    </row>
    <row r="215" spans="1:16" x14ac:dyDescent="0.25">
      <c r="A215" s="25" t="str">
        <f t="shared" si="25"/>
        <v>2025 JAN-JUN D70</v>
      </c>
      <c r="B215" s="8">
        <f t="shared" si="26"/>
        <v>46104</v>
      </c>
      <c r="C215" s="8">
        <f t="shared" si="29"/>
        <v>46113</v>
      </c>
      <c r="D215" s="7">
        <v>3272</v>
      </c>
      <c r="E215" s="7">
        <v>336</v>
      </c>
      <c r="F215" s="7">
        <v>4</v>
      </c>
      <c r="G215" s="7">
        <v>1</v>
      </c>
      <c r="H215" s="7">
        <v>81588</v>
      </c>
      <c r="I215" s="7" t="s">
        <v>16</v>
      </c>
      <c r="J215" s="7">
        <v>51523145</v>
      </c>
      <c r="K215" s="7" t="s">
        <v>1276</v>
      </c>
      <c r="L215" s="27" t="s">
        <v>1283</v>
      </c>
      <c r="M215" s="9">
        <v>139900</v>
      </c>
      <c r="N215" s="18">
        <f t="shared" si="27"/>
        <v>0.7</v>
      </c>
      <c r="O215" s="32">
        <f t="shared" si="28"/>
        <v>41970</v>
      </c>
      <c r="P215" s="18" t="s">
        <v>19</v>
      </c>
    </row>
    <row r="216" spans="1:16" x14ac:dyDescent="0.25">
      <c r="A216" s="25" t="str">
        <f t="shared" si="25"/>
        <v>2025 JAN-JUN D70</v>
      </c>
      <c r="B216" s="8">
        <f t="shared" si="26"/>
        <v>46104</v>
      </c>
      <c r="C216" s="8">
        <f t="shared" si="29"/>
        <v>46113</v>
      </c>
      <c r="D216" s="7">
        <v>3272</v>
      </c>
      <c r="E216" s="7">
        <v>336</v>
      </c>
      <c r="F216" s="7">
        <v>4</v>
      </c>
      <c r="G216" s="7">
        <v>1</v>
      </c>
      <c r="H216" s="7">
        <v>81588</v>
      </c>
      <c r="I216" s="7" t="s">
        <v>16</v>
      </c>
      <c r="J216" s="7">
        <v>51523154</v>
      </c>
      <c r="K216" s="7" t="s">
        <v>1276</v>
      </c>
      <c r="L216" s="27" t="s">
        <v>1284</v>
      </c>
      <c r="M216" s="9">
        <v>139900</v>
      </c>
      <c r="N216" s="18">
        <f t="shared" si="27"/>
        <v>0.7</v>
      </c>
      <c r="O216" s="32">
        <f t="shared" si="28"/>
        <v>41970</v>
      </c>
      <c r="P216" s="18" t="s">
        <v>19</v>
      </c>
    </row>
    <row r="217" spans="1:16" x14ac:dyDescent="0.25">
      <c r="A217" s="25" t="str">
        <f t="shared" si="25"/>
        <v>2025 JAN-JUN D70</v>
      </c>
      <c r="B217" s="8">
        <f t="shared" si="26"/>
        <v>46104</v>
      </c>
      <c r="C217" s="8">
        <f t="shared" si="29"/>
        <v>46113</v>
      </c>
      <c r="D217" s="7">
        <v>3272</v>
      </c>
      <c r="E217" s="7">
        <v>336</v>
      </c>
      <c r="F217" s="7">
        <v>4</v>
      </c>
      <c r="G217" s="7">
        <v>1</v>
      </c>
      <c r="H217" s="7">
        <v>81588</v>
      </c>
      <c r="I217" s="7" t="s">
        <v>16</v>
      </c>
      <c r="J217" s="7">
        <v>51523163</v>
      </c>
      <c r="K217" s="7" t="s">
        <v>1285</v>
      </c>
      <c r="L217" s="27" t="s">
        <v>1286</v>
      </c>
      <c r="M217" s="9">
        <v>139900</v>
      </c>
      <c r="N217" s="18">
        <f t="shared" si="27"/>
        <v>0.7</v>
      </c>
      <c r="O217" s="32">
        <f t="shared" si="28"/>
        <v>41970</v>
      </c>
      <c r="P217" s="18" t="s">
        <v>19</v>
      </c>
    </row>
    <row r="218" spans="1:16" x14ac:dyDescent="0.25">
      <c r="A218" s="25" t="str">
        <f t="shared" si="25"/>
        <v>2025 JAN-JUN D70</v>
      </c>
      <c r="B218" s="8">
        <f t="shared" si="26"/>
        <v>46104</v>
      </c>
      <c r="C218" s="8">
        <f t="shared" si="29"/>
        <v>46113</v>
      </c>
      <c r="D218" s="7">
        <v>3272</v>
      </c>
      <c r="E218" s="7">
        <v>336</v>
      </c>
      <c r="F218" s="7">
        <v>4</v>
      </c>
      <c r="G218" s="7">
        <v>1</v>
      </c>
      <c r="H218" s="7">
        <v>81588</v>
      </c>
      <c r="I218" s="7" t="s">
        <v>16</v>
      </c>
      <c r="J218" s="7">
        <v>51523172</v>
      </c>
      <c r="K218" s="7" t="s">
        <v>1285</v>
      </c>
      <c r="L218" s="27" t="s">
        <v>1287</v>
      </c>
      <c r="M218" s="9">
        <v>139900</v>
      </c>
      <c r="N218" s="18">
        <f t="shared" si="27"/>
        <v>0.7</v>
      </c>
      <c r="O218" s="32">
        <f t="shared" si="28"/>
        <v>41970</v>
      </c>
      <c r="P218" s="18" t="s">
        <v>19</v>
      </c>
    </row>
    <row r="219" spans="1:16" x14ac:dyDescent="0.25">
      <c r="A219" s="25" t="str">
        <f t="shared" si="25"/>
        <v>2025 JAN-JUN D70</v>
      </c>
      <c r="B219" s="8">
        <f t="shared" si="26"/>
        <v>46104</v>
      </c>
      <c r="C219" s="8">
        <f t="shared" si="29"/>
        <v>46113</v>
      </c>
      <c r="D219" s="7">
        <v>3272</v>
      </c>
      <c r="E219" s="7">
        <v>336</v>
      </c>
      <c r="F219" s="7">
        <v>4</v>
      </c>
      <c r="G219" s="7">
        <v>1</v>
      </c>
      <c r="H219" s="7">
        <v>81588</v>
      </c>
      <c r="I219" s="7" t="s">
        <v>16</v>
      </c>
      <c r="J219" s="7">
        <v>51523181</v>
      </c>
      <c r="K219" s="7" t="s">
        <v>1285</v>
      </c>
      <c r="L219" s="27" t="s">
        <v>1288</v>
      </c>
      <c r="M219" s="9">
        <v>139900</v>
      </c>
      <c r="N219" s="18">
        <f t="shared" si="27"/>
        <v>0.7</v>
      </c>
      <c r="O219" s="32">
        <f t="shared" si="28"/>
        <v>41970</v>
      </c>
      <c r="P219" s="18" t="s">
        <v>19</v>
      </c>
    </row>
    <row r="220" spans="1:16" x14ac:dyDescent="0.25">
      <c r="A220" s="25" t="str">
        <f t="shared" si="25"/>
        <v>2025 JAN-JUN D70</v>
      </c>
      <c r="B220" s="8">
        <f t="shared" si="26"/>
        <v>46104</v>
      </c>
      <c r="C220" s="8">
        <f t="shared" si="29"/>
        <v>46113</v>
      </c>
      <c r="D220" s="7">
        <v>3272</v>
      </c>
      <c r="E220" s="7">
        <v>336</v>
      </c>
      <c r="F220" s="7">
        <v>4</v>
      </c>
      <c r="G220" s="7">
        <v>1</v>
      </c>
      <c r="H220" s="7">
        <v>81588</v>
      </c>
      <c r="I220" s="7" t="s">
        <v>16</v>
      </c>
      <c r="J220" s="7">
        <v>51523190</v>
      </c>
      <c r="K220" s="7" t="s">
        <v>1285</v>
      </c>
      <c r="L220" s="27" t="s">
        <v>1289</v>
      </c>
      <c r="M220" s="9">
        <v>139900</v>
      </c>
      <c r="N220" s="18">
        <f t="shared" si="27"/>
        <v>0.7</v>
      </c>
      <c r="O220" s="32">
        <f t="shared" si="28"/>
        <v>41970</v>
      </c>
      <c r="P220" s="18" t="s">
        <v>19</v>
      </c>
    </row>
    <row r="221" spans="1:16" x14ac:dyDescent="0.25">
      <c r="A221" s="25" t="str">
        <f t="shared" si="25"/>
        <v>2025 JAN-JUN D70</v>
      </c>
      <c r="B221" s="8">
        <f t="shared" si="26"/>
        <v>46104</v>
      </c>
      <c r="C221" s="8">
        <f t="shared" si="29"/>
        <v>46113</v>
      </c>
      <c r="D221" s="7">
        <v>3272</v>
      </c>
      <c r="E221" s="7">
        <v>336</v>
      </c>
      <c r="F221" s="7">
        <v>4</v>
      </c>
      <c r="G221" s="7">
        <v>1</v>
      </c>
      <c r="H221" s="7">
        <v>81588</v>
      </c>
      <c r="I221" s="7" t="s">
        <v>16</v>
      </c>
      <c r="J221" s="7">
        <v>51523207</v>
      </c>
      <c r="K221" s="7" t="s">
        <v>1285</v>
      </c>
      <c r="L221" s="27" t="s">
        <v>1290</v>
      </c>
      <c r="M221" s="9">
        <v>139900</v>
      </c>
      <c r="N221" s="18">
        <f t="shared" si="27"/>
        <v>0.7</v>
      </c>
      <c r="O221" s="32">
        <f t="shared" si="28"/>
        <v>41970</v>
      </c>
      <c r="P221" s="18" t="s">
        <v>19</v>
      </c>
    </row>
    <row r="222" spans="1:16" x14ac:dyDescent="0.25">
      <c r="A222" s="25" t="str">
        <f t="shared" si="25"/>
        <v>2025 JAN-JUN D70</v>
      </c>
      <c r="B222" s="8">
        <f t="shared" si="26"/>
        <v>46104</v>
      </c>
      <c r="C222" s="8">
        <f t="shared" si="29"/>
        <v>46113</v>
      </c>
      <c r="D222" s="7">
        <v>3272</v>
      </c>
      <c r="E222" s="7">
        <v>336</v>
      </c>
      <c r="F222" s="7">
        <v>4</v>
      </c>
      <c r="G222" s="7">
        <v>1</v>
      </c>
      <c r="H222" s="7">
        <v>81588</v>
      </c>
      <c r="I222" s="7" t="s">
        <v>16</v>
      </c>
      <c r="J222" s="7">
        <v>51523216</v>
      </c>
      <c r="K222" s="7" t="s">
        <v>1285</v>
      </c>
      <c r="L222" s="27" t="s">
        <v>1291</v>
      </c>
      <c r="M222" s="9">
        <v>139900</v>
      </c>
      <c r="N222" s="18">
        <f t="shared" si="27"/>
        <v>0.7</v>
      </c>
      <c r="O222" s="32">
        <f t="shared" si="28"/>
        <v>41970</v>
      </c>
      <c r="P222" s="18" t="s">
        <v>19</v>
      </c>
    </row>
    <row r="223" spans="1:16" x14ac:dyDescent="0.25">
      <c r="A223" s="25" t="str">
        <f t="shared" si="25"/>
        <v>2025 JAN-JUN D70</v>
      </c>
      <c r="B223" s="8">
        <f t="shared" si="26"/>
        <v>46104</v>
      </c>
      <c r="C223" s="8">
        <f t="shared" si="29"/>
        <v>46113</v>
      </c>
      <c r="D223" s="7">
        <v>3272</v>
      </c>
      <c r="E223" s="7">
        <v>336</v>
      </c>
      <c r="F223" s="7">
        <v>4</v>
      </c>
      <c r="G223" s="7">
        <v>1</v>
      </c>
      <c r="H223" s="7">
        <v>81588</v>
      </c>
      <c r="I223" s="7" t="s">
        <v>16</v>
      </c>
      <c r="J223" s="7">
        <v>51523225</v>
      </c>
      <c r="K223" s="7" t="s">
        <v>1285</v>
      </c>
      <c r="L223" s="27" t="s">
        <v>1292</v>
      </c>
      <c r="M223" s="9">
        <v>149900</v>
      </c>
      <c r="N223" s="18">
        <f t="shared" si="27"/>
        <v>0.7</v>
      </c>
      <c r="O223" s="32">
        <f t="shared" si="28"/>
        <v>44970</v>
      </c>
      <c r="P223" s="18" t="s">
        <v>19</v>
      </c>
    </row>
    <row r="224" spans="1:16" x14ac:dyDescent="0.25">
      <c r="A224" s="25" t="str">
        <f t="shared" si="25"/>
        <v>2025 JAN-JUN D70</v>
      </c>
      <c r="B224" s="8">
        <f t="shared" si="26"/>
        <v>46104</v>
      </c>
      <c r="C224" s="8">
        <f t="shared" si="29"/>
        <v>46113</v>
      </c>
      <c r="D224" s="7">
        <v>3272</v>
      </c>
      <c r="E224" s="7">
        <v>336</v>
      </c>
      <c r="F224" s="7">
        <v>4</v>
      </c>
      <c r="G224" s="7">
        <v>1</v>
      </c>
      <c r="H224" s="7">
        <v>81588</v>
      </c>
      <c r="I224" s="7" t="s">
        <v>16</v>
      </c>
      <c r="J224" s="7">
        <v>51523234</v>
      </c>
      <c r="K224" s="7" t="s">
        <v>1285</v>
      </c>
      <c r="L224" s="27" t="s">
        <v>1293</v>
      </c>
      <c r="M224" s="9">
        <v>149900</v>
      </c>
      <c r="N224" s="18">
        <f t="shared" si="27"/>
        <v>0.7</v>
      </c>
      <c r="O224" s="32">
        <f t="shared" si="28"/>
        <v>44970</v>
      </c>
      <c r="P224" s="18" t="s">
        <v>19</v>
      </c>
    </row>
    <row r="225" spans="1:16" x14ac:dyDescent="0.25">
      <c r="A225" s="25" t="str">
        <f t="shared" si="25"/>
        <v>2025 JAN-JUN D70</v>
      </c>
      <c r="B225" s="8">
        <f t="shared" si="26"/>
        <v>46104</v>
      </c>
      <c r="C225" s="8">
        <f t="shared" si="29"/>
        <v>46113</v>
      </c>
      <c r="D225" s="7">
        <v>3272</v>
      </c>
      <c r="E225" s="7">
        <v>336</v>
      </c>
      <c r="F225" s="7">
        <v>4</v>
      </c>
      <c r="G225" s="7">
        <v>3</v>
      </c>
      <c r="H225" s="7">
        <v>81588</v>
      </c>
      <c r="I225" s="7" t="s">
        <v>16</v>
      </c>
      <c r="J225" s="7">
        <v>51523323</v>
      </c>
      <c r="K225" s="7" t="s">
        <v>1294</v>
      </c>
      <c r="L225" s="27" t="s">
        <v>1295</v>
      </c>
      <c r="M225" s="9">
        <v>149900</v>
      </c>
      <c r="N225" s="18">
        <f t="shared" si="27"/>
        <v>0.7</v>
      </c>
      <c r="O225" s="32">
        <f t="shared" si="28"/>
        <v>44970</v>
      </c>
      <c r="P225" s="18" t="s">
        <v>19</v>
      </c>
    </row>
    <row r="226" spans="1:16" x14ac:dyDescent="0.25">
      <c r="A226" s="25" t="str">
        <f t="shared" si="25"/>
        <v>2025 JAN-JUN D70</v>
      </c>
      <c r="B226" s="8">
        <f t="shared" si="26"/>
        <v>46104</v>
      </c>
      <c r="C226" s="8">
        <f t="shared" si="29"/>
        <v>46113</v>
      </c>
      <c r="D226" s="7">
        <v>3272</v>
      </c>
      <c r="E226" s="7">
        <v>336</v>
      </c>
      <c r="F226" s="7">
        <v>4</v>
      </c>
      <c r="G226" s="7">
        <v>3</v>
      </c>
      <c r="H226" s="7">
        <v>81588</v>
      </c>
      <c r="I226" s="7" t="s">
        <v>16</v>
      </c>
      <c r="J226" s="7">
        <v>51523332</v>
      </c>
      <c r="K226" s="7" t="s">
        <v>1294</v>
      </c>
      <c r="L226" s="27" t="s">
        <v>1296</v>
      </c>
      <c r="M226" s="9">
        <v>149900</v>
      </c>
      <c r="N226" s="18">
        <f t="shared" si="27"/>
        <v>0.7</v>
      </c>
      <c r="O226" s="32">
        <f t="shared" si="28"/>
        <v>44970</v>
      </c>
      <c r="P226" s="18" t="s">
        <v>19</v>
      </c>
    </row>
    <row r="227" spans="1:16" x14ac:dyDescent="0.25">
      <c r="A227" s="25" t="str">
        <f t="shared" si="25"/>
        <v>2025 JAN-JUN D70</v>
      </c>
      <c r="B227" s="8">
        <f t="shared" si="26"/>
        <v>46104</v>
      </c>
      <c r="C227" s="8">
        <f t="shared" ref="C227:F242" si="30">C226</f>
        <v>46113</v>
      </c>
      <c r="D227" s="19">
        <f t="shared" si="30"/>
        <v>3272</v>
      </c>
      <c r="E227" s="19">
        <f t="shared" si="30"/>
        <v>336</v>
      </c>
      <c r="F227" s="19">
        <f t="shared" si="30"/>
        <v>4</v>
      </c>
      <c r="G227" s="7">
        <v>3</v>
      </c>
      <c r="H227" s="7">
        <v>81588</v>
      </c>
      <c r="I227" s="7" t="s">
        <v>16</v>
      </c>
      <c r="J227" s="7">
        <v>51523341</v>
      </c>
      <c r="K227" s="7" t="s">
        <v>1294</v>
      </c>
      <c r="L227" s="27" t="s">
        <v>1297</v>
      </c>
      <c r="M227" s="9">
        <v>149900</v>
      </c>
      <c r="N227" s="18">
        <f t="shared" si="27"/>
        <v>0.7</v>
      </c>
      <c r="O227" s="32">
        <f t="shared" si="28"/>
        <v>44970</v>
      </c>
      <c r="P227" s="18" t="s">
        <v>19</v>
      </c>
    </row>
    <row r="228" spans="1:16" x14ac:dyDescent="0.25">
      <c r="A228" s="25" t="str">
        <f t="shared" si="25"/>
        <v>2025 JAN-JUN D70</v>
      </c>
      <c r="B228" s="8">
        <f t="shared" si="26"/>
        <v>46104</v>
      </c>
      <c r="C228" s="8">
        <f t="shared" si="30"/>
        <v>46113</v>
      </c>
      <c r="D228" s="19">
        <f t="shared" si="30"/>
        <v>3272</v>
      </c>
      <c r="E228" s="19">
        <f t="shared" si="30"/>
        <v>336</v>
      </c>
      <c r="F228" s="19">
        <f t="shared" si="30"/>
        <v>4</v>
      </c>
      <c r="G228" s="7">
        <v>3</v>
      </c>
      <c r="H228" s="7">
        <v>81588</v>
      </c>
      <c r="I228" s="7" t="s">
        <v>16</v>
      </c>
      <c r="J228" s="7">
        <v>51523350</v>
      </c>
      <c r="K228" s="7" t="s">
        <v>1294</v>
      </c>
      <c r="L228" s="27" t="s">
        <v>1298</v>
      </c>
      <c r="M228" s="9">
        <v>139900</v>
      </c>
      <c r="N228" s="18">
        <f t="shared" si="27"/>
        <v>0.7</v>
      </c>
      <c r="O228" s="32">
        <f t="shared" si="28"/>
        <v>41970</v>
      </c>
      <c r="P228" s="18" t="s">
        <v>19</v>
      </c>
    </row>
    <row r="229" spans="1:16" x14ac:dyDescent="0.25">
      <c r="A229" s="25" t="str">
        <f t="shared" si="25"/>
        <v>2025 JAN-JUN D70</v>
      </c>
      <c r="B229" s="8">
        <f t="shared" si="26"/>
        <v>46104</v>
      </c>
      <c r="C229" s="8">
        <f t="shared" si="30"/>
        <v>46113</v>
      </c>
      <c r="D229" s="19">
        <f t="shared" si="30"/>
        <v>3272</v>
      </c>
      <c r="E229" s="19">
        <f t="shared" si="30"/>
        <v>336</v>
      </c>
      <c r="F229" s="19">
        <f t="shared" si="30"/>
        <v>4</v>
      </c>
      <c r="G229" s="7">
        <v>3</v>
      </c>
      <c r="H229" s="7">
        <v>81588</v>
      </c>
      <c r="I229" s="7" t="s">
        <v>16</v>
      </c>
      <c r="J229" s="7">
        <v>51523369</v>
      </c>
      <c r="K229" s="7" t="s">
        <v>1294</v>
      </c>
      <c r="L229" s="27" t="s">
        <v>1299</v>
      </c>
      <c r="M229" s="9">
        <v>139900</v>
      </c>
      <c r="N229" s="18">
        <f t="shared" si="27"/>
        <v>0.7</v>
      </c>
      <c r="O229" s="32">
        <f t="shared" si="28"/>
        <v>41970</v>
      </c>
      <c r="P229" s="18" t="s">
        <v>19</v>
      </c>
    </row>
    <row r="230" spans="1:16" x14ac:dyDescent="0.25">
      <c r="A230" s="25" t="str">
        <f t="shared" si="25"/>
        <v>2025 JAN-JUN D70</v>
      </c>
      <c r="B230" s="8">
        <f t="shared" si="26"/>
        <v>46104</v>
      </c>
      <c r="C230" s="8">
        <f t="shared" si="30"/>
        <v>46113</v>
      </c>
      <c r="D230" s="19">
        <f t="shared" si="30"/>
        <v>3272</v>
      </c>
      <c r="E230" s="19">
        <f t="shared" si="30"/>
        <v>336</v>
      </c>
      <c r="F230" s="19">
        <f t="shared" si="30"/>
        <v>4</v>
      </c>
      <c r="G230" s="7">
        <v>3</v>
      </c>
      <c r="H230" s="7">
        <v>81588</v>
      </c>
      <c r="I230" s="7" t="s">
        <v>16</v>
      </c>
      <c r="J230" s="7">
        <v>51523378</v>
      </c>
      <c r="K230" s="7" t="s">
        <v>1294</v>
      </c>
      <c r="L230" s="27" t="s">
        <v>1300</v>
      </c>
      <c r="M230" s="9">
        <v>139900</v>
      </c>
      <c r="N230" s="18">
        <f t="shared" si="27"/>
        <v>0.7</v>
      </c>
      <c r="O230" s="32">
        <f t="shared" si="28"/>
        <v>41970</v>
      </c>
      <c r="P230" s="18" t="s">
        <v>19</v>
      </c>
    </row>
    <row r="231" spans="1:16" x14ac:dyDescent="0.25">
      <c r="A231" s="25" t="str">
        <f t="shared" si="25"/>
        <v>2025 JAN-JUN D70</v>
      </c>
      <c r="B231" s="8">
        <f t="shared" si="26"/>
        <v>46104</v>
      </c>
      <c r="C231" s="8">
        <f t="shared" si="30"/>
        <v>46113</v>
      </c>
      <c r="D231" s="19">
        <f t="shared" si="30"/>
        <v>3272</v>
      </c>
      <c r="E231" s="19">
        <f t="shared" si="30"/>
        <v>336</v>
      </c>
      <c r="F231" s="19">
        <f t="shared" si="30"/>
        <v>4</v>
      </c>
      <c r="G231" s="7">
        <v>4</v>
      </c>
      <c r="H231" s="7">
        <v>81588</v>
      </c>
      <c r="I231" s="7" t="s">
        <v>16</v>
      </c>
      <c r="J231" s="7">
        <v>51523547</v>
      </c>
      <c r="K231" s="7" t="s">
        <v>1301</v>
      </c>
      <c r="L231" s="27" t="s">
        <v>1302</v>
      </c>
      <c r="M231" s="9">
        <v>139900</v>
      </c>
      <c r="N231" s="18">
        <f t="shared" si="27"/>
        <v>0.7</v>
      </c>
      <c r="O231" s="32">
        <f t="shared" si="28"/>
        <v>41970</v>
      </c>
      <c r="P231" s="18" t="s">
        <v>19</v>
      </c>
    </row>
    <row r="232" spans="1:16" x14ac:dyDescent="0.25">
      <c r="A232" s="25" t="str">
        <f t="shared" si="25"/>
        <v>2025 JAN-JUN D70</v>
      </c>
      <c r="B232" s="8">
        <f t="shared" si="26"/>
        <v>46104</v>
      </c>
      <c r="C232" s="8">
        <f t="shared" si="30"/>
        <v>46113</v>
      </c>
      <c r="D232" s="19">
        <f t="shared" si="30"/>
        <v>3272</v>
      </c>
      <c r="E232" s="19">
        <f t="shared" si="30"/>
        <v>336</v>
      </c>
      <c r="F232" s="19">
        <f t="shared" si="30"/>
        <v>4</v>
      </c>
      <c r="G232" s="7">
        <v>4</v>
      </c>
      <c r="H232" s="7">
        <v>81588</v>
      </c>
      <c r="I232" s="7" t="s">
        <v>16</v>
      </c>
      <c r="J232" s="7">
        <v>51523556</v>
      </c>
      <c r="K232" s="7" t="s">
        <v>1301</v>
      </c>
      <c r="L232" s="27" t="s">
        <v>1303</v>
      </c>
      <c r="M232" s="9">
        <v>139900</v>
      </c>
      <c r="N232" s="18">
        <f t="shared" si="27"/>
        <v>0.7</v>
      </c>
      <c r="O232" s="32">
        <f t="shared" si="28"/>
        <v>41970</v>
      </c>
      <c r="P232" s="18" t="s">
        <v>19</v>
      </c>
    </row>
    <row r="233" spans="1:16" x14ac:dyDescent="0.25">
      <c r="A233" s="25" t="str">
        <f t="shared" si="25"/>
        <v>2025 JAN-JUN D70</v>
      </c>
      <c r="B233" s="8">
        <f t="shared" si="26"/>
        <v>46104</v>
      </c>
      <c r="C233" s="8">
        <f t="shared" si="30"/>
        <v>46113</v>
      </c>
      <c r="D233" s="19">
        <f t="shared" si="30"/>
        <v>3272</v>
      </c>
      <c r="E233" s="19">
        <f t="shared" si="30"/>
        <v>336</v>
      </c>
      <c r="F233" s="19">
        <f t="shared" si="30"/>
        <v>4</v>
      </c>
      <c r="G233" s="7">
        <v>4</v>
      </c>
      <c r="H233" s="7">
        <v>81588</v>
      </c>
      <c r="I233" s="7" t="s">
        <v>16</v>
      </c>
      <c r="J233" s="7">
        <v>51523565</v>
      </c>
      <c r="K233" s="7" t="s">
        <v>1301</v>
      </c>
      <c r="L233" s="27" t="s">
        <v>1304</v>
      </c>
      <c r="M233" s="9">
        <v>139900</v>
      </c>
      <c r="N233" s="18">
        <f t="shared" si="27"/>
        <v>0.7</v>
      </c>
      <c r="O233" s="32">
        <f t="shared" si="28"/>
        <v>41970</v>
      </c>
      <c r="P233" s="18" t="s">
        <v>19</v>
      </c>
    </row>
    <row r="234" spans="1:16" x14ac:dyDescent="0.25">
      <c r="A234" s="25" t="str">
        <f t="shared" si="25"/>
        <v>2025 JAN-JUN D70</v>
      </c>
      <c r="B234" s="8">
        <f t="shared" si="26"/>
        <v>46104</v>
      </c>
      <c r="C234" s="8">
        <f t="shared" si="30"/>
        <v>46113</v>
      </c>
      <c r="D234" s="19">
        <f t="shared" si="30"/>
        <v>3272</v>
      </c>
      <c r="E234" s="19">
        <f t="shared" si="30"/>
        <v>336</v>
      </c>
      <c r="F234" s="19">
        <f t="shared" si="30"/>
        <v>4</v>
      </c>
      <c r="G234" s="7">
        <v>4</v>
      </c>
      <c r="H234" s="7">
        <v>81588</v>
      </c>
      <c r="I234" s="7" t="s">
        <v>16</v>
      </c>
      <c r="J234" s="7">
        <v>51523574</v>
      </c>
      <c r="K234" s="7" t="s">
        <v>1301</v>
      </c>
      <c r="L234" s="27" t="s">
        <v>1305</v>
      </c>
      <c r="M234" s="9">
        <v>139900</v>
      </c>
      <c r="N234" s="18">
        <f t="shared" si="27"/>
        <v>0.7</v>
      </c>
      <c r="O234" s="32">
        <f t="shared" si="28"/>
        <v>41970</v>
      </c>
      <c r="P234" s="18" t="s">
        <v>19</v>
      </c>
    </row>
    <row r="235" spans="1:16" x14ac:dyDescent="0.25">
      <c r="A235" s="25" t="str">
        <f t="shared" si="25"/>
        <v>2025 JAN-JUN D70</v>
      </c>
      <c r="B235" s="8">
        <f t="shared" si="26"/>
        <v>46104</v>
      </c>
      <c r="C235" s="8">
        <f t="shared" si="30"/>
        <v>46113</v>
      </c>
      <c r="D235" s="19">
        <f t="shared" si="30"/>
        <v>3272</v>
      </c>
      <c r="E235" s="19">
        <f t="shared" si="30"/>
        <v>336</v>
      </c>
      <c r="F235" s="19">
        <f t="shared" si="30"/>
        <v>4</v>
      </c>
      <c r="G235" s="7">
        <v>4</v>
      </c>
      <c r="H235" s="7">
        <v>81588</v>
      </c>
      <c r="I235" s="7" t="s">
        <v>16</v>
      </c>
      <c r="J235" s="7">
        <v>51523583</v>
      </c>
      <c r="K235" s="7" t="s">
        <v>1301</v>
      </c>
      <c r="L235" s="27" t="s">
        <v>1306</v>
      </c>
      <c r="M235" s="9">
        <v>139900</v>
      </c>
      <c r="N235" s="18">
        <f t="shared" si="27"/>
        <v>0.7</v>
      </c>
      <c r="O235" s="32">
        <f t="shared" si="28"/>
        <v>41970</v>
      </c>
      <c r="P235" s="18" t="s">
        <v>19</v>
      </c>
    </row>
    <row r="236" spans="1:16" x14ac:dyDescent="0.25">
      <c r="A236" s="25" t="str">
        <f t="shared" si="25"/>
        <v>2025 JAN-JUN D70</v>
      </c>
      <c r="B236" s="8">
        <f t="shared" si="26"/>
        <v>46104</v>
      </c>
      <c r="C236" s="8">
        <f t="shared" si="30"/>
        <v>46113</v>
      </c>
      <c r="D236" s="19">
        <f t="shared" si="30"/>
        <v>3272</v>
      </c>
      <c r="E236" s="19">
        <f t="shared" si="30"/>
        <v>336</v>
      </c>
      <c r="F236" s="19">
        <f t="shared" si="30"/>
        <v>4</v>
      </c>
      <c r="G236" s="7">
        <v>4</v>
      </c>
      <c r="H236" s="7">
        <v>81588</v>
      </c>
      <c r="I236" s="7" t="s">
        <v>16</v>
      </c>
      <c r="J236" s="7">
        <v>51523592</v>
      </c>
      <c r="K236" s="7" t="s">
        <v>1301</v>
      </c>
      <c r="L236" s="27" t="s">
        <v>1307</v>
      </c>
      <c r="M236" s="9">
        <v>139900</v>
      </c>
      <c r="N236" s="18">
        <f t="shared" si="27"/>
        <v>0.7</v>
      </c>
      <c r="O236" s="32">
        <f t="shared" si="28"/>
        <v>41970</v>
      </c>
      <c r="P236" s="18" t="s">
        <v>19</v>
      </c>
    </row>
    <row r="237" spans="1:16" x14ac:dyDescent="0.25">
      <c r="A237" s="25" t="str">
        <f t="shared" si="25"/>
        <v>2025 JAN-JUN D70</v>
      </c>
      <c r="B237" s="8">
        <f t="shared" si="26"/>
        <v>46104</v>
      </c>
      <c r="C237" s="8">
        <f t="shared" si="30"/>
        <v>46113</v>
      </c>
      <c r="D237" s="19">
        <f t="shared" si="30"/>
        <v>3272</v>
      </c>
      <c r="E237" s="19">
        <f t="shared" si="30"/>
        <v>336</v>
      </c>
      <c r="F237" s="19">
        <f t="shared" si="30"/>
        <v>4</v>
      </c>
      <c r="G237" s="7">
        <v>4</v>
      </c>
      <c r="H237" s="7">
        <v>81588</v>
      </c>
      <c r="I237" s="7" t="s">
        <v>16</v>
      </c>
      <c r="J237" s="7">
        <v>51523609</v>
      </c>
      <c r="K237" s="7" t="s">
        <v>1301</v>
      </c>
      <c r="L237" s="27" t="s">
        <v>1308</v>
      </c>
      <c r="M237" s="9">
        <v>139900</v>
      </c>
      <c r="N237" s="18">
        <f t="shared" si="27"/>
        <v>0.7</v>
      </c>
      <c r="O237" s="32">
        <f t="shared" si="28"/>
        <v>41970</v>
      </c>
      <c r="P237" s="18" t="s">
        <v>19</v>
      </c>
    </row>
    <row r="238" spans="1:16" x14ac:dyDescent="0.25">
      <c r="A238" s="25" t="str">
        <f t="shared" si="25"/>
        <v>2025 JAN-JUN D70</v>
      </c>
      <c r="B238" s="8">
        <f t="shared" si="26"/>
        <v>46104</v>
      </c>
      <c r="C238" s="8">
        <f t="shared" si="30"/>
        <v>46113</v>
      </c>
      <c r="D238" s="19">
        <f t="shared" si="30"/>
        <v>3272</v>
      </c>
      <c r="E238" s="19">
        <f t="shared" si="30"/>
        <v>336</v>
      </c>
      <c r="F238" s="19">
        <f t="shared" si="30"/>
        <v>4</v>
      </c>
      <c r="G238" s="7">
        <v>4</v>
      </c>
      <c r="H238" s="7">
        <v>81588</v>
      </c>
      <c r="I238" s="7" t="s">
        <v>16</v>
      </c>
      <c r="J238" s="7">
        <v>51523618</v>
      </c>
      <c r="K238" s="7" t="s">
        <v>1301</v>
      </c>
      <c r="L238" s="27" t="s">
        <v>1309</v>
      </c>
      <c r="M238" s="9">
        <v>139900</v>
      </c>
      <c r="N238" s="18">
        <f t="shared" si="27"/>
        <v>0.7</v>
      </c>
      <c r="O238" s="32">
        <f t="shared" si="28"/>
        <v>41970</v>
      </c>
      <c r="P238" s="18" t="s">
        <v>19</v>
      </c>
    </row>
    <row r="239" spans="1:16" x14ac:dyDescent="0.25">
      <c r="A239" s="25" t="str">
        <f t="shared" si="25"/>
        <v>2025 JAN-JUN D70</v>
      </c>
      <c r="B239" s="8">
        <f t="shared" si="26"/>
        <v>46104</v>
      </c>
      <c r="C239" s="8">
        <f t="shared" si="30"/>
        <v>46113</v>
      </c>
      <c r="D239" s="19">
        <f t="shared" si="30"/>
        <v>3272</v>
      </c>
      <c r="E239" s="19">
        <f t="shared" si="30"/>
        <v>336</v>
      </c>
      <c r="F239" s="19">
        <f t="shared" si="30"/>
        <v>4</v>
      </c>
      <c r="G239" s="7">
        <v>4</v>
      </c>
      <c r="H239" s="7">
        <v>81588</v>
      </c>
      <c r="I239" s="7" t="s">
        <v>16</v>
      </c>
      <c r="J239" s="7">
        <v>51523627</v>
      </c>
      <c r="K239" s="7" t="s">
        <v>1310</v>
      </c>
      <c r="L239" s="27" t="s">
        <v>1311</v>
      </c>
      <c r="M239" s="9">
        <v>139900</v>
      </c>
      <c r="N239" s="18">
        <f t="shared" si="27"/>
        <v>0.7</v>
      </c>
      <c r="O239" s="32">
        <f t="shared" si="28"/>
        <v>41970</v>
      </c>
      <c r="P239" s="18" t="s">
        <v>19</v>
      </c>
    </row>
    <row r="240" spans="1:16" x14ac:dyDescent="0.25">
      <c r="A240" s="25" t="str">
        <f t="shared" si="25"/>
        <v>2025 JAN-JUN D70</v>
      </c>
      <c r="B240" s="8">
        <f t="shared" si="26"/>
        <v>46104</v>
      </c>
      <c r="C240" s="8">
        <f t="shared" si="30"/>
        <v>46113</v>
      </c>
      <c r="D240" s="19">
        <f t="shared" si="30"/>
        <v>3272</v>
      </c>
      <c r="E240" s="19">
        <f t="shared" si="30"/>
        <v>336</v>
      </c>
      <c r="F240" s="19">
        <f t="shared" si="30"/>
        <v>4</v>
      </c>
      <c r="G240" s="7">
        <v>4</v>
      </c>
      <c r="H240" s="7">
        <v>81588</v>
      </c>
      <c r="I240" s="7" t="s">
        <v>16</v>
      </c>
      <c r="J240" s="7">
        <v>51523636</v>
      </c>
      <c r="K240" s="7" t="s">
        <v>1310</v>
      </c>
      <c r="L240" s="27" t="s">
        <v>1312</v>
      </c>
      <c r="M240" s="9">
        <v>139900</v>
      </c>
      <c r="N240" s="18">
        <f t="shared" si="27"/>
        <v>0.7</v>
      </c>
      <c r="O240" s="32">
        <f t="shared" si="28"/>
        <v>41970</v>
      </c>
      <c r="P240" s="18" t="s">
        <v>19</v>
      </c>
    </row>
    <row r="241" spans="1:16" x14ac:dyDescent="0.25">
      <c r="A241" s="25" t="str">
        <f t="shared" si="25"/>
        <v>2025 JAN-JUN D70</v>
      </c>
      <c r="B241" s="8">
        <f t="shared" si="26"/>
        <v>46104</v>
      </c>
      <c r="C241" s="8">
        <f t="shared" si="30"/>
        <v>46113</v>
      </c>
      <c r="D241" s="19">
        <f t="shared" si="30"/>
        <v>3272</v>
      </c>
      <c r="E241" s="19">
        <f t="shared" si="30"/>
        <v>336</v>
      </c>
      <c r="F241" s="19">
        <f t="shared" si="30"/>
        <v>4</v>
      </c>
      <c r="G241" s="7">
        <v>4</v>
      </c>
      <c r="H241" s="7">
        <v>81588</v>
      </c>
      <c r="I241" s="7" t="s">
        <v>16</v>
      </c>
      <c r="J241" s="7">
        <v>51523645</v>
      </c>
      <c r="K241" s="7" t="s">
        <v>1310</v>
      </c>
      <c r="L241" s="27" t="s">
        <v>1313</v>
      </c>
      <c r="M241" s="9">
        <v>139900</v>
      </c>
      <c r="N241" s="18">
        <f t="shared" si="27"/>
        <v>0.7</v>
      </c>
      <c r="O241" s="32">
        <f t="shared" si="28"/>
        <v>41970</v>
      </c>
      <c r="P241" s="18" t="s">
        <v>19</v>
      </c>
    </row>
    <row r="242" spans="1:16" x14ac:dyDescent="0.25">
      <c r="A242" s="25" t="str">
        <f t="shared" si="25"/>
        <v>2025 JAN-JUN D70</v>
      </c>
      <c r="B242" s="8">
        <f t="shared" si="26"/>
        <v>46104</v>
      </c>
      <c r="C242" s="8">
        <f t="shared" si="30"/>
        <v>46113</v>
      </c>
      <c r="D242" s="19">
        <f t="shared" si="30"/>
        <v>3272</v>
      </c>
      <c r="E242" s="19">
        <f t="shared" si="30"/>
        <v>336</v>
      </c>
      <c r="F242" s="19">
        <f t="shared" si="30"/>
        <v>4</v>
      </c>
      <c r="G242" s="7">
        <v>4</v>
      </c>
      <c r="H242" s="7">
        <v>81588</v>
      </c>
      <c r="I242" s="7" t="s">
        <v>16</v>
      </c>
      <c r="J242" s="7">
        <v>51523654</v>
      </c>
      <c r="K242" s="7" t="s">
        <v>1310</v>
      </c>
      <c r="L242" s="27" t="s">
        <v>1314</v>
      </c>
      <c r="M242" s="9">
        <v>139900</v>
      </c>
      <c r="N242" s="18">
        <f t="shared" si="27"/>
        <v>0.7</v>
      </c>
      <c r="O242" s="32">
        <f t="shared" si="28"/>
        <v>41970</v>
      </c>
      <c r="P242" s="18" t="s">
        <v>19</v>
      </c>
    </row>
    <row r="243" spans="1:16" x14ac:dyDescent="0.25">
      <c r="A243" s="25" t="str">
        <f t="shared" si="25"/>
        <v>2025 JAN-JUN D70</v>
      </c>
      <c r="B243" s="8">
        <f t="shared" si="26"/>
        <v>46104</v>
      </c>
      <c r="C243" s="8">
        <f t="shared" ref="C243:F258" si="31">C242</f>
        <v>46113</v>
      </c>
      <c r="D243" s="19">
        <f t="shared" si="31"/>
        <v>3272</v>
      </c>
      <c r="E243" s="19">
        <f t="shared" si="31"/>
        <v>336</v>
      </c>
      <c r="F243" s="19">
        <f t="shared" si="31"/>
        <v>4</v>
      </c>
      <c r="G243" s="7">
        <v>4</v>
      </c>
      <c r="H243" s="7">
        <v>81588</v>
      </c>
      <c r="I243" s="7" t="s">
        <v>16</v>
      </c>
      <c r="J243" s="7">
        <v>51523663</v>
      </c>
      <c r="K243" s="7" t="s">
        <v>1310</v>
      </c>
      <c r="L243" s="27" t="s">
        <v>1315</v>
      </c>
      <c r="M243" s="9">
        <v>139900</v>
      </c>
      <c r="N243" s="18">
        <f t="shared" si="27"/>
        <v>0.7</v>
      </c>
      <c r="O243" s="32">
        <f t="shared" si="28"/>
        <v>41970</v>
      </c>
      <c r="P243" s="18" t="s">
        <v>19</v>
      </c>
    </row>
    <row r="244" spans="1:16" x14ac:dyDescent="0.25">
      <c r="A244" s="25" t="str">
        <f t="shared" si="25"/>
        <v>2025 JAN-JUN D70</v>
      </c>
      <c r="B244" s="8">
        <f t="shared" si="26"/>
        <v>46104</v>
      </c>
      <c r="C244" s="8">
        <f t="shared" si="31"/>
        <v>46113</v>
      </c>
      <c r="D244" s="19">
        <f t="shared" si="31"/>
        <v>3272</v>
      </c>
      <c r="E244" s="19">
        <f t="shared" si="31"/>
        <v>336</v>
      </c>
      <c r="F244" s="19">
        <f t="shared" si="31"/>
        <v>4</v>
      </c>
      <c r="G244" s="7">
        <v>4</v>
      </c>
      <c r="H244" s="7">
        <v>81588</v>
      </c>
      <c r="I244" s="7" t="s">
        <v>16</v>
      </c>
      <c r="J244" s="7">
        <v>51523672</v>
      </c>
      <c r="K244" s="7" t="s">
        <v>1310</v>
      </c>
      <c r="L244" s="27" t="s">
        <v>1316</v>
      </c>
      <c r="M244" s="9">
        <v>139900</v>
      </c>
      <c r="N244" s="18">
        <f t="shared" si="27"/>
        <v>0.7</v>
      </c>
      <c r="O244" s="32">
        <f t="shared" si="28"/>
        <v>41970</v>
      </c>
      <c r="P244" s="18" t="s">
        <v>19</v>
      </c>
    </row>
    <row r="245" spans="1:16" x14ac:dyDescent="0.25">
      <c r="A245" s="25" t="str">
        <f t="shared" si="25"/>
        <v>2025 JAN-JUN D70</v>
      </c>
      <c r="B245" s="8">
        <f t="shared" si="26"/>
        <v>46104</v>
      </c>
      <c r="C245" s="8">
        <f t="shared" si="31"/>
        <v>46113</v>
      </c>
      <c r="D245" s="19">
        <f t="shared" si="31"/>
        <v>3272</v>
      </c>
      <c r="E245" s="19">
        <f t="shared" si="31"/>
        <v>336</v>
      </c>
      <c r="F245" s="19">
        <f t="shared" si="31"/>
        <v>4</v>
      </c>
      <c r="G245" s="7">
        <v>4</v>
      </c>
      <c r="H245" s="7">
        <v>81588</v>
      </c>
      <c r="I245" s="7" t="s">
        <v>16</v>
      </c>
      <c r="J245" s="7">
        <v>51523681</v>
      </c>
      <c r="K245" s="7" t="s">
        <v>1310</v>
      </c>
      <c r="L245" s="27" t="s">
        <v>1317</v>
      </c>
      <c r="M245" s="9">
        <v>139900</v>
      </c>
      <c r="N245" s="18">
        <f t="shared" si="27"/>
        <v>0.7</v>
      </c>
      <c r="O245" s="32">
        <f t="shared" si="28"/>
        <v>41970</v>
      </c>
      <c r="P245" s="18" t="s">
        <v>19</v>
      </c>
    </row>
    <row r="246" spans="1:16" x14ac:dyDescent="0.25">
      <c r="A246" s="25" t="str">
        <f t="shared" si="25"/>
        <v>2025 JAN-JUN D70</v>
      </c>
      <c r="B246" s="8">
        <f t="shared" si="26"/>
        <v>46104</v>
      </c>
      <c r="C246" s="8">
        <f t="shared" si="31"/>
        <v>46113</v>
      </c>
      <c r="D246" s="19">
        <f t="shared" si="31"/>
        <v>3272</v>
      </c>
      <c r="E246" s="19">
        <f t="shared" si="31"/>
        <v>336</v>
      </c>
      <c r="F246" s="19">
        <f t="shared" si="31"/>
        <v>4</v>
      </c>
      <c r="G246" s="7">
        <v>4</v>
      </c>
      <c r="H246" s="7">
        <v>81588</v>
      </c>
      <c r="I246" s="7" t="s">
        <v>16</v>
      </c>
      <c r="J246" s="7">
        <v>51523690</v>
      </c>
      <c r="K246" s="7" t="s">
        <v>1310</v>
      </c>
      <c r="L246" s="27" t="s">
        <v>1318</v>
      </c>
      <c r="M246" s="9">
        <v>139900</v>
      </c>
      <c r="N246" s="18">
        <f t="shared" si="27"/>
        <v>0.7</v>
      </c>
      <c r="O246" s="32">
        <f t="shared" si="28"/>
        <v>41970</v>
      </c>
      <c r="P246" s="18" t="s">
        <v>19</v>
      </c>
    </row>
    <row r="247" spans="1:16" x14ac:dyDescent="0.25">
      <c r="A247" s="25" t="str">
        <f t="shared" si="25"/>
        <v>2025 JAN-JUN D70</v>
      </c>
      <c r="B247" s="8">
        <f t="shared" si="26"/>
        <v>46104</v>
      </c>
      <c r="C247" s="8">
        <f t="shared" si="31"/>
        <v>46113</v>
      </c>
      <c r="D247" s="19">
        <f t="shared" si="31"/>
        <v>3272</v>
      </c>
      <c r="E247" s="19">
        <f t="shared" si="31"/>
        <v>336</v>
      </c>
      <c r="F247" s="19">
        <f t="shared" si="31"/>
        <v>4</v>
      </c>
      <c r="G247" s="7">
        <v>1</v>
      </c>
      <c r="H247" s="7">
        <v>81588</v>
      </c>
      <c r="I247" s="7" t="s">
        <v>16</v>
      </c>
      <c r="J247" s="7">
        <v>51523789</v>
      </c>
      <c r="K247" s="7" t="s">
        <v>1319</v>
      </c>
      <c r="L247" s="27" t="s">
        <v>1320</v>
      </c>
      <c r="M247" s="9">
        <v>129900</v>
      </c>
      <c r="N247" s="18">
        <f t="shared" si="27"/>
        <v>0.7</v>
      </c>
      <c r="O247" s="32">
        <f t="shared" si="28"/>
        <v>38970</v>
      </c>
      <c r="P247" s="18" t="s">
        <v>19</v>
      </c>
    </row>
    <row r="248" spans="1:16" x14ac:dyDescent="0.25">
      <c r="A248" s="25" t="str">
        <f t="shared" si="25"/>
        <v>2025 JAN-JUN D70</v>
      </c>
      <c r="B248" s="8">
        <f t="shared" si="26"/>
        <v>46104</v>
      </c>
      <c r="C248" s="8">
        <f t="shared" si="31"/>
        <v>46113</v>
      </c>
      <c r="D248" s="19">
        <f t="shared" si="31"/>
        <v>3272</v>
      </c>
      <c r="E248" s="19">
        <f t="shared" si="31"/>
        <v>336</v>
      </c>
      <c r="F248" s="19">
        <f t="shared" si="31"/>
        <v>4</v>
      </c>
      <c r="G248" s="7">
        <v>1</v>
      </c>
      <c r="H248" s="7">
        <v>81588</v>
      </c>
      <c r="I248" s="7" t="s">
        <v>16</v>
      </c>
      <c r="J248" s="7">
        <v>51523798</v>
      </c>
      <c r="K248" s="7" t="s">
        <v>1319</v>
      </c>
      <c r="L248" s="27" t="s">
        <v>1321</v>
      </c>
      <c r="M248" s="9">
        <v>129900</v>
      </c>
      <c r="N248" s="18">
        <f t="shared" si="27"/>
        <v>0.7</v>
      </c>
      <c r="O248" s="32">
        <f t="shared" si="28"/>
        <v>38970</v>
      </c>
      <c r="P248" s="18" t="s">
        <v>19</v>
      </c>
    </row>
    <row r="249" spans="1:16" x14ac:dyDescent="0.25">
      <c r="A249" s="25" t="str">
        <f t="shared" si="25"/>
        <v>2025 JAN-JUN D70</v>
      </c>
      <c r="B249" s="8">
        <f t="shared" si="26"/>
        <v>46104</v>
      </c>
      <c r="C249" s="8">
        <f t="shared" si="31"/>
        <v>46113</v>
      </c>
      <c r="D249" s="19">
        <f t="shared" si="31"/>
        <v>3272</v>
      </c>
      <c r="E249" s="19">
        <f t="shared" si="31"/>
        <v>336</v>
      </c>
      <c r="F249" s="19">
        <f t="shared" si="31"/>
        <v>4</v>
      </c>
      <c r="G249" s="7">
        <v>1</v>
      </c>
      <c r="H249" s="7">
        <v>81588</v>
      </c>
      <c r="I249" s="7" t="s">
        <v>16</v>
      </c>
      <c r="J249" s="7">
        <v>51523805</v>
      </c>
      <c r="K249" s="7" t="s">
        <v>1319</v>
      </c>
      <c r="L249" s="27" t="s">
        <v>1322</v>
      </c>
      <c r="M249" s="9">
        <v>129900</v>
      </c>
      <c r="N249" s="18">
        <f t="shared" si="27"/>
        <v>0.7</v>
      </c>
      <c r="O249" s="32">
        <f t="shared" si="28"/>
        <v>38970</v>
      </c>
      <c r="P249" s="18" t="s">
        <v>19</v>
      </c>
    </row>
    <row r="250" spans="1:16" x14ac:dyDescent="0.25">
      <c r="A250" s="25" t="str">
        <f t="shared" si="25"/>
        <v>2025 JAN-JUN D70</v>
      </c>
      <c r="B250" s="8">
        <f t="shared" si="26"/>
        <v>46104</v>
      </c>
      <c r="C250" s="8">
        <f t="shared" si="31"/>
        <v>46113</v>
      </c>
      <c r="D250" s="19">
        <f t="shared" si="31"/>
        <v>3272</v>
      </c>
      <c r="E250" s="19">
        <f t="shared" si="31"/>
        <v>336</v>
      </c>
      <c r="F250" s="19">
        <f t="shared" si="31"/>
        <v>4</v>
      </c>
      <c r="G250" s="7">
        <v>1</v>
      </c>
      <c r="H250" s="7">
        <v>81588</v>
      </c>
      <c r="I250" s="7" t="s">
        <v>16</v>
      </c>
      <c r="J250" s="7">
        <v>51523814</v>
      </c>
      <c r="K250" s="7" t="s">
        <v>1319</v>
      </c>
      <c r="L250" s="27" t="s">
        <v>1323</v>
      </c>
      <c r="M250" s="9">
        <v>129900</v>
      </c>
      <c r="N250" s="18">
        <f t="shared" si="27"/>
        <v>0.7</v>
      </c>
      <c r="O250" s="32">
        <f t="shared" si="28"/>
        <v>38970</v>
      </c>
      <c r="P250" s="18" t="s">
        <v>19</v>
      </c>
    </row>
    <row r="251" spans="1:16" x14ac:dyDescent="0.25">
      <c r="A251" s="25" t="str">
        <f t="shared" si="25"/>
        <v>2025 JAN-JUN D70</v>
      </c>
      <c r="B251" s="8">
        <f t="shared" si="26"/>
        <v>46104</v>
      </c>
      <c r="C251" s="8">
        <f t="shared" si="31"/>
        <v>46113</v>
      </c>
      <c r="D251" s="19">
        <f t="shared" si="31"/>
        <v>3272</v>
      </c>
      <c r="E251" s="19">
        <f t="shared" si="31"/>
        <v>336</v>
      </c>
      <c r="F251" s="19">
        <f t="shared" si="31"/>
        <v>4</v>
      </c>
      <c r="G251" s="7">
        <v>1</v>
      </c>
      <c r="H251" s="7">
        <v>81588</v>
      </c>
      <c r="I251" s="7" t="s">
        <v>16</v>
      </c>
      <c r="J251" s="7">
        <v>51523823</v>
      </c>
      <c r="K251" s="7" t="s">
        <v>1319</v>
      </c>
      <c r="L251" s="27" t="s">
        <v>1324</v>
      </c>
      <c r="M251" s="9">
        <v>129900</v>
      </c>
      <c r="N251" s="18">
        <f t="shared" si="27"/>
        <v>0.7</v>
      </c>
      <c r="O251" s="32">
        <f t="shared" si="28"/>
        <v>38970</v>
      </c>
      <c r="P251" s="18" t="s">
        <v>19</v>
      </c>
    </row>
    <row r="252" spans="1:16" x14ac:dyDescent="0.25">
      <c r="A252" s="25" t="str">
        <f t="shared" si="25"/>
        <v>2025 JAN-JUN D70</v>
      </c>
      <c r="B252" s="8">
        <f t="shared" si="26"/>
        <v>46104</v>
      </c>
      <c r="C252" s="8">
        <f t="shared" si="31"/>
        <v>46113</v>
      </c>
      <c r="D252" s="19">
        <f t="shared" si="31"/>
        <v>3272</v>
      </c>
      <c r="E252" s="19">
        <f t="shared" si="31"/>
        <v>336</v>
      </c>
      <c r="F252" s="19">
        <f t="shared" si="31"/>
        <v>4</v>
      </c>
      <c r="G252" s="7">
        <v>1</v>
      </c>
      <c r="H252" s="7">
        <v>81588</v>
      </c>
      <c r="I252" s="7" t="s">
        <v>16</v>
      </c>
      <c r="J252" s="7">
        <v>51523832</v>
      </c>
      <c r="K252" s="7" t="s">
        <v>1319</v>
      </c>
      <c r="L252" s="27" t="s">
        <v>1325</v>
      </c>
      <c r="M252" s="9">
        <v>129900</v>
      </c>
      <c r="N252" s="18">
        <f t="shared" si="27"/>
        <v>0.7</v>
      </c>
      <c r="O252" s="32">
        <f t="shared" si="28"/>
        <v>38970</v>
      </c>
      <c r="P252" s="18" t="s">
        <v>19</v>
      </c>
    </row>
    <row r="253" spans="1:16" x14ac:dyDescent="0.25">
      <c r="A253" s="25" t="str">
        <f t="shared" si="25"/>
        <v>2025 JAN-JUN D70</v>
      </c>
      <c r="B253" s="8">
        <f t="shared" si="26"/>
        <v>46104</v>
      </c>
      <c r="C253" s="8">
        <f t="shared" si="31"/>
        <v>46113</v>
      </c>
      <c r="D253" s="19">
        <f t="shared" si="31"/>
        <v>3272</v>
      </c>
      <c r="E253" s="19">
        <f t="shared" si="31"/>
        <v>336</v>
      </c>
      <c r="F253" s="19">
        <f t="shared" si="31"/>
        <v>4</v>
      </c>
      <c r="G253" s="7">
        <v>1</v>
      </c>
      <c r="H253" s="7">
        <v>81588</v>
      </c>
      <c r="I253" s="7" t="s">
        <v>16</v>
      </c>
      <c r="J253" s="7">
        <v>51523841</v>
      </c>
      <c r="K253" s="7" t="s">
        <v>1319</v>
      </c>
      <c r="L253" s="27" t="s">
        <v>1326</v>
      </c>
      <c r="M253" s="9">
        <v>129900</v>
      </c>
      <c r="N253" s="18">
        <f t="shared" si="27"/>
        <v>0.7</v>
      </c>
      <c r="O253" s="32">
        <f t="shared" si="28"/>
        <v>38970</v>
      </c>
      <c r="P253" s="18" t="s">
        <v>19</v>
      </c>
    </row>
    <row r="254" spans="1:16" x14ac:dyDescent="0.25">
      <c r="A254" s="25" t="str">
        <f t="shared" si="25"/>
        <v>2025 JAN-JUN D70</v>
      </c>
      <c r="B254" s="8">
        <f t="shared" si="26"/>
        <v>46104</v>
      </c>
      <c r="C254" s="8">
        <f t="shared" si="31"/>
        <v>46113</v>
      </c>
      <c r="D254" s="19">
        <f t="shared" si="31"/>
        <v>3272</v>
      </c>
      <c r="E254" s="19">
        <f t="shared" si="31"/>
        <v>336</v>
      </c>
      <c r="F254" s="19">
        <f t="shared" si="31"/>
        <v>4</v>
      </c>
      <c r="G254" s="7">
        <v>1</v>
      </c>
      <c r="H254" s="7">
        <v>81588</v>
      </c>
      <c r="I254" s="7" t="s">
        <v>16</v>
      </c>
      <c r="J254" s="7">
        <v>51523850</v>
      </c>
      <c r="K254" s="7" t="s">
        <v>1319</v>
      </c>
      <c r="L254" s="27" t="s">
        <v>1327</v>
      </c>
      <c r="M254" s="9">
        <v>129900</v>
      </c>
      <c r="N254" s="18">
        <f t="shared" si="27"/>
        <v>0.7</v>
      </c>
      <c r="O254" s="32">
        <f t="shared" si="28"/>
        <v>38970</v>
      </c>
      <c r="P254" s="18" t="s">
        <v>19</v>
      </c>
    </row>
    <row r="255" spans="1:16" x14ac:dyDescent="0.25">
      <c r="A255" s="25" t="str">
        <f t="shared" si="25"/>
        <v>2025 JAN-JUN D70</v>
      </c>
      <c r="B255" s="8">
        <f t="shared" si="26"/>
        <v>46104</v>
      </c>
      <c r="C255" s="8">
        <f t="shared" si="31"/>
        <v>46113</v>
      </c>
      <c r="D255" s="19">
        <f t="shared" si="31"/>
        <v>3272</v>
      </c>
      <c r="E255" s="19">
        <f t="shared" si="31"/>
        <v>336</v>
      </c>
      <c r="F255" s="19">
        <f t="shared" si="31"/>
        <v>4</v>
      </c>
      <c r="G255" s="7">
        <v>4</v>
      </c>
      <c r="H255" s="7">
        <v>81379</v>
      </c>
      <c r="I255" s="7" t="s">
        <v>16</v>
      </c>
      <c r="J255" s="7">
        <v>51562095</v>
      </c>
      <c r="K255" s="7" t="s">
        <v>1328</v>
      </c>
      <c r="L255" s="27" t="s">
        <v>1329</v>
      </c>
      <c r="M255" s="9">
        <v>149900</v>
      </c>
      <c r="N255" s="18">
        <f t="shared" si="27"/>
        <v>0.7</v>
      </c>
      <c r="O255" s="32">
        <f t="shared" si="28"/>
        <v>44970</v>
      </c>
      <c r="P255" s="18" t="s">
        <v>19</v>
      </c>
    </row>
    <row r="256" spans="1:16" x14ac:dyDescent="0.25">
      <c r="A256" s="25" t="str">
        <f t="shared" si="25"/>
        <v>2025 JAN-JUN D70</v>
      </c>
      <c r="B256" s="8">
        <f t="shared" si="26"/>
        <v>46104</v>
      </c>
      <c r="C256" s="8">
        <f t="shared" si="31"/>
        <v>46113</v>
      </c>
      <c r="D256" s="19">
        <f t="shared" si="31"/>
        <v>3272</v>
      </c>
      <c r="E256" s="19">
        <f t="shared" si="31"/>
        <v>336</v>
      </c>
      <c r="F256" s="19">
        <f t="shared" si="31"/>
        <v>4</v>
      </c>
      <c r="G256" s="7">
        <v>4</v>
      </c>
      <c r="H256" s="7">
        <v>81379</v>
      </c>
      <c r="I256" s="7" t="s">
        <v>16</v>
      </c>
      <c r="J256" s="7">
        <v>51562102</v>
      </c>
      <c r="K256" s="7" t="s">
        <v>1328</v>
      </c>
      <c r="L256" s="27" t="s">
        <v>1330</v>
      </c>
      <c r="M256" s="9">
        <v>149900</v>
      </c>
      <c r="N256" s="18">
        <f t="shared" si="27"/>
        <v>0.7</v>
      </c>
      <c r="O256" s="32">
        <f t="shared" si="28"/>
        <v>44970</v>
      </c>
      <c r="P256" s="18" t="s">
        <v>19</v>
      </c>
    </row>
    <row r="257" spans="1:16" x14ac:dyDescent="0.25">
      <c r="A257" s="25" t="str">
        <f t="shared" si="25"/>
        <v>2025 JAN-JUN D70</v>
      </c>
      <c r="B257" s="8">
        <f t="shared" si="26"/>
        <v>46104</v>
      </c>
      <c r="C257" s="8">
        <f t="shared" si="31"/>
        <v>46113</v>
      </c>
      <c r="D257" s="19">
        <f t="shared" si="31"/>
        <v>3272</v>
      </c>
      <c r="E257" s="19">
        <f t="shared" si="31"/>
        <v>336</v>
      </c>
      <c r="F257" s="19">
        <f t="shared" si="31"/>
        <v>4</v>
      </c>
      <c r="G257" s="7">
        <v>4</v>
      </c>
      <c r="H257" s="7">
        <v>81379</v>
      </c>
      <c r="I257" s="7" t="s">
        <v>16</v>
      </c>
      <c r="J257" s="7">
        <v>51562111</v>
      </c>
      <c r="K257" s="7" t="s">
        <v>1328</v>
      </c>
      <c r="L257" s="27" t="s">
        <v>1331</v>
      </c>
      <c r="M257" s="9">
        <v>149900</v>
      </c>
      <c r="N257" s="18">
        <f t="shared" si="27"/>
        <v>0.7</v>
      </c>
      <c r="O257" s="32">
        <f t="shared" si="28"/>
        <v>44970</v>
      </c>
      <c r="P257" s="18" t="s">
        <v>19</v>
      </c>
    </row>
    <row r="258" spans="1:16" x14ac:dyDescent="0.25">
      <c r="A258" s="25" t="str">
        <f t="shared" si="25"/>
        <v>2025 JAN-JUN D70</v>
      </c>
      <c r="B258" s="8">
        <f t="shared" si="26"/>
        <v>46104</v>
      </c>
      <c r="C258" s="8">
        <f t="shared" si="31"/>
        <v>46113</v>
      </c>
      <c r="D258" s="19">
        <f t="shared" si="31"/>
        <v>3272</v>
      </c>
      <c r="E258" s="19">
        <f t="shared" si="31"/>
        <v>336</v>
      </c>
      <c r="F258" s="19">
        <f t="shared" si="31"/>
        <v>4</v>
      </c>
      <c r="G258" s="7">
        <v>4</v>
      </c>
      <c r="H258" s="7">
        <v>81379</v>
      </c>
      <c r="I258" s="7" t="s">
        <v>16</v>
      </c>
      <c r="J258" s="7">
        <v>51562120</v>
      </c>
      <c r="K258" s="7" t="s">
        <v>1328</v>
      </c>
      <c r="L258" s="27" t="s">
        <v>1332</v>
      </c>
      <c r="M258" s="9">
        <v>149900</v>
      </c>
      <c r="N258" s="18">
        <f t="shared" si="27"/>
        <v>0.7</v>
      </c>
      <c r="O258" s="32">
        <f t="shared" si="28"/>
        <v>44970</v>
      </c>
      <c r="P258" s="18" t="s">
        <v>19</v>
      </c>
    </row>
    <row r="259" spans="1:16" x14ac:dyDescent="0.25">
      <c r="A259" s="25" t="str">
        <f t="shared" si="25"/>
        <v>2025 JAN-JUN D70</v>
      </c>
      <c r="B259" s="8">
        <f t="shared" si="26"/>
        <v>46104</v>
      </c>
      <c r="C259" s="8">
        <f t="shared" ref="C259:F274" si="32">C258</f>
        <v>46113</v>
      </c>
      <c r="D259" s="19">
        <f t="shared" si="32"/>
        <v>3272</v>
      </c>
      <c r="E259" s="19">
        <f t="shared" si="32"/>
        <v>336</v>
      </c>
      <c r="F259" s="19">
        <f t="shared" si="32"/>
        <v>4</v>
      </c>
      <c r="G259" s="7">
        <v>4</v>
      </c>
      <c r="H259" s="7">
        <v>81379</v>
      </c>
      <c r="I259" s="7" t="s">
        <v>16</v>
      </c>
      <c r="J259" s="7">
        <v>51562139</v>
      </c>
      <c r="K259" s="7" t="s">
        <v>1328</v>
      </c>
      <c r="L259" s="27" t="s">
        <v>1333</v>
      </c>
      <c r="M259" s="9">
        <v>149900</v>
      </c>
      <c r="N259" s="18">
        <f t="shared" si="27"/>
        <v>0.7</v>
      </c>
      <c r="O259" s="32">
        <f t="shared" si="28"/>
        <v>44970</v>
      </c>
      <c r="P259" s="18" t="s">
        <v>19</v>
      </c>
    </row>
    <row r="260" spans="1:16" x14ac:dyDescent="0.25">
      <c r="A260" s="25" t="str">
        <f t="shared" ref="A260:A323" si="33">A259</f>
        <v>2025 JAN-JUN D70</v>
      </c>
      <c r="B260" s="8">
        <f t="shared" ref="B260:B323" si="34">B259</f>
        <v>46104</v>
      </c>
      <c r="C260" s="8">
        <f t="shared" si="32"/>
        <v>46113</v>
      </c>
      <c r="D260" s="19">
        <f t="shared" si="32"/>
        <v>3272</v>
      </c>
      <c r="E260" s="19">
        <f t="shared" si="32"/>
        <v>336</v>
      </c>
      <c r="F260" s="19">
        <f t="shared" si="32"/>
        <v>4</v>
      </c>
      <c r="G260" s="7">
        <v>4</v>
      </c>
      <c r="H260" s="7">
        <v>81379</v>
      </c>
      <c r="I260" s="7" t="s">
        <v>16</v>
      </c>
      <c r="J260" s="7">
        <v>51562148</v>
      </c>
      <c r="K260" s="7" t="s">
        <v>1328</v>
      </c>
      <c r="L260" s="27" t="s">
        <v>1334</v>
      </c>
      <c r="M260" s="9">
        <v>149900</v>
      </c>
      <c r="N260" s="18">
        <f t="shared" ref="N260:N323" si="35">N259</f>
        <v>0.7</v>
      </c>
      <c r="O260" s="32">
        <f t="shared" ref="O260:O323" si="36">M260-((70*M260)/100)</f>
        <v>44970</v>
      </c>
      <c r="P260" s="18" t="s">
        <v>19</v>
      </c>
    </row>
    <row r="261" spans="1:16" x14ac:dyDescent="0.25">
      <c r="A261" s="25" t="str">
        <f t="shared" si="33"/>
        <v>2025 JAN-JUN D70</v>
      </c>
      <c r="B261" s="8">
        <f t="shared" si="34"/>
        <v>46104</v>
      </c>
      <c r="C261" s="8">
        <f t="shared" si="32"/>
        <v>46113</v>
      </c>
      <c r="D261" s="19">
        <f t="shared" si="32"/>
        <v>3272</v>
      </c>
      <c r="E261" s="19">
        <f t="shared" si="32"/>
        <v>336</v>
      </c>
      <c r="F261" s="19">
        <f t="shared" si="32"/>
        <v>4</v>
      </c>
      <c r="G261" s="7">
        <v>4</v>
      </c>
      <c r="H261" s="7">
        <v>81379</v>
      </c>
      <c r="I261" s="7" t="s">
        <v>16</v>
      </c>
      <c r="J261" s="7">
        <v>51562157</v>
      </c>
      <c r="K261" s="7" t="s">
        <v>1328</v>
      </c>
      <c r="L261" s="27" t="s">
        <v>1335</v>
      </c>
      <c r="M261" s="9">
        <v>149900</v>
      </c>
      <c r="N261" s="18">
        <f t="shared" si="35"/>
        <v>0.7</v>
      </c>
      <c r="O261" s="32">
        <f t="shared" si="36"/>
        <v>44970</v>
      </c>
      <c r="P261" s="18" t="s">
        <v>19</v>
      </c>
    </row>
    <row r="262" spans="1:16" x14ac:dyDescent="0.25">
      <c r="A262" s="25" t="str">
        <f t="shared" si="33"/>
        <v>2025 JAN-JUN D70</v>
      </c>
      <c r="B262" s="8">
        <f t="shared" si="34"/>
        <v>46104</v>
      </c>
      <c r="C262" s="8">
        <f t="shared" si="32"/>
        <v>46113</v>
      </c>
      <c r="D262" s="19">
        <f t="shared" si="32"/>
        <v>3272</v>
      </c>
      <c r="E262" s="19">
        <f t="shared" si="32"/>
        <v>336</v>
      </c>
      <c r="F262" s="19">
        <f t="shared" si="32"/>
        <v>4</v>
      </c>
      <c r="G262" s="7">
        <v>4</v>
      </c>
      <c r="H262" s="7">
        <v>81379</v>
      </c>
      <c r="I262" s="7" t="s">
        <v>16</v>
      </c>
      <c r="J262" s="7">
        <v>51562166</v>
      </c>
      <c r="K262" s="7" t="s">
        <v>1328</v>
      </c>
      <c r="L262" s="27" t="s">
        <v>1336</v>
      </c>
      <c r="M262" s="9">
        <v>149900</v>
      </c>
      <c r="N262" s="18">
        <f t="shared" si="35"/>
        <v>0.7</v>
      </c>
      <c r="O262" s="32">
        <f t="shared" si="36"/>
        <v>44970</v>
      </c>
      <c r="P262" s="18" t="s">
        <v>19</v>
      </c>
    </row>
    <row r="263" spans="1:16" x14ac:dyDescent="0.25">
      <c r="A263" s="25" t="str">
        <f t="shared" si="33"/>
        <v>2025 JAN-JUN D70</v>
      </c>
      <c r="B263" s="8">
        <f t="shared" si="34"/>
        <v>46104</v>
      </c>
      <c r="C263" s="8">
        <f t="shared" si="32"/>
        <v>46113</v>
      </c>
      <c r="D263" s="19">
        <f t="shared" si="32"/>
        <v>3272</v>
      </c>
      <c r="E263" s="19">
        <f t="shared" si="32"/>
        <v>336</v>
      </c>
      <c r="F263" s="19">
        <f t="shared" si="32"/>
        <v>4</v>
      </c>
      <c r="G263" s="7">
        <v>1</v>
      </c>
      <c r="H263" s="7">
        <v>81379</v>
      </c>
      <c r="I263" s="7" t="s">
        <v>16</v>
      </c>
      <c r="J263" s="7">
        <v>51562175</v>
      </c>
      <c r="K263" s="7" t="s">
        <v>1337</v>
      </c>
      <c r="L263" s="27" t="s">
        <v>1338</v>
      </c>
      <c r="M263" s="9">
        <v>139900</v>
      </c>
      <c r="N263" s="18">
        <f t="shared" si="35"/>
        <v>0.7</v>
      </c>
      <c r="O263" s="32">
        <f t="shared" si="36"/>
        <v>41970</v>
      </c>
      <c r="P263" s="18" t="s">
        <v>19</v>
      </c>
    </row>
    <row r="264" spans="1:16" x14ac:dyDescent="0.25">
      <c r="A264" s="25" t="str">
        <f t="shared" si="33"/>
        <v>2025 JAN-JUN D70</v>
      </c>
      <c r="B264" s="8">
        <f t="shared" si="34"/>
        <v>46104</v>
      </c>
      <c r="C264" s="8">
        <f t="shared" si="32"/>
        <v>46113</v>
      </c>
      <c r="D264" s="19">
        <f t="shared" si="32"/>
        <v>3272</v>
      </c>
      <c r="E264" s="19">
        <f t="shared" si="32"/>
        <v>336</v>
      </c>
      <c r="F264" s="19">
        <f t="shared" si="32"/>
        <v>4</v>
      </c>
      <c r="G264" s="7">
        <v>1</v>
      </c>
      <c r="H264" s="7">
        <v>81379</v>
      </c>
      <c r="I264" s="7" t="s">
        <v>16</v>
      </c>
      <c r="J264" s="7">
        <v>51562184</v>
      </c>
      <c r="K264" s="7" t="s">
        <v>1337</v>
      </c>
      <c r="L264" s="27" t="s">
        <v>1339</v>
      </c>
      <c r="M264" s="9">
        <v>139900</v>
      </c>
      <c r="N264" s="18">
        <f t="shared" si="35"/>
        <v>0.7</v>
      </c>
      <c r="O264" s="32">
        <f t="shared" si="36"/>
        <v>41970</v>
      </c>
      <c r="P264" s="18" t="s">
        <v>19</v>
      </c>
    </row>
    <row r="265" spans="1:16" x14ac:dyDescent="0.25">
      <c r="A265" s="25" t="str">
        <f t="shared" si="33"/>
        <v>2025 JAN-JUN D70</v>
      </c>
      <c r="B265" s="8">
        <f t="shared" si="34"/>
        <v>46104</v>
      </c>
      <c r="C265" s="8">
        <f t="shared" si="32"/>
        <v>46113</v>
      </c>
      <c r="D265" s="19">
        <f t="shared" si="32"/>
        <v>3272</v>
      </c>
      <c r="E265" s="19">
        <f t="shared" si="32"/>
        <v>336</v>
      </c>
      <c r="F265" s="19">
        <f t="shared" si="32"/>
        <v>4</v>
      </c>
      <c r="G265" s="7">
        <v>1</v>
      </c>
      <c r="H265" s="7">
        <v>81379</v>
      </c>
      <c r="I265" s="7" t="s">
        <v>16</v>
      </c>
      <c r="J265" s="7">
        <v>51562193</v>
      </c>
      <c r="K265" s="7" t="s">
        <v>1337</v>
      </c>
      <c r="L265" s="27" t="s">
        <v>1340</v>
      </c>
      <c r="M265" s="9">
        <v>139900</v>
      </c>
      <c r="N265" s="18">
        <f t="shared" si="35"/>
        <v>0.7</v>
      </c>
      <c r="O265" s="32">
        <f t="shared" si="36"/>
        <v>41970</v>
      </c>
      <c r="P265" s="18" t="s">
        <v>19</v>
      </c>
    </row>
    <row r="266" spans="1:16" x14ac:dyDescent="0.25">
      <c r="A266" s="25" t="str">
        <f t="shared" si="33"/>
        <v>2025 JAN-JUN D70</v>
      </c>
      <c r="B266" s="8">
        <f t="shared" si="34"/>
        <v>46104</v>
      </c>
      <c r="C266" s="8">
        <f t="shared" si="32"/>
        <v>46113</v>
      </c>
      <c r="D266" s="19">
        <f t="shared" si="32"/>
        <v>3272</v>
      </c>
      <c r="E266" s="19">
        <f t="shared" si="32"/>
        <v>336</v>
      </c>
      <c r="F266" s="19">
        <f t="shared" si="32"/>
        <v>4</v>
      </c>
      <c r="G266" s="7">
        <v>1</v>
      </c>
      <c r="H266" s="7">
        <v>81379</v>
      </c>
      <c r="I266" s="7" t="s">
        <v>16</v>
      </c>
      <c r="J266" s="7">
        <v>51562200</v>
      </c>
      <c r="K266" s="7" t="s">
        <v>1337</v>
      </c>
      <c r="L266" s="27" t="s">
        <v>1341</v>
      </c>
      <c r="M266" s="9">
        <v>139900</v>
      </c>
      <c r="N266" s="18">
        <f t="shared" si="35"/>
        <v>0.7</v>
      </c>
      <c r="O266" s="32">
        <f t="shared" si="36"/>
        <v>41970</v>
      </c>
      <c r="P266" s="18" t="s">
        <v>19</v>
      </c>
    </row>
    <row r="267" spans="1:16" x14ac:dyDescent="0.25">
      <c r="A267" s="25" t="str">
        <f t="shared" si="33"/>
        <v>2025 JAN-JUN D70</v>
      </c>
      <c r="B267" s="8">
        <f t="shared" si="34"/>
        <v>46104</v>
      </c>
      <c r="C267" s="8">
        <f t="shared" si="32"/>
        <v>46113</v>
      </c>
      <c r="D267" s="19">
        <f t="shared" si="32"/>
        <v>3272</v>
      </c>
      <c r="E267" s="19">
        <f t="shared" si="32"/>
        <v>336</v>
      </c>
      <c r="F267" s="19">
        <f t="shared" si="32"/>
        <v>4</v>
      </c>
      <c r="G267" s="7">
        <v>1</v>
      </c>
      <c r="H267" s="7">
        <v>81379</v>
      </c>
      <c r="I267" s="7" t="s">
        <v>16</v>
      </c>
      <c r="J267" s="7">
        <v>51562219</v>
      </c>
      <c r="K267" s="7" t="s">
        <v>1337</v>
      </c>
      <c r="L267" s="27" t="s">
        <v>1342</v>
      </c>
      <c r="M267" s="9">
        <v>139900</v>
      </c>
      <c r="N267" s="18">
        <f t="shared" si="35"/>
        <v>0.7</v>
      </c>
      <c r="O267" s="32">
        <f t="shared" si="36"/>
        <v>41970</v>
      </c>
      <c r="P267" s="18" t="s">
        <v>19</v>
      </c>
    </row>
    <row r="268" spans="1:16" x14ac:dyDescent="0.25">
      <c r="A268" s="25" t="str">
        <f t="shared" si="33"/>
        <v>2025 JAN-JUN D70</v>
      </c>
      <c r="B268" s="8">
        <f t="shared" si="34"/>
        <v>46104</v>
      </c>
      <c r="C268" s="8">
        <f t="shared" si="32"/>
        <v>46113</v>
      </c>
      <c r="D268" s="19">
        <f t="shared" si="32"/>
        <v>3272</v>
      </c>
      <c r="E268" s="19">
        <f t="shared" si="32"/>
        <v>336</v>
      </c>
      <c r="F268" s="19">
        <f t="shared" si="32"/>
        <v>4</v>
      </c>
      <c r="G268" s="7">
        <v>1</v>
      </c>
      <c r="H268" s="7">
        <v>81379</v>
      </c>
      <c r="I268" s="7" t="s">
        <v>16</v>
      </c>
      <c r="J268" s="7">
        <v>51562228</v>
      </c>
      <c r="K268" s="7" t="s">
        <v>1337</v>
      </c>
      <c r="L268" s="27" t="s">
        <v>1343</v>
      </c>
      <c r="M268" s="9">
        <v>139900</v>
      </c>
      <c r="N268" s="18">
        <f t="shared" si="35"/>
        <v>0.7</v>
      </c>
      <c r="O268" s="32">
        <f t="shared" si="36"/>
        <v>41970</v>
      </c>
      <c r="P268" s="18" t="s">
        <v>19</v>
      </c>
    </row>
    <row r="269" spans="1:16" x14ac:dyDescent="0.25">
      <c r="A269" s="25" t="str">
        <f t="shared" si="33"/>
        <v>2025 JAN-JUN D70</v>
      </c>
      <c r="B269" s="8">
        <f t="shared" si="34"/>
        <v>46104</v>
      </c>
      <c r="C269" s="8">
        <f t="shared" si="32"/>
        <v>46113</v>
      </c>
      <c r="D269" s="19">
        <f t="shared" si="32"/>
        <v>3272</v>
      </c>
      <c r="E269" s="19">
        <f t="shared" si="32"/>
        <v>336</v>
      </c>
      <c r="F269" s="19">
        <f t="shared" si="32"/>
        <v>4</v>
      </c>
      <c r="G269" s="7">
        <v>1</v>
      </c>
      <c r="H269" s="7">
        <v>81379</v>
      </c>
      <c r="I269" s="7" t="s">
        <v>16</v>
      </c>
      <c r="J269" s="7">
        <v>51562237</v>
      </c>
      <c r="K269" s="7" t="s">
        <v>1337</v>
      </c>
      <c r="L269" s="27" t="s">
        <v>1344</v>
      </c>
      <c r="M269" s="9">
        <v>139900</v>
      </c>
      <c r="N269" s="18">
        <f t="shared" si="35"/>
        <v>0.7</v>
      </c>
      <c r="O269" s="32">
        <f t="shared" si="36"/>
        <v>41970</v>
      </c>
      <c r="P269" s="18" t="s">
        <v>19</v>
      </c>
    </row>
    <row r="270" spans="1:16" x14ac:dyDescent="0.25">
      <c r="A270" s="25" t="str">
        <f t="shared" si="33"/>
        <v>2025 JAN-JUN D70</v>
      </c>
      <c r="B270" s="8">
        <f t="shared" si="34"/>
        <v>46104</v>
      </c>
      <c r="C270" s="8">
        <f t="shared" si="32"/>
        <v>46113</v>
      </c>
      <c r="D270" s="19">
        <f t="shared" si="32"/>
        <v>3272</v>
      </c>
      <c r="E270" s="19">
        <f t="shared" si="32"/>
        <v>336</v>
      </c>
      <c r="F270" s="19">
        <f t="shared" si="32"/>
        <v>4</v>
      </c>
      <c r="G270" s="7">
        <v>1</v>
      </c>
      <c r="H270" s="7">
        <v>81379</v>
      </c>
      <c r="I270" s="7" t="s">
        <v>16</v>
      </c>
      <c r="J270" s="7">
        <v>51562246</v>
      </c>
      <c r="K270" s="7" t="s">
        <v>1337</v>
      </c>
      <c r="L270" s="27" t="s">
        <v>1345</v>
      </c>
      <c r="M270" s="9">
        <v>139900</v>
      </c>
      <c r="N270" s="18">
        <f t="shared" si="35"/>
        <v>0.7</v>
      </c>
      <c r="O270" s="32">
        <f t="shared" si="36"/>
        <v>41970</v>
      </c>
      <c r="P270" s="18" t="s">
        <v>19</v>
      </c>
    </row>
    <row r="271" spans="1:16" x14ac:dyDescent="0.25">
      <c r="A271" s="25" t="str">
        <f t="shared" si="33"/>
        <v>2025 JAN-JUN D70</v>
      </c>
      <c r="B271" s="8">
        <f t="shared" si="34"/>
        <v>46104</v>
      </c>
      <c r="C271" s="8">
        <f t="shared" si="32"/>
        <v>46113</v>
      </c>
      <c r="D271" s="19">
        <f t="shared" si="32"/>
        <v>3272</v>
      </c>
      <c r="E271" s="19">
        <f t="shared" si="32"/>
        <v>336</v>
      </c>
      <c r="F271" s="19">
        <f t="shared" si="32"/>
        <v>4</v>
      </c>
      <c r="G271" s="7">
        <v>1</v>
      </c>
      <c r="H271" s="7">
        <v>81379</v>
      </c>
      <c r="I271" s="7" t="s">
        <v>16</v>
      </c>
      <c r="J271" s="7">
        <v>51562255</v>
      </c>
      <c r="K271" s="7" t="s">
        <v>1346</v>
      </c>
      <c r="L271" s="27" t="s">
        <v>1347</v>
      </c>
      <c r="M271" s="9">
        <v>149900</v>
      </c>
      <c r="N271" s="18">
        <f t="shared" si="35"/>
        <v>0.7</v>
      </c>
      <c r="O271" s="32">
        <f t="shared" si="36"/>
        <v>44970</v>
      </c>
      <c r="P271" s="18" t="s">
        <v>19</v>
      </c>
    </row>
    <row r="272" spans="1:16" x14ac:dyDescent="0.25">
      <c r="A272" s="25" t="str">
        <f t="shared" si="33"/>
        <v>2025 JAN-JUN D70</v>
      </c>
      <c r="B272" s="8">
        <f t="shared" si="34"/>
        <v>46104</v>
      </c>
      <c r="C272" s="8">
        <f t="shared" si="32"/>
        <v>46113</v>
      </c>
      <c r="D272" s="19">
        <f t="shared" si="32"/>
        <v>3272</v>
      </c>
      <c r="E272" s="19">
        <f t="shared" si="32"/>
        <v>336</v>
      </c>
      <c r="F272" s="19">
        <f t="shared" si="32"/>
        <v>4</v>
      </c>
      <c r="G272" s="7">
        <v>1</v>
      </c>
      <c r="H272" s="7">
        <v>81379</v>
      </c>
      <c r="I272" s="7" t="s">
        <v>16</v>
      </c>
      <c r="J272" s="7">
        <v>51562264</v>
      </c>
      <c r="K272" s="7" t="s">
        <v>1346</v>
      </c>
      <c r="L272" s="27" t="s">
        <v>1348</v>
      </c>
      <c r="M272" s="9">
        <v>149900</v>
      </c>
      <c r="N272" s="18">
        <f t="shared" si="35"/>
        <v>0.7</v>
      </c>
      <c r="O272" s="32">
        <f t="shared" si="36"/>
        <v>44970</v>
      </c>
      <c r="P272" s="18" t="s">
        <v>19</v>
      </c>
    </row>
    <row r="273" spans="1:16" x14ac:dyDescent="0.25">
      <c r="A273" s="25" t="str">
        <f t="shared" si="33"/>
        <v>2025 JAN-JUN D70</v>
      </c>
      <c r="B273" s="8">
        <f t="shared" si="34"/>
        <v>46104</v>
      </c>
      <c r="C273" s="8">
        <f t="shared" si="32"/>
        <v>46113</v>
      </c>
      <c r="D273" s="19">
        <f t="shared" si="32"/>
        <v>3272</v>
      </c>
      <c r="E273" s="19">
        <f t="shared" si="32"/>
        <v>336</v>
      </c>
      <c r="F273" s="19">
        <f t="shared" si="32"/>
        <v>4</v>
      </c>
      <c r="G273" s="7">
        <v>1</v>
      </c>
      <c r="H273" s="7">
        <v>81379</v>
      </c>
      <c r="I273" s="7" t="s">
        <v>16</v>
      </c>
      <c r="J273" s="7">
        <v>51562273</v>
      </c>
      <c r="K273" s="7" t="s">
        <v>1346</v>
      </c>
      <c r="L273" s="27" t="s">
        <v>1349</v>
      </c>
      <c r="M273" s="9">
        <v>149900</v>
      </c>
      <c r="N273" s="18">
        <f t="shared" si="35"/>
        <v>0.7</v>
      </c>
      <c r="O273" s="32">
        <f t="shared" si="36"/>
        <v>44970</v>
      </c>
      <c r="P273" s="18" t="s">
        <v>19</v>
      </c>
    </row>
    <row r="274" spans="1:16" x14ac:dyDescent="0.25">
      <c r="A274" s="25" t="str">
        <f t="shared" si="33"/>
        <v>2025 JAN-JUN D70</v>
      </c>
      <c r="B274" s="8">
        <f t="shared" si="34"/>
        <v>46104</v>
      </c>
      <c r="C274" s="8">
        <f t="shared" si="32"/>
        <v>46113</v>
      </c>
      <c r="D274" s="19">
        <f t="shared" si="32"/>
        <v>3272</v>
      </c>
      <c r="E274" s="19">
        <f t="shared" si="32"/>
        <v>336</v>
      </c>
      <c r="F274" s="19">
        <f t="shared" si="32"/>
        <v>4</v>
      </c>
      <c r="G274" s="7">
        <v>1</v>
      </c>
      <c r="H274" s="7">
        <v>81379</v>
      </c>
      <c r="I274" s="7" t="s">
        <v>16</v>
      </c>
      <c r="J274" s="7">
        <v>51562282</v>
      </c>
      <c r="K274" s="7" t="s">
        <v>1346</v>
      </c>
      <c r="L274" s="27" t="s">
        <v>1350</v>
      </c>
      <c r="M274" s="9">
        <v>149900</v>
      </c>
      <c r="N274" s="18">
        <f t="shared" si="35"/>
        <v>0.7</v>
      </c>
      <c r="O274" s="32">
        <f t="shared" si="36"/>
        <v>44970</v>
      </c>
      <c r="P274" s="18" t="s">
        <v>19</v>
      </c>
    </row>
    <row r="275" spans="1:16" x14ac:dyDescent="0.25">
      <c r="A275" s="25" t="str">
        <f t="shared" si="33"/>
        <v>2025 JAN-JUN D70</v>
      </c>
      <c r="B275" s="8">
        <f t="shared" si="34"/>
        <v>46104</v>
      </c>
      <c r="C275" s="8">
        <f t="shared" ref="C275:F290" si="37">C274</f>
        <v>46113</v>
      </c>
      <c r="D275" s="19">
        <f t="shared" si="37"/>
        <v>3272</v>
      </c>
      <c r="E275" s="19">
        <f t="shared" si="37"/>
        <v>336</v>
      </c>
      <c r="F275" s="19">
        <f t="shared" si="37"/>
        <v>4</v>
      </c>
      <c r="G275" s="7">
        <v>1</v>
      </c>
      <c r="H275" s="7">
        <v>81379</v>
      </c>
      <c r="I275" s="7" t="s">
        <v>16</v>
      </c>
      <c r="J275" s="7">
        <v>51562291</v>
      </c>
      <c r="K275" s="7" t="s">
        <v>1346</v>
      </c>
      <c r="L275" s="27" t="s">
        <v>1351</v>
      </c>
      <c r="M275" s="9">
        <v>149900</v>
      </c>
      <c r="N275" s="18">
        <f t="shared" si="35"/>
        <v>0.7</v>
      </c>
      <c r="O275" s="32">
        <f t="shared" si="36"/>
        <v>44970</v>
      </c>
      <c r="P275" s="18" t="s">
        <v>19</v>
      </c>
    </row>
    <row r="276" spans="1:16" x14ac:dyDescent="0.25">
      <c r="A276" s="25" t="str">
        <f t="shared" si="33"/>
        <v>2025 JAN-JUN D70</v>
      </c>
      <c r="B276" s="8">
        <f t="shared" si="34"/>
        <v>46104</v>
      </c>
      <c r="C276" s="8">
        <f t="shared" si="37"/>
        <v>46113</v>
      </c>
      <c r="D276" s="19">
        <f t="shared" si="37"/>
        <v>3272</v>
      </c>
      <c r="E276" s="19">
        <f t="shared" si="37"/>
        <v>336</v>
      </c>
      <c r="F276" s="19">
        <f t="shared" si="37"/>
        <v>4</v>
      </c>
      <c r="G276" s="7">
        <v>1</v>
      </c>
      <c r="H276" s="7">
        <v>81379</v>
      </c>
      <c r="I276" s="7" t="s">
        <v>16</v>
      </c>
      <c r="J276" s="7">
        <v>51562308</v>
      </c>
      <c r="K276" s="7" t="s">
        <v>1346</v>
      </c>
      <c r="L276" s="27" t="s">
        <v>1352</v>
      </c>
      <c r="M276" s="9">
        <v>149900</v>
      </c>
      <c r="N276" s="18">
        <f t="shared" si="35"/>
        <v>0.7</v>
      </c>
      <c r="O276" s="32">
        <f t="shared" si="36"/>
        <v>44970</v>
      </c>
      <c r="P276" s="18" t="s">
        <v>19</v>
      </c>
    </row>
    <row r="277" spans="1:16" x14ac:dyDescent="0.25">
      <c r="A277" s="25" t="str">
        <f t="shared" si="33"/>
        <v>2025 JAN-JUN D70</v>
      </c>
      <c r="B277" s="8">
        <f t="shared" si="34"/>
        <v>46104</v>
      </c>
      <c r="C277" s="8">
        <f t="shared" si="37"/>
        <v>46113</v>
      </c>
      <c r="D277" s="19">
        <f t="shared" si="37"/>
        <v>3272</v>
      </c>
      <c r="E277" s="19">
        <f t="shared" si="37"/>
        <v>336</v>
      </c>
      <c r="F277" s="19">
        <f t="shared" si="37"/>
        <v>4</v>
      </c>
      <c r="G277" s="7">
        <v>1</v>
      </c>
      <c r="H277" s="7">
        <v>81379</v>
      </c>
      <c r="I277" s="7" t="s">
        <v>16</v>
      </c>
      <c r="J277" s="7">
        <v>51562317</v>
      </c>
      <c r="K277" s="7" t="s">
        <v>1346</v>
      </c>
      <c r="L277" s="27" t="s">
        <v>1353</v>
      </c>
      <c r="M277" s="9">
        <v>149900</v>
      </c>
      <c r="N277" s="18">
        <f t="shared" si="35"/>
        <v>0.7</v>
      </c>
      <c r="O277" s="32">
        <f t="shared" si="36"/>
        <v>44970</v>
      </c>
      <c r="P277" s="18" t="s">
        <v>19</v>
      </c>
    </row>
    <row r="278" spans="1:16" x14ac:dyDescent="0.25">
      <c r="A278" s="25" t="str">
        <f t="shared" si="33"/>
        <v>2025 JAN-JUN D70</v>
      </c>
      <c r="B278" s="8">
        <f t="shared" si="34"/>
        <v>46104</v>
      </c>
      <c r="C278" s="8">
        <f t="shared" si="37"/>
        <v>46113</v>
      </c>
      <c r="D278" s="19">
        <f t="shared" si="37"/>
        <v>3272</v>
      </c>
      <c r="E278" s="19">
        <f t="shared" si="37"/>
        <v>336</v>
      </c>
      <c r="F278" s="19">
        <f t="shared" si="37"/>
        <v>4</v>
      </c>
      <c r="G278" s="7">
        <v>1</v>
      </c>
      <c r="H278" s="7">
        <v>81379</v>
      </c>
      <c r="I278" s="7" t="s">
        <v>16</v>
      </c>
      <c r="J278" s="7">
        <v>51562326</v>
      </c>
      <c r="K278" s="7" t="s">
        <v>1346</v>
      </c>
      <c r="L278" s="27" t="s">
        <v>1354</v>
      </c>
      <c r="M278" s="9">
        <v>149900</v>
      </c>
      <c r="N278" s="18">
        <f t="shared" si="35"/>
        <v>0.7</v>
      </c>
      <c r="O278" s="32">
        <f t="shared" si="36"/>
        <v>44970</v>
      </c>
      <c r="P278" s="18" t="s">
        <v>19</v>
      </c>
    </row>
    <row r="279" spans="1:16" x14ac:dyDescent="0.25">
      <c r="A279" s="25" t="str">
        <f t="shared" si="33"/>
        <v>2025 JAN-JUN D70</v>
      </c>
      <c r="B279" s="8">
        <f t="shared" si="34"/>
        <v>46104</v>
      </c>
      <c r="C279" s="8">
        <f t="shared" si="37"/>
        <v>46113</v>
      </c>
      <c r="D279" s="19">
        <f t="shared" si="37"/>
        <v>3272</v>
      </c>
      <c r="E279" s="19">
        <f t="shared" si="37"/>
        <v>336</v>
      </c>
      <c r="F279" s="19">
        <f t="shared" si="37"/>
        <v>4</v>
      </c>
      <c r="G279" s="7">
        <v>1</v>
      </c>
      <c r="H279" s="7">
        <v>81379</v>
      </c>
      <c r="I279" s="7" t="s">
        <v>16</v>
      </c>
      <c r="J279" s="7">
        <v>51562335</v>
      </c>
      <c r="K279" s="7" t="s">
        <v>1355</v>
      </c>
      <c r="L279" s="27" t="s">
        <v>1356</v>
      </c>
      <c r="M279" s="9">
        <v>139900</v>
      </c>
      <c r="N279" s="18">
        <f t="shared" si="35"/>
        <v>0.7</v>
      </c>
      <c r="O279" s="32">
        <f t="shared" si="36"/>
        <v>41970</v>
      </c>
      <c r="P279" s="18" t="s">
        <v>19</v>
      </c>
    </row>
    <row r="280" spans="1:16" x14ac:dyDescent="0.25">
      <c r="A280" s="25" t="str">
        <f t="shared" si="33"/>
        <v>2025 JAN-JUN D70</v>
      </c>
      <c r="B280" s="8">
        <f t="shared" si="34"/>
        <v>46104</v>
      </c>
      <c r="C280" s="8">
        <f t="shared" si="37"/>
        <v>46113</v>
      </c>
      <c r="D280" s="19">
        <f t="shared" si="37"/>
        <v>3272</v>
      </c>
      <c r="E280" s="19">
        <f t="shared" si="37"/>
        <v>336</v>
      </c>
      <c r="F280" s="19">
        <f t="shared" si="37"/>
        <v>4</v>
      </c>
      <c r="G280" s="7">
        <v>1</v>
      </c>
      <c r="H280" s="7">
        <v>81379</v>
      </c>
      <c r="I280" s="7" t="s">
        <v>16</v>
      </c>
      <c r="J280" s="7">
        <v>51562344</v>
      </c>
      <c r="K280" s="7" t="s">
        <v>1355</v>
      </c>
      <c r="L280" s="27" t="s">
        <v>1357</v>
      </c>
      <c r="M280" s="9">
        <v>139900</v>
      </c>
      <c r="N280" s="18">
        <f t="shared" si="35"/>
        <v>0.7</v>
      </c>
      <c r="O280" s="32">
        <f t="shared" si="36"/>
        <v>41970</v>
      </c>
      <c r="P280" s="18" t="s">
        <v>19</v>
      </c>
    </row>
    <row r="281" spans="1:16" x14ac:dyDescent="0.25">
      <c r="A281" s="25" t="str">
        <f t="shared" si="33"/>
        <v>2025 JAN-JUN D70</v>
      </c>
      <c r="B281" s="8">
        <f t="shared" si="34"/>
        <v>46104</v>
      </c>
      <c r="C281" s="8">
        <f t="shared" si="37"/>
        <v>46113</v>
      </c>
      <c r="D281" s="19">
        <f t="shared" si="37"/>
        <v>3272</v>
      </c>
      <c r="E281" s="19">
        <f t="shared" si="37"/>
        <v>336</v>
      </c>
      <c r="F281" s="19">
        <f t="shared" si="37"/>
        <v>4</v>
      </c>
      <c r="G281" s="7">
        <v>1</v>
      </c>
      <c r="H281" s="7">
        <v>81379</v>
      </c>
      <c r="I281" s="7" t="s">
        <v>16</v>
      </c>
      <c r="J281" s="7">
        <v>51562353</v>
      </c>
      <c r="K281" s="7" t="s">
        <v>1355</v>
      </c>
      <c r="L281" s="27" t="s">
        <v>1358</v>
      </c>
      <c r="M281" s="9">
        <v>139900</v>
      </c>
      <c r="N281" s="18">
        <f t="shared" si="35"/>
        <v>0.7</v>
      </c>
      <c r="O281" s="32">
        <f t="shared" si="36"/>
        <v>41970</v>
      </c>
      <c r="P281" s="18" t="s">
        <v>19</v>
      </c>
    </row>
    <row r="282" spans="1:16" x14ac:dyDescent="0.25">
      <c r="A282" s="25" t="str">
        <f t="shared" si="33"/>
        <v>2025 JAN-JUN D70</v>
      </c>
      <c r="B282" s="8">
        <f t="shared" si="34"/>
        <v>46104</v>
      </c>
      <c r="C282" s="8">
        <f t="shared" si="37"/>
        <v>46113</v>
      </c>
      <c r="D282" s="19">
        <f t="shared" si="37"/>
        <v>3272</v>
      </c>
      <c r="E282" s="19">
        <f t="shared" si="37"/>
        <v>336</v>
      </c>
      <c r="F282" s="19">
        <f t="shared" si="37"/>
        <v>4</v>
      </c>
      <c r="G282" s="7">
        <v>1</v>
      </c>
      <c r="H282" s="7">
        <v>81379</v>
      </c>
      <c r="I282" s="7" t="s">
        <v>16</v>
      </c>
      <c r="J282" s="7">
        <v>51562362</v>
      </c>
      <c r="K282" s="7" t="s">
        <v>1355</v>
      </c>
      <c r="L282" s="27" t="s">
        <v>1359</v>
      </c>
      <c r="M282" s="9">
        <v>139900</v>
      </c>
      <c r="N282" s="18">
        <f t="shared" si="35"/>
        <v>0.7</v>
      </c>
      <c r="O282" s="32">
        <f t="shared" si="36"/>
        <v>41970</v>
      </c>
      <c r="P282" s="18" t="s">
        <v>19</v>
      </c>
    </row>
    <row r="283" spans="1:16" x14ac:dyDescent="0.25">
      <c r="A283" s="25" t="str">
        <f t="shared" si="33"/>
        <v>2025 JAN-JUN D70</v>
      </c>
      <c r="B283" s="8">
        <f t="shared" si="34"/>
        <v>46104</v>
      </c>
      <c r="C283" s="8">
        <f t="shared" si="37"/>
        <v>46113</v>
      </c>
      <c r="D283" s="19">
        <f t="shared" si="37"/>
        <v>3272</v>
      </c>
      <c r="E283" s="19">
        <f t="shared" si="37"/>
        <v>336</v>
      </c>
      <c r="F283" s="19">
        <f t="shared" si="37"/>
        <v>4</v>
      </c>
      <c r="G283" s="7">
        <v>1</v>
      </c>
      <c r="H283" s="7">
        <v>81379</v>
      </c>
      <c r="I283" s="7" t="s">
        <v>16</v>
      </c>
      <c r="J283" s="7">
        <v>51562371</v>
      </c>
      <c r="K283" s="7" t="s">
        <v>1355</v>
      </c>
      <c r="L283" s="27" t="s">
        <v>1360</v>
      </c>
      <c r="M283" s="9">
        <v>139900</v>
      </c>
      <c r="N283" s="18">
        <f t="shared" si="35"/>
        <v>0.7</v>
      </c>
      <c r="O283" s="32">
        <f t="shared" si="36"/>
        <v>41970</v>
      </c>
      <c r="P283" s="18" t="s">
        <v>19</v>
      </c>
    </row>
    <row r="284" spans="1:16" x14ac:dyDescent="0.25">
      <c r="A284" s="25" t="str">
        <f t="shared" si="33"/>
        <v>2025 JAN-JUN D70</v>
      </c>
      <c r="B284" s="8">
        <f t="shared" si="34"/>
        <v>46104</v>
      </c>
      <c r="C284" s="8">
        <f t="shared" si="37"/>
        <v>46113</v>
      </c>
      <c r="D284" s="19">
        <f t="shared" si="37"/>
        <v>3272</v>
      </c>
      <c r="E284" s="19">
        <f t="shared" si="37"/>
        <v>336</v>
      </c>
      <c r="F284" s="19">
        <f t="shared" si="37"/>
        <v>4</v>
      </c>
      <c r="G284" s="7">
        <v>1</v>
      </c>
      <c r="H284" s="7">
        <v>81379</v>
      </c>
      <c r="I284" s="7" t="s">
        <v>16</v>
      </c>
      <c r="J284" s="7">
        <v>51562380</v>
      </c>
      <c r="K284" s="7" t="s">
        <v>1355</v>
      </c>
      <c r="L284" s="27" t="s">
        <v>1361</v>
      </c>
      <c r="M284" s="9">
        <v>139900</v>
      </c>
      <c r="N284" s="18">
        <f t="shared" si="35"/>
        <v>0.7</v>
      </c>
      <c r="O284" s="32">
        <f t="shared" si="36"/>
        <v>41970</v>
      </c>
      <c r="P284" s="18" t="s">
        <v>19</v>
      </c>
    </row>
    <row r="285" spans="1:16" x14ac:dyDescent="0.25">
      <c r="A285" s="25" t="str">
        <f t="shared" si="33"/>
        <v>2025 JAN-JUN D70</v>
      </c>
      <c r="B285" s="8">
        <f t="shared" si="34"/>
        <v>46104</v>
      </c>
      <c r="C285" s="8">
        <f t="shared" si="37"/>
        <v>46113</v>
      </c>
      <c r="D285" s="19">
        <f t="shared" si="37"/>
        <v>3272</v>
      </c>
      <c r="E285" s="19">
        <f t="shared" si="37"/>
        <v>336</v>
      </c>
      <c r="F285" s="19">
        <f t="shared" si="37"/>
        <v>4</v>
      </c>
      <c r="G285" s="7">
        <v>1</v>
      </c>
      <c r="H285" s="7">
        <v>81379</v>
      </c>
      <c r="I285" s="7" t="s">
        <v>16</v>
      </c>
      <c r="J285" s="7">
        <v>51562399</v>
      </c>
      <c r="K285" s="7" t="s">
        <v>1355</v>
      </c>
      <c r="L285" s="27" t="s">
        <v>1362</v>
      </c>
      <c r="M285" s="9">
        <v>139900</v>
      </c>
      <c r="N285" s="18">
        <f t="shared" si="35"/>
        <v>0.7</v>
      </c>
      <c r="O285" s="32">
        <f t="shared" si="36"/>
        <v>41970</v>
      </c>
      <c r="P285" s="18" t="s">
        <v>19</v>
      </c>
    </row>
    <row r="286" spans="1:16" x14ac:dyDescent="0.25">
      <c r="A286" s="25" t="str">
        <f t="shared" si="33"/>
        <v>2025 JAN-JUN D70</v>
      </c>
      <c r="B286" s="8">
        <f t="shared" si="34"/>
        <v>46104</v>
      </c>
      <c r="C286" s="8">
        <f t="shared" si="37"/>
        <v>46113</v>
      </c>
      <c r="D286" s="19">
        <f t="shared" si="37"/>
        <v>3272</v>
      </c>
      <c r="E286" s="19">
        <f t="shared" si="37"/>
        <v>336</v>
      </c>
      <c r="F286" s="19">
        <f t="shared" si="37"/>
        <v>4</v>
      </c>
      <c r="G286" s="7">
        <v>1</v>
      </c>
      <c r="H286" s="7">
        <v>81379</v>
      </c>
      <c r="I286" s="7" t="s">
        <v>16</v>
      </c>
      <c r="J286" s="7">
        <v>51562406</v>
      </c>
      <c r="K286" s="7" t="s">
        <v>1355</v>
      </c>
      <c r="L286" s="27" t="s">
        <v>1363</v>
      </c>
      <c r="M286" s="9">
        <v>139900</v>
      </c>
      <c r="N286" s="18">
        <f t="shared" si="35"/>
        <v>0.7</v>
      </c>
      <c r="O286" s="32">
        <f t="shared" si="36"/>
        <v>41970</v>
      </c>
      <c r="P286" s="18" t="s">
        <v>19</v>
      </c>
    </row>
    <row r="287" spans="1:16" x14ac:dyDescent="0.25">
      <c r="A287" s="25" t="str">
        <f t="shared" si="33"/>
        <v>2025 JAN-JUN D70</v>
      </c>
      <c r="B287" s="8">
        <f t="shared" si="34"/>
        <v>46104</v>
      </c>
      <c r="C287" s="8">
        <f t="shared" si="37"/>
        <v>46113</v>
      </c>
      <c r="D287" s="19">
        <f t="shared" si="37"/>
        <v>3272</v>
      </c>
      <c r="E287" s="19">
        <f t="shared" si="37"/>
        <v>336</v>
      </c>
      <c r="F287" s="19">
        <f t="shared" si="37"/>
        <v>4</v>
      </c>
      <c r="G287" s="7">
        <v>1</v>
      </c>
      <c r="H287" s="7">
        <v>81676</v>
      </c>
      <c r="I287" s="7" t="s">
        <v>16</v>
      </c>
      <c r="J287" s="7">
        <v>51562415</v>
      </c>
      <c r="K287" s="7" t="s">
        <v>1364</v>
      </c>
      <c r="L287" s="27" t="s">
        <v>1365</v>
      </c>
      <c r="M287" s="9">
        <v>139900</v>
      </c>
      <c r="N287" s="18">
        <f t="shared" si="35"/>
        <v>0.7</v>
      </c>
      <c r="O287" s="32">
        <f t="shared" si="36"/>
        <v>41970</v>
      </c>
      <c r="P287" s="18" t="s">
        <v>19</v>
      </c>
    </row>
    <row r="288" spans="1:16" x14ac:dyDescent="0.25">
      <c r="A288" s="25" t="str">
        <f t="shared" si="33"/>
        <v>2025 JAN-JUN D70</v>
      </c>
      <c r="B288" s="8">
        <f t="shared" si="34"/>
        <v>46104</v>
      </c>
      <c r="C288" s="8">
        <f t="shared" si="37"/>
        <v>46113</v>
      </c>
      <c r="D288" s="19">
        <f t="shared" si="37"/>
        <v>3272</v>
      </c>
      <c r="E288" s="19">
        <f t="shared" si="37"/>
        <v>336</v>
      </c>
      <c r="F288" s="19">
        <f t="shared" si="37"/>
        <v>4</v>
      </c>
      <c r="G288" s="7">
        <v>1</v>
      </c>
      <c r="H288" s="7">
        <v>81676</v>
      </c>
      <c r="I288" s="7" t="s">
        <v>16</v>
      </c>
      <c r="J288" s="7">
        <v>51562424</v>
      </c>
      <c r="K288" s="7" t="s">
        <v>1364</v>
      </c>
      <c r="L288" s="27" t="s">
        <v>1366</v>
      </c>
      <c r="M288" s="9">
        <v>139900</v>
      </c>
      <c r="N288" s="18">
        <f t="shared" si="35"/>
        <v>0.7</v>
      </c>
      <c r="O288" s="32">
        <f t="shared" si="36"/>
        <v>41970</v>
      </c>
      <c r="P288" s="18" t="s">
        <v>19</v>
      </c>
    </row>
    <row r="289" spans="1:16" x14ac:dyDescent="0.25">
      <c r="A289" s="25" t="str">
        <f t="shared" si="33"/>
        <v>2025 JAN-JUN D70</v>
      </c>
      <c r="B289" s="8">
        <f t="shared" si="34"/>
        <v>46104</v>
      </c>
      <c r="C289" s="8">
        <f t="shared" si="37"/>
        <v>46113</v>
      </c>
      <c r="D289" s="19">
        <f t="shared" si="37"/>
        <v>3272</v>
      </c>
      <c r="E289" s="19">
        <f t="shared" si="37"/>
        <v>336</v>
      </c>
      <c r="F289" s="19">
        <f t="shared" si="37"/>
        <v>4</v>
      </c>
      <c r="G289" s="7">
        <v>1</v>
      </c>
      <c r="H289" s="7">
        <v>81676</v>
      </c>
      <c r="I289" s="7" t="s">
        <v>16</v>
      </c>
      <c r="J289" s="7">
        <v>51562433</v>
      </c>
      <c r="K289" s="7" t="s">
        <v>1364</v>
      </c>
      <c r="L289" s="27" t="s">
        <v>1367</v>
      </c>
      <c r="M289" s="9">
        <v>139900</v>
      </c>
      <c r="N289" s="18">
        <f t="shared" si="35"/>
        <v>0.7</v>
      </c>
      <c r="O289" s="32">
        <f t="shared" si="36"/>
        <v>41970</v>
      </c>
      <c r="P289" s="18" t="s">
        <v>19</v>
      </c>
    </row>
    <row r="290" spans="1:16" x14ac:dyDescent="0.25">
      <c r="A290" s="25" t="str">
        <f t="shared" si="33"/>
        <v>2025 JAN-JUN D70</v>
      </c>
      <c r="B290" s="8">
        <f t="shared" si="34"/>
        <v>46104</v>
      </c>
      <c r="C290" s="8">
        <f t="shared" si="37"/>
        <v>46113</v>
      </c>
      <c r="D290" s="19">
        <f t="shared" si="37"/>
        <v>3272</v>
      </c>
      <c r="E290" s="19">
        <f t="shared" si="37"/>
        <v>336</v>
      </c>
      <c r="F290" s="19">
        <f t="shared" si="37"/>
        <v>4</v>
      </c>
      <c r="G290" s="7">
        <v>1</v>
      </c>
      <c r="H290" s="7">
        <v>81676</v>
      </c>
      <c r="I290" s="7" t="s">
        <v>16</v>
      </c>
      <c r="J290" s="7">
        <v>51562442</v>
      </c>
      <c r="K290" s="7" t="s">
        <v>1364</v>
      </c>
      <c r="L290" s="27" t="s">
        <v>1368</v>
      </c>
      <c r="M290" s="9">
        <v>139900</v>
      </c>
      <c r="N290" s="18">
        <f t="shared" si="35"/>
        <v>0.7</v>
      </c>
      <c r="O290" s="32">
        <f t="shared" si="36"/>
        <v>41970</v>
      </c>
      <c r="P290" s="18" t="s">
        <v>19</v>
      </c>
    </row>
    <row r="291" spans="1:16" x14ac:dyDescent="0.25">
      <c r="A291" s="25" t="str">
        <f t="shared" si="33"/>
        <v>2025 JAN-JUN D70</v>
      </c>
      <c r="B291" s="8">
        <f t="shared" si="34"/>
        <v>46104</v>
      </c>
      <c r="C291" s="8">
        <f t="shared" ref="C291:F306" si="38">C290</f>
        <v>46113</v>
      </c>
      <c r="D291" s="19">
        <f t="shared" si="38"/>
        <v>3272</v>
      </c>
      <c r="E291" s="19">
        <f t="shared" si="38"/>
        <v>336</v>
      </c>
      <c r="F291" s="19">
        <f t="shared" si="38"/>
        <v>4</v>
      </c>
      <c r="G291" s="7">
        <v>1</v>
      </c>
      <c r="H291" s="7">
        <v>81676</v>
      </c>
      <c r="I291" s="7" t="s">
        <v>16</v>
      </c>
      <c r="J291" s="7">
        <v>51562451</v>
      </c>
      <c r="K291" s="7" t="s">
        <v>1364</v>
      </c>
      <c r="L291" s="27" t="s">
        <v>1369</v>
      </c>
      <c r="M291" s="9">
        <v>139900</v>
      </c>
      <c r="N291" s="18">
        <f t="shared" si="35"/>
        <v>0.7</v>
      </c>
      <c r="O291" s="32">
        <f t="shared" si="36"/>
        <v>41970</v>
      </c>
      <c r="P291" s="18" t="s">
        <v>19</v>
      </c>
    </row>
    <row r="292" spans="1:16" x14ac:dyDescent="0.25">
      <c r="A292" s="25" t="str">
        <f t="shared" si="33"/>
        <v>2025 JAN-JUN D70</v>
      </c>
      <c r="B292" s="8">
        <f t="shared" si="34"/>
        <v>46104</v>
      </c>
      <c r="C292" s="8">
        <f t="shared" si="38"/>
        <v>46113</v>
      </c>
      <c r="D292" s="19">
        <f t="shared" si="38"/>
        <v>3272</v>
      </c>
      <c r="E292" s="19">
        <f t="shared" si="38"/>
        <v>336</v>
      </c>
      <c r="F292" s="19">
        <f t="shared" si="38"/>
        <v>4</v>
      </c>
      <c r="G292" s="7">
        <v>1</v>
      </c>
      <c r="H292" s="7">
        <v>81676</v>
      </c>
      <c r="I292" s="7" t="s">
        <v>16</v>
      </c>
      <c r="J292" s="7">
        <v>51563003</v>
      </c>
      <c r="K292" s="7" t="s">
        <v>1370</v>
      </c>
      <c r="L292" s="27" t="s">
        <v>1371</v>
      </c>
      <c r="M292" s="9">
        <v>139900</v>
      </c>
      <c r="N292" s="18">
        <f t="shared" si="35"/>
        <v>0.7</v>
      </c>
      <c r="O292" s="32">
        <f t="shared" si="36"/>
        <v>41970</v>
      </c>
      <c r="P292" s="18" t="s">
        <v>19</v>
      </c>
    </row>
    <row r="293" spans="1:16" x14ac:dyDescent="0.25">
      <c r="A293" s="25" t="str">
        <f t="shared" si="33"/>
        <v>2025 JAN-JUN D70</v>
      </c>
      <c r="B293" s="8">
        <f t="shared" si="34"/>
        <v>46104</v>
      </c>
      <c r="C293" s="8">
        <f t="shared" si="38"/>
        <v>46113</v>
      </c>
      <c r="D293" s="19">
        <f t="shared" si="38"/>
        <v>3272</v>
      </c>
      <c r="E293" s="19">
        <f t="shared" si="38"/>
        <v>336</v>
      </c>
      <c r="F293" s="19">
        <f t="shared" si="38"/>
        <v>4</v>
      </c>
      <c r="G293" s="7">
        <v>1</v>
      </c>
      <c r="H293" s="7">
        <v>81676</v>
      </c>
      <c r="I293" s="7" t="s">
        <v>16</v>
      </c>
      <c r="J293" s="7">
        <v>51563012</v>
      </c>
      <c r="K293" s="7" t="s">
        <v>1370</v>
      </c>
      <c r="L293" s="27" t="s">
        <v>1372</v>
      </c>
      <c r="M293" s="9">
        <v>139900</v>
      </c>
      <c r="N293" s="18">
        <f t="shared" si="35"/>
        <v>0.7</v>
      </c>
      <c r="O293" s="32">
        <f t="shared" si="36"/>
        <v>41970</v>
      </c>
      <c r="P293" s="18" t="s">
        <v>19</v>
      </c>
    </row>
    <row r="294" spans="1:16" x14ac:dyDescent="0.25">
      <c r="A294" s="25" t="str">
        <f t="shared" si="33"/>
        <v>2025 JAN-JUN D70</v>
      </c>
      <c r="B294" s="8">
        <f t="shared" si="34"/>
        <v>46104</v>
      </c>
      <c r="C294" s="8">
        <f t="shared" si="38"/>
        <v>46113</v>
      </c>
      <c r="D294" s="19">
        <f t="shared" si="38"/>
        <v>3272</v>
      </c>
      <c r="E294" s="19">
        <f t="shared" si="38"/>
        <v>336</v>
      </c>
      <c r="F294" s="19">
        <f t="shared" si="38"/>
        <v>4</v>
      </c>
      <c r="G294" s="7">
        <v>1</v>
      </c>
      <c r="H294" s="7">
        <v>81676</v>
      </c>
      <c r="I294" s="7" t="s">
        <v>16</v>
      </c>
      <c r="J294" s="7">
        <v>51563021</v>
      </c>
      <c r="K294" s="7" t="s">
        <v>1370</v>
      </c>
      <c r="L294" s="27" t="s">
        <v>1373</v>
      </c>
      <c r="M294" s="9">
        <v>139900</v>
      </c>
      <c r="N294" s="18">
        <f t="shared" si="35"/>
        <v>0.7</v>
      </c>
      <c r="O294" s="32">
        <f t="shared" si="36"/>
        <v>41970</v>
      </c>
      <c r="P294" s="18" t="s">
        <v>19</v>
      </c>
    </row>
    <row r="295" spans="1:16" x14ac:dyDescent="0.25">
      <c r="A295" s="25" t="str">
        <f t="shared" si="33"/>
        <v>2025 JAN-JUN D70</v>
      </c>
      <c r="B295" s="8">
        <f t="shared" si="34"/>
        <v>46104</v>
      </c>
      <c r="C295" s="8">
        <f t="shared" si="38"/>
        <v>46113</v>
      </c>
      <c r="D295" s="19">
        <f t="shared" si="38"/>
        <v>3272</v>
      </c>
      <c r="E295" s="19">
        <f t="shared" si="38"/>
        <v>336</v>
      </c>
      <c r="F295" s="19">
        <f t="shared" si="38"/>
        <v>4</v>
      </c>
      <c r="G295" s="7">
        <v>1</v>
      </c>
      <c r="H295" s="7">
        <v>81676</v>
      </c>
      <c r="I295" s="7" t="s">
        <v>16</v>
      </c>
      <c r="J295" s="7">
        <v>51563030</v>
      </c>
      <c r="K295" s="7" t="s">
        <v>1370</v>
      </c>
      <c r="L295" s="27" t="s">
        <v>1374</v>
      </c>
      <c r="M295" s="9">
        <v>139900</v>
      </c>
      <c r="N295" s="18">
        <f t="shared" si="35"/>
        <v>0.7</v>
      </c>
      <c r="O295" s="32">
        <f t="shared" si="36"/>
        <v>41970</v>
      </c>
      <c r="P295" s="18" t="s">
        <v>19</v>
      </c>
    </row>
    <row r="296" spans="1:16" x14ac:dyDescent="0.25">
      <c r="A296" s="25" t="str">
        <f t="shared" si="33"/>
        <v>2025 JAN-JUN D70</v>
      </c>
      <c r="B296" s="8">
        <f t="shared" si="34"/>
        <v>46104</v>
      </c>
      <c r="C296" s="8">
        <f t="shared" si="38"/>
        <v>46113</v>
      </c>
      <c r="D296" s="19">
        <f t="shared" si="38"/>
        <v>3272</v>
      </c>
      <c r="E296" s="19">
        <f t="shared" si="38"/>
        <v>336</v>
      </c>
      <c r="F296" s="19">
        <f t="shared" si="38"/>
        <v>4</v>
      </c>
      <c r="G296" s="7">
        <v>1</v>
      </c>
      <c r="H296" s="7">
        <v>81676</v>
      </c>
      <c r="I296" s="7" t="s">
        <v>16</v>
      </c>
      <c r="J296" s="7">
        <v>51563049</v>
      </c>
      <c r="K296" s="7" t="s">
        <v>1370</v>
      </c>
      <c r="L296" s="27" t="s">
        <v>1375</v>
      </c>
      <c r="M296" s="9">
        <v>139900</v>
      </c>
      <c r="N296" s="18">
        <f t="shared" si="35"/>
        <v>0.7</v>
      </c>
      <c r="O296" s="32">
        <f t="shared" si="36"/>
        <v>41970</v>
      </c>
      <c r="P296" s="18" t="s">
        <v>19</v>
      </c>
    </row>
    <row r="297" spans="1:16" x14ac:dyDescent="0.25">
      <c r="A297" s="25" t="str">
        <f t="shared" si="33"/>
        <v>2025 JAN-JUN D70</v>
      </c>
      <c r="B297" s="8">
        <f t="shared" si="34"/>
        <v>46104</v>
      </c>
      <c r="C297" s="8">
        <f t="shared" si="38"/>
        <v>46113</v>
      </c>
      <c r="D297" s="19">
        <f t="shared" si="38"/>
        <v>3272</v>
      </c>
      <c r="E297" s="19">
        <f t="shared" si="38"/>
        <v>336</v>
      </c>
      <c r="F297" s="19">
        <f t="shared" si="38"/>
        <v>4</v>
      </c>
      <c r="G297" s="7">
        <v>1</v>
      </c>
      <c r="H297" s="7">
        <v>81676</v>
      </c>
      <c r="I297" s="7" t="s">
        <v>16</v>
      </c>
      <c r="J297" s="7">
        <v>51563101</v>
      </c>
      <c r="K297" s="7" t="s">
        <v>1376</v>
      </c>
      <c r="L297" s="27" t="s">
        <v>1377</v>
      </c>
      <c r="M297" s="9">
        <v>139900</v>
      </c>
      <c r="N297" s="18">
        <f t="shared" si="35"/>
        <v>0.7</v>
      </c>
      <c r="O297" s="32">
        <f t="shared" si="36"/>
        <v>41970</v>
      </c>
      <c r="P297" s="18" t="s">
        <v>19</v>
      </c>
    </row>
    <row r="298" spans="1:16" x14ac:dyDescent="0.25">
      <c r="A298" s="25" t="str">
        <f t="shared" si="33"/>
        <v>2025 JAN-JUN D70</v>
      </c>
      <c r="B298" s="8">
        <f t="shared" si="34"/>
        <v>46104</v>
      </c>
      <c r="C298" s="8">
        <f t="shared" si="38"/>
        <v>46113</v>
      </c>
      <c r="D298" s="19">
        <f t="shared" si="38"/>
        <v>3272</v>
      </c>
      <c r="E298" s="19">
        <f t="shared" si="38"/>
        <v>336</v>
      </c>
      <c r="F298" s="19">
        <f t="shared" si="38"/>
        <v>4</v>
      </c>
      <c r="G298" s="7">
        <v>1</v>
      </c>
      <c r="H298" s="7">
        <v>81676</v>
      </c>
      <c r="I298" s="7" t="s">
        <v>16</v>
      </c>
      <c r="J298" s="7">
        <v>51563110</v>
      </c>
      <c r="K298" s="7" t="s">
        <v>1376</v>
      </c>
      <c r="L298" s="27" t="s">
        <v>1378</v>
      </c>
      <c r="M298" s="9">
        <v>139900</v>
      </c>
      <c r="N298" s="18">
        <f t="shared" si="35"/>
        <v>0.7</v>
      </c>
      <c r="O298" s="32">
        <f t="shared" si="36"/>
        <v>41970</v>
      </c>
      <c r="P298" s="18" t="s">
        <v>19</v>
      </c>
    </row>
    <row r="299" spans="1:16" x14ac:dyDescent="0.25">
      <c r="A299" s="25" t="str">
        <f t="shared" si="33"/>
        <v>2025 JAN-JUN D70</v>
      </c>
      <c r="B299" s="8">
        <f t="shared" si="34"/>
        <v>46104</v>
      </c>
      <c r="C299" s="8">
        <f t="shared" si="38"/>
        <v>46113</v>
      </c>
      <c r="D299" s="19">
        <f t="shared" si="38"/>
        <v>3272</v>
      </c>
      <c r="E299" s="19">
        <f t="shared" si="38"/>
        <v>336</v>
      </c>
      <c r="F299" s="19">
        <f t="shared" si="38"/>
        <v>4</v>
      </c>
      <c r="G299" s="7">
        <v>1</v>
      </c>
      <c r="H299" s="7">
        <v>81676</v>
      </c>
      <c r="I299" s="7" t="s">
        <v>16</v>
      </c>
      <c r="J299" s="7">
        <v>51563129</v>
      </c>
      <c r="K299" s="7" t="s">
        <v>1376</v>
      </c>
      <c r="L299" s="27" t="s">
        <v>1379</v>
      </c>
      <c r="M299" s="9">
        <v>139900</v>
      </c>
      <c r="N299" s="18">
        <f t="shared" si="35"/>
        <v>0.7</v>
      </c>
      <c r="O299" s="32">
        <f t="shared" si="36"/>
        <v>41970</v>
      </c>
      <c r="P299" s="18" t="s">
        <v>19</v>
      </c>
    </row>
    <row r="300" spans="1:16" x14ac:dyDescent="0.25">
      <c r="A300" s="25" t="str">
        <f t="shared" si="33"/>
        <v>2025 JAN-JUN D70</v>
      </c>
      <c r="B300" s="8">
        <f t="shared" si="34"/>
        <v>46104</v>
      </c>
      <c r="C300" s="8">
        <f t="shared" si="38"/>
        <v>46113</v>
      </c>
      <c r="D300" s="19">
        <f t="shared" si="38"/>
        <v>3272</v>
      </c>
      <c r="E300" s="19">
        <f t="shared" si="38"/>
        <v>336</v>
      </c>
      <c r="F300" s="19">
        <f t="shared" si="38"/>
        <v>4</v>
      </c>
      <c r="G300" s="7">
        <v>1</v>
      </c>
      <c r="H300" s="7">
        <v>81676</v>
      </c>
      <c r="I300" s="7" t="s">
        <v>16</v>
      </c>
      <c r="J300" s="7">
        <v>51563138</v>
      </c>
      <c r="K300" s="7" t="s">
        <v>1376</v>
      </c>
      <c r="L300" s="27" t="s">
        <v>1380</v>
      </c>
      <c r="M300" s="9">
        <v>139900</v>
      </c>
      <c r="N300" s="18">
        <f t="shared" si="35"/>
        <v>0.7</v>
      </c>
      <c r="O300" s="32">
        <f t="shared" si="36"/>
        <v>41970</v>
      </c>
      <c r="P300" s="18" t="s">
        <v>19</v>
      </c>
    </row>
    <row r="301" spans="1:16" x14ac:dyDescent="0.25">
      <c r="A301" s="25" t="str">
        <f t="shared" si="33"/>
        <v>2025 JAN-JUN D70</v>
      </c>
      <c r="B301" s="8">
        <f t="shared" si="34"/>
        <v>46104</v>
      </c>
      <c r="C301" s="8">
        <f t="shared" si="38"/>
        <v>46113</v>
      </c>
      <c r="D301" s="19">
        <f t="shared" si="38"/>
        <v>3272</v>
      </c>
      <c r="E301" s="19">
        <f t="shared" si="38"/>
        <v>336</v>
      </c>
      <c r="F301" s="19">
        <f t="shared" si="38"/>
        <v>4</v>
      </c>
      <c r="G301" s="7">
        <v>1</v>
      </c>
      <c r="H301" s="7">
        <v>81676</v>
      </c>
      <c r="I301" s="7" t="s">
        <v>16</v>
      </c>
      <c r="J301" s="7">
        <v>51563147</v>
      </c>
      <c r="K301" s="7" t="s">
        <v>1376</v>
      </c>
      <c r="L301" s="27" t="s">
        <v>1381</v>
      </c>
      <c r="M301" s="9">
        <v>139900</v>
      </c>
      <c r="N301" s="18">
        <f t="shared" si="35"/>
        <v>0.7</v>
      </c>
      <c r="O301" s="32">
        <f t="shared" si="36"/>
        <v>41970</v>
      </c>
      <c r="P301" s="18" t="s">
        <v>19</v>
      </c>
    </row>
    <row r="302" spans="1:16" x14ac:dyDescent="0.25">
      <c r="A302" s="25" t="str">
        <f t="shared" si="33"/>
        <v>2025 JAN-JUN D70</v>
      </c>
      <c r="B302" s="8">
        <f t="shared" si="34"/>
        <v>46104</v>
      </c>
      <c r="C302" s="8">
        <f t="shared" si="38"/>
        <v>46113</v>
      </c>
      <c r="D302" s="19">
        <f t="shared" si="38"/>
        <v>3272</v>
      </c>
      <c r="E302" s="19">
        <f t="shared" si="38"/>
        <v>336</v>
      </c>
      <c r="F302" s="19">
        <f t="shared" si="38"/>
        <v>4</v>
      </c>
      <c r="G302" s="7">
        <v>1</v>
      </c>
      <c r="H302" s="7">
        <v>81676</v>
      </c>
      <c r="I302" s="7" t="s">
        <v>16</v>
      </c>
      <c r="J302" s="7">
        <v>51563156</v>
      </c>
      <c r="K302" s="7" t="s">
        <v>1376</v>
      </c>
      <c r="L302" s="27" t="s">
        <v>1382</v>
      </c>
      <c r="M302" s="9">
        <v>139900</v>
      </c>
      <c r="N302" s="18">
        <f t="shared" si="35"/>
        <v>0.7</v>
      </c>
      <c r="O302" s="32">
        <f t="shared" si="36"/>
        <v>41970</v>
      </c>
      <c r="P302" s="18" t="s">
        <v>19</v>
      </c>
    </row>
    <row r="303" spans="1:16" x14ac:dyDescent="0.25">
      <c r="A303" s="25" t="str">
        <f t="shared" si="33"/>
        <v>2025 JAN-JUN D70</v>
      </c>
      <c r="B303" s="8">
        <f t="shared" si="34"/>
        <v>46104</v>
      </c>
      <c r="C303" s="8">
        <f t="shared" si="38"/>
        <v>46113</v>
      </c>
      <c r="D303" s="19">
        <f t="shared" si="38"/>
        <v>3272</v>
      </c>
      <c r="E303" s="19">
        <f t="shared" si="38"/>
        <v>336</v>
      </c>
      <c r="F303" s="19">
        <f t="shared" si="38"/>
        <v>4</v>
      </c>
      <c r="G303" s="7">
        <v>1</v>
      </c>
      <c r="H303" s="7">
        <v>81676</v>
      </c>
      <c r="I303" s="7" t="s">
        <v>16</v>
      </c>
      <c r="J303" s="7">
        <v>51563165</v>
      </c>
      <c r="K303" s="7" t="s">
        <v>1376</v>
      </c>
      <c r="L303" s="27" t="s">
        <v>1383</v>
      </c>
      <c r="M303" s="9">
        <v>139900</v>
      </c>
      <c r="N303" s="18">
        <f t="shared" si="35"/>
        <v>0.7</v>
      </c>
      <c r="O303" s="32">
        <f t="shared" si="36"/>
        <v>41970</v>
      </c>
      <c r="P303" s="18" t="s">
        <v>19</v>
      </c>
    </row>
    <row r="304" spans="1:16" x14ac:dyDescent="0.25">
      <c r="A304" s="25" t="str">
        <f t="shared" si="33"/>
        <v>2025 JAN-JUN D70</v>
      </c>
      <c r="B304" s="8">
        <f t="shared" si="34"/>
        <v>46104</v>
      </c>
      <c r="C304" s="8">
        <f t="shared" si="38"/>
        <v>46113</v>
      </c>
      <c r="D304" s="19">
        <f t="shared" si="38"/>
        <v>3272</v>
      </c>
      <c r="E304" s="19">
        <f t="shared" si="38"/>
        <v>336</v>
      </c>
      <c r="F304" s="19">
        <f t="shared" si="38"/>
        <v>4</v>
      </c>
      <c r="G304" s="7">
        <v>1</v>
      </c>
      <c r="H304" s="7">
        <v>81676</v>
      </c>
      <c r="I304" s="7" t="s">
        <v>16</v>
      </c>
      <c r="J304" s="7">
        <v>51563174</v>
      </c>
      <c r="K304" s="7" t="s">
        <v>1376</v>
      </c>
      <c r="L304" s="27" t="s">
        <v>1384</v>
      </c>
      <c r="M304" s="9">
        <v>139900</v>
      </c>
      <c r="N304" s="18">
        <f t="shared" si="35"/>
        <v>0.7</v>
      </c>
      <c r="O304" s="32">
        <f t="shared" si="36"/>
        <v>41970</v>
      </c>
      <c r="P304" s="18" t="s">
        <v>19</v>
      </c>
    </row>
    <row r="305" spans="1:16" x14ac:dyDescent="0.25">
      <c r="A305" s="25" t="str">
        <f t="shared" si="33"/>
        <v>2025 JAN-JUN D70</v>
      </c>
      <c r="B305" s="8">
        <f t="shared" si="34"/>
        <v>46104</v>
      </c>
      <c r="C305" s="8">
        <f t="shared" si="38"/>
        <v>46113</v>
      </c>
      <c r="D305" s="19">
        <f t="shared" si="38"/>
        <v>3272</v>
      </c>
      <c r="E305" s="19">
        <f t="shared" si="38"/>
        <v>336</v>
      </c>
      <c r="F305" s="19">
        <f t="shared" si="38"/>
        <v>4</v>
      </c>
      <c r="G305" s="7">
        <v>1</v>
      </c>
      <c r="H305" s="7">
        <v>81676</v>
      </c>
      <c r="I305" s="7" t="s">
        <v>16</v>
      </c>
      <c r="J305" s="7">
        <v>51563183</v>
      </c>
      <c r="K305" s="7" t="s">
        <v>1385</v>
      </c>
      <c r="L305" s="27" t="s">
        <v>1386</v>
      </c>
      <c r="M305" s="9">
        <v>139900</v>
      </c>
      <c r="N305" s="18">
        <f t="shared" si="35"/>
        <v>0.7</v>
      </c>
      <c r="O305" s="32">
        <f t="shared" si="36"/>
        <v>41970</v>
      </c>
      <c r="P305" s="18" t="s">
        <v>19</v>
      </c>
    </row>
    <row r="306" spans="1:16" x14ac:dyDescent="0.25">
      <c r="A306" s="25" t="str">
        <f t="shared" si="33"/>
        <v>2025 JAN-JUN D70</v>
      </c>
      <c r="B306" s="8">
        <f t="shared" si="34"/>
        <v>46104</v>
      </c>
      <c r="C306" s="8">
        <f t="shared" si="38"/>
        <v>46113</v>
      </c>
      <c r="D306" s="19">
        <f t="shared" si="38"/>
        <v>3272</v>
      </c>
      <c r="E306" s="19">
        <f t="shared" si="38"/>
        <v>336</v>
      </c>
      <c r="F306" s="19">
        <f t="shared" si="38"/>
        <v>4</v>
      </c>
      <c r="G306" s="7">
        <v>1</v>
      </c>
      <c r="H306" s="7">
        <v>81676</v>
      </c>
      <c r="I306" s="7" t="s">
        <v>16</v>
      </c>
      <c r="J306" s="7">
        <v>51563192</v>
      </c>
      <c r="K306" s="7" t="s">
        <v>1385</v>
      </c>
      <c r="L306" s="27" t="s">
        <v>1387</v>
      </c>
      <c r="M306" s="9">
        <v>139900</v>
      </c>
      <c r="N306" s="18">
        <f t="shared" si="35"/>
        <v>0.7</v>
      </c>
      <c r="O306" s="32">
        <f t="shared" si="36"/>
        <v>41970</v>
      </c>
      <c r="P306" s="18" t="s">
        <v>19</v>
      </c>
    </row>
    <row r="307" spans="1:16" x14ac:dyDescent="0.25">
      <c r="A307" s="25" t="str">
        <f t="shared" si="33"/>
        <v>2025 JAN-JUN D70</v>
      </c>
      <c r="B307" s="8">
        <f t="shared" si="34"/>
        <v>46104</v>
      </c>
      <c r="C307" s="8">
        <f t="shared" ref="C307:F322" si="39">C306</f>
        <v>46113</v>
      </c>
      <c r="D307" s="19">
        <f t="shared" si="39"/>
        <v>3272</v>
      </c>
      <c r="E307" s="19">
        <f t="shared" si="39"/>
        <v>336</v>
      </c>
      <c r="F307" s="19">
        <f t="shared" si="39"/>
        <v>4</v>
      </c>
      <c r="G307" s="7">
        <v>1</v>
      </c>
      <c r="H307" s="7">
        <v>81676</v>
      </c>
      <c r="I307" s="7" t="s">
        <v>16</v>
      </c>
      <c r="J307" s="7">
        <v>51563209</v>
      </c>
      <c r="K307" s="7" t="s">
        <v>1385</v>
      </c>
      <c r="L307" s="27" t="s">
        <v>1388</v>
      </c>
      <c r="M307" s="9">
        <v>139900</v>
      </c>
      <c r="N307" s="18">
        <f t="shared" si="35"/>
        <v>0.7</v>
      </c>
      <c r="O307" s="32">
        <f t="shared" si="36"/>
        <v>41970</v>
      </c>
      <c r="P307" s="18" t="s">
        <v>19</v>
      </c>
    </row>
    <row r="308" spans="1:16" x14ac:dyDescent="0.25">
      <c r="A308" s="25" t="str">
        <f t="shared" si="33"/>
        <v>2025 JAN-JUN D70</v>
      </c>
      <c r="B308" s="8">
        <f t="shared" si="34"/>
        <v>46104</v>
      </c>
      <c r="C308" s="8">
        <f t="shared" si="39"/>
        <v>46113</v>
      </c>
      <c r="D308" s="19">
        <f t="shared" si="39"/>
        <v>3272</v>
      </c>
      <c r="E308" s="19">
        <f t="shared" si="39"/>
        <v>336</v>
      </c>
      <c r="F308" s="19">
        <f t="shared" si="39"/>
        <v>4</v>
      </c>
      <c r="G308" s="7">
        <v>1</v>
      </c>
      <c r="H308" s="7">
        <v>81676</v>
      </c>
      <c r="I308" s="7" t="s">
        <v>16</v>
      </c>
      <c r="J308" s="7">
        <v>51563218</v>
      </c>
      <c r="K308" s="7" t="s">
        <v>1385</v>
      </c>
      <c r="L308" s="27" t="s">
        <v>1389</v>
      </c>
      <c r="M308" s="9">
        <v>149900</v>
      </c>
      <c r="N308" s="18">
        <f t="shared" si="35"/>
        <v>0.7</v>
      </c>
      <c r="O308" s="32">
        <f t="shared" si="36"/>
        <v>44970</v>
      </c>
      <c r="P308" s="18" t="s">
        <v>19</v>
      </c>
    </row>
    <row r="309" spans="1:16" x14ac:dyDescent="0.25">
      <c r="A309" s="25" t="str">
        <f t="shared" si="33"/>
        <v>2025 JAN-JUN D70</v>
      </c>
      <c r="B309" s="8">
        <f t="shared" si="34"/>
        <v>46104</v>
      </c>
      <c r="C309" s="8">
        <f t="shared" si="39"/>
        <v>46113</v>
      </c>
      <c r="D309" s="19">
        <f t="shared" si="39"/>
        <v>3272</v>
      </c>
      <c r="E309" s="19">
        <f t="shared" si="39"/>
        <v>336</v>
      </c>
      <c r="F309" s="19">
        <f t="shared" si="39"/>
        <v>4</v>
      </c>
      <c r="G309" s="7">
        <v>1</v>
      </c>
      <c r="H309" s="7">
        <v>81676</v>
      </c>
      <c r="I309" s="7" t="s">
        <v>16</v>
      </c>
      <c r="J309" s="7">
        <v>51563227</v>
      </c>
      <c r="K309" s="7" t="s">
        <v>1385</v>
      </c>
      <c r="L309" s="27" t="s">
        <v>1390</v>
      </c>
      <c r="M309" s="9">
        <v>149900</v>
      </c>
      <c r="N309" s="18">
        <f t="shared" si="35"/>
        <v>0.7</v>
      </c>
      <c r="O309" s="32">
        <f t="shared" si="36"/>
        <v>44970</v>
      </c>
      <c r="P309" s="18" t="s">
        <v>19</v>
      </c>
    </row>
    <row r="310" spans="1:16" x14ac:dyDescent="0.25">
      <c r="A310" s="25" t="str">
        <f t="shared" si="33"/>
        <v>2025 JAN-JUN D70</v>
      </c>
      <c r="B310" s="8">
        <f t="shared" si="34"/>
        <v>46104</v>
      </c>
      <c r="C310" s="8">
        <f t="shared" si="39"/>
        <v>46113</v>
      </c>
      <c r="D310" s="7">
        <v>3272</v>
      </c>
      <c r="E310" s="7">
        <v>336</v>
      </c>
      <c r="F310" s="7">
        <v>4</v>
      </c>
      <c r="G310" s="7">
        <v>1</v>
      </c>
      <c r="H310" s="7">
        <v>81588</v>
      </c>
      <c r="I310" s="7" t="s">
        <v>16</v>
      </c>
      <c r="J310" s="7">
        <v>45644973</v>
      </c>
      <c r="K310" s="7" t="s">
        <v>1391</v>
      </c>
      <c r="L310" s="27" t="s">
        <v>1392</v>
      </c>
      <c r="M310" s="9">
        <v>149900</v>
      </c>
      <c r="N310" s="18">
        <f t="shared" si="35"/>
        <v>0.7</v>
      </c>
      <c r="O310" s="32">
        <f t="shared" si="36"/>
        <v>44970</v>
      </c>
      <c r="P310" s="18" t="s">
        <v>19</v>
      </c>
    </row>
    <row r="311" spans="1:16" x14ac:dyDescent="0.25">
      <c r="A311" s="25" t="str">
        <f t="shared" si="33"/>
        <v>2025 JAN-JUN D70</v>
      </c>
      <c r="B311" s="8">
        <f t="shared" si="34"/>
        <v>46104</v>
      </c>
      <c r="C311" s="8">
        <f t="shared" si="39"/>
        <v>46113</v>
      </c>
      <c r="D311" s="7">
        <v>3272</v>
      </c>
      <c r="E311" s="7">
        <v>336</v>
      </c>
      <c r="F311" s="7">
        <v>4</v>
      </c>
      <c r="G311" s="7">
        <v>1</v>
      </c>
      <c r="H311" s="7">
        <v>81588</v>
      </c>
      <c r="I311" s="7" t="s">
        <v>16</v>
      </c>
      <c r="J311" s="7">
        <v>45644982</v>
      </c>
      <c r="K311" s="7" t="s">
        <v>1391</v>
      </c>
      <c r="L311" s="27" t="s">
        <v>1393</v>
      </c>
      <c r="M311" s="9">
        <v>149900</v>
      </c>
      <c r="N311" s="18">
        <f t="shared" si="35"/>
        <v>0.7</v>
      </c>
      <c r="O311" s="32">
        <f t="shared" si="36"/>
        <v>44970</v>
      </c>
      <c r="P311" s="18" t="s">
        <v>19</v>
      </c>
    </row>
    <row r="312" spans="1:16" x14ac:dyDescent="0.25">
      <c r="A312" s="25" t="str">
        <f t="shared" si="33"/>
        <v>2025 JAN-JUN D70</v>
      </c>
      <c r="B312" s="8">
        <f t="shared" si="34"/>
        <v>46104</v>
      </c>
      <c r="C312" s="8">
        <f t="shared" si="39"/>
        <v>46113</v>
      </c>
      <c r="D312" s="7">
        <v>3272</v>
      </c>
      <c r="E312" s="7">
        <v>336</v>
      </c>
      <c r="F312" s="7">
        <v>4</v>
      </c>
      <c r="G312" s="7">
        <v>1</v>
      </c>
      <c r="H312" s="7">
        <v>81588</v>
      </c>
      <c r="I312" s="7" t="s">
        <v>16</v>
      </c>
      <c r="J312" s="7">
        <v>45644991</v>
      </c>
      <c r="K312" s="7" t="s">
        <v>1391</v>
      </c>
      <c r="L312" s="27" t="s">
        <v>1394</v>
      </c>
      <c r="M312" s="9">
        <v>149900</v>
      </c>
      <c r="N312" s="18">
        <f t="shared" si="35"/>
        <v>0.7</v>
      </c>
      <c r="O312" s="32">
        <f t="shared" si="36"/>
        <v>44970</v>
      </c>
      <c r="P312" s="18" t="s">
        <v>19</v>
      </c>
    </row>
    <row r="313" spans="1:16" x14ac:dyDescent="0.25">
      <c r="A313" s="25" t="str">
        <f t="shared" si="33"/>
        <v>2025 JAN-JUN D70</v>
      </c>
      <c r="B313" s="8">
        <f t="shared" si="34"/>
        <v>46104</v>
      </c>
      <c r="C313" s="8">
        <f t="shared" si="39"/>
        <v>46113</v>
      </c>
      <c r="D313" s="7">
        <v>3272</v>
      </c>
      <c r="E313" s="7">
        <v>336</v>
      </c>
      <c r="F313" s="7">
        <v>4</v>
      </c>
      <c r="G313" s="7">
        <v>1</v>
      </c>
      <c r="H313" s="7">
        <v>81588</v>
      </c>
      <c r="I313" s="7" t="s">
        <v>16</v>
      </c>
      <c r="J313" s="7">
        <v>45645007</v>
      </c>
      <c r="K313" s="7" t="s">
        <v>1391</v>
      </c>
      <c r="L313" s="27" t="s">
        <v>1395</v>
      </c>
      <c r="M313" s="9">
        <v>149900</v>
      </c>
      <c r="N313" s="18">
        <f t="shared" si="35"/>
        <v>0.7</v>
      </c>
      <c r="O313" s="32">
        <f t="shared" si="36"/>
        <v>44970</v>
      </c>
      <c r="P313" s="18" t="s">
        <v>19</v>
      </c>
    </row>
    <row r="314" spans="1:16" x14ac:dyDescent="0.25">
      <c r="A314" s="25" t="str">
        <f t="shared" si="33"/>
        <v>2025 JAN-JUN D70</v>
      </c>
      <c r="B314" s="8">
        <f t="shared" si="34"/>
        <v>46104</v>
      </c>
      <c r="C314" s="8">
        <f t="shared" si="39"/>
        <v>46113</v>
      </c>
      <c r="D314" s="7">
        <v>3272</v>
      </c>
      <c r="E314" s="7">
        <v>336</v>
      </c>
      <c r="F314" s="7">
        <v>4</v>
      </c>
      <c r="G314" s="7">
        <v>1</v>
      </c>
      <c r="H314" s="7">
        <v>81588</v>
      </c>
      <c r="I314" s="7" t="s">
        <v>16</v>
      </c>
      <c r="J314" s="7">
        <v>45645016</v>
      </c>
      <c r="K314" s="7" t="s">
        <v>1391</v>
      </c>
      <c r="L314" s="27" t="s">
        <v>1396</v>
      </c>
      <c r="M314" s="9">
        <v>149900</v>
      </c>
      <c r="N314" s="18">
        <f t="shared" si="35"/>
        <v>0.7</v>
      </c>
      <c r="O314" s="32">
        <f t="shared" si="36"/>
        <v>44970</v>
      </c>
      <c r="P314" s="18" t="s">
        <v>19</v>
      </c>
    </row>
    <row r="315" spans="1:16" x14ac:dyDescent="0.25">
      <c r="A315" s="25" t="str">
        <f t="shared" si="33"/>
        <v>2025 JAN-JUN D70</v>
      </c>
      <c r="B315" s="8">
        <f t="shared" si="34"/>
        <v>46104</v>
      </c>
      <c r="C315" s="8">
        <f t="shared" si="39"/>
        <v>46113</v>
      </c>
      <c r="D315" s="7">
        <v>3272</v>
      </c>
      <c r="E315" s="7">
        <v>336</v>
      </c>
      <c r="F315" s="7">
        <v>4</v>
      </c>
      <c r="G315" s="7">
        <v>1</v>
      </c>
      <c r="H315" s="7">
        <v>81588</v>
      </c>
      <c r="I315" s="7" t="s">
        <v>16</v>
      </c>
      <c r="J315" s="7">
        <v>45645025</v>
      </c>
      <c r="K315" s="7" t="s">
        <v>1397</v>
      </c>
      <c r="L315" s="27" t="s">
        <v>1398</v>
      </c>
      <c r="M315" s="9">
        <v>149900</v>
      </c>
      <c r="N315" s="18">
        <f t="shared" si="35"/>
        <v>0.7</v>
      </c>
      <c r="O315" s="32">
        <f t="shared" si="36"/>
        <v>44970</v>
      </c>
      <c r="P315" s="18" t="s">
        <v>19</v>
      </c>
    </row>
    <row r="316" spans="1:16" x14ac:dyDescent="0.25">
      <c r="A316" s="25" t="str">
        <f t="shared" si="33"/>
        <v>2025 JAN-JUN D70</v>
      </c>
      <c r="B316" s="8">
        <f t="shared" si="34"/>
        <v>46104</v>
      </c>
      <c r="C316" s="8">
        <f t="shared" si="39"/>
        <v>46113</v>
      </c>
      <c r="D316" s="7">
        <v>3272</v>
      </c>
      <c r="E316" s="7">
        <v>336</v>
      </c>
      <c r="F316" s="7">
        <v>4</v>
      </c>
      <c r="G316" s="7">
        <v>1</v>
      </c>
      <c r="H316" s="7">
        <v>81588</v>
      </c>
      <c r="I316" s="7" t="s">
        <v>16</v>
      </c>
      <c r="J316" s="7">
        <v>45645034</v>
      </c>
      <c r="K316" s="7" t="s">
        <v>1397</v>
      </c>
      <c r="L316" s="27" t="s">
        <v>1399</v>
      </c>
      <c r="M316" s="9">
        <v>149900</v>
      </c>
      <c r="N316" s="18">
        <f t="shared" si="35"/>
        <v>0.7</v>
      </c>
      <c r="O316" s="32">
        <f t="shared" si="36"/>
        <v>44970</v>
      </c>
      <c r="P316" s="18" t="s">
        <v>19</v>
      </c>
    </row>
    <row r="317" spans="1:16" x14ac:dyDescent="0.25">
      <c r="A317" s="25" t="str">
        <f t="shared" si="33"/>
        <v>2025 JAN-JUN D70</v>
      </c>
      <c r="B317" s="8">
        <f t="shared" si="34"/>
        <v>46104</v>
      </c>
      <c r="C317" s="8">
        <f t="shared" si="39"/>
        <v>46113</v>
      </c>
      <c r="D317" s="7">
        <v>3272</v>
      </c>
      <c r="E317" s="7">
        <v>336</v>
      </c>
      <c r="F317" s="7">
        <v>4</v>
      </c>
      <c r="G317" s="7">
        <v>1</v>
      </c>
      <c r="H317" s="7">
        <v>81588</v>
      </c>
      <c r="I317" s="7" t="s">
        <v>16</v>
      </c>
      <c r="J317" s="7">
        <v>45645043</v>
      </c>
      <c r="K317" s="7" t="s">
        <v>1397</v>
      </c>
      <c r="L317" s="27" t="s">
        <v>1400</v>
      </c>
      <c r="M317" s="9">
        <v>149900</v>
      </c>
      <c r="N317" s="18">
        <f t="shared" si="35"/>
        <v>0.7</v>
      </c>
      <c r="O317" s="32">
        <f t="shared" si="36"/>
        <v>44970</v>
      </c>
      <c r="P317" s="18" t="s">
        <v>19</v>
      </c>
    </row>
    <row r="318" spans="1:16" x14ac:dyDescent="0.25">
      <c r="A318" s="25" t="str">
        <f t="shared" si="33"/>
        <v>2025 JAN-JUN D70</v>
      </c>
      <c r="B318" s="8">
        <f t="shared" si="34"/>
        <v>46104</v>
      </c>
      <c r="C318" s="8">
        <f t="shared" si="39"/>
        <v>46113</v>
      </c>
      <c r="D318" s="7">
        <v>3272</v>
      </c>
      <c r="E318" s="7">
        <v>336</v>
      </c>
      <c r="F318" s="7">
        <v>4</v>
      </c>
      <c r="G318" s="7">
        <v>1</v>
      </c>
      <c r="H318" s="7">
        <v>81588</v>
      </c>
      <c r="I318" s="7" t="s">
        <v>16</v>
      </c>
      <c r="J318" s="7">
        <v>45645052</v>
      </c>
      <c r="K318" s="7" t="s">
        <v>1397</v>
      </c>
      <c r="L318" s="27" t="s">
        <v>1401</v>
      </c>
      <c r="M318" s="9">
        <v>149900</v>
      </c>
      <c r="N318" s="18">
        <f t="shared" si="35"/>
        <v>0.7</v>
      </c>
      <c r="O318" s="32">
        <f t="shared" si="36"/>
        <v>44970</v>
      </c>
      <c r="P318" s="18" t="s">
        <v>19</v>
      </c>
    </row>
    <row r="319" spans="1:16" x14ac:dyDescent="0.25">
      <c r="A319" s="25" t="str">
        <f t="shared" si="33"/>
        <v>2025 JAN-JUN D70</v>
      </c>
      <c r="B319" s="8">
        <f t="shared" si="34"/>
        <v>46104</v>
      </c>
      <c r="C319" s="8">
        <f t="shared" si="39"/>
        <v>46113</v>
      </c>
      <c r="D319" s="7">
        <v>3272</v>
      </c>
      <c r="E319" s="7">
        <v>336</v>
      </c>
      <c r="F319" s="7">
        <v>4</v>
      </c>
      <c r="G319" s="7">
        <v>1</v>
      </c>
      <c r="H319" s="7">
        <v>81588</v>
      </c>
      <c r="I319" s="7" t="s">
        <v>16</v>
      </c>
      <c r="J319" s="7">
        <v>45645061</v>
      </c>
      <c r="K319" s="7" t="s">
        <v>1397</v>
      </c>
      <c r="L319" s="27" t="s">
        <v>1402</v>
      </c>
      <c r="M319" s="9">
        <v>149900</v>
      </c>
      <c r="N319" s="18">
        <f t="shared" si="35"/>
        <v>0.7</v>
      </c>
      <c r="O319" s="32">
        <f t="shared" si="36"/>
        <v>44970</v>
      </c>
      <c r="P319" s="18" t="s">
        <v>19</v>
      </c>
    </row>
    <row r="320" spans="1:16" x14ac:dyDescent="0.25">
      <c r="A320" s="25" t="str">
        <f t="shared" si="33"/>
        <v>2025 JAN-JUN D70</v>
      </c>
      <c r="B320" s="8">
        <f t="shared" si="34"/>
        <v>46104</v>
      </c>
      <c r="C320" s="8">
        <f t="shared" si="39"/>
        <v>46113</v>
      </c>
      <c r="D320" s="7">
        <v>3272</v>
      </c>
      <c r="E320" s="7">
        <v>336</v>
      </c>
      <c r="F320" s="7">
        <v>4</v>
      </c>
      <c r="G320" s="7">
        <v>1</v>
      </c>
      <c r="H320" s="7">
        <v>81588</v>
      </c>
      <c r="I320" s="7" t="s">
        <v>16</v>
      </c>
      <c r="J320" s="7">
        <v>45646122</v>
      </c>
      <c r="K320" s="7" t="s">
        <v>1403</v>
      </c>
      <c r="L320" s="27" t="s">
        <v>1404</v>
      </c>
      <c r="M320" s="9">
        <v>139900</v>
      </c>
      <c r="N320" s="18">
        <f t="shared" si="35"/>
        <v>0.7</v>
      </c>
      <c r="O320" s="32">
        <f t="shared" si="36"/>
        <v>41970</v>
      </c>
      <c r="P320" s="18" t="s">
        <v>19</v>
      </c>
    </row>
    <row r="321" spans="1:16" x14ac:dyDescent="0.25">
      <c r="A321" s="25" t="str">
        <f t="shared" si="33"/>
        <v>2025 JAN-JUN D70</v>
      </c>
      <c r="B321" s="8">
        <f t="shared" si="34"/>
        <v>46104</v>
      </c>
      <c r="C321" s="8">
        <f t="shared" si="39"/>
        <v>46113</v>
      </c>
      <c r="D321" s="7">
        <v>3272</v>
      </c>
      <c r="E321" s="7">
        <v>336</v>
      </c>
      <c r="F321" s="7">
        <v>4</v>
      </c>
      <c r="G321" s="7">
        <v>1</v>
      </c>
      <c r="H321" s="7">
        <v>81588</v>
      </c>
      <c r="I321" s="7" t="s">
        <v>16</v>
      </c>
      <c r="J321" s="7">
        <v>45646131</v>
      </c>
      <c r="K321" s="7" t="s">
        <v>1403</v>
      </c>
      <c r="L321" s="27" t="s">
        <v>1405</v>
      </c>
      <c r="M321" s="9">
        <v>139900</v>
      </c>
      <c r="N321" s="18">
        <f t="shared" si="35"/>
        <v>0.7</v>
      </c>
      <c r="O321" s="32">
        <f t="shared" si="36"/>
        <v>41970</v>
      </c>
      <c r="P321" s="18" t="s">
        <v>19</v>
      </c>
    </row>
    <row r="322" spans="1:16" x14ac:dyDescent="0.25">
      <c r="A322" s="25" t="str">
        <f t="shared" si="33"/>
        <v>2025 JAN-JUN D70</v>
      </c>
      <c r="B322" s="8">
        <f t="shared" si="34"/>
        <v>46104</v>
      </c>
      <c r="C322" s="8">
        <f t="shared" si="39"/>
        <v>46113</v>
      </c>
      <c r="D322" s="7">
        <v>3272</v>
      </c>
      <c r="E322" s="7">
        <v>336</v>
      </c>
      <c r="F322" s="7">
        <v>4</v>
      </c>
      <c r="G322" s="7">
        <v>1</v>
      </c>
      <c r="H322" s="7">
        <v>81588</v>
      </c>
      <c r="I322" s="7" t="s">
        <v>16</v>
      </c>
      <c r="J322" s="7">
        <v>45646140</v>
      </c>
      <c r="K322" s="7" t="s">
        <v>1403</v>
      </c>
      <c r="L322" s="27" t="s">
        <v>1406</v>
      </c>
      <c r="M322" s="9">
        <v>139900</v>
      </c>
      <c r="N322" s="18">
        <f t="shared" si="35"/>
        <v>0.7</v>
      </c>
      <c r="O322" s="32">
        <f t="shared" si="36"/>
        <v>41970</v>
      </c>
      <c r="P322" s="18" t="s">
        <v>19</v>
      </c>
    </row>
    <row r="323" spans="1:16" x14ac:dyDescent="0.25">
      <c r="A323" s="25" t="str">
        <f t="shared" si="33"/>
        <v>2025 JAN-JUN D70</v>
      </c>
      <c r="B323" s="8">
        <f t="shared" si="34"/>
        <v>46104</v>
      </c>
      <c r="C323" s="8">
        <f t="shared" ref="C323:C338" si="40">C322</f>
        <v>46113</v>
      </c>
      <c r="D323" s="7">
        <v>3272</v>
      </c>
      <c r="E323" s="7">
        <v>336</v>
      </c>
      <c r="F323" s="7">
        <v>4</v>
      </c>
      <c r="G323" s="7">
        <v>1</v>
      </c>
      <c r="H323" s="7">
        <v>81588</v>
      </c>
      <c r="I323" s="7" t="s">
        <v>16</v>
      </c>
      <c r="J323" s="7">
        <v>45646159</v>
      </c>
      <c r="K323" s="7" t="s">
        <v>1403</v>
      </c>
      <c r="L323" s="27" t="s">
        <v>1407</v>
      </c>
      <c r="M323" s="9">
        <v>139900</v>
      </c>
      <c r="N323" s="18">
        <f t="shared" si="35"/>
        <v>0.7</v>
      </c>
      <c r="O323" s="32">
        <f t="shared" si="36"/>
        <v>41970</v>
      </c>
      <c r="P323" s="18" t="s">
        <v>19</v>
      </c>
    </row>
    <row r="324" spans="1:16" x14ac:dyDescent="0.25">
      <c r="A324" s="25" t="str">
        <f t="shared" ref="A324:A387" si="41">A323</f>
        <v>2025 JAN-JUN D70</v>
      </c>
      <c r="B324" s="8">
        <f t="shared" ref="B324:B387" si="42">B323</f>
        <v>46104</v>
      </c>
      <c r="C324" s="8">
        <f t="shared" si="40"/>
        <v>46113</v>
      </c>
      <c r="D324" s="7">
        <v>3272</v>
      </c>
      <c r="E324" s="7">
        <v>336</v>
      </c>
      <c r="F324" s="7">
        <v>4</v>
      </c>
      <c r="G324" s="7">
        <v>1</v>
      </c>
      <c r="H324" s="7">
        <v>81588</v>
      </c>
      <c r="I324" s="7" t="s">
        <v>16</v>
      </c>
      <c r="J324" s="7">
        <v>45646168</v>
      </c>
      <c r="K324" s="7" t="s">
        <v>1403</v>
      </c>
      <c r="L324" s="27" t="s">
        <v>1408</v>
      </c>
      <c r="M324" s="9">
        <v>139900</v>
      </c>
      <c r="N324" s="18">
        <f t="shared" ref="N324:N387" si="43">N323</f>
        <v>0.7</v>
      </c>
      <c r="O324" s="32">
        <f t="shared" ref="O324:O387" si="44">M324-((70*M324)/100)</f>
        <v>41970</v>
      </c>
      <c r="P324" s="18" t="s">
        <v>19</v>
      </c>
    </row>
    <row r="325" spans="1:16" x14ac:dyDescent="0.25">
      <c r="A325" s="25" t="str">
        <f t="shared" si="41"/>
        <v>2025 JAN-JUN D70</v>
      </c>
      <c r="B325" s="8">
        <f t="shared" si="42"/>
        <v>46104</v>
      </c>
      <c r="C325" s="8">
        <f t="shared" si="40"/>
        <v>46113</v>
      </c>
      <c r="D325" s="7">
        <v>3272</v>
      </c>
      <c r="E325" s="7">
        <v>336</v>
      </c>
      <c r="F325" s="7">
        <v>4</v>
      </c>
      <c r="G325" s="7">
        <v>1</v>
      </c>
      <c r="H325" s="7">
        <v>81676</v>
      </c>
      <c r="I325" s="7" t="s">
        <v>16</v>
      </c>
      <c r="J325" s="7">
        <v>51503167</v>
      </c>
      <c r="K325" s="7" t="s">
        <v>1409</v>
      </c>
      <c r="L325" s="27" t="s">
        <v>1410</v>
      </c>
      <c r="M325" s="9">
        <v>149900</v>
      </c>
      <c r="N325" s="18">
        <f t="shared" si="43"/>
        <v>0.7</v>
      </c>
      <c r="O325" s="32">
        <f t="shared" si="44"/>
        <v>44970</v>
      </c>
      <c r="P325" s="18" t="s">
        <v>19</v>
      </c>
    </row>
    <row r="326" spans="1:16" x14ac:dyDescent="0.25">
      <c r="A326" s="25" t="str">
        <f t="shared" si="41"/>
        <v>2025 JAN-JUN D70</v>
      </c>
      <c r="B326" s="8">
        <f t="shared" si="42"/>
        <v>46104</v>
      </c>
      <c r="C326" s="8">
        <f t="shared" si="40"/>
        <v>46113</v>
      </c>
      <c r="D326" s="7">
        <v>3272</v>
      </c>
      <c r="E326" s="7">
        <v>336</v>
      </c>
      <c r="F326" s="7">
        <v>4</v>
      </c>
      <c r="G326" s="7">
        <v>1</v>
      </c>
      <c r="H326" s="7">
        <v>81676</v>
      </c>
      <c r="I326" s="7" t="s">
        <v>16</v>
      </c>
      <c r="J326" s="7">
        <v>51503176</v>
      </c>
      <c r="K326" s="7" t="s">
        <v>1409</v>
      </c>
      <c r="L326" s="27" t="s">
        <v>1411</v>
      </c>
      <c r="M326" s="9">
        <v>149900</v>
      </c>
      <c r="N326" s="18">
        <f t="shared" si="43"/>
        <v>0.7</v>
      </c>
      <c r="O326" s="32">
        <f t="shared" si="44"/>
        <v>44970</v>
      </c>
      <c r="P326" s="18" t="s">
        <v>19</v>
      </c>
    </row>
    <row r="327" spans="1:16" x14ac:dyDescent="0.25">
      <c r="A327" s="25" t="str">
        <f t="shared" si="41"/>
        <v>2025 JAN-JUN D70</v>
      </c>
      <c r="B327" s="8">
        <f t="shared" si="42"/>
        <v>46104</v>
      </c>
      <c r="C327" s="8">
        <f t="shared" si="40"/>
        <v>46113</v>
      </c>
      <c r="D327" s="7">
        <v>3272</v>
      </c>
      <c r="E327" s="7">
        <v>336</v>
      </c>
      <c r="F327" s="7">
        <v>4</v>
      </c>
      <c r="G327" s="7">
        <v>1</v>
      </c>
      <c r="H327" s="7">
        <v>81676</v>
      </c>
      <c r="I327" s="7" t="s">
        <v>16</v>
      </c>
      <c r="J327" s="7">
        <v>51503185</v>
      </c>
      <c r="K327" s="7" t="s">
        <v>1409</v>
      </c>
      <c r="L327" s="27" t="s">
        <v>1412</v>
      </c>
      <c r="M327" s="9">
        <v>149900</v>
      </c>
      <c r="N327" s="18">
        <f t="shared" si="43"/>
        <v>0.7</v>
      </c>
      <c r="O327" s="32">
        <f t="shared" si="44"/>
        <v>44970</v>
      </c>
      <c r="P327" s="18" t="s">
        <v>19</v>
      </c>
    </row>
    <row r="328" spans="1:16" x14ac:dyDescent="0.25">
      <c r="A328" s="25" t="str">
        <f t="shared" si="41"/>
        <v>2025 JAN-JUN D70</v>
      </c>
      <c r="B328" s="8">
        <f t="shared" si="42"/>
        <v>46104</v>
      </c>
      <c r="C328" s="8">
        <f t="shared" si="40"/>
        <v>46113</v>
      </c>
      <c r="D328" s="7">
        <v>3272</v>
      </c>
      <c r="E328" s="7">
        <v>336</v>
      </c>
      <c r="F328" s="7">
        <v>4</v>
      </c>
      <c r="G328" s="7">
        <v>1</v>
      </c>
      <c r="H328" s="7">
        <v>81676</v>
      </c>
      <c r="I328" s="7" t="s">
        <v>16</v>
      </c>
      <c r="J328" s="7">
        <v>51503194</v>
      </c>
      <c r="K328" s="7" t="s">
        <v>1409</v>
      </c>
      <c r="L328" s="27" t="s">
        <v>1413</v>
      </c>
      <c r="M328" s="9">
        <v>149900</v>
      </c>
      <c r="N328" s="18">
        <f t="shared" si="43"/>
        <v>0.7</v>
      </c>
      <c r="O328" s="32">
        <f t="shared" si="44"/>
        <v>44970</v>
      </c>
      <c r="P328" s="18" t="s">
        <v>19</v>
      </c>
    </row>
    <row r="329" spans="1:16" x14ac:dyDescent="0.25">
      <c r="A329" s="25" t="str">
        <f t="shared" si="41"/>
        <v>2025 JAN-JUN D70</v>
      </c>
      <c r="B329" s="8">
        <f t="shared" si="42"/>
        <v>46104</v>
      </c>
      <c r="C329" s="8">
        <f t="shared" si="40"/>
        <v>46113</v>
      </c>
      <c r="D329" s="7">
        <v>3272</v>
      </c>
      <c r="E329" s="7">
        <v>336</v>
      </c>
      <c r="F329" s="7">
        <v>4</v>
      </c>
      <c r="G329" s="7">
        <v>1</v>
      </c>
      <c r="H329" s="7">
        <v>81676</v>
      </c>
      <c r="I329" s="7" t="s">
        <v>16</v>
      </c>
      <c r="J329" s="7">
        <v>51503201</v>
      </c>
      <c r="K329" s="7" t="s">
        <v>1409</v>
      </c>
      <c r="L329" s="27" t="s">
        <v>1414</v>
      </c>
      <c r="M329" s="9">
        <v>149900</v>
      </c>
      <c r="N329" s="18">
        <f t="shared" si="43"/>
        <v>0.7</v>
      </c>
      <c r="O329" s="32">
        <f t="shared" si="44"/>
        <v>44970</v>
      </c>
      <c r="P329" s="18" t="s">
        <v>19</v>
      </c>
    </row>
    <row r="330" spans="1:16" x14ac:dyDescent="0.25">
      <c r="A330" s="25" t="str">
        <f t="shared" si="41"/>
        <v>2025 JAN-JUN D70</v>
      </c>
      <c r="B330" s="8">
        <f t="shared" si="42"/>
        <v>46104</v>
      </c>
      <c r="C330" s="8">
        <f t="shared" si="40"/>
        <v>46113</v>
      </c>
      <c r="D330" s="7">
        <v>3272</v>
      </c>
      <c r="E330" s="7">
        <v>336</v>
      </c>
      <c r="F330" s="7">
        <v>4</v>
      </c>
      <c r="G330" s="7">
        <v>1</v>
      </c>
      <c r="H330" s="7">
        <v>81676</v>
      </c>
      <c r="I330" s="7" t="s">
        <v>16</v>
      </c>
      <c r="J330" s="7">
        <v>51503845</v>
      </c>
      <c r="K330" s="7" t="s">
        <v>1415</v>
      </c>
      <c r="L330" s="27" t="s">
        <v>1416</v>
      </c>
      <c r="M330" s="9">
        <v>149900</v>
      </c>
      <c r="N330" s="18">
        <f t="shared" si="43"/>
        <v>0.7</v>
      </c>
      <c r="O330" s="32">
        <f t="shared" si="44"/>
        <v>44970</v>
      </c>
      <c r="P330" s="18" t="s">
        <v>19</v>
      </c>
    </row>
    <row r="331" spans="1:16" x14ac:dyDescent="0.25">
      <c r="A331" s="25" t="str">
        <f t="shared" si="41"/>
        <v>2025 JAN-JUN D70</v>
      </c>
      <c r="B331" s="8">
        <f t="shared" si="42"/>
        <v>46104</v>
      </c>
      <c r="C331" s="8">
        <f t="shared" si="40"/>
        <v>46113</v>
      </c>
      <c r="D331" s="7">
        <v>3272</v>
      </c>
      <c r="E331" s="7">
        <v>336</v>
      </c>
      <c r="F331" s="7">
        <v>4</v>
      </c>
      <c r="G331" s="7">
        <v>1</v>
      </c>
      <c r="H331" s="7">
        <v>81676</v>
      </c>
      <c r="I331" s="7" t="s">
        <v>16</v>
      </c>
      <c r="J331" s="7">
        <v>51503854</v>
      </c>
      <c r="K331" s="7" t="s">
        <v>1415</v>
      </c>
      <c r="L331" s="27" t="s">
        <v>1417</v>
      </c>
      <c r="M331" s="9">
        <v>149900</v>
      </c>
      <c r="N331" s="18">
        <f t="shared" si="43"/>
        <v>0.7</v>
      </c>
      <c r="O331" s="32">
        <f t="shared" si="44"/>
        <v>44970</v>
      </c>
      <c r="P331" s="18" t="s">
        <v>19</v>
      </c>
    </row>
    <row r="332" spans="1:16" x14ac:dyDescent="0.25">
      <c r="A332" s="25" t="str">
        <f t="shared" si="41"/>
        <v>2025 JAN-JUN D70</v>
      </c>
      <c r="B332" s="8">
        <f t="shared" si="42"/>
        <v>46104</v>
      </c>
      <c r="C332" s="8">
        <f t="shared" si="40"/>
        <v>46113</v>
      </c>
      <c r="D332" s="7">
        <v>3272</v>
      </c>
      <c r="E332" s="7">
        <v>336</v>
      </c>
      <c r="F332" s="7">
        <v>4</v>
      </c>
      <c r="G332" s="7">
        <v>1</v>
      </c>
      <c r="H332" s="7">
        <v>81676</v>
      </c>
      <c r="I332" s="7" t="s">
        <v>16</v>
      </c>
      <c r="J332" s="7">
        <v>51503863</v>
      </c>
      <c r="K332" s="7" t="s">
        <v>1415</v>
      </c>
      <c r="L332" s="27" t="s">
        <v>1418</v>
      </c>
      <c r="M332" s="9">
        <v>149900</v>
      </c>
      <c r="N332" s="18">
        <f t="shared" si="43"/>
        <v>0.7</v>
      </c>
      <c r="O332" s="32">
        <f t="shared" si="44"/>
        <v>44970</v>
      </c>
      <c r="P332" s="18" t="s">
        <v>19</v>
      </c>
    </row>
    <row r="333" spans="1:16" x14ac:dyDescent="0.25">
      <c r="A333" s="25" t="str">
        <f t="shared" si="41"/>
        <v>2025 JAN-JUN D70</v>
      </c>
      <c r="B333" s="8">
        <f t="shared" si="42"/>
        <v>46104</v>
      </c>
      <c r="C333" s="8">
        <f t="shared" si="40"/>
        <v>46113</v>
      </c>
      <c r="D333" s="7">
        <v>3272</v>
      </c>
      <c r="E333" s="7">
        <v>336</v>
      </c>
      <c r="F333" s="7">
        <v>4</v>
      </c>
      <c r="G333" s="7">
        <v>1</v>
      </c>
      <c r="H333" s="7">
        <v>81676</v>
      </c>
      <c r="I333" s="7" t="s">
        <v>16</v>
      </c>
      <c r="J333" s="7">
        <v>51503872</v>
      </c>
      <c r="K333" s="7" t="s">
        <v>1415</v>
      </c>
      <c r="L333" s="27" t="s">
        <v>1419</v>
      </c>
      <c r="M333" s="9">
        <v>149900</v>
      </c>
      <c r="N333" s="18">
        <f t="shared" si="43"/>
        <v>0.7</v>
      </c>
      <c r="O333" s="32">
        <f t="shared" si="44"/>
        <v>44970</v>
      </c>
      <c r="P333" s="18" t="s">
        <v>19</v>
      </c>
    </row>
    <row r="334" spans="1:16" x14ac:dyDescent="0.25">
      <c r="A334" s="25" t="str">
        <f t="shared" si="41"/>
        <v>2025 JAN-JUN D70</v>
      </c>
      <c r="B334" s="8">
        <f t="shared" si="42"/>
        <v>46104</v>
      </c>
      <c r="C334" s="8">
        <f t="shared" si="40"/>
        <v>46113</v>
      </c>
      <c r="D334" s="7">
        <v>3272</v>
      </c>
      <c r="E334" s="7">
        <v>336</v>
      </c>
      <c r="F334" s="7">
        <v>4</v>
      </c>
      <c r="G334" s="7">
        <v>1</v>
      </c>
      <c r="H334" s="7">
        <v>81676</v>
      </c>
      <c r="I334" s="7" t="s">
        <v>16</v>
      </c>
      <c r="J334" s="7">
        <v>51503881</v>
      </c>
      <c r="K334" s="7" t="s">
        <v>1415</v>
      </c>
      <c r="L334" s="27" t="s">
        <v>1420</v>
      </c>
      <c r="M334" s="9">
        <v>149900</v>
      </c>
      <c r="N334" s="18">
        <f t="shared" si="43"/>
        <v>0.7</v>
      </c>
      <c r="O334" s="32">
        <f t="shared" si="44"/>
        <v>44970</v>
      </c>
      <c r="P334" s="18" t="s">
        <v>19</v>
      </c>
    </row>
    <row r="335" spans="1:16" x14ac:dyDescent="0.25">
      <c r="A335" s="25" t="str">
        <f t="shared" si="41"/>
        <v>2025 JAN-JUN D70</v>
      </c>
      <c r="B335" s="8">
        <f t="shared" si="42"/>
        <v>46104</v>
      </c>
      <c r="C335" s="8">
        <f t="shared" si="40"/>
        <v>46113</v>
      </c>
      <c r="D335" s="7">
        <v>3272</v>
      </c>
      <c r="E335" s="7">
        <v>336</v>
      </c>
      <c r="F335" s="7">
        <v>4</v>
      </c>
      <c r="G335" s="7">
        <v>1</v>
      </c>
      <c r="H335" s="7">
        <v>81676</v>
      </c>
      <c r="I335" s="7" t="s">
        <v>16</v>
      </c>
      <c r="J335" s="7">
        <v>51503943</v>
      </c>
      <c r="K335" s="7" t="s">
        <v>1421</v>
      </c>
      <c r="L335" s="27" t="s">
        <v>1422</v>
      </c>
      <c r="M335" s="9">
        <v>139900</v>
      </c>
      <c r="N335" s="18">
        <f t="shared" si="43"/>
        <v>0.7</v>
      </c>
      <c r="O335" s="32">
        <f t="shared" si="44"/>
        <v>41970</v>
      </c>
      <c r="P335" s="18" t="s">
        <v>19</v>
      </c>
    </row>
    <row r="336" spans="1:16" x14ac:dyDescent="0.25">
      <c r="A336" s="25" t="str">
        <f t="shared" si="41"/>
        <v>2025 JAN-JUN D70</v>
      </c>
      <c r="B336" s="8">
        <f t="shared" si="42"/>
        <v>46104</v>
      </c>
      <c r="C336" s="8">
        <f t="shared" si="40"/>
        <v>46113</v>
      </c>
      <c r="D336" s="7">
        <v>3272</v>
      </c>
      <c r="E336" s="7">
        <v>336</v>
      </c>
      <c r="F336" s="7">
        <v>4</v>
      </c>
      <c r="G336" s="7">
        <v>1</v>
      </c>
      <c r="H336" s="7">
        <v>81676</v>
      </c>
      <c r="I336" s="7" t="s">
        <v>16</v>
      </c>
      <c r="J336" s="7">
        <v>51503952</v>
      </c>
      <c r="K336" s="7" t="s">
        <v>1421</v>
      </c>
      <c r="L336" s="27" t="s">
        <v>1423</v>
      </c>
      <c r="M336" s="9">
        <v>139900</v>
      </c>
      <c r="N336" s="18">
        <f t="shared" si="43"/>
        <v>0.7</v>
      </c>
      <c r="O336" s="32">
        <f t="shared" si="44"/>
        <v>41970</v>
      </c>
      <c r="P336" s="18" t="s">
        <v>19</v>
      </c>
    </row>
    <row r="337" spans="1:16" x14ac:dyDescent="0.25">
      <c r="A337" s="25" t="str">
        <f t="shared" si="41"/>
        <v>2025 JAN-JUN D70</v>
      </c>
      <c r="B337" s="8">
        <f t="shared" si="42"/>
        <v>46104</v>
      </c>
      <c r="C337" s="8">
        <f t="shared" si="40"/>
        <v>46113</v>
      </c>
      <c r="D337" s="7">
        <v>3272</v>
      </c>
      <c r="E337" s="7">
        <v>336</v>
      </c>
      <c r="F337" s="7">
        <v>4</v>
      </c>
      <c r="G337" s="7">
        <v>1</v>
      </c>
      <c r="H337" s="7">
        <v>81676</v>
      </c>
      <c r="I337" s="7" t="s">
        <v>16</v>
      </c>
      <c r="J337" s="7">
        <v>51503961</v>
      </c>
      <c r="K337" s="7" t="s">
        <v>1421</v>
      </c>
      <c r="L337" s="27" t="s">
        <v>1424</v>
      </c>
      <c r="M337" s="9">
        <v>139900</v>
      </c>
      <c r="N337" s="18">
        <f t="shared" si="43"/>
        <v>0.7</v>
      </c>
      <c r="O337" s="32">
        <f t="shared" si="44"/>
        <v>41970</v>
      </c>
      <c r="P337" s="18" t="s">
        <v>19</v>
      </c>
    </row>
    <row r="338" spans="1:16" x14ac:dyDescent="0.25">
      <c r="A338" s="25" t="str">
        <f t="shared" si="41"/>
        <v>2025 JAN-JUN D70</v>
      </c>
      <c r="B338" s="8">
        <f t="shared" si="42"/>
        <v>46104</v>
      </c>
      <c r="C338" s="8">
        <f t="shared" si="40"/>
        <v>46113</v>
      </c>
      <c r="D338" s="7">
        <v>3272</v>
      </c>
      <c r="E338" s="7">
        <v>336</v>
      </c>
      <c r="F338" s="7">
        <v>4</v>
      </c>
      <c r="G338" s="7">
        <v>1</v>
      </c>
      <c r="H338" s="7">
        <v>81676</v>
      </c>
      <c r="I338" s="7" t="s">
        <v>16</v>
      </c>
      <c r="J338" s="7">
        <v>51503970</v>
      </c>
      <c r="K338" s="7" t="s">
        <v>1421</v>
      </c>
      <c r="L338" s="27" t="s">
        <v>1425</v>
      </c>
      <c r="M338" s="9">
        <v>139900</v>
      </c>
      <c r="N338" s="18">
        <f t="shared" si="43"/>
        <v>0.7</v>
      </c>
      <c r="O338" s="32">
        <f t="shared" si="44"/>
        <v>41970</v>
      </c>
      <c r="P338" s="18" t="s">
        <v>19</v>
      </c>
    </row>
    <row r="339" spans="1:16" x14ac:dyDescent="0.25">
      <c r="A339" s="25" t="str">
        <f t="shared" si="41"/>
        <v>2025 JAN-JUN D70</v>
      </c>
      <c r="B339" s="8">
        <f t="shared" si="42"/>
        <v>46104</v>
      </c>
      <c r="C339" s="8">
        <f t="shared" ref="C339:C354" si="45">C338</f>
        <v>46113</v>
      </c>
      <c r="D339" s="7">
        <v>3272</v>
      </c>
      <c r="E339" s="7">
        <v>336</v>
      </c>
      <c r="F339" s="7">
        <v>4</v>
      </c>
      <c r="G339" s="7">
        <v>1</v>
      </c>
      <c r="H339" s="7">
        <v>81676</v>
      </c>
      <c r="I339" s="7" t="s">
        <v>16</v>
      </c>
      <c r="J339" s="7">
        <v>51503989</v>
      </c>
      <c r="K339" s="7" t="s">
        <v>1421</v>
      </c>
      <c r="L339" s="27" t="s">
        <v>1426</v>
      </c>
      <c r="M339" s="9">
        <v>139900</v>
      </c>
      <c r="N339" s="18">
        <f t="shared" si="43"/>
        <v>0.7</v>
      </c>
      <c r="O339" s="32">
        <f t="shared" si="44"/>
        <v>41970</v>
      </c>
      <c r="P339" s="18" t="s">
        <v>19</v>
      </c>
    </row>
    <row r="340" spans="1:16" x14ac:dyDescent="0.25">
      <c r="A340" s="25" t="str">
        <f t="shared" si="41"/>
        <v>2025 JAN-JUN D70</v>
      </c>
      <c r="B340" s="8">
        <f t="shared" si="42"/>
        <v>46104</v>
      </c>
      <c r="C340" s="8">
        <f t="shared" si="45"/>
        <v>46113</v>
      </c>
      <c r="D340" s="7">
        <v>3272</v>
      </c>
      <c r="E340" s="7">
        <v>336</v>
      </c>
      <c r="F340" s="7">
        <v>4</v>
      </c>
      <c r="G340" s="7">
        <v>1</v>
      </c>
      <c r="H340" s="7">
        <v>81379</v>
      </c>
      <c r="I340" s="7" t="s">
        <v>16</v>
      </c>
      <c r="J340" s="7">
        <v>51511149</v>
      </c>
      <c r="K340" s="7" t="s">
        <v>1427</v>
      </c>
      <c r="L340" s="27" t="s">
        <v>1428</v>
      </c>
      <c r="M340" s="9">
        <v>139900</v>
      </c>
      <c r="N340" s="18">
        <f t="shared" si="43"/>
        <v>0.7</v>
      </c>
      <c r="O340" s="32">
        <f t="shared" si="44"/>
        <v>41970</v>
      </c>
      <c r="P340" s="18" t="s">
        <v>19</v>
      </c>
    </row>
    <row r="341" spans="1:16" x14ac:dyDescent="0.25">
      <c r="A341" s="25" t="str">
        <f t="shared" si="41"/>
        <v>2025 JAN-JUN D70</v>
      </c>
      <c r="B341" s="8">
        <f t="shared" si="42"/>
        <v>46104</v>
      </c>
      <c r="C341" s="8">
        <f t="shared" si="45"/>
        <v>46113</v>
      </c>
      <c r="D341" s="7">
        <v>3272</v>
      </c>
      <c r="E341" s="7">
        <v>336</v>
      </c>
      <c r="F341" s="7">
        <v>4</v>
      </c>
      <c r="G341" s="7">
        <v>1</v>
      </c>
      <c r="H341" s="7">
        <v>81379</v>
      </c>
      <c r="I341" s="7" t="s">
        <v>16</v>
      </c>
      <c r="J341" s="7">
        <v>51511158</v>
      </c>
      <c r="K341" s="7" t="s">
        <v>1427</v>
      </c>
      <c r="L341" s="27" t="s">
        <v>1429</v>
      </c>
      <c r="M341" s="9">
        <v>139900</v>
      </c>
      <c r="N341" s="18">
        <f t="shared" si="43"/>
        <v>0.7</v>
      </c>
      <c r="O341" s="32">
        <f t="shared" si="44"/>
        <v>41970</v>
      </c>
      <c r="P341" s="18" t="s">
        <v>19</v>
      </c>
    </row>
    <row r="342" spans="1:16" x14ac:dyDescent="0.25">
      <c r="A342" s="25" t="str">
        <f t="shared" si="41"/>
        <v>2025 JAN-JUN D70</v>
      </c>
      <c r="B342" s="8">
        <f t="shared" si="42"/>
        <v>46104</v>
      </c>
      <c r="C342" s="8">
        <f t="shared" si="45"/>
        <v>46113</v>
      </c>
      <c r="D342" s="7">
        <v>3272</v>
      </c>
      <c r="E342" s="7">
        <v>336</v>
      </c>
      <c r="F342" s="7">
        <v>4</v>
      </c>
      <c r="G342" s="7">
        <v>1</v>
      </c>
      <c r="H342" s="7">
        <v>81379</v>
      </c>
      <c r="I342" s="7" t="s">
        <v>16</v>
      </c>
      <c r="J342" s="7">
        <v>51511167</v>
      </c>
      <c r="K342" s="7" t="s">
        <v>1427</v>
      </c>
      <c r="L342" s="27" t="s">
        <v>1430</v>
      </c>
      <c r="M342" s="9">
        <v>139900</v>
      </c>
      <c r="N342" s="18">
        <f t="shared" si="43"/>
        <v>0.7</v>
      </c>
      <c r="O342" s="32">
        <f t="shared" si="44"/>
        <v>41970</v>
      </c>
      <c r="P342" s="18" t="s">
        <v>19</v>
      </c>
    </row>
    <row r="343" spans="1:16" x14ac:dyDescent="0.25">
      <c r="A343" s="25" t="str">
        <f t="shared" si="41"/>
        <v>2025 JAN-JUN D70</v>
      </c>
      <c r="B343" s="8">
        <f t="shared" si="42"/>
        <v>46104</v>
      </c>
      <c r="C343" s="8">
        <f t="shared" si="45"/>
        <v>46113</v>
      </c>
      <c r="D343" s="7">
        <v>3272</v>
      </c>
      <c r="E343" s="7">
        <v>336</v>
      </c>
      <c r="F343" s="7">
        <v>4</v>
      </c>
      <c r="G343" s="7">
        <v>1</v>
      </c>
      <c r="H343" s="7">
        <v>81379</v>
      </c>
      <c r="I343" s="7" t="s">
        <v>16</v>
      </c>
      <c r="J343" s="7">
        <v>51511176</v>
      </c>
      <c r="K343" s="7" t="s">
        <v>1427</v>
      </c>
      <c r="L343" s="27" t="s">
        <v>1431</v>
      </c>
      <c r="M343" s="9">
        <v>139900</v>
      </c>
      <c r="N343" s="18">
        <f t="shared" si="43"/>
        <v>0.7</v>
      </c>
      <c r="O343" s="32">
        <f t="shared" si="44"/>
        <v>41970</v>
      </c>
      <c r="P343" s="18" t="s">
        <v>19</v>
      </c>
    </row>
    <row r="344" spans="1:16" x14ac:dyDescent="0.25">
      <c r="A344" s="25" t="str">
        <f t="shared" si="41"/>
        <v>2025 JAN-JUN D70</v>
      </c>
      <c r="B344" s="8">
        <f t="shared" si="42"/>
        <v>46104</v>
      </c>
      <c r="C344" s="8">
        <f t="shared" si="45"/>
        <v>46113</v>
      </c>
      <c r="D344" s="7">
        <v>3272</v>
      </c>
      <c r="E344" s="7">
        <v>336</v>
      </c>
      <c r="F344" s="7">
        <v>4</v>
      </c>
      <c r="G344" s="7">
        <v>1</v>
      </c>
      <c r="H344" s="7">
        <v>81379</v>
      </c>
      <c r="I344" s="7" t="s">
        <v>16</v>
      </c>
      <c r="J344" s="7">
        <v>51511185</v>
      </c>
      <c r="K344" s="7" t="s">
        <v>1427</v>
      </c>
      <c r="L344" s="27" t="s">
        <v>1432</v>
      </c>
      <c r="M344" s="9">
        <v>139900</v>
      </c>
      <c r="N344" s="18">
        <f t="shared" si="43"/>
        <v>0.7</v>
      </c>
      <c r="O344" s="32">
        <f t="shared" si="44"/>
        <v>41970</v>
      </c>
      <c r="P344" s="18" t="s">
        <v>19</v>
      </c>
    </row>
    <row r="345" spans="1:16" x14ac:dyDescent="0.25">
      <c r="A345" s="25" t="str">
        <f t="shared" si="41"/>
        <v>2025 JAN-JUN D70</v>
      </c>
      <c r="B345" s="8">
        <f t="shared" si="42"/>
        <v>46104</v>
      </c>
      <c r="C345" s="8">
        <f t="shared" si="45"/>
        <v>46113</v>
      </c>
      <c r="D345" s="7">
        <v>3272</v>
      </c>
      <c r="E345" s="7">
        <v>336</v>
      </c>
      <c r="F345" s="7">
        <v>4</v>
      </c>
      <c r="G345" s="7">
        <v>1</v>
      </c>
      <c r="H345" s="7">
        <v>81379</v>
      </c>
      <c r="I345" s="7" t="s">
        <v>16</v>
      </c>
      <c r="J345" s="7">
        <v>51511194</v>
      </c>
      <c r="K345" s="7" t="s">
        <v>1427</v>
      </c>
      <c r="L345" s="27" t="s">
        <v>1433</v>
      </c>
      <c r="M345" s="9">
        <v>139900</v>
      </c>
      <c r="N345" s="18">
        <f t="shared" si="43"/>
        <v>0.7</v>
      </c>
      <c r="O345" s="32">
        <f t="shared" si="44"/>
        <v>41970</v>
      </c>
      <c r="P345" s="18" t="s">
        <v>19</v>
      </c>
    </row>
    <row r="346" spans="1:16" x14ac:dyDescent="0.25">
      <c r="A346" s="25" t="str">
        <f t="shared" si="41"/>
        <v>2025 JAN-JUN D70</v>
      </c>
      <c r="B346" s="8">
        <f t="shared" si="42"/>
        <v>46104</v>
      </c>
      <c r="C346" s="8">
        <f t="shared" si="45"/>
        <v>46113</v>
      </c>
      <c r="D346" s="7">
        <v>3272</v>
      </c>
      <c r="E346" s="7">
        <v>336</v>
      </c>
      <c r="F346" s="7">
        <v>4</v>
      </c>
      <c r="G346" s="7">
        <v>1</v>
      </c>
      <c r="H346" s="7">
        <v>81379</v>
      </c>
      <c r="I346" s="7" t="s">
        <v>16</v>
      </c>
      <c r="J346" s="7">
        <v>51511201</v>
      </c>
      <c r="K346" s="7" t="s">
        <v>1427</v>
      </c>
      <c r="L346" s="27" t="s">
        <v>1434</v>
      </c>
      <c r="M346" s="9">
        <v>139900</v>
      </c>
      <c r="N346" s="18">
        <f t="shared" si="43"/>
        <v>0.7</v>
      </c>
      <c r="O346" s="32">
        <f t="shared" si="44"/>
        <v>41970</v>
      </c>
      <c r="P346" s="18" t="s">
        <v>19</v>
      </c>
    </row>
    <row r="347" spans="1:16" x14ac:dyDescent="0.25">
      <c r="A347" s="25" t="str">
        <f t="shared" si="41"/>
        <v>2025 JAN-JUN D70</v>
      </c>
      <c r="B347" s="8">
        <f t="shared" si="42"/>
        <v>46104</v>
      </c>
      <c r="C347" s="8">
        <f t="shared" si="45"/>
        <v>46113</v>
      </c>
      <c r="D347" s="7">
        <v>3272</v>
      </c>
      <c r="E347" s="7">
        <v>336</v>
      </c>
      <c r="F347" s="7">
        <v>4</v>
      </c>
      <c r="G347" s="7">
        <v>1</v>
      </c>
      <c r="H347" s="7">
        <v>81379</v>
      </c>
      <c r="I347" s="7" t="s">
        <v>16</v>
      </c>
      <c r="J347" s="7">
        <v>51511210</v>
      </c>
      <c r="K347" s="7" t="s">
        <v>1427</v>
      </c>
      <c r="L347" s="27" t="s">
        <v>1435</v>
      </c>
      <c r="M347" s="9">
        <v>139900</v>
      </c>
      <c r="N347" s="18">
        <f t="shared" si="43"/>
        <v>0.7</v>
      </c>
      <c r="O347" s="32">
        <f t="shared" si="44"/>
        <v>41970</v>
      </c>
      <c r="P347" s="18" t="s">
        <v>19</v>
      </c>
    </row>
    <row r="348" spans="1:16" x14ac:dyDescent="0.25">
      <c r="A348" s="25" t="str">
        <f t="shared" si="41"/>
        <v>2025 JAN-JUN D70</v>
      </c>
      <c r="B348" s="8">
        <f t="shared" si="42"/>
        <v>46104</v>
      </c>
      <c r="C348" s="8">
        <f t="shared" si="45"/>
        <v>46113</v>
      </c>
      <c r="D348" s="7">
        <v>3272</v>
      </c>
      <c r="E348" s="7">
        <v>336</v>
      </c>
      <c r="F348" s="7">
        <v>4</v>
      </c>
      <c r="G348" s="7">
        <v>1</v>
      </c>
      <c r="H348" s="7">
        <v>81588</v>
      </c>
      <c r="I348" s="7" t="s">
        <v>16</v>
      </c>
      <c r="J348" s="7">
        <v>51511461</v>
      </c>
      <c r="K348" s="7" t="s">
        <v>1436</v>
      </c>
      <c r="L348" s="27" t="s">
        <v>1437</v>
      </c>
      <c r="M348" s="9">
        <v>139900</v>
      </c>
      <c r="N348" s="18">
        <f t="shared" si="43"/>
        <v>0.7</v>
      </c>
      <c r="O348" s="32">
        <f t="shared" si="44"/>
        <v>41970</v>
      </c>
      <c r="P348" s="18" t="s">
        <v>19</v>
      </c>
    </row>
    <row r="349" spans="1:16" x14ac:dyDescent="0.25">
      <c r="A349" s="25" t="str">
        <f t="shared" si="41"/>
        <v>2025 JAN-JUN D70</v>
      </c>
      <c r="B349" s="8">
        <f t="shared" si="42"/>
        <v>46104</v>
      </c>
      <c r="C349" s="8">
        <f t="shared" si="45"/>
        <v>46113</v>
      </c>
      <c r="D349" s="7">
        <v>3272</v>
      </c>
      <c r="E349" s="7">
        <v>336</v>
      </c>
      <c r="F349" s="7">
        <v>4</v>
      </c>
      <c r="G349" s="7">
        <v>1</v>
      </c>
      <c r="H349" s="7">
        <v>81588</v>
      </c>
      <c r="I349" s="7" t="s">
        <v>16</v>
      </c>
      <c r="J349" s="7">
        <v>51511470</v>
      </c>
      <c r="K349" s="7" t="s">
        <v>1436</v>
      </c>
      <c r="L349" s="27" t="s">
        <v>1438</v>
      </c>
      <c r="M349" s="9">
        <v>139900</v>
      </c>
      <c r="N349" s="18">
        <f t="shared" si="43"/>
        <v>0.7</v>
      </c>
      <c r="O349" s="32">
        <f t="shared" si="44"/>
        <v>41970</v>
      </c>
      <c r="P349" s="18" t="s">
        <v>19</v>
      </c>
    </row>
    <row r="350" spans="1:16" x14ac:dyDescent="0.25">
      <c r="A350" s="25" t="str">
        <f t="shared" si="41"/>
        <v>2025 JAN-JUN D70</v>
      </c>
      <c r="B350" s="8">
        <f t="shared" si="42"/>
        <v>46104</v>
      </c>
      <c r="C350" s="8">
        <f t="shared" si="45"/>
        <v>46113</v>
      </c>
      <c r="D350" s="7">
        <v>3272</v>
      </c>
      <c r="E350" s="7">
        <v>336</v>
      </c>
      <c r="F350" s="7">
        <v>4</v>
      </c>
      <c r="G350" s="7">
        <v>1</v>
      </c>
      <c r="H350" s="7">
        <v>81588</v>
      </c>
      <c r="I350" s="7" t="s">
        <v>16</v>
      </c>
      <c r="J350" s="7">
        <v>51511489</v>
      </c>
      <c r="K350" s="7" t="s">
        <v>1436</v>
      </c>
      <c r="L350" s="27" t="s">
        <v>1439</v>
      </c>
      <c r="M350" s="9">
        <v>139900</v>
      </c>
      <c r="N350" s="18">
        <f t="shared" si="43"/>
        <v>0.7</v>
      </c>
      <c r="O350" s="32">
        <f t="shared" si="44"/>
        <v>41970</v>
      </c>
      <c r="P350" s="18" t="s">
        <v>19</v>
      </c>
    </row>
    <row r="351" spans="1:16" x14ac:dyDescent="0.25">
      <c r="A351" s="25" t="str">
        <f t="shared" si="41"/>
        <v>2025 JAN-JUN D70</v>
      </c>
      <c r="B351" s="8">
        <f t="shared" si="42"/>
        <v>46104</v>
      </c>
      <c r="C351" s="8">
        <f t="shared" si="45"/>
        <v>46113</v>
      </c>
      <c r="D351" s="7">
        <v>3272</v>
      </c>
      <c r="E351" s="7">
        <v>336</v>
      </c>
      <c r="F351" s="7">
        <v>4</v>
      </c>
      <c r="G351" s="7">
        <v>1</v>
      </c>
      <c r="H351" s="7">
        <v>81588</v>
      </c>
      <c r="I351" s="7" t="s">
        <v>16</v>
      </c>
      <c r="J351" s="7">
        <v>51511498</v>
      </c>
      <c r="K351" s="7" t="s">
        <v>1436</v>
      </c>
      <c r="L351" s="27" t="s">
        <v>1440</v>
      </c>
      <c r="M351" s="9">
        <v>139900</v>
      </c>
      <c r="N351" s="18">
        <f t="shared" si="43"/>
        <v>0.7</v>
      </c>
      <c r="O351" s="32">
        <f t="shared" si="44"/>
        <v>41970</v>
      </c>
      <c r="P351" s="18" t="s">
        <v>19</v>
      </c>
    </row>
    <row r="352" spans="1:16" x14ac:dyDescent="0.25">
      <c r="A352" s="25" t="str">
        <f t="shared" si="41"/>
        <v>2025 JAN-JUN D70</v>
      </c>
      <c r="B352" s="8">
        <f t="shared" si="42"/>
        <v>46104</v>
      </c>
      <c r="C352" s="8">
        <f t="shared" si="45"/>
        <v>46113</v>
      </c>
      <c r="D352" s="7">
        <v>3272</v>
      </c>
      <c r="E352" s="7">
        <v>336</v>
      </c>
      <c r="F352" s="7">
        <v>4</v>
      </c>
      <c r="G352" s="7">
        <v>1</v>
      </c>
      <c r="H352" s="7">
        <v>81588</v>
      </c>
      <c r="I352" s="7" t="s">
        <v>16</v>
      </c>
      <c r="J352" s="7">
        <v>51511505</v>
      </c>
      <c r="K352" s="7" t="s">
        <v>1436</v>
      </c>
      <c r="L352" s="27" t="s">
        <v>1441</v>
      </c>
      <c r="M352" s="9">
        <v>139900</v>
      </c>
      <c r="N352" s="18">
        <f t="shared" si="43"/>
        <v>0.7</v>
      </c>
      <c r="O352" s="32">
        <f t="shared" si="44"/>
        <v>41970</v>
      </c>
      <c r="P352" s="18" t="s">
        <v>19</v>
      </c>
    </row>
    <row r="353" spans="1:16" x14ac:dyDescent="0.25">
      <c r="A353" s="25" t="str">
        <f t="shared" si="41"/>
        <v>2025 JAN-JUN D70</v>
      </c>
      <c r="B353" s="8">
        <f t="shared" si="42"/>
        <v>46104</v>
      </c>
      <c r="C353" s="8">
        <f t="shared" si="45"/>
        <v>46113</v>
      </c>
      <c r="D353" s="7">
        <v>3272</v>
      </c>
      <c r="E353" s="7">
        <v>336</v>
      </c>
      <c r="F353" s="7">
        <v>4</v>
      </c>
      <c r="G353" s="7">
        <v>1</v>
      </c>
      <c r="H353" s="7">
        <v>81588</v>
      </c>
      <c r="I353" s="7" t="s">
        <v>16</v>
      </c>
      <c r="J353" s="7">
        <v>51511514</v>
      </c>
      <c r="K353" s="7" t="s">
        <v>1436</v>
      </c>
      <c r="L353" s="27" t="s">
        <v>1442</v>
      </c>
      <c r="M353" s="9">
        <v>139900</v>
      </c>
      <c r="N353" s="18">
        <f t="shared" si="43"/>
        <v>0.7</v>
      </c>
      <c r="O353" s="32">
        <f t="shared" si="44"/>
        <v>41970</v>
      </c>
      <c r="P353" s="18" t="s">
        <v>19</v>
      </c>
    </row>
    <row r="354" spans="1:16" x14ac:dyDescent="0.25">
      <c r="A354" s="25" t="str">
        <f t="shared" si="41"/>
        <v>2025 JAN-JUN D70</v>
      </c>
      <c r="B354" s="8">
        <f t="shared" si="42"/>
        <v>46104</v>
      </c>
      <c r="C354" s="8">
        <f t="shared" si="45"/>
        <v>46113</v>
      </c>
      <c r="D354" s="7">
        <v>3272</v>
      </c>
      <c r="E354" s="7">
        <v>336</v>
      </c>
      <c r="F354" s="7">
        <v>4</v>
      </c>
      <c r="G354" s="7">
        <v>1</v>
      </c>
      <c r="H354" s="7">
        <v>81588</v>
      </c>
      <c r="I354" s="7" t="s">
        <v>16</v>
      </c>
      <c r="J354" s="7">
        <v>51511523</v>
      </c>
      <c r="K354" s="7" t="s">
        <v>1443</v>
      </c>
      <c r="L354" s="27" t="s">
        <v>1444</v>
      </c>
      <c r="M354" s="9">
        <v>139900</v>
      </c>
      <c r="N354" s="18">
        <f t="shared" si="43"/>
        <v>0.7</v>
      </c>
      <c r="O354" s="32">
        <f t="shared" si="44"/>
        <v>41970</v>
      </c>
      <c r="P354" s="18" t="s">
        <v>19</v>
      </c>
    </row>
    <row r="355" spans="1:16" x14ac:dyDescent="0.25">
      <c r="A355" s="25" t="str">
        <f t="shared" si="41"/>
        <v>2025 JAN-JUN D70</v>
      </c>
      <c r="B355" s="8">
        <f t="shared" si="42"/>
        <v>46104</v>
      </c>
      <c r="C355" s="8">
        <f t="shared" ref="C355:C370" si="46">C354</f>
        <v>46113</v>
      </c>
      <c r="D355" s="7">
        <v>3272</v>
      </c>
      <c r="E355" s="7">
        <v>336</v>
      </c>
      <c r="F355" s="7">
        <v>4</v>
      </c>
      <c r="G355" s="7">
        <v>1</v>
      </c>
      <c r="H355" s="7">
        <v>81588</v>
      </c>
      <c r="I355" s="7" t="s">
        <v>16</v>
      </c>
      <c r="J355" s="7">
        <v>51511532</v>
      </c>
      <c r="K355" s="7" t="s">
        <v>1443</v>
      </c>
      <c r="L355" s="27" t="s">
        <v>1445</v>
      </c>
      <c r="M355" s="9">
        <v>139900</v>
      </c>
      <c r="N355" s="18">
        <f t="shared" si="43"/>
        <v>0.7</v>
      </c>
      <c r="O355" s="32">
        <f t="shared" si="44"/>
        <v>41970</v>
      </c>
      <c r="P355" s="18" t="s">
        <v>19</v>
      </c>
    </row>
    <row r="356" spans="1:16" x14ac:dyDescent="0.25">
      <c r="A356" s="25" t="str">
        <f t="shared" si="41"/>
        <v>2025 JAN-JUN D70</v>
      </c>
      <c r="B356" s="8">
        <f t="shared" si="42"/>
        <v>46104</v>
      </c>
      <c r="C356" s="8">
        <f t="shared" si="46"/>
        <v>46113</v>
      </c>
      <c r="D356" s="7">
        <v>3272</v>
      </c>
      <c r="E356" s="7">
        <v>336</v>
      </c>
      <c r="F356" s="7">
        <v>4</v>
      </c>
      <c r="G356" s="7">
        <v>1</v>
      </c>
      <c r="H356" s="7">
        <v>81588</v>
      </c>
      <c r="I356" s="7" t="s">
        <v>16</v>
      </c>
      <c r="J356" s="7">
        <v>51511541</v>
      </c>
      <c r="K356" s="7" t="s">
        <v>1443</v>
      </c>
      <c r="L356" s="27" t="s">
        <v>1446</v>
      </c>
      <c r="M356" s="9">
        <v>139900</v>
      </c>
      <c r="N356" s="18">
        <f t="shared" si="43"/>
        <v>0.7</v>
      </c>
      <c r="O356" s="32">
        <f t="shared" si="44"/>
        <v>41970</v>
      </c>
      <c r="P356" s="18" t="s">
        <v>19</v>
      </c>
    </row>
    <row r="357" spans="1:16" x14ac:dyDescent="0.25">
      <c r="A357" s="25" t="str">
        <f t="shared" si="41"/>
        <v>2025 JAN-JUN D70</v>
      </c>
      <c r="B357" s="8">
        <f t="shared" si="42"/>
        <v>46104</v>
      </c>
      <c r="C357" s="8">
        <f t="shared" si="46"/>
        <v>46113</v>
      </c>
      <c r="D357" s="7">
        <v>3272</v>
      </c>
      <c r="E357" s="7">
        <v>336</v>
      </c>
      <c r="F357" s="7">
        <v>4</v>
      </c>
      <c r="G357" s="7">
        <v>1</v>
      </c>
      <c r="H357" s="7">
        <v>81588</v>
      </c>
      <c r="I357" s="7" t="s">
        <v>16</v>
      </c>
      <c r="J357" s="7">
        <v>51511550</v>
      </c>
      <c r="K357" s="7" t="s">
        <v>1443</v>
      </c>
      <c r="L357" s="27" t="s">
        <v>1447</v>
      </c>
      <c r="M357" s="9">
        <v>139900</v>
      </c>
      <c r="N357" s="18">
        <f t="shared" si="43"/>
        <v>0.7</v>
      </c>
      <c r="O357" s="32">
        <f t="shared" si="44"/>
        <v>41970</v>
      </c>
      <c r="P357" s="18" t="s">
        <v>19</v>
      </c>
    </row>
    <row r="358" spans="1:16" x14ac:dyDescent="0.25">
      <c r="A358" s="25" t="str">
        <f t="shared" si="41"/>
        <v>2025 JAN-JUN D70</v>
      </c>
      <c r="B358" s="8">
        <f t="shared" si="42"/>
        <v>46104</v>
      </c>
      <c r="C358" s="8">
        <f t="shared" si="46"/>
        <v>46113</v>
      </c>
      <c r="D358" s="7">
        <v>3272</v>
      </c>
      <c r="E358" s="7">
        <v>336</v>
      </c>
      <c r="F358" s="7">
        <v>4</v>
      </c>
      <c r="G358" s="7">
        <v>1</v>
      </c>
      <c r="H358" s="7">
        <v>81588</v>
      </c>
      <c r="I358" s="7" t="s">
        <v>16</v>
      </c>
      <c r="J358" s="7">
        <v>51511569</v>
      </c>
      <c r="K358" s="7" t="s">
        <v>1443</v>
      </c>
      <c r="L358" s="27" t="s">
        <v>1448</v>
      </c>
      <c r="M358" s="9">
        <v>139900</v>
      </c>
      <c r="N358" s="18">
        <f t="shared" si="43"/>
        <v>0.7</v>
      </c>
      <c r="O358" s="32">
        <f t="shared" si="44"/>
        <v>41970</v>
      </c>
      <c r="P358" s="18" t="s">
        <v>19</v>
      </c>
    </row>
    <row r="359" spans="1:16" x14ac:dyDescent="0.25">
      <c r="A359" s="25" t="str">
        <f t="shared" si="41"/>
        <v>2025 JAN-JUN D70</v>
      </c>
      <c r="B359" s="8">
        <f t="shared" si="42"/>
        <v>46104</v>
      </c>
      <c r="C359" s="8">
        <f t="shared" si="46"/>
        <v>46113</v>
      </c>
      <c r="D359" s="7">
        <v>3272</v>
      </c>
      <c r="E359" s="7">
        <v>336</v>
      </c>
      <c r="F359" s="7">
        <v>4</v>
      </c>
      <c r="G359" s="7">
        <v>1</v>
      </c>
      <c r="H359" s="7">
        <v>81588</v>
      </c>
      <c r="I359" s="7" t="s">
        <v>16</v>
      </c>
      <c r="J359" s="7">
        <v>51511578</v>
      </c>
      <c r="K359" s="7" t="s">
        <v>1443</v>
      </c>
      <c r="L359" s="27" t="s">
        <v>1449</v>
      </c>
      <c r="M359" s="9">
        <v>139900</v>
      </c>
      <c r="N359" s="18">
        <f t="shared" si="43"/>
        <v>0.7</v>
      </c>
      <c r="O359" s="32">
        <f t="shared" si="44"/>
        <v>41970</v>
      </c>
      <c r="P359" s="18" t="s">
        <v>19</v>
      </c>
    </row>
    <row r="360" spans="1:16" x14ac:dyDescent="0.25">
      <c r="A360" s="25" t="str">
        <f t="shared" si="41"/>
        <v>2025 JAN-JUN D70</v>
      </c>
      <c r="B360" s="8">
        <f t="shared" si="42"/>
        <v>46104</v>
      </c>
      <c r="C360" s="8">
        <f t="shared" si="46"/>
        <v>46113</v>
      </c>
      <c r="D360" s="7">
        <v>3272</v>
      </c>
      <c r="E360" s="7">
        <v>336</v>
      </c>
      <c r="F360" s="7">
        <v>4</v>
      </c>
      <c r="G360" s="7">
        <v>1</v>
      </c>
      <c r="H360" s="7">
        <v>81588</v>
      </c>
      <c r="I360" s="7" t="s">
        <v>16</v>
      </c>
      <c r="J360" s="7">
        <v>51511587</v>
      </c>
      <c r="K360" s="7" t="s">
        <v>1450</v>
      </c>
      <c r="L360" s="27" t="s">
        <v>1451</v>
      </c>
      <c r="M360" s="9">
        <v>139900</v>
      </c>
      <c r="N360" s="18">
        <f t="shared" si="43"/>
        <v>0.7</v>
      </c>
      <c r="O360" s="32">
        <f t="shared" si="44"/>
        <v>41970</v>
      </c>
      <c r="P360" s="18" t="s">
        <v>19</v>
      </c>
    </row>
    <row r="361" spans="1:16" x14ac:dyDescent="0.25">
      <c r="A361" s="25" t="str">
        <f t="shared" si="41"/>
        <v>2025 JAN-JUN D70</v>
      </c>
      <c r="B361" s="8">
        <f t="shared" si="42"/>
        <v>46104</v>
      </c>
      <c r="C361" s="8">
        <f t="shared" si="46"/>
        <v>46113</v>
      </c>
      <c r="D361" s="7">
        <v>3272</v>
      </c>
      <c r="E361" s="7">
        <v>336</v>
      </c>
      <c r="F361" s="7">
        <v>4</v>
      </c>
      <c r="G361" s="7">
        <v>1</v>
      </c>
      <c r="H361" s="7">
        <v>81588</v>
      </c>
      <c r="I361" s="7" t="s">
        <v>16</v>
      </c>
      <c r="J361" s="7">
        <v>51511596</v>
      </c>
      <c r="K361" s="7" t="s">
        <v>1450</v>
      </c>
      <c r="L361" s="27" t="s">
        <v>1452</v>
      </c>
      <c r="M361" s="9">
        <v>139900</v>
      </c>
      <c r="N361" s="18">
        <f t="shared" si="43"/>
        <v>0.7</v>
      </c>
      <c r="O361" s="32">
        <f t="shared" si="44"/>
        <v>41970</v>
      </c>
      <c r="P361" s="18" t="s">
        <v>19</v>
      </c>
    </row>
    <row r="362" spans="1:16" x14ac:dyDescent="0.25">
      <c r="A362" s="25" t="str">
        <f t="shared" si="41"/>
        <v>2025 JAN-JUN D70</v>
      </c>
      <c r="B362" s="8">
        <f t="shared" si="42"/>
        <v>46104</v>
      </c>
      <c r="C362" s="8">
        <f t="shared" si="46"/>
        <v>46113</v>
      </c>
      <c r="D362" s="7">
        <v>3272</v>
      </c>
      <c r="E362" s="7">
        <v>336</v>
      </c>
      <c r="F362" s="7">
        <v>4</v>
      </c>
      <c r="G362" s="7">
        <v>1</v>
      </c>
      <c r="H362" s="7">
        <v>81588</v>
      </c>
      <c r="I362" s="7" t="s">
        <v>16</v>
      </c>
      <c r="J362" s="7">
        <v>51511603</v>
      </c>
      <c r="K362" s="7" t="s">
        <v>1450</v>
      </c>
      <c r="L362" s="27" t="s">
        <v>1453</v>
      </c>
      <c r="M362" s="9">
        <v>139900</v>
      </c>
      <c r="N362" s="18">
        <f t="shared" si="43"/>
        <v>0.7</v>
      </c>
      <c r="O362" s="32">
        <f t="shared" si="44"/>
        <v>41970</v>
      </c>
      <c r="P362" s="18" t="s">
        <v>19</v>
      </c>
    </row>
    <row r="363" spans="1:16" x14ac:dyDescent="0.25">
      <c r="A363" s="25" t="str">
        <f t="shared" si="41"/>
        <v>2025 JAN-JUN D70</v>
      </c>
      <c r="B363" s="8">
        <f t="shared" si="42"/>
        <v>46104</v>
      </c>
      <c r="C363" s="8">
        <f t="shared" si="46"/>
        <v>46113</v>
      </c>
      <c r="D363" s="7">
        <v>3272</v>
      </c>
      <c r="E363" s="7">
        <v>336</v>
      </c>
      <c r="F363" s="7">
        <v>4</v>
      </c>
      <c r="G363" s="7">
        <v>1</v>
      </c>
      <c r="H363" s="7">
        <v>81588</v>
      </c>
      <c r="I363" s="7" t="s">
        <v>16</v>
      </c>
      <c r="J363" s="7">
        <v>51511612</v>
      </c>
      <c r="K363" s="7" t="s">
        <v>1450</v>
      </c>
      <c r="L363" s="27" t="s">
        <v>1454</v>
      </c>
      <c r="M363" s="9">
        <v>139900</v>
      </c>
      <c r="N363" s="18">
        <f t="shared" si="43"/>
        <v>0.7</v>
      </c>
      <c r="O363" s="32">
        <f t="shared" si="44"/>
        <v>41970</v>
      </c>
      <c r="P363" s="18" t="s">
        <v>19</v>
      </c>
    </row>
    <row r="364" spans="1:16" x14ac:dyDescent="0.25">
      <c r="A364" s="25" t="str">
        <f t="shared" si="41"/>
        <v>2025 JAN-JUN D70</v>
      </c>
      <c r="B364" s="8">
        <f t="shared" si="42"/>
        <v>46104</v>
      </c>
      <c r="C364" s="8">
        <f t="shared" si="46"/>
        <v>46113</v>
      </c>
      <c r="D364" s="7">
        <v>3272</v>
      </c>
      <c r="E364" s="7">
        <v>336</v>
      </c>
      <c r="F364" s="7">
        <v>4</v>
      </c>
      <c r="G364" s="7">
        <v>1</v>
      </c>
      <c r="H364" s="7">
        <v>81588</v>
      </c>
      <c r="I364" s="7" t="s">
        <v>16</v>
      </c>
      <c r="J364" s="7">
        <v>51511621</v>
      </c>
      <c r="K364" s="7" t="s">
        <v>1450</v>
      </c>
      <c r="L364" s="27" t="s">
        <v>1455</v>
      </c>
      <c r="M364" s="9">
        <v>139900</v>
      </c>
      <c r="N364" s="18">
        <f t="shared" si="43"/>
        <v>0.7</v>
      </c>
      <c r="O364" s="32">
        <f t="shared" si="44"/>
        <v>41970</v>
      </c>
      <c r="P364" s="18" t="s">
        <v>19</v>
      </c>
    </row>
    <row r="365" spans="1:16" x14ac:dyDescent="0.25">
      <c r="A365" s="25" t="str">
        <f t="shared" si="41"/>
        <v>2025 JAN-JUN D70</v>
      </c>
      <c r="B365" s="8">
        <f t="shared" si="42"/>
        <v>46104</v>
      </c>
      <c r="C365" s="8">
        <f t="shared" si="46"/>
        <v>46113</v>
      </c>
      <c r="D365" s="7">
        <v>3272</v>
      </c>
      <c r="E365" s="7">
        <v>336</v>
      </c>
      <c r="F365" s="7">
        <v>4</v>
      </c>
      <c r="G365" s="7">
        <v>1</v>
      </c>
      <c r="H365" s="7">
        <v>81588</v>
      </c>
      <c r="I365" s="7" t="s">
        <v>16</v>
      </c>
      <c r="J365" s="7">
        <v>51511630</v>
      </c>
      <c r="K365" s="7" t="s">
        <v>1450</v>
      </c>
      <c r="L365" s="27" t="s">
        <v>1456</v>
      </c>
      <c r="M365" s="9">
        <v>139900</v>
      </c>
      <c r="N365" s="18">
        <f t="shared" si="43"/>
        <v>0.7</v>
      </c>
      <c r="O365" s="32">
        <f t="shared" si="44"/>
        <v>41970</v>
      </c>
      <c r="P365" s="18" t="s">
        <v>19</v>
      </c>
    </row>
    <row r="366" spans="1:16" x14ac:dyDescent="0.25">
      <c r="A366" s="25" t="str">
        <f t="shared" si="41"/>
        <v>2025 JAN-JUN D70</v>
      </c>
      <c r="B366" s="8">
        <f t="shared" si="42"/>
        <v>46104</v>
      </c>
      <c r="C366" s="8">
        <f t="shared" si="46"/>
        <v>46113</v>
      </c>
      <c r="D366" s="7">
        <v>3272</v>
      </c>
      <c r="E366" s="7">
        <v>336</v>
      </c>
      <c r="F366" s="7">
        <v>4</v>
      </c>
      <c r="G366" s="7">
        <v>1</v>
      </c>
      <c r="H366" s="7">
        <v>81379</v>
      </c>
      <c r="I366" s="7" t="s">
        <v>16</v>
      </c>
      <c r="J366" s="7">
        <v>51562460</v>
      </c>
      <c r="K366" s="7" t="s">
        <v>1457</v>
      </c>
      <c r="L366" s="27" t="s">
        <v>1458</v>
      </c>
      <c r="M366" s="9">
        <v>139900</v>
      </c>
      <c r="N366" s="18">
        <f t="shared" si="43"/>
        <v>0.7</v>
      </c>
      <c r="O366" s="32">
        <f t="shared" si="44"/>
        <v>41970</v>
      </c>
      <c r="P366" s="18" t="s">
        <v>19</v>
      </c>
    </row>
    <row r="367" spans="1:16" x14ac:dyDescent="0.25">
      <c r="A367" s="25" t="str">
        <f t="shared" si="41"/>
        <v>2025 JAN-JUN D70</v>
      </c>
      <c r="B367" s="8">
        <f t="shared" si="42"/>
        <v>46104</v>
      </c>
      <c r="C367" s="8">
        <f t="shared" si="46"/>
        <v>46113</v>
      </c>
      <c r="D367" s="7">
        <v>3272</v>
      </c>
      <c r="E367" s="7">
        <v>336</v>
      </c>
      <c r="F367" s="7">
        <v>4</v>
      </c>
      <c r="G367" s="7">
        <v>1</v>
      </c>
      <c r="H367" s="7">
        <v>81379</v>
      </c>
      <c r="I367" s="7" t="s">
        <v>16</v>
      </c>
      <c r="J367" s="7">
        <v>51562479</v>
      </c>
      <c r="K367" s="7" t="s">
        <v>1457</v>
      </c>
      <c r="L367" s="27" t="s">
        <v>1459</v>
      </c>
      <c r="M367" s="9">
        <v>139900</v>
      </c>
      <c r="N367" s="18">
        <f t="shared" si="43"/>
        <v>0.7</v>
      </c>
      <c r="O367" s="32">
        <f t="shared" si="44"/>
        <v>41970</v>
      </c>
      <c r="P367" s="18" t="s">
        <v>19</v>
      </c>
    </row>
    <row r="368" spans="1:16" x14ac:dyDescent="0.25">
      <c r="A368" s="25" t="str">
        <f t="shared" si="41"/>
        <v>2025 JAN-JUN D70</v>
      </c>
      <c r="B368" s="8">
        <f t="shared" si="42"/>
        <v>46104</v>
      </c>
      <c r="C368" s="8">
        <f t="shared" si="46"/>
        <v>46113</v>
      </c>
      <c r="D368" s="7">
        <v>3272</v>
      </c>
      <c r="E368" s="7">
        <v>336</v>
      </c>
      <c r="F368" s="7">
        <v>4</v>
      </c>
      <c r="G368" s="7">
        <v>1</v>
      </c>
      <c r="H368" s="7">
        <v>81379</v>
      </c>
      <c r="I368" s="7" t="s">
        <v>16</v>
      </c>
      <c r="J368" s="7">
        <v>51562488</v>
      </c>
      <c r="K368" s="7" t="s">
        <v>1457</v>
      </c>
      <c r="L368" s="27" t="s">
        <v>1460</v>
      </c>
      <c r="M368" s="9">
        <v>139900</v>
      </c>
      <c r="N368" s="18">
        <f t="shared" si="43"/>
        <v>0.7</v>
      </c>
      <c r="O368" s="32">
        <f t="shared" si="44"/>
        <v>41970</v>
      </c>
      <c r="P368" s="18" t="s">
        <v>19</v>
      </c>
    </row>
    <row r="369" spans="1:16" x14ac:dyDescent="0.25">
      <c r="A369" s="25" t="str">
        <f t="shared" si="41"/>
        <v>2025 JAN-JUN D70</v>
      </c>
      <c r="B369" s="8">
        <f t="shared" si="42"/>
        <v>46104</v>
      </c>
      <c r="C369" s="8">
        <f t="shared" si="46"/>
        <v>46113</v>
      </c>
      <c r="D369" s="7">
        <v>3272</v>
      </c>
      <c r="E369" s="7">
        <v>336</v>
      </c>
      <c r="F369" s="7">
        <v>4</v>
      </c>
      <c r="G369" s="7">
        <v>1</v>
      </c>
      <c r="H369" s="7">
        <v>81379</v>
      </c>
      <c r="I369" s="7" t="s">
        <v>16</v>
      </c>
      <c r="J369" s="7">
        <v>51562497</v>
      </c>
      <c r="K369" s="7" t="s">
        <v>1457</v>
      </c>
      <c r="L369" s="27" t="s">
        <v>1461</v>
      </c>
      <c r="M369" s="9">
        <v>139900</v>
      </c>
      <c r="N369" s="18">
        <f t="shared" si="43"/>
        <v>0.7</v>
      </c>
      <c r="O369" s="32">
        <f t="shared" si="44"/>
        <v>41970</v>
      </c>
      <c r="P369" s="18" t="s">
        <v>19</v>
      </c>
    </row>
    <row r="370" spans="1:16" x14ac:dyDescent="0.25">
      <c r="A370" s="25" t="str">
        <f t="shared" si="41"/>
        <v>2025 JAN-JUN D70</v>
      </c>
      <c r="B370" s="8">
        <f t="shared" si="42"/>
        <v>46104</v>
      </c>
      <c r="C370" s="8">
        <f t="shared" si="46"/>
        <v>46113</v>
      </c>
      <c r="D370" s="7">
        <v>3272</v>
      </c>
      <c r="E370" s="7">
        <v>336</v>
      </c>
      <c r="F370" s="7">
        <v>4</v>
      </c>
      <c r="G370" s="7">
        <v>1</v>
      </c>
      <c r="H370" s="7">
        <v>81379</v>
      </c>
      <c r="I370" s="7" t="s">
        <v>16</v>
      </c>
      <c r="J370" s="7">
        <v>51562504</v>
      </c>
      <c r="K370" s="7" t="s">
        <v>1457</v>
      </c>
      <c r="L370" s="27" t="s">
        <v>1462</v>
      </c>
      <c r="M370" s="9">
        <v>139900</v>
      </c>
      <c r="N370" s="18">
        <f t="shared" si="43"/>
        <v>0.7</v>
      </c>
      <c r="O370" s="32">
        <f t="shared" si="44"/>
        <v>41970</v>
      </c>
      <c r="P370" s="18" t="s">
        <v>19</v>
      </c>
    </row>
    <row r="371" spans="1:16" x14ac:dyDescent="0.25">
      <c r="A371" s="25" t="str">
        <f t="shared" si="41"/>
        <v>2025 JAN-JUN D70</v>
      </c>
      <c r="B371" s="8">
        <f t="shared" si="42"/>
        <v>46104</v>
      </c>
      <c r="C371" s="8">
        <f t="shared" ref="C371:C386" si="47">C370</f>
        <v>46113</v>
      </c>
      <c r="D371" s="7">
        <v>3272</v>
      </c>
      <c r="E371" s="7">
        <v>336</v>
      </c>
      <c r="F371" s="7">
        <v>4</v>
      </c>
      <c r="G371" s="7">
        <v>1</v>
      </c>
      <c r="H371" s="7">
        <v>81379</v>
      </c>
      <c r="I371" s="7" t="s">
        <v>16</v>
      </c>
      <c r="J371" s="7">
        <v>51562513</v>
      </c>
      <c r="K371" s="7" t="s">
        <v>1457</v>
      </c>
      <c r="L371" s="27" t="s">
        <v>1463</v>
      </c>
      <c r="M371" s="9">
        <v>139900</v>
      </c>
      <c r="N371" s="18">
        <f t="shared" si="43"/>
        <v>0.7</v>
      </c>
      <c r="O371" s="32">
        <f t="shared" si="44"/>
        <v>41970</v>
      </c>
      <c r="P371" s="18" t="s">
        <v>19</v>
      </c>
    </row>
    <row r="372" spans="1:16" x14ac:dyDescent="0.25">
      <c r="A372" s="25" t="str">
        <f t="shared" si="41"/>
        <v>2025 JAN-JUN D70</v>
      </c>
      <c r="B372" s="8">
        <f t="shared" si="42"/>
        <v>46104</v>
      </c>
      <c r="C372" s="8">
        <f t="shared" si="47"/>
        <v>46113</v>
      </c>
      <c r="D372" s="7">
        <v>3272</v>
      </c>
      <c r="E372" s="7">
        <v>336</v>
      </c>
      <c r="F372" s="7">
        <v>4</v>
      </c>
      <c r="G372" s="7">
        <v>1</v>
      </c>
      <c r="H372" s="7">
        <v>81379</v>
      </c>
      <c r="I372" s="7" t="s">
        <v>16</v>
      </c>
      <c r="J372" s="7">
        <v>51562522</v>
      </c>
      <c r="K372" s="7" t="s">
        <v>1464</v>
      </c>
      <c r="L372" s="27" t="s">
        <v>1465</v>
      </c>
      <c r="M372" s="9">
        <v>139900</v>
      </c>
      <c r="N372" s="18">
        <f t="shared" si="43"/>
        <v>0.7</v>
      </c>
      <c r="O372" s="32">
        <f t="shared" si="44"/>
        <v>41970</v>
      </c>
      <c r="P372" s="18" t="s">
        <v>19</v>
      </c>
    </row>
    <row r="373" spans="1:16" x14ac:dyDescent="0.25">
      <c r="A373" s="25" t="str">
        <f t="shared" si="41"/>
        <v>2025 JAN-JUN D70</v>
      </c>
      <c r="B373" s="8">
        <f t="shared" si="42"/>
        <v>46104</v>
      </c>
      <c r="C373" s="8">
        <f t="shared" si="47"/>
        <v>46113</v>
      </c>
      <c r="D373" s="7">
        <v>3272</v>
      </c>
      <c r="E373" s="7">
        <v>336</v>
      </c>
      <c r="F373" s="7">
        <v>4</v>
      </c>
      <c r="G373" s="7">
        <v>1</v>
      </c>
      <c r="H373" s="7">
        <v>81379</v>
      </c>
      <c r="I373" s="7" t="s">
        <v>16</v>
      </c>
      <c r="J373" s="7">
        <v>51562531</v>
      </c>
      <c r="K373" s="7" t="s">
        <v>1464</v>
      </c>
      <c r="L373" s="27" t="s">
        <v>1466</v>
      </c>
      <c r="M373" s="9">
        <v>139900</v>
      </c>
      <c r="N373" s="18">
        <f t="shared" si="43"/>
        <v>0.7</v>
      </c>
      <c r="O373" s="32">
        <f t="shared" si="44"/>
        <v>41970</v>
      </c>
      <c r="P373" s="18" t="s">
        <v>19</v>
      </c>
    </row>
    <row r="374" spans="1:16" x14ac:dyDescent="0.25">
      <c r="A374" s="25" t="str">
        <f t="shared" si="41"/>
        <v>2025 JAN-JUN D70</v>
      </c>
      <c r="B374" s="8">
        <f t="shared" si="42"/>
        <v>46104</v>
      </c>
      <c r="C374" s="8">
        <f t="shared" si="47"/>
        <v>46113</v>
      </c>
      <c r="D374" s="7">
        <v>3272</v>
      </c>
      <c r="E374" s="7">
        <v>336</v>
      </c>
      <c r="F374" s="7">
        <v>4</v>
      </c>
      <c r="G374" s="7">
        <v>1</v>
      </c>
      <c r="H374" s="7">
        <v>81379</v>
      </c>
      <c r="I374" s="7" t="s">
        <v>16</v>
      </c>
      <c r="J374" s="7">
        <v>51562540</v>
      </c>
      <c r="K374" s="7" t="s">
        <v>1464</v>
      </c>
      <c r="L374" s="27" t="s">
        <v>1467</v>
      </c>
      <c r="M374" s="9">
        <v>139900</v>
      </c>
      <c r="N374" s="18">
        <f t="shared" si="43"/>
        <v>0.7</v>
      </c>
      <c r="O374" s="32">
        <f t="shared" si="44"/>
        <v>41970</v>
      </c>
      <c r="P374" s="18" t="s">
        <v>19</v>
      </c>
    </row>
    <row r="375" spans="1:16" x14ac:dyDescent="0.25">
      <c r="A375" s="25" t="str">
        <f t="shared" si="41"/>
        <v>2025 JAN-JUN D70</v>
      </c>
      <c r="B375" s="8">
        <f t="shared" si="42"/>
        <v>46104</v>
      </c>
      <c r="C375" s="8">
        <f t="shared" si="47"/>
        <v>46113</v>
      </c>
      <c r="D375" s="7">
        <v>3272</v>
      </c>
      <c r="E375" s="7">
        <v>336</v>
      </c>
      <c r="F375" s="7">
        <v>4</v>
      </c>
      <c r="G375" s="7">
        <v>1</v>
      </c>
      <c r="H375" s="7">
        <v>81379</v>
      </c>
      <c r="I375" s="7" t="s">
        <v>16</v>
      </c>
      <c r="J375" s="7">
        <v>51562559</v>
      </c>
      <c r="K375" s="7" t="s">
        <v>1464</v>
      </c>
      <c r="L375" s="27" t="s">
        <v>1468</v>
      </c>
      <c r="M375" s="9">
        <v>139900</v>
      </c>
      <c r="N375" s="18">
        <f t="shared" si="43"/>
        <v>0.7</v>
      </c>
      <c r="O375" s="32">
        <f t="shared" si="44"/>
        <v>41970</v>
      </c>
      <c r="P375" s="18" t="s">
        <v>19</v>
      </c>
    </row>
    <row r="376" spans="1:16" x14ac:dyDescent="0.25">
      <c r="A376" s="25" t="str">
        <f t="shared" si="41"/>
        <v>2025 JAN-JUN D70</v>
      </c>
      <c r="B376" s="8">
        <f t="shared" si="42"/>
        <v>46104</v>
      </c>
      <c r="C376" s="8">
        <f t="shared" si="47"/>
        <v>46113</v>
      </c>
      <c r="D376" s="7">
        <v>3272</v>
      </c>
      <c r="E376" s="7">
        <v>336</v>
      </c>
      <c r="F376" s="7">
        <v>4</v>
      </c>
      <c r="G376" s="7">
        <v>1</v>
      </c>
      <c r="H376" s="7">
        <v>81379</v>
      </c>
      <c r="I376" s="7" t="s">
        <v>16</v>
      </c>
      <c r="J376" s="7">
        <v>51562568</v>
      </c>
      <c r="K376" s="7" t="s">
        <v>1464</v>
      </c>
      <c r="L376" s="27" t="s">
        <v>1469</v>
      </c>
      <c r="M376" s="9">
        <v>139900</v>
      </c>
      <c r="N376" s="18">
        <f t="shared" si="43"/>
        <v>0.7</v>
      </c>
      <c r="O376" s="32">
        <f t="shared" si="44"/>
        <v>41970</v>
      </c>
      <c r="P376" s="18" t="s">
        <v>19</v>
      </c>
    </row>
    <row r="377" spans="1:16" x14ac:dyDescent="0.25">
      <c r="A377" s="25" t="str">
        <f t="shared" si="41"/>
        <v>2025 JAN-JUN D70</v>
      </c>
      <c r="B377" s="8">
        <f t="shared" si="42"/>
        <v>46104</v>
      </c>
      <c r="C377" s="8">
        <f t="shared" si="47"/>
        <v>46113</v>
      </c>
      <c r="D377" s="7">
        <v>3272</v>
      </c>
      <c r="E377" s="7">
        <v>336</v>
      </c>
      <c r="F377" s="7">
        <v>4</v>
      </c>
      <c r="G377" s="7">
        <v>1</v>
      </c>
      <c r="H377" s="7">
        <v>81379</v>
      </c>
      <c r="I377" s="7" t="s">
        <v>16</v>
      </c>
      <c r="J377" s="7">
        <v>51562577</v>
      </c>
      <c r="K377" s="7" t="s">
        <v>1464</v>
      </c>
      <c r="L377" s="27" t="s">
        <v>1470</v>
      </c>
      <c r="M377" s="9">
        <v>139900</v>
      </c>
      <c r="N377" s="18">
        <f t="shared" si="43"/>
        <v>0.7</v>
      </c>
      <c r="O377" s="32">
        <f t="shared" si="44"/>
        <v>41970</v>
      </c>
      <c r="P377" s="18" t="s">
        <v>19</v>
      </c>
    </row>
    <row r="378" spans="1:16" x14ac:dyDescent="0.25">
      <c r="A378" s="25" t="str">
        <f t="shared" si="41"/>
        <v>2025 JAN-JUN D70</v>
      </c>
      <c r="B378" s="8">
        <f t="shared" si="42"/>
        <v>46104</v>
      </c>
      <c r="C378" s="8">
        <f t="shared" si="47"/>
        <v>46113</v>
      </c>
      <c r="D378" s="7">
        <v>3272</v>
      </c>
      <c r="E378" s="7">
        <v>336</v>
      </c>
      <c r="F378" s="7">
        <v>4</v>
      </c>
      <c r="G378" s="7">
        <v>1</v>
      </c>
      <c r="H378" s="7">
        <v>81379</v>
      </c>
      <c r="I378" s="7" t="s">
        <v>16</v>
      </c>
      <c r="J378" s="7">
        <v>51562586</v>
      </c>
      <c r="K378" s="7" t="s">
        <v>1464</v>
      </c>
      <c r="L378" s="27" t="s">
        <v>1471</v>
      </c>
      <c r="M378" s="9">
        <v>139900</v>
      </c>
      <c r="N378" s="18">
        <f t="shared" si="43"/>
        <v>0.7</v>
      </c>
      <c r="O378" s="32">
        <f t="shared" si="44"/>
        <v>41970</v>
      </c>
      <c r="P378" s="18" t="s">
        <v>19</v>
      </c>
    </row>
    <row r="379" spans="1:16" x14ac:dyDescent="0.25">
      <c r="A379" s="25" t="str">
        <f t="shared" si="41"/>
        <v>2025 JAN-JUN D70</v>
      </c>
      <c r="B379" s="8">
        <f t="shared" si="42"/>
        <v>46104</v>
      </c>
      <c r="C379" s="8">
        <f t="shared" si="47"/>
        <v>46113</v>
      </c>
      <c r="D379" s="7">
        <v>3272</v>
      </c>
      <c r="E379" s="7">
        <v>336</v>
      </c>
      <c r="F379" s="7">
        <v>4</v>
      </c>
      <c r="G379" s="7">
        <v>1</v>
      </c>
      <c r="H379" s="7">
        <v>81379</v>
      </c>
      <c r="I379" s="7" t="s">
        <v>16</v>
      </c>
      <c r="J379" s="7">
        <v>51562595</v>
      </c>
      <c r="K379" s="7" t="s">
        <v>1464</v>
      </c>
      <c r="L379" s="27" t="s">
        <v>1472</v>
      </c>
      <c r="M379" s="9">
        <v>139900</v>
      </c>
      <c r="N379" s="18">
        <f t="shared" si="43"/>
        <v>0.7</v>
      </c>
      <c r="O379" s="32">
        <f t="shared" si="44"/>
        <v>41970</v>
      </c>
      <c r="P379" s="18" t="s">
        <v>19</v>
      </c>
    </row>
    <row r="380" spans="1:16" x14ac:dyDescent="0.25">
      <c r="A380" s="25" t="str">
        <f t="shared" si="41"/>
        <v>2025 JAN-JUN D70</v>
      </c>
      <c r="B380" s="8">
        <f t="shared" si="42"/>
        <v>46104</v>
      </c>
      <c r="C380" s="8">
        <f t="shared" si="47"/>
        <v>46113</v>
      </c>
      <c r="D380" s="7">
        <v>3272</v>
      </c>
      <c r="E380" s="7">
        <v>336</v>
      </c>
      <c r="F380" s="7">
        <v>4</v>
      </c>
      <c r="G380" s="7">
        <v>1</v>
      </c>
      <c r="H380" s="7">
        <v>81379</v>
      </c>
      <c r="I380" s="7" t="s">
        <v>16</v>
      </c>
      <c r="J380" s="7">
        <v>51562764</v>
      </c>
      <c r="K380" s="7" t="s">
        <v>1473</v>
      </c>
      <c r="L380" s="27" t="s">
        <v>1474</v>
      </c>
      <c r="M380" s="9">
        <v>139900</v>
      </c>
      <c r="N380" s="18">
        <f t="shared" si="43"/>
        <v>0.7</v>
      </c>
      <c r="O380" s="32">
        <f t="shared" si="44"/>
        <v>41970</v>
      </c>
      <c r="P380" s="18" t="s">
        <v>19</v>
      </c>
    </row>
    <row r="381" spans="1:16" x14ac:dyDescent="0.25">
      <c r="A381" s="25" t="str">
        <f t="shared" si="41"/>
        <v>2025 JAN-JUN D70</v>
      </c>
      <c r="B381" s="8">
        <f t="shared" si="42"/>
        <v>46104</v>
      </c>
      <c r="C381" s="8">
        <f t="shared" si="47"/>
        <v>46113</v>
      </c>
      <c r="D381" s="7">
        <v>3272</v>
      </c>
      <c r="E381" s="7">
        <v>336</v>
      </c>
      <c r="F381" s="7">
        <v>4</v>
      </c>
      <c r="G381" s="7">
        <v>1</v>
      </c>
      <c r="H381" s="7">
        <v>81379</v>
      </c>
      <c r="I381" s="7" t="s">
        <v>16</v>
      </c>
      <c r="J381" s="7">
        <v>51562773</v>
      </c>
      <c r="K381" s="7" t="s">
        <v>1473</v>
      </c>
      <c r="L381" s="27" t="s">
        <v>1475</v>
      </c>
      <c r="M381" s="9">
        <v>139900</v>
      </c>
      <c r="N381" s="18">
        <f t="shared" si="43"/>
        <v>0.7</v>
      </c>
      <c r="O381" s="32">
        <f t="shared" si="44"/>
        <v>41970</v>
      </c>
      <c r="P381" s="18" t="s">
        <v>19</v>
      </c>
    </row>
    <row r="382" spans="1:16" x14ac:dyDescent="0.25">
      <c r="A382" s="25" t="str">
        <f t="shared" si="41"/>
        <v>2025 JAN-JUN D70</v>
      </c>
      <c r="B382" s="8">
        <f t="shared" si="42"/>
        <v>46104</v>
      </c>
      <c r="C382" s="8">
        <f t="shared" si="47"/>
        <v>46113</v>
      </c>
      <c r="D382" s="7">
        <v>3272</v>
      </c>
      <c r="E382" s="7">
        <v>336</v>
      </c>
      <c r="F382" s="7">
        <v>4</v>
      </c>
      <c r="G382" s="7">
        <v>1</v>
      </c>
      <c r="H382" s="7">
        <v>81379</v>
      </c>
      <c r="I382" s="7" t="s">
        <v>16</v>
      </c>
      <c r="J382" s="7">
        <v>51562782</v>
      </c>
      <c r="K382" s="7" t="s">
        <v>1473</v>
      </c>
      <c r="L382" s="27" t="s">
        <v>1476</v>
      </c>
      <c r="M382" s="9">
        <v>139900</v>
      </c>
      <c r="N382" s="18">
        <f t="shared" si="43"/>
        <v>0.7</v>
      </c>
      <c r="O382" s="32">
        <f t="shared" si="44"/>
        <v>41970</v>
      </c>
      <c r="P382" s="18" t="s">
        <v>19</v>
      </c>
    </row>
    <row r="383" spans="1:16" x14ac:dyDescent="0.25">
      <c r="A383" s="25" t="str">
        <f t="shared" si="41"/>
        <v>2025 JAN-JUN D70</v>
      </c>
      <c r="B383" s="8">
        <f t="shared" si="42"/>
        <v>46104</v>
      </c>
      <c r="C383" s="8">
        <f t="shared" si="47"/>
        <v>46113</v>
      </c>
      <c r="D383" s="7">
        <v>3272</v>
      </c>
      <c r="E383" s="7">
        <v>336</v>
      </c>
      <c r="F383" s="7">
        <v>4</v>
      </c>
      <c r="G383" s="7">
        <v>1</v>
      </c>
      <c r="H383" s="7">
        <v>81379</v>
      </c>
      <c r="I383" s="7" t="s">
        <v>16</v>
      </c>
      <c r="J383" s="7">
        <v>51562791</v>
      </c>
      <c r="K383" s="7" t="s">
        <v>1473</v>
      </c>
      <c r="L383" s="27" t="s">
        <v>1477</v>
      </c>
      <c r="M383" s="9">
        <v>139900</v>
      </c>
      <c r="N383" s="18">
        <f t="shared" si="43"/>
        <v>0.7</v>
      </c>
      <c r="O383" s="32">
        <f t="shared" si="44"/>
        <v>41970</v>
      </c>
      <c r="P383" s="18" t="s">
        <v>19</v>
      </c>
    </row>
    <row r="384" spans="1:16" x14ac:dyDescent="0.25">
      <c r="A384" s="25" t="str">
        <f t="shared" si="41"/>
        <v>2025 JAN-JUN D70</v>
      </c>
      <c r="B384" s="8">
        <f t="shared" si="42"/>
        <v>46104</v>
      </c>
      <c r="C384" s="8">
        <f t="shared" si="47"/>
        <v>46113</v>
      </c>
      <c r="D384" s="7">
        <v>3272</v>
      </c>
      <c r="E384" s="7">
        <v>336</v>
      </c>
      <c r="F384" s="7">
        <v>4</v>
      </c>
      <c r="G384" s="7">
        <v>1</v>
      </c>
      <c r="H384" s="7">
        <v>81379</v>
      </c>
      <c r="I384" s="7" t="s">
        <v>16</v>
      </c>
      <c r="J384" s="7">
        <v>51562808</v>
      </c>
      <c r="K384" s="7" t="s">
        <v>1473</v>
      </c>
      <c r="L384" s="27" t="s">
        <v>1478</v>
      </c>
      <c r="M384" s="9">
        <v>139900</v>
      </c>
      <c r="N384" s="18">
        <f t="shared" si="43"/>
        <v>0.7</v>
      </c>
      <c r="O384" s="32">
        <f t="shared" si="44"/>
        <v>41970</v>
      </c>
      <c r="P384" s="18" t="s">
        <v>19</v>
      </c>
    </row>
    <row r="385" spans="1:16" x14ac:dyDescent="0.25">
      <c r="A385" s="25" t="str">
        <f t="shared" si="41"/>
        <v>2025 JAN-JUN D70</v>
      </c>
      <c r="B385" s="8">
        <f t="shared" si="42"/>
        <v>46104</v>
      </c>
      <c r="C385" s="8">
        <f t="shared" si="47"/>
        <v>46113</v>
      </c>
      <c r="D385" s="7">
        <v>3272</v>
      </c>
      <c r="E385" s="7">
        <v>336</v>
      </c>
      <c r="F385" s="7">
        <v>4</v>
      </c>
      <c r="G385" s="7">
        <v>1</v>
      </c>
      <c r="H385" s="7">
        <v>81379</v>
      </c>
      <c r="I385" s="7" t="s">
        <v>16</v>
      </c>
      <c r="J385" s="7">
        <v>51562817</v>
      </c>
      <c r="K385" s="7" t="s">
        <v>1473</v>
      </c>
      <c r="L385" s="27" t="s">
        <v>1479</v>
      </c>
      <c r="M385" s="9">
        <v>149900</v>
      </c>
      <c r="N385" s="18">
        <f t="shared" si="43"/>
        <v>0.7</v>
      </c>
      <c r="O385" s="32">
        <f t="shared" si="44"/>
        <v>44970</v>
      </c>
      <c r="P385" s="18" t="s">
        <v>19</v>
      </c>
    </row>
    <row r="386" spans="1:16" x14ac:dyDescent="0.25">
      <c r="A386" s="25" t="str">
        <f t="shared" si="41"/>
        <v>2025 JAN-JUN D70</v>
      </c>
      <c r="B386" s="8">
        <f t="shared" si="42"/>
        <v>46104</v>
      </c>
      <c r="C386" s="8">
        <f t="shared" si="47"/>
        <v>46113</v>
      </c>
      <c r="D386" s="7">
        <v>3272</v>
      </c>
      <c r="E386" s="7">
        <v>336</v>
      </c>
      <c r="F386" s="7">
        <v>4</v>
      </c>
      <c r="G386" s="7">
        <v>1</v>
      </c>
      <c r="H386" s="7">
        <v>81379</v>
      </c>
      <c r="I386" s="7" t="s">
        <v>16</v>
      </c>
      <c r="J386" s="7">
        <v>51562826</v>
      </c>
      <c r="K386" s="7" t="s">
        <v>1473</v>
      </c>
      <c r="L386" s="27" t="s">
        <v>1480</v>
      </c>
      <c r="M386" s="9">
        <v>149900</v>
      </c>
      <c r="N386" s="18">
        <f t="shared" si="43"/>
        <v>0.7</v>
      </c>
      <c r="O386" s="32">
        <f t="shared" si="44"/>
        <v>44970</v>
      </c>
      <c r="P386" s="18" t="s">
        <v>19</v>
      </c>
    </row>
    <row r="387" spans="1:16" x14ac:dyDescent="0.25">
      <c r="A387" s="25" t="str">
        <f t="shared" si="41"/>
        <v>2025 JAN-JUN D70</v>
      </c>
      <c r="B387" s="8">
        <f t="shared" si="42"/>
        <v>46104</v>
      </c>
      <c r="C387" s="8">
        <f t="shared" ref="C387:C402" si="48">C386</f>
        <v>46113</v>
      </c>
      <c r="D387" s="7">
        <v>3272</v>
      </c>
      <c r="E387" s="7">
        <v>336</v>
      </c>
      <c r="F387" s="7">
        <v>4</v>
      </c>
      <c r="G387" s="7">
        <v>1</v>
      </c>
      <c r="H387" s="7">
        <v>81379</v>
      </c>
      <c r="I387" s="7" t="s">
        <v>16</v>
      </c>
      <c r="J387" s="7">
        <v>51562835</v>
      </c>
      <c r="K387" s="7" t="s">
        <v>1473</v>
      </c>
      <c r="L387" s="27" t="s">
        <v>1481</v>
      </c>
      <c r="M387" s="9">
        <v>149900</v>
      </c>
      <c r="N387" s="18">
        <f t="shared" si="43"/>
        <v>0.7</v>
      </c>
      <c r="O387" s="32">
        <f t="shared" si="44"/>
        <v>44970</v>
      </c>
      <c r="P387" s="18" t="s">
        <v>19</v>
      </c>
    </row>
    <row r="388" spans="1:16" x14ac:dyDescent="0.25">
      <c r="A388" s="25" t="str">
        <f t="shared" ref="A388:A451" si="49">A387</f>
        <v>2025 JAN-JUN D70</v>
      </c>
      <c r="B388" s="8">
        <f t="shared" ref="B388:B451" si="50">B387</f>
        <v>46104</v>
      </c>
      <c r="C388" s="8">
        <f t="shared" si="48"/>
        <v>46113</v>
      </c>
      <c r="D388" s="7">
        <v>3272</v>
      </c>
      <c r="E388" s="7">
        <v>336</v>
      </c>
      <c r="F388" s="7">
        <v>4</v>
      </c>
      <c r="G388" s="7">
        <v>1</v>
      </c>
      <c r="H388" s="7">
        <v>81379</v>
      </c>
      <c r="I388" s="7" t="s">
        <v>16</v>
      </c>
      <c r="J388" s="7">
        <v>51562924</v>
      </c>
      <c r="K388" s="7" t="s">
        <v>1482</v>
      </c>
      <c r="L388" s="27" t="s">
        <v>1483</v>
      </c>
      <c r="M388" s="9">
        <v>149900</v>
      </c>
      <c r="N388" s="18">
        <f t="shared" ref="N388:N451" si="51">N387</f>
        <v>0.7</v>
      </c>
      <c r="O388" s="32">
        <f t="shared" ref="O388:O451" si="52">M388-((70*M388)/100)</f>
        <v>44970</v>
      </c>
      <c r="P388" s="18" t="s">
        <v>19</v>
      </c>
    </row>
    <row r="389" spans="1:16" x14ac:dyDescent="0.25">
      <c r="A389" s="25" t="str">
        <f t="shared" si="49"/>
        <v>2025 JAN-JUN D70</v>
      </c>
      <c r="B389" s="8">
        <f t="shared" si="50"/>
        <v>46104</v>
      </c>
      <c r="C389" s="8">
        <f t="shared" si="48"/>
        <v>46113</v>
      </c>
      <c r="D389" s="7">
        <v>3272</v>
      </c>
      <c r="E389" s="7">
        <v>336</v>
      </c>
      <c r="F389" s="7">
        <v>4</v>
      </c>
      <c r="G389" s="7">
        <v>1</v>
      </c>
      <c r="H389" s="7">
        <v>81379</v>
      </c>
      <c r="I389" s="7" t="s">
        <v>16</v>
      </c>
      <c r="J389" s="7">
        <v>51562933</v>
      </c>
      <c r="K389" s="7" t="s">
        <v>1482</v>
      </c>
      <c r="L389" s="27" t="s">
        <v>1484</v>
      </c>
      <c r="M389" s="9">
        <v>149900</v>
      </c>
      <c r="N389" s="18">
        <f t="shared" si="51"/>
        <v>0.7</v>
      </c>
      <c r="O389" s="32">
        <f t="shared" si="52"/>
        <v>44970</v>
      </c>
      <c r="P389" s="18" t="s">
        <v>19</v>
      </c>
    </row>
    <row r="390" spans="1:16" x14ac:dyDescent="0.25">
      <c r="A390" s="25" t="str">
        <f t="shared" si="49"/>
        <v>2025 JAN-JUN D70</v>
      </c>
      <c r="B390" s="8">
        <f t="shared" si="50"/>
        <v>46104</v>
      </c>
      <c r="C390" s="8">
        <f t="shared" si="48"/>
        <v>46113</v>
      </c>
      <c r="D390" s="7">
        <v>3272</v>
      </c>
      <c r="E390" s="7">
        <v>336</v>
      </c>
      <c r="F390" s="7">
        <v>4</v>
      </c>
      <c r="G390" s="7">
        <v>1</v>
      </c>
      <c r="H390" s="7">
        <v>81379</v>
      </c>
      <c r="I390" s="7" t="s">
        <v>16</v>
      </c>
      <c r="J390" s="7">
        <v>51562942</v>
      </c>
      <c r="K390" s="7" t="s">
        <v>1482</v>
      </c>
      <c r="L390" s="27" t="s">
        <v>1485</v>
      </c>
      <c r="M390" s="9">
        <v>149900</v>
      </c>
      <c r="N390" s="18">
        <f t="shared" si="51"/>
        <v>0.7</v>
      </c>
      <c r="O390" s="32">
        <f t="shared" si="52"/>
        <v>44970</v>
      </c>
      <c r="P390" s="18" t="s">
        <v>19</v>
      </c>
    </row>
    <row r="391" spans="1:16" x14ac:dyDescent="0.25">
      <c r="A391" s="25" t="str">
        <f t="shared" si="49"/>
        <v>2025 JAN-JUN D70</v>
      </c>
      <c r="B391" s="8">
        <f t="shared" si="50"/>
        <v>46104</v>
      </c>
      <c r="C391" s="8">
        <f t="shared" si="48"/>
        <v>46113</v>
      </c>
      <c r="D391" s="7">
        <v>3272</v>
      </c>
      <c r="E391" s="7">
        <v>336</v>
      </c>
      <c r="F391" s="7">
        <v>4</v>
      </c>
      <c r="G391" s="7">
        <v>1</v>
      </c>
      <c r="H391" s="7">
        <v>81379</v>
      </c>
      <c r="I391" s="7" t="s">
        <v>16</v>
      </c>
      <c r="J391" s="7">
        <v>51562951</v>
      </c>
      <c r="K391" s="7" t="s">
        <v>1482</v>
      </c>
      <c r="L391" s="27" t="s">
        <v>1486</v>
      </c>
      <c r="M391" s="9">
        <v>149900</v>
      </c>
      <c r="N391" s="18">
        <f t="shared" si="51"/>
        <v>0.7</v>
      </c>
      <c r="O391" s="32">
        <f t="shared" si="52"/>
        <v>44970</v>
      </c>
      <c r="P391" s="18" t="s">
        <v>19</v>
      </c>
    </row>
    <row r="392" spans="1:16" x14ac:dyDescent="0.25">
      <c r="A392" s="25" t="str">
        <f t="shared" si="49"/>
        <v>2025 JAN-JUN D70</v>
      </c>
      <c r="B392" s="8">
        <f t="shared" si="50"/>
        <v>46104</v>
      </c>
      <c r="C392" s="8">
        <f t="shared" si="48"/>
        <v>46113</v>
      </c>
      <c r="D392" s="7">
        <v>3272</v>
      </c>
      <c r="E392" s="7">
        <v>336</v>
      </c>
      <c r="F392" s="7">
        <v>4</v>
      </c>
      <c r="G392" s="7">
        <v>1</v>
      </c>
      <c r="H392" s="7">
        <v>81379</v>
      </c>
      <c r="I392" s="7" t="s">
        <v>16</v>
      </c>
      <c r="J392" s="7">
        <v>51562960</v>
      </c>
      <c r="K392" s="7" t="s">
        <v>1482</v>
      </c>
      <c r="L392" s="27" t="s">
        <v>1487</v>
      </c>
      <c r="M392" s="9">
        <v>149900</v>
      </c>
      <c r="N392" s="18">
        <f t="shared" si="51"/>
        <v>0.7</v>
      </c>
      <c r="O392" s="32">
        <f t="shared" si="52"/>
        <v>44970</v>
      </c>
      <c r="P392" s="18" t="s">
        <v>19</v>
      </c>
    </row>
    <row r="393" spans="1:16" x14ac:dyDescent="0.25">
      <c r="A393" s="25" t="str">
        <f t="shared" si="49"/>
        <v>2025 JAN-JUN D70</v>
      </c>
      <c r="B393" s="8">
        <f t="shared" si="50"/>
        <v>46104</v>
      </c>
      <c r="C393" s="8">
        <f t="shared" si="48"/>
        <v>46113</v>
      </c>
      <c r="D393" s="7">
        <v>3272</v>
      </c>
      <c r="E393" s="7">
        <v>336</v>
      </c>
      <c r="F393" s="7">
        <v>4</v>
      </c>
      <c r="G393" s="7">
        <v>1</v>
      </c>
      <c r="H393" s="7">
        <v>81379</v>
      </c>
      <c r="I393" s="7" t="s">
        <v>16</v>
      </c>
      <c r="J393" s="7">
        <v>51562979</v>
      </c>
      <c r="K393" s="7" t="s">
        <v>1482</v>
      </c>
      <c r="L393" s="27" t="s">
        <v>1488</v>
      </c>
      <c r="M393" s="9">
        <v>139900</v>
      </c>
      <c r="N393" s="18">
        <f t="shared" si="51"/>
        <v>0.7</v>
      </c>
      <c r="O393" s="32">
        <f t="shared" si="52"/>
        <v>41970</v>
      </c>
      <c r="P393" s="18" t="s">
        <v>19</v>
      </c>
    </row>
    <row r="394" spans="1:16" x14ac:dyDescent="0.25">
      <c r="A394" s="25" t="str">
        <f t="shared" si="49"/>
        <v>2025 JAN-JUN D70</v>
      </c>
      <c r="B394" s="8">
        <f t="shared" si="50"/>
        <v>46104</v>
      </c>
      <c r="C394" s="8">
        <f t="shared" si="48"/>
        <v>46113</v>
      </c>
      <c r="D394" s="7">
        <v>3272</v>
      </c>
      <c r="E394" s="7">
        <v>336</v>
      </c>
      <c r="F394" s="7">
        <v>4</v>
      </c>
      <c r="G394" s="7">
        <v>1</v>
      </c>
      <c r="H394" s="7">
        <v>81379</v>
      </c>
      <c r="I394" s="7" t="s">
        <v>16</v>
      </c>
      <c r="J394" s="7">
        <v>51562988</v>
      </c>
      <c r="K394" s="7" t="s">
        <v>1482</v>
      </c>
      <c r="L394" s="27" t="s">
        <v>1489</v>
      </c>
      <c r="M394" s="9">
        <v>139900</v>
      </c>
      <c r="N394" s="18">
        <f t="shared" si="51"/>
        <v>0.7</v>
      </c>
      <c r="O394" s="32">
        <f t="shared" si="52"/>
        <v>41970</v>
      </c>
      <c r="P394" s="18" t="s">
        <v>19</v>
      </c>
    </row>
    <row r="395" spans="1:16" x14ac:dyDescent="0.25">
      <c r="A395" s="25" t="str">
        <f t="shared" si="49"/>
        <v>2025 JAN-JUN D70</v>
      </c>
      <c r="B395" s="8">
        <f t="shared" si="50"/>
        <v>46104</v>
      </c>
      <c r="C395" s="8">
        <f t="shared" si="48"/>
        <v>46113</v>
      </c>
      <c r="D395" s="7">
        <v>3272</v>
      </c>
      <c r="E395" s="7">
        <v>336</v>
      </c>
      <c r="F395" s="7">
        <v>4</v>
      </c>
      <c r="G395" s="7">
        <v>1</v>
      </c>
      <c r="H395" s="7">
        <v>81379</v>
      </c>
      <c r="I395" s="7" t="s">
        <v>16</v>
      </c>
      <c r="J395" s="7">
        <v>51562997</v>
      </c>
      <c r="K395" s="7" t="s">
        <v>1482</v>
      </c>
      <c r="L395" s="27" t="s">
        <v>1490</v>
      </c>
      <c r="M395" s="9">
        <v>139900</v>
      </c>
      <c r="N395" s="18">
        <f t="shared" si="51"/>
        <v>0.7</v>
      </c>
      <c r="O395" s="32">
        <f t="shared" si="52"/>
        <v>41970</v>
      </c>
      <c r="P395" s="18" t="s">
        <v>19</v>
      </c>
    </row>
    <row r="396" spans="1:16" x14ac:dyDescent="0.25">
      <c r="A396" s="25" t="str">
        <f t="shared" si="49"/>
        <v>2025 JAN-JUN D70</v>
      </c>
      <c r="B396" s="8">
        <f t="shared" si="50"/>
        <v>46104</v>
      </c>
      <c r="C396" s="8">
        <f t="shared" si="48"/>
        <v>46113</v>
      </c>
      <c r="D396" s="7">
        <v>3272</v>
      </c>
      <c r="E396" s="7">
        <v>336</v>
      </c>
      <c r="F396" s="7">
        <v>4</v>
      </c>
      <c r="G396" s="7">
        <v>1</v>
      </c>
      <c r="H396" s="7">
        <v>81379</v>
      </c>
      <c r="I396" s="7" t="s">
        <v>16</v>
      </c>
      <c r="J396" s="7">
        <v>52176180</v>
      </c>
      <c r="K396" s="7" t="s">
        <v>1123</v>
      </c>
      <c r="L396" s="27" t="s">
        <v>1491</v>
      </c>
      <c r="M396" s="9">
        <v>169900</v>
      </c>
      <c r="N396" s="18">
        <f t="shared" si="51"/>
        <v>0.7</v>
      </c>
      <c r="O396" s="32">
        <f t="shared" si="52"/>
        <v>50970</v>
      </c>
      <c r="P396" s="18" t="s">
        <v>19</v>
      </c>
    </row>
    <row r="397" spans="1:16" x14ac:dyDescent="0.25">
      <c r="A397" s="25" t="str">
        <f t="shared" si="49"/>
        <v>2025 JAN-JUN D70</v>
      </c>
      <c r="B397" s="8">
        <f t="shared" si="50"/>
        <v>46104</v>
      </c>
      <c r="C397" s="8">
        <f t="shared" si="48"/>
        <v>46113</v>
      </c>
      <c r="D397" s="7">
        <v>3272</v>
      </c>
      <c r="E397" s="7">
        <v>336</v>
      </c>
      <c r="F397" s="7">
        <v>4</v>
      </c>
      <c r="G397" s="7">
        <v>1</v>
      </c>
      <c r="H397" s="7">
        <v>81379</v>
      </c>
      <c r="I397" s="7" t="s">
        <v>16</v>
      </c>
      <c r="J397" s="7">
        <v>52176199</v>
      </c>
      <c r="K397" s="7" t="s">
        <v>1123</v>
      </c>
      <c r="L397" s="27" t="s">
        <v>1492</v>
      </c>
      <c r="M397" s="9">
        <v>169900</v>
      </c>
      <c r="N397" s="18">
        <f t="shared" si="51"/>
        <v>0.7</v>
      </c>
      <c r="O397" s="32">
        <f t="shared" si="52"/>
        <v>50970</v>
      </c>
      <c r="P397" s="18" t="s">
        <v>19</v>
      </c>
    </row>
    <row r="398" spans="1:16" x14ac:dyDescent="0.25">
      <c r="A398" s="25" t="str">
        <f t="shared" si="49"/>
        <v>2025 JAN-JUN D70</v>
      </c>
      <c r="B398" s="8">
        <f t="shared" si="50"/>
        <v>46104</v>
      </c>
      <c r="C398" s="8">
        <f t="shared" si="48"/>
        <v>46113</v>
      </c>
      <c r="D398" s="7">
        <v>3272</v>
      </c>
      <c r="E398" s="7">
        <v>336</v>
      </c>
      <c r="F398" s="7">
        <v>4</v>
      </c>
      <c r="G398" s="7">
        <v>1</v>
      </c>
      <c r="H398" s="7">
        <v>81588</v>
      </c>
      <c r="I398" s="7" t="s">
        <v>16</v>
      </c>
      <c r="J398" s="7">
        <v>52176206</v>
      </c>
      <c r="K398" s="7" t="s">
        <v>1493</v>
      </c>
      <c r="L398" s="27" t="s">
        <v>1494</v>
      </c>
      <c r="M398" s="9">
        <v>169900</v>
      </c>
      <c r="N398" s="18">
        <f t="shared" si="51"/>
        <v>0.7</v>
      </c>
      <c r="O398" s="32">
        <f t="shared" si="52"/>
        <v>50970</v>
      </c>
      <c r="P398" s="18" t="s">
        <v>19</v>
      </c>
    </row>
    <row r="399" spans="1:16" x14ac:dyDescent="0.25">
      <c r="A399" s="25" t="str">
        <f t="shared" si="49"/>
        <v>2025 JAN-JUN D70</v>
      </c>
      <c r="B399" s="8">
        <f t="shared" si="50"/>
        <v>46104</v>
      </c>
      <c r="C399" s="8">
        <f t="shared" si="48"/>
        <v>46113</v>
      </c>
      <c r="D399" s="7">
        <v>3272</v>
      </c>
      <c r="E399" s="7">
        <v>336</v>
      </c>
      <c r="F399" s="7">
        <v>4</v>
      </c>
      <c r="G399" s="7">
        <v>1</v>
      </c>
      <c r="H399" s="7">
        <v>81588</v>
      </c>
      <c r="I399" s="7" t="s">
        <v>16</v>
      </c>
      <c r="J399" s="7">
        <v>52176215</v>
      </c>
      <c r="K399" s="7" t="s">
        <v>1493</v>
      </c>
      <c r="L399" s="27" t="s">
        <v>1495</v>
      </c>
      <c r="M399" s="9">
        <v>169900</v>
      </c>
      <c r="N399" s="18">
        <f t="shared" si="51"/>
        <v>0.7</v>
      </c>
      <c r="O399" s="32">
        <f t="shared" si="52"/>
        <v>50970</v>
      </c>
      <c r="P399" s="18" t="s">
        <v>19</v>
      </c>
    </row>
    <row r="400" spans="1:16" x14ac:dyDescent="0.25">
      <c r="A400" s="25" t="str">
        <f t="shared" si="49"/>
        <v>2025 JAN-JUN D70</v>
      </c>
      <c r="B400" s="8">
        <f t="shared" si="50"/>
        <v>46104</v>
      </c>
      <c r="C400" s="8">
        <f t="shared" si="48"/>
        <v>46113</v>
      </c>
      <c r="D400" s="7">
        <v>3272</v>
      </c>
      <c r="E400" s="7">
        <v>336</v>
      </c>
      <c r="F400" s="7">
        <v>4</v>
      </c>
      <c r="G400" s="7">
        <v>1</v>
      </c>
      <c r="H400" s="7">
        <v>81588</v>
      </c>
      <c r="I400" s="7" t="s">
        <v>16</v>
      </c>
      <c r="J400" s="7">
        <v>52176224</v>
      </c>
      <c r="K400" s="7" t="s">
        <v>1493</v>
      </c>
      <c r="L400" s="27" t="s">
        <v>1496</v>
      </c>
      <c r="M400" s="9">
        <v>169900</v>
      </c>
      <c r="N400" s="18">
        <f t="shared" si="51"/>
        <v>0.7</v>
      </c>
      <c r="O400" s="32">
        <f t="shared" si="52"/>
        <v>50970</v>
      </c>
      <c r="P400" s="18" t="s">
        <v>19</v>
      </c>
    </row>
    <row r="401" spans="1:16" x14ac:dyDescent="0.25">
      <c r="A401" s="25" t="str">
        <f t="shared" si="49"/>
        <v>2025 JAN-JUN D70</v>
      </c>
      <c r="B401" s="8">
        <f t="shared" si="50"/>
        <v>46104</v>
      </c>
      <c r="C401" s="8">
        <f t="shared" si="48"/>
        <v>46113</v>
      </c>
      <c r="D401" s="7">
        <v>3272</v>
      </c>
      <c r="E401" s="7">
        <v>336</v>
      </c>
      <c r="F401" s="7">
        <v>4</v>
      </c>
      <c r="G401" s="7">
        <v>1</v>
      </c>
      <c r="H401" s="7">
        <v>81588</v>
      </c>
      <c r="I401" s="7" t="s">
        <v>16</v>
      </c>
      <c r="J401" s="7">
        <v>52176233</v>
      </c>
      <c r="K401" s="7" t="s">
        <v>1493</v>
      </c>
      <c r="L401" s="27" t="s">
        <v>1497</v>
      </c>
      <c r="M401" s="9">
        <v>169900</v>
      </c>
      <c r="N401" s="18">
        <f t="shared" si="51"/>
        <v>0.7</v>
      </c>
      <c r="O401" s="32">
        <f t="shared" si="52"/>
        <v>50970</v>
      </c>
      <c r="P401" s="18" t="s">
        <v>19</v>
      </c>
    </row>
    <row r="402" spans="1:16" x14ac:dyDescent="0.25">
      <c r="A402" s="25" t="str">
        <f t="shared" si="49"/>
        <v>2025 JAN-JUN D70</v>
      </c>
      <c r="B402" s="8">
        <f t="shared" si="50"/>
        <v>46104</v>
      </c>
      <c r="C402" s="8">
        <f t="shared" si="48"/>
        <v>46113</v>
      </c>
      <c r="D402" s="7">
        <v>3272</v>
      </c>
      <c r="E402" s="7">
        <v>336</v>
      </c>
      <c r="F402" s="7">
        <v>4</v>
      </c>
      <c r="G402" s="7">
        <v>1</v>
      </c>
      <c r="H402" s="7">
        <v>81588</v>
      </c>
      <c r="I402" s="7" t="s">
        <v>16</v>
      </c>
      <c r="J402" s="7">
        <v>52176242</v>
      </c>
      <c r="K402" s="7" t="s">
        <v>1493</v>
      </c>
      <c r="L402" s="27" t="s">
        <v>1498</v>
      </c>
      <c r="M402" s="9">
        <v>169900</v>
      </c>
      <c r="N402" s="18">
        <f t="shared" si="51"/>
        <v>0.7</v>
      </c>
      <c r="O402" s="32">
        <f t="shared" si="52"/>
        <v>50970</v>
      </c>
      <c r="P402" s="18" t="s">
        <v>19</v>
      </c>
    </row>
    <row r="403" spans="1:16" x14ac:dyDescent="0.25">
      <c r="A403" s="25" t="str">
        <f t="shared" si="49"/>
        <v>2025 JAN-JUN D70</v>
      </c>
      <c r="B403" s="8">
        <f t="shared" si="50"/>
        <v>46104</v>
      </c>
      <c r="C403" s="8">
        <f t="shared" ref="C403:C418" si="53">C402</f>
        <v>46113</v>
      </c>
      <c r="D403" s="7">
        <v>3272</v>
      </c>
      <c r="E403" s="7">
        <v>336</v>
      </c>
      <c r="F403" s="7">
        <v>4</v>
      </c>
      <c r="G403" s="7">
        <v>1</v>
      </c>
      <c r="H403" s="7">
        <v>81588</v>
      </c>
      <c r="I403" s="7" t="s">
        <v>16</v>
      </c>
      <c r="J403" s="7">
        <v>52176251</v>
      </c>
      <c r="K403" s="7" t="s">
        <v>1499</v>
      </c>
      <c r="L403" s="27" t="s">
        <v>1500</v>
      </c>
      <c r="M403" s="9">
        <v>169900</v>
      </c>
      <c r="N403" s="18">
        <f t="shared" si="51"/>
        <v>0.7</v>
      </c>
      <c r="O403" s="32">
        <f t="shared" si="52"/>
        <v>50970</v>
      </c>
      <c r="P403" s="18" t="s">
        <v>19</v>
      </c>
    </row>
    <row r="404" spans="1:16" x14ac:dyDescent="0.25">
      <c r="A404" s="25" t="str">
        <f t="shared" si="49"/>
        <v>2025 JAN-JUN D70</v>
      </c>
      <c r="B404" s="8">
        <f t="shared" si="50"/>
        <v>46104</v>
      </c>
      <c r="C404" s="8">
        <f t="shared" si="53"/>
        <v>46113</v>
      </c>
      <c r="D404" s="7">
        <v>3272</v>
      </c>
      <c r="E404" s="7">
        <v>336</v>
      </c>
      <c r="F404" s="7">
        <v>4</v>
      </c>
      <c r="G404" s="7">
        <v>1</v>
      </c>
      <c r="H404" s="7">
        <v>81588</v>
      </c>
      <c r="I404" s="7" t="s">
        <v>16</v>
      </c>
      <c r="J404" s="7">
        <v>52176260</v>
      </c>
      <c r="K404" s="7" t="s">
        <v>1499</v>
      </c>
      <c r="L404" s="27" t="s">
        <v>1501</v>
      </c>
      <c r="M404" s="9">
        <v>169900</v>
      </c>
      <c r="N404" s="18">
        <f t="shared" si="51"/>
        <v>0.7</v>
      </c>
      <c r="O404" s="32">
        <f t="shared" si="52"/>
        <v>50970</v>
      </c>
      <c r="P404" s="18" t="s">
        <v>19</v>
      </c>
    </row>
    <row r="405" spans="1:16" x14ac:dyDescent="0.25">
      <c r="A405" s="25" t="str">
        <f t="shared" si="49"/>
        <v>2025 JAN-JUN D70</v>
      </c>
      <c r="B405" s="8">
        <f t="shared" si="50"/>
        <v>46104</v>
      </c>
      <c r="C405" s="8">
        <f t="shared" si="53"/>
        <v>46113</v>
      </c>
      <c r="D405" s="7">
        <v>3272</v>
      </c>
      <c r="E405" s="7">
        <v>336</v>
      </c>
      <c r="F405" s="7">
        <v>4</v>
      </c>
      <c r="G405" s="7">
        <v>1</v>
      </c>
      <c r="H405" s="7">
        <v>81588</v>
      </c>
      <c r="I405" s="7" t="s">
        <v>16</v>
      </c>
      <c r="J405" s="7">
        <v>52176279</v>
      </c>
      <c r="K405" s="7" t="s">
        <v>1499</v>
      </c>
      <c r="L405" s="27" t="s">
        <v>1502</v>
      </c>
      <c r="M405" s="9">
        <v>169900</v>
      </c>
      <c r="N405" s="18">
        <f t="shared" si="51"/>
        <v>0.7</v>
      </c>
      <c r="O405" s="32">
        <f t="shared" si="52"/>
        <v>50970</v>
      </c>
      <c r="P405" s="18" t="s">
        <v>19</v>
      </c>
    </row>
    <row r="406" spans="1:16" x14ac:dyDescent="0.25">
      <c r="A406" s="25" t="str">
        <f t="shared" si="49"/>
        <v>2025 JAN-JUN D70</v>
      </c>
      <c r="B406" s="8">
        <f t="shared" si="50"/>
        <v>46104</v>
      </c>
      <c r="C406" s="8">
        <f t="shared" si="53"/>
        <v>46113</v>
      </c>
      <c r="D406" s="7">
        <v>3272</v>
      </c>
      <c r="E406" s="7">
        <v>336</v>
      </c>
      <c r="F406" s="7">
        <v>4</v>
      </c>
      <c r="G406" s="7">
        <v>1</v>
      </c>
      <c r="H406" s="7">
        <v>81588</v>
      </c>
      <c r="I406" s="7" t="s">
        <v>16</v>
      </c>
      <c r="J406" s="7">
        <v>52176288</v>
      </c>
      <c r="K406" s="7" t="s">
        <v>1499</v>
      </c>
      <c r="L406" s="27" t="s">
        <v>1503</v>
      </c>
      <c r="M406" s="9">
        <v>169900</v>
      </c>
      <c r="N406" s="18">
        <f t="shared" si="51"/>
        <v>0.7</v>
      </c>
      <c r="O406" s="32">
        <f t="shared" si="52"/>
        <v>50970</v>
      </c>
      <c r="P406" s="18" t="s">
        <v>19</v>
      </c>
    </row>
    <row r="407" spans="1:16" x14ac:dyDescent="0.25">
      <c r="A407" s="25" t="str">
        <f t="shared" si="49"/>
        <v>2025 JAN-JUN D70</v>
      </c>
      <c r="B407" s="8">
        <f t="shared" si="50"/>
        <v>46104</v>
      </c>
      <c r="C407" s="8">
        <f t="shared" si="53"/>
        <v>46113</v>
      </c>
      <c r="D407" s="7">
        <v>3272</v>
      </c>
      <c r="E407" s="7">
        <v>336</v>
      </c>
      <c r="F407" s="7">
        <v>4</v>
      </c>
      <c r="G407" s="7">
        <v>1</v>
      </c>
      <c r="H407" s="7">
        <v>81588</v>
      </c>
      <c r="I407" s="7" t="s">
        <v>16</v>
      </c>
      <c r="J407" s="7">
        <v>52176297</v>
      </c>
      <c r="K407" s="7" t="s">
        <v>1499</v>
      </c>
      <c r="L407" s="27" t="s">
        <v>1504</v>
      </c>
      <c r="M407" s="9">
        <v>249900</v>
      </c>
      <c r="N407" s="18">
        <f t="shared" si="51"/>
        <v>0.7</v>
      </c>
      <c r="O407" s="32">
        <f t="shared" si="52"/>
        <v>74970</v>
      </c>
      <c r="P407" s="18" t="s">
        <v>19</v>
      </c>
    </row>
    <row r="408" spans="1:16" x14ac:dyDescent="0.25">
      <c r="A408" s="25" t="str">
        <f t="shared" si="49"/>
        <v>2025 JAN-JUN D70</v>
      </c>
      <c r="B408" s="8">
        <f t="shared" si="50"/>
        <v>46104</v>
      </c>
      <c r="C408" s="8">
        <f t="shared" si="53"/>
        <v>46113</v>
      </c>
      <c r="D408" s="7">
        <v>3272</v>
      </c>
      <c r="E408" s="7">
        <v>336</v>
      </c>
      <c r="F408" s="7">
        <v>4</v>
      </c>
      <c r="G408" s="7">
        <v>1</v>
      </c>
      <c r="H408" s="7">
        <v>81379</v>
      </c>
      <c r="I408" s="7" t="s">
        <v>16</v>
      </c>
      <c r="J408" s="7">
        <v>52655493</v>
      </c>
      <c r="K408" s="7" t="s">
        <v>1123</v>
      </c>
      <c r="L408" s="27" t="s">
        <v>1505</v>
      </c>
      <c r="M408" s="9">
        <v>249900</v>
      </c>
      <c r="N408" s="18">
        <f t="shared" si="51"/>
        <v>0.7</v>
      </c>
      <c r="O408" s="32">
        <f t="shared" si="52"/>
        <v>74970</v>
      </c>
      <c r="P408" s="18" t="s">
        <v>19</v>
      </c>
    </row>
    <row r="409" spans="1:16" x14ac:dyDescent="0.25">
      <c r="A409" s="25" t="str">
        <f t="shared" si="49"/>
        <v>2025 JAN-JUN D70</v>
      </c>
      <c r="B409" s="8">
        <f t="shared" si="50"/>
        <v>46104</v>
      </c>
      <c r="C409" s="8">
        <f t="shared" si="53"/>
        <v>46113</v>
      </c>
      <c r="D409" s="7">
        <v>3272</v>
      </c>
      <c r="E409" s="7">
        <v>336</v>
      </c>
      <c r="F409" s="7">
        <v>4</v>
      </c>
      <c r="G409" s="7">
        <v>1</v>
      </c>
      <c r="H409" s="7">
        <v>81588</v>
      </c>
      <c r="I409" s="7" t="s">
        <v>16</v>
      </c>
      <c r="J409" s="7">
        <v>45645874</v>
      </c>
      <c r="K409" s="7" t="s">
        <v>1506</v>
      </c>
      <c r="L409" s="27" t="s">
        <v>1507</v>
      </c>
      <c r="M409" s="9">
        <v>149900</v>
      </c>
      <c r="N409" s="18">
        <f t="shared" si="51"/>
        <v>0.7</v>
      </c>
      <c r="O409" s="32">
        <f t="shared" si="52"/>
        <v>44970</v>
      </c>
      <c r="P409" s="18" t="s">
        <v>19</v>
      </c>
    </row>
    <row r="410" spans="1:16" x14ac:dyDescent="0.25">
      <c r="A410" s="25" t="str">
        <f t="shared" si="49"/>
        <v>2025 JAN-JUN D70</v>
      </c>
      <c r="B410" s="8">
        <f t="shared" si="50"/>
        <v>46104</v>
      </c>
      <c r="C410" s="8">
        <f t="shared" si="53"/>
        <v>46113</v>
      </c>
      <c r="D410" s="7">
        <v>3272</v>
      </c>
      <c r="E410" s="7">
        <v>336</v>
      </c>
      <c r="F410" s="7">
        <v>4</v>
      </c>
      <c r="G410" s="7">
        <v>1</v>
      </c>
      <c r="H410" s="7">
        <v>81588</v>
      </c>
      <c r="I410" s="7" t="s">
        <v>16</v>
      </c>
      <c r="J410" s="7">
        <v>45645883</v>
      </c>
      <c r="K410" s="7" t="s">
        <v>1506</v>
      </c>
      <c r="L410" s="27" t="s">
        <v>1508</v>
      </c>
      <c r="M410" s="9">
        <v>149900</v>
      </c>
      <c r="N410" s="18">
        <f t="shared" si="51"/>
        <v>0.7</v>
      </c>
      <c r="O410" s="32">
        <f t="shared" si="52"/>
        <v>44970</v>
      </c>
      <c r="P410" s="18" t="s">
        <v>19</v>
      </c>
    </row>
    <row r="411" spans="1:16" x14ac:dyDescent="0.25">
      <c r="A411" s="25" t="str">
        <f t="shared" si="49"/>
        <v>2025 JAN-JUN D70</v>
      </c>
      <c r="B411" s="8">
        <f t="shared" si="50"/>
        <v>46104</v>
      </c>
      <c r="C411" s="8">
        <f t="shared" si="53"/>
        <v>46113</v>
      </c>
      <c r="D411" s="7">
        <v>3272</v>
      </c>
      <c r="E411" s="7">
        <v>336</v>
      </c>
      <c r="F411" s="7">
        <v>4</v>
      </c>
      <c r="G411" s="7">
        <v>1</v>
      </c>
      <c r="H411" s="7">
        <v>81588</v>
      </c>
      <c r="I411" s="7" t="s">
        <v>16</v>
      </c>
      <c r="J411" s="7">
        <v>45645892</v>
      </c>
      <c r="K411" s="7" t="s">
        <v>1506</v>
      </c>
      <c r="L411" s="27" t="s">
        <v>1509</v>
      </c>
      <c r="M411" s="9">
        <v>149900</v>
      </c>
      <c r="N411" s="18">
        <f t="shared" si="51"/>
        <v>0.7</v>
      </c>
      <c r="O411" s="32">
        <f t="shared" si="52"/>
        <v>44970</v>
      </c>
      <c r="P411" s="18" t="s">
        <v>19</v>
      </c>
    </row>
    <row r="412" spans="1:16" x14ac:dyDescent="0.25">
      <c r="A412" s="25" t="str">
        <f t="shared" si="49"/>
        <v>2025 JAN-JUN D70</v>
      </c>
      <c r="B412" s="8">
        <f t="shared" si="50"/>
        <v>46104</v>
      </c>
      <c r="C412" s="8">
        <f t="shared" si="53"/>
        <v>46113</v>
      </c>
      <c r="D412" s="7">
        <v>3272</v>
      </c>
      <c r="E412" s="7">
        <v>336</v>
      </c>
      <c r="F412" s="7">
        <v>4</v>
      </c>
      <c r="G412" s="7">
        <v>1</v>
      </c>
      <c r="H412" s="7">
        <v>81588</v>
      </c>
      <c r="I412" s="7" t="s">
        <v>16</v>
      </c>
      <c r="J412" s="7">
        <v>45645909</v>
      </c>
      <c r="K412" s="7" t="s">
        <v>1506</v>
      </c>
      <c r="L412" s="27" t="s">
        <v>1510</v>
      </c>
      <c r="M412" s="9">
        <v>149900</v>
      </c>
      <c r="N412" s="18">
        <f t="shared" si="51"/>
        <v>0.7</v>
      </c>
      <c r="O412" s="32">
        <f t="shared" si="52"/>
        <v>44970</v>
      </c>
      <c r="P412" s="18" t="s">
        <v>19</v>
      </c>
    </row>
    <row r="413" spans="1:16" x14ac:dyDescent="0.25">
      <c r="A413" s="25" t="str">
        <f t="shared" si="49"/>
        <v>2025 JAN-JUN D70</v>
      </c>
      <c r="B413" s="8">
        <f t="shared" si="50"/>
        <v>46104</v>
      </c>
      <c r="C413" s="8">
        <f t="shared" si="53"/>
        <v>46113</v>
      </c>
      <c r="D413" s="7">
        <v>3272</v>
      </c>
      <c r="E413" s="7">
        <v>336</v>
      </c>
      <c r="F413" s="7">
        <v>4</v>
      </c>
      <c r="G413" s="7">
        <v>1</v>
      </c>
      <c r="H413" s="7">
        <v>81588</v>
      </c>
      <c r="I413" s="7" t="s">
        <v>16</v>
      </c>
      <c r="J413" s="7">
        <v>45645918</v>
      </c>
      <c r="K413" s="7" t="s">
        <v>1506</v>
      </c>
      <c r="L413" s="27" t="s">
        <v>1511</v>
      </c>
      <c r="M413" s="9">
        <v>149900</v>
      </c>
      <c r="N413" s="18">
        <f t="shared" si="51"/>
        <v>0.7</v>
      </c>
      <c r="O413" s="32">
        <f t="shared" si="52"/>
        <v>44970</v>
      </c>
      <c r="P413" s="18" t="s">
        <v>19</v>
      </c>
    </row>
    <row r="414" spans="1:16" x14ac:dyDescent="0.25">
      <c r="A414" s="25" t="str">
        <f t="shared" si="49"/>
        <v>2025 JAN-JUN D70</v>
      </c>
      <c r="B414" s="8">
        <f t="shared" si="50"/>
        <v>46104</v>
      </c>
      <c r="C414" s="8">
        <f t="shared" si="53"/>
        <v>46113</v>
      </c>
      <c r="D414" s="7">
        <v>3272</v>
      </c>
      <c r="E414" s="7">
        <v>336</v>
      </c>
      <c r="F414" s="7">
        <v>4</v>
      </c>
      <c r="G414" s="7">
        <v>1</v>
      </c>
      <c r="H414" s="7">
        <v>81588</v>
      </c>
      <c r="I414" s="7" t="s">
        <v>16</v>
      </c>
      <c r="J414" s="7">
        <v>45646079</v>
      </c>
      <c r="K414" s="7" t="s">
        <v>1512</v>
      </c>
      <c r="L414" s="27" t="s">
        <v>1513</v>
      </c>
      <c r="M414" s="9">
        <v>149900</v>
      </c>
      <c r="N414" s="18">
        <f t="shared" si="51"/>
        <v>0.7</v>
      </c>
      <c r="O414" s="32">
        <f t="shared" si="52"/>
        <v>44970</v>
      </c>
      <c r="P414" s="18" t="s">
        <v>19</v>
      </c>
    </row>
    <row r="415" spans="1:16" x14ac:dyDescent="0.25">
      <c r="A415" s="25" t="str">
        <f t="shared" si="49"/>
        <v>2025 JAN-JUN D70</v>
      </c>
      <c r="B415" s="8">
        <f t="shared" si="50"/>
        <v>46104</v>
      </c>
      <c r="C415" s="8">
        <f t="shared" si="53"/>
        <v>46113</v>
      </c>
      <c r="D415" s="7">
        <v>3272</v>
      </c>
      <c r="E415" s="7">
        <v>336</v>
      </c>
      <c r="F415" s="7">
        <v>4</v>
      </c>
      <c r="G415" s="7">
        <v>1</v>
      </c>
      <c r="H415" s="7">
        <v>81588</v>
      </c>
      <c r="I415" s="7" t="s">
        <v>16</v>
      </c>
      <c r="J415" s="7">
        <v>45646088</v>
      </c>
      <c r="K415" s="7" t="s">
        <v>1512</v>
      </c>
      <c r="L415" s="27" t="s">
        <v>1514</v>
      </c>
      <c r="M415" s="9">
        <v>149900</v>
      </c>
      <c r="N415" s="18">
        <f t="shared" si="51"/>
        <v>0.7</v>
      </c>
      <c r="O415" s="32">
        <f t="shared" si="52"/>
        <v>44970</v>
      </c>
      <c r="P415" s="18" t="s">
        <v>19</v>
      </c>
    </row>
    <row r="416" spans="1:16" x14ac:dyDescent="0.25">
      <c r="A416" s="25" t="str">
        <f t="shared" si="49"/>
        <v>2025 JAN-JUN D70</v>
      </c>
      <c r="B416" s="8">
        <f t="shared" si="50"/>
        <v>46104</v>
      </c>
      <c r="C416" s="8">
        <f t="shared" si="53"/>
        <v>46113</v>
      </c>
      <c r="D416" s="7">
        <v>3272</v>
      </c>
      <c r="E416" s="7">
        <v>336</v>
      </c>
      <c r="F416" s="7">
        <v>4</v>
      </c>
      <c r="G416" s="7">
        <v>1</v>
      </c>
      <c r="H416" s="7">
        <v>81588</v>
      </c>
      <c r="I416" s="7" t="s">
        <v>16</v>
      </c>
      <c r="J416" s="7">
        <v>45646097</v>
      </c>
      <c r="K416" s="7" t="s">
        <v>1512</v>
      </c>
      <c r="L416" s="27" t="s">
        <v>1515</v>
      </c>
      <c r="M416" s="9">
        <v>149900</v>
      </c>
      <c r="N416" s="18">
        <f t="shared" si="51"/>
        <v>0.7</v>
      </c>
      <c r="O416" s="32">
        <f t="shared" si="52"/>
        <v>44970</v>
      </c>
      <c r="P416" s="18" t="s">
        <v>19</v>
      </c>
    </row>
    <row r="417" spans="1:16" x14ac:dyDescent="0.25">
      <c r="A417" s="25" t="str">
        <f t="shared" si="49"/>
        <v>2025 JAN-JUN D70</v>
      </c>
      <c r="B417" s="8">
        <f t="shared" si="50"/>
        <v>46104</v>
      </c>
      <c r="C417" s="8">
        <f t="shared" si="53"/>
        <v>46113</v>
      </c>
      <c r="D417" s="7">
        <v>3272</v>
      </c>
      <c r="E417" s="7">
        <v>336</v>
      </c>
      <c r="F417" s="7">
        <v>4</v>
      </c>
      <c r="G417" s="7">
        <v>1</v>
      </c>
      <c r="H417" s="7">
        <v>81588</v>
      </c>
      <c r="I417" s="7" t="s">
        <v>16</v>
      </c>
      <c r="J417" s="7">
        <v>45646104</v>
      </c>
      <c r="K417" s="7" t="s">
        <v>1512</v>
      </c>
      <c r="L417" s="27" t="s">
        <v>1516</v>
      </c>
      <c r="M417" s="9">
        <v>149900</v>
      </c>
      <c r="N417" s="18">
        <f t="shared" si="51"/>
        <v>0.7</v>
      </c>
      <c r="O417" s="32">
        <f t="shared" si="52"/>
        <v>44970</v>
      </c>
      <c r="P417" s="18" t="s">
        <v>19</v>
      </c>
    </row>
    <row r="418" spans="1:16" x14ac:dyDescent="0.25">
      <c r="A418" s="25" t="str">
        <f t="shared" si="49"/>
        <v>2025 JAN-JUN D70</v>
      </c>
      <c r="B418" s="8">
        <f t="shared" si="50"/>
        <v>46104</v>
      </c>
      <c r="C418" s="8">
        <f t="shared" si="53"/>
        <v>46113</v>
      </c>
      <c r="D418" s="7">
        <v>3272</v>
      </c>
      <c r="E418" s="7">
        <v>336</v>
      </c>
      <c r="F418" s="7">
        <v>4</v>
      </c>
      <c r="G418" s="7">
        <v>1</v>
      </c>
      <c r="H418" s="7">
        <v>81588</v>
      </c>
      <c r="I418" s="7" t="s">
        <v>16</v>
      </c>
      <c r="J418" s="7">
        <v>45646113</v>
      </c>
      <c r="K418" s="7" t="s">
        <v>1512</v>
      </c>
      <c r="L418" s="27" t="s">
        <v>1517</v>
      </c>
      <c r="M418" s="9">
        <v>149900</v>
      </c>
      <c r="N418" s="18">
        <f t="shared" si="51"/>
        <v>0.7</v>
      </c>
      <c r="O418" s="32">
        <f t="shared" si="52"/>
        <v>44970</v>
      </c>
      <c r="P418" s="18" t="s">
        <v>19</v>
      </c>
    </row>
    <row r="419" spans="1:16" x14ac:dyDescent="0.25">
      <c r="A419" s="25" t="str">
        <f t="shared" si="49"/>
        <v>2025 JAN-JUN D70</v>
      </c>
      <c r="B419" s="8">
        <f t="shared" si="50"/>
        <v>46104</v>
      </c>
      <c r="C419" s="8">
        <f t="shared" ref="C419:F434" si="54">C418</f>
        <v>46113</v>
      </c>
      <c r="D419" s="7">
        <v>3272</v>
      </c>
      <c r="E419" s="7">
        <v>336</v>
      </c>
      <c r="F419" s="7">
        <v>4</v>
      </c>
      <c r="G419" s="7">
        <v>3</v>
      </c>
      <c r="H419" s="7">
        <v>81588</v>
      </c>
      <c r="I419" s="7" t="s">
        <v>16</v>
      </c>
      <c r="J419" s="7">
        <v>51512004</v>
      </c>
      <c r="K419" s="7" t="s">
        <v>1518</v>
      </c>
      <c r="L419" s="27" t="s">
        <v>1519</v>
      </c>
      <c r="M419" s="9">
        <v>249900</v>
      </c>
      <c r="N419" s="18">
        <f t="shared" si="51"/>
        <v>0.7</v>
      </c>
      <c r="O419" s="32">
        <f t="shared" si="52"/>
        <v>74970</v>
      </c>
      <c r="P419" s="18" t="s">
        <v>19</v>
      </c>
    </row>
    <row r="420" spans="1:16" x14ac:dyDescent="0.25">
      <c r="A420" s="25" t="str">
        <f t="shared" si="49"/>
        <v>2025 JAN-JUN D70</v>
      </c>
      <c r="B420" s="8">
        <f t="shared" si="50"/>
        <v>46104</v>
      </c>
      <c r="C420" s="8">
        <f t="shared" si="54"/>
        <v>46113</v>
      </c>
      <c r="D420" s="7">
        <v>3272</v>
      </c>
      <c r="E420" s="7">
        <v>336</v>
      </c>
      <c r="F420" s="7">
        <v>4</v>
      </c>
      <c r="G420" s="7">
        <v>3</v>
      </c>
      <c r="H420" s="7">
        <v>81588</v>
      </c>
      <c r="I420" s="7" t="s">
        <v>16</v>
      </c>
      <c r="J420" s="7">
        <v>51512013</v>
      </c>
      <c r="K420" s="7" t="s">
        <v>1518</v>
      </c>
      <c r="L420" s="27" t="s">
        <v>1520</v>
      </c>
      <c r="M420" s="9">
        <v>249900</v>
      </c>
      <c r="N420" s="18">
        <f t="shared" si="51"/>
        <v>0.7</v>
      </c>
      <c r="O420" s="32">
        <f t="shared" si="52"/>
        <v>74970</v>
      </c>
      <c r="P420" s="18" t="s">
        <v>19</v>
      </c>
    </row>
    <row r="421" spans="1:16" x14ac:dyDescent="0.25">
      <c r="A421" s="25" t="str">
        <f t="shared" si="49"/>
        <v>2025 JAN-JUN D70</v>
      </c>
      <c r="B421" s="8">
        <f t="shared" si="50"/>
        <v>46104</v>
      </c>
      <c r="C421" s="8">
        <f t="shared" si="54"/>
        <v>46113</v>
      </c>
      <c r="D421" s="7">
        <v>3272</v>
      </c>
      <c r="E421" s="7">
        <v>336</v>
      </c>
      <c r="F421" s="7">
        <v>4</v>
      </c>
      <c r="G421" s="7">
        <v>3</v>
      </c>
      <c r="H421" s="7">
        <v>81588</v>
      </c>
      <c r="I421" s="7" t="s">
        <v>16</v>
      </c>
      <c r="J421" s="7">
        <v>51512022</v>
      </c>
      <c r="K421" s="7" t="s">
        <v>1518</v>
      </c>
      <c r="L421" s="27" t="s">
        <v>1521</v>
      </c>
      <c r="M421" s="9">
        <v>249900</v>
      </c>
      <c r="N421" s="18">
        <f t="shared" si="51"/>
        <v>0.7</v>
      </c>
      <c r="O421" s="32">
        <f t="shared" si="52"/>
        <v>74970</v>
      </c>
      <c r="P421" s="18" t="s">
        <v>19</v>
      </c>
    </row>
    <row r="422" spans="1:16" x14ac:dyDescent="0.25">
      <c r="A422" s="25" t="str">
        <f t="shared" si="49"/>
        <v>2025 JAN-JUN D70</v>
      </c>
      <c r="B422" s="8">
        <f t="shared" si="50"/>
        <v>46104</v>
      </c>
      <c r="C422" s="8">
        <f t="shared" si="54"/>
        <v>46113</v>
      </c>
      <c r="D422" s="7">
        <v>3272</v>
      </c>
      <c r="E422" s="7">
        <v>336</v>
      </c>
      <c r="F422" s="7">
        <v>4</v>
      </c>
      <c r="G422" s="7">
        <v>3</v>
      </c>
      <c r="H422" s="7">
        <v>81588</v>
      </c>
      <c r="I422" s="7" t="s">
        <v>16</v>
      </c>
      <c r="J422" s="7">
        <v>51512031</v>
      </c>
      <c r="K422" s="7" t="s">
        <v>1518</v>
      </c>
      <c r="L422" s="27" t="s">
        <v>1522</v>
      </c>
      <c r="M422" s="9">
        <v>249900</v>
      </c>
      <c r="N422" s="18">
        <f t="shared" si="51"/>
        <v>0.7</v>
      </c>
      <c r="O422" s="32">
        <f t="shared" si="52"/>
        <v>74970</v>
      </c>
      <c r="P422" s="18" t="s">
        <v>19</v>
      </c>
    </row>
    <row r="423" spans="1:16" x14ac:dyDescent="0.25">
      <c r="A423" s="25" t="str">
        <f t="shared" si="49"/>
        <v>2025 JAN-JUN D70</v>
      </c>
      <c r="B423" s="8">
        <f t="shared" si="50"/>
        <v>46104</v>
      </c>
      <c r="C423" s="8">
        <f t="shared" si="54"/>
        <v>46113</v>
      </c>
      <c r="D423" s="7">
        <v>3272</v>
      </c>
      <c r="E423" s="7">
        <v>336</v>
      </c>
      <c r="F423" s="7">
        <v>4</v>
      </c>
      <c r="G423" s="7">
        <v>3</v>
      </c>
      <c r="H423" s="7">
        <v>81588</v>
      </c>
      <c r="I423" s="7" t="s">
        <v>16</v>
      </c>
      <c r="J423" s="7">
        <v>51512040</v>
      </c>
      <c r="K423" s="7" t="s">
        <v>1518</v>
      </c>
      <c r="L423" s="27" t="s">
        <v>1523</v>
      </c>
      <c r="M423" s="9">
        <v>249900</v>
      </c>
      <c r="N423" s="18">
        <f t="shared" si="51"/>
        <v>0.7</v>
      </c>
      <c r="O423" s="32">
        <f t="shared" si="52"/>
        <v>74970</v>
      </c>
      <c r="P423" s="18" t="s">
        <v>19</v>
      </c>
    </row>
    <row r="424" spans="1:16" x14ac:dyDescent="0.25">
      <c r="A424" s="25" t="str">
        <f t="shared" si="49"/>
        <v>2025 JAN-JUN D70</v>
      </c>
      <c r="B424" s="8">
        <f t="shared" si="50"/>
        <v>46104</v>
      </c>
      <c r="C424" s="8">
        <f t="shared" si="54"/>
        <v>46113</v>
      </c>
      <c r="D424" s="7">
        <v>3272</v>
      </c>
      <c r="E424" s="7">
        <v>336</v>
      </c>
      <c r="F424" s="7">
        <v>4</v>
      </c>
      <c r="G424" s="7">
        <v>3</v>
      </c>
      <c r="H424" s="7">
        <v>81379</v>
      </c>
      <c r="I424" s="7" t="s">
        <v>16</v>
      </c>
      <c r="J424" s="7">
        <v>51512059</v>
      </c>
      <c r="K424" s="7" t="s">
        <v>1518</v>
      </c>
      <c r="L424" s="27" t="s">
        <v>1524</v>
      </c>
      <c r="M424" s="9">
        <v>249900</v>
      </c>
      <c r="N424" s="18">
        <f t="shared" si="51"/>
        <v>0.7</v>
      </c>
      <c r="O424" s="32">
        <f t="shared" si="52"/>
        <v>74970</v>
      </c>
      <c r="P424" s="18" t="s">
        <v>19</v>
      </c>
    </row>
    <row r="425" spans="1:16" x14ac:dyDescent="0.25">
      <c r="A425" s="25" t="str">
        <f t="shared" si="49"/>
        <v>2025 JAN-JUN D70</v>
      </c>
      <c r="B425" s="8">
        <f t="shared" si="50"/>
        <v>46104</v>
      </c>
      <c r="C425" s="8">
        <f t="shared" si="54"/>
        <v>46113</v>
      </c>
      <c r="D425" s="7">
        <v>3272</v>
      </c>
      <c r="E425" s="7">
        <v>336</v>
      </c>
      <c r="F425" s="7">
        <v>4</v>
      </c>
      <c r="G425" s="7">
        <v>1</v>
      </c>
      <c r="H425" s="7">
        <v>81379</v>
      </c>
      <c r="I425" s="7" t="s">
        <v>16</v>
      </c>
      <c r="J425" s="7">
        <v>53066485</v>
      </c>
      <c r="K425" s="7" t="s">
        <v>1525</v>
      </c>
      <c r="L425" s="27" t="s">
        <v>1526</v>
      </c>
      <c r="M425" s="9">
        <v>149900</v>
      </c>
      <c r="N425" s="18">
        <f t="shared" si="51"/>
        <v>0.7</v>
      </c>
      <c r="O425" s="32">
        <f t="shared" si="52"/>
        <v>44970</v>
      </c>
      <c r="P425" s="18" t="s">
        <v>19</v>
      </c>
    </row>
    <row r="426" spans="1:16" x14ac:dyDescent="0.25">
      <c r="A426" s="25" t="str">
        <f t="shared" si="49"/>
        <v>2025 JAN-JUN D70</v>
      </c>
      <c r="B426" s="8">
        <f t="shared" si="50"/>
        <v>46104</v>
      </c>
      <c r="C426" s="8">
        <f t="shared" si="54"/>
        <v>46113</v>
      </c>
      <c r="D426" s="7">
        <v>3272</v>
      </c>
      <c r="E426" s="7">
        <v>336</v>
      </c>
      <c r="F426" s="7">
        <v>4</v>
      </c>
      <c r="G426" s="7">
        <v>1</v>
      </c>
      <c r="H426" s="7">
        <v>81379</v>
      </c>
      <c r="I426" s="7" t="s">
        <v>16</v>
      </c>
      <c r="J426" s="7">
        <v>53066494</v>
      </c>
      <c r="K426" s="7" t="s">
        <v>1525</v>
      </c>
      <c r="L426" s="27" t="s">
        <v>1527</v>
      </c>
      <c r="M426" s="9">
        <v>149900</v>
      </c>
      <c r="N426" s="18">
        <f t="shared" si="51"/>
        <v>0.7</v>
      </c>
      <c r="O426" s="32">
        <f t="shared" si="52"/>
        <v>44970</v>
      </c>
      <c r="P426" s="18" t="s">
        <v>19</v>
      </c>
    </row>
    <row r="427" spans="1:16" x14ac:dyDescent="0.25">
      <c r="A427" s="25" t="str">
        <f t="shared" si="49"/>
        <v>2025 JAN-JUN D70</v>
      </c>
      <c r="B427" s="8">
        <f t="shared" si="50"/>
        <v>46104</v>
      </c>
      <c r="C427" s="8">
        <f t="shared" si="54"/>
        <v>46113</v>
      </c>
      <c r="D427" s="7">
        <v>3272</v>
      </c>
      <c r="E427" s="7">
        <v>336</v>
      </c>
      <c r="F427" s="7">
        <v>4</v>
      </c>
      <c r="G427" s="7">
        <v>1</v>
      </c>
      <c r="H427" s="7">
        <v>81379</v>
      </c>
      <c r="I427" s="7" t="s">
        <v>16</v>
      </c>
      <c r="J427" s="7">
        <v>53066501</v>
      </c>
      <c r="K427" s="7" t="s">
        <v>1525</v>
      </c>
      <c r="L427" s="27" t="s">
        <v>1528</v>
      </c>
      <c r="M427" s="9">
        <v>149900</v>
      </c>
      <c r="N427" s="18">
        <f t="shared" si="51"/>
        <v>0.7</v>
      </c>
      <c r="O427" s="32">
        <f t="shared" si="52"/>
        <v>44970</v>
      </c>
      <c r="P427" s="18" t="s">
        <v>19</v>
      </c>
    </row>
    <row r="428" spans="1:16" x14ac:dyDescent="0.25">
      <c r="A428" s="25" t="str">
        <f t="shared" si="49"/>
        <v>2025 JAN-JUN D70</v>
      </c>
      <c r="B428" s="8">
        <f t="shared" si="50"/>
        <v>46104</v>
      </c>
      <c r="C428" s="8">
        <f t="shared" si="54"/>
        <v>46113</v>
      </c>
      <c r="D428" s="7">
        <v>3272</v>
      </c>
      <c r="E428" s="7">
        <v>336</v>
      </c>
      <c r="F428" s="7">
        <v>4</v>
      </c>
      <c r="G428" s="7">
        <v>1</v>
      </c>
      <c r="H428" s="7">
        <v>81379</v>
      </c>
      <c r="I428" s="7" t="s">
        <v>16</v>
      </c>
      <c r="J428" s="7">
        <v>53066510</v>
      </c>
      <c r="K428" s="7" t="s">
        <v>1525</v>
      </c>
      <c r="L428" s="27" t="s">
        <v>1529</v>
      </c>
      <c r="M428" s="9">
        <v>149900</v>
      </c>
      <c r="N428" s="18">
        <f t="shared" si="51"/>
        <v>0.7</v>
      </c>
      <c r="O428" s="32">
        <f t="shared" si="52"/>
        <v>44970</v>
      </c>
      <c r="P428" s="18" t="s">
        <v>19</v>
      </c>
    </row>
    <row r="429" spans="1:16" x14ac:dyDescent="0.25">
      <c r="A429" s="25" t="str">
        <f t="shared" si="49"/>
        <v>2025 JAN-JUN D70</v>
      </c>
      <c r="B429" s="8">
        <f t="shared" si="50"/>
        <v>46104</v>
      </c>
      <c r="C429" s="8">
        <f t="shared" si="54"/>
        <v>46113</v>
      </c>
      <c r="D429" s="7">
        <v>3272</v>
      </c>
      <c r="E429" s="7">
        <v>336</v>
      </c>
      <c r="F429" s="7">
        <v>4</v>
      </c>
      <c r="G429" s="7">
        <v>1</v>
      </c>
      <c r="H429" s="7">
        <v>81379</v>
      </c>
      <c r="I429" s="7" t="s">
        <v>16</v>
      </c>
      <c r="J429" s="7">
        <v>53066529</v>
      </c>
      <c r="K429" s="7" t="s">
        <v>1525</v>
      </c>
      <c r="L429" s="27" t="s">
        <v>1530</v>
      </c>
      <c r="M429" s="9">
        <v>149900</v>
      </c>
      <c r="N429" s="18">
        <f t="shared" si="51"/>
        <v>0.7</v>
      </c>
      <c r="O429" s="32">
        <f t="shared" si="52"/>
        <v>44970</v>
      </c>
      <c r="P429" s="18" t="s">
        <v>19</v>
      </c>
    </row>
    <row r="430" spans="1:16" x14ac:dyDescent="0.25">
      <c r="A430" s="25" t="str">
        <f t="shared" si="49"/>
        <v>2025 JAN-JUN D70</v>
      </c>
      <c r="B430" s="8">
        <f t="shared" si="50"/>
        <v>46104</v>
      </c>
      <c r="C430" s="8">
        <f t="shared" si="54"/>
        <v>46113</v>
      </c>
      <c r="D430" s="7">
        <v>3272</v>
      </c>
      <c r="E430" s="7">
        <v>336</v>
      </c>
      <c r="F430" s="7">
        <v>4</v>
      </c>
      <c r="G430" s="7">
        <v>1</v>
      </c>
      <c r="H430" s="7">
        <v>81379</v>
      </c>
      <c r="I430" s="7" t="s">
        <v>16</v>
      </c>
      <c r="J430" s="7">
        <v>53066538</v>
      </c>
      <c r="K430" s="7" t="s">
        <v>1525</v>
      </c>
      <c r="L430" s="27" t="s">
        <v>1531</v>
      </c>
      <c r="M430" s="9">
        <v>149900</v>
      </c>
      <c r="N430" s="18">
        <f t="shared" si="51"/>
        <v>0.7</v>
      </c>
      <c r="O430" s="32">
        <f t="shared" si="52"/>
        <v>44970</v>
      </c>
      <c r="P430" s="18" t="s">
        <v>19</v>
      </c>
    </row>
    <row r="431" spans="1:16" x14ac:dyDescent="0.25">
      <c r="A431" s="25" t="str">
        <f t="shared" si="49"/>
        <v>2025 JAN-JUN D70</v>
      </c>
      <c r="B431" s="8">
        <f t="shared" si="50"/>
        <v>46104</v>
      </c>
      <c r="C431" s="8">
        <f t="shared" si="54"/>
        <v>46113</v>
      </c>
      <c r="D431" s="7">
        <v>3272</v>
      </c>
      <c r="E431" s="7">
        <v>336</v>
      </c>
      <c r="F431" s="7">
        <v>4</v>
      </c>
      <c r="G431" s="7">
        <v>1</v>
      </c>
      <c r="H431" s="7">
        <v>81379</v>
      </c>
      <c r="I431" s="7" t="s">
        <v>16</v>
      </c>
      <c r="J431" s="7">
        <v>53066547</v>
      </c>
      <c r="K431" s="7" t="s">
        <v>1525</v>
      </c>
      <c r="L431" s="27" t="s">
        <v>1532</v>
      </c>
      <c r="M431" s="9">
        <v>149900</v>
      </c>
      <c r="N431" s="18">
        <f t="shared" si="51"/>
        <v>0.7</v>
      </c>
      <c r="O431" s="32">
        <f t="shared" si="52"/>
        <v>44970</v>
      </c>
      <c r="P431" s="18" t="s">
        <v>19</v>
      </c>
    </row>
    <row r="432" spans="1:16" x14ac:dyDescent="0.25">
      <c r="A432" s="25" t="str">
        <f t="shared" si="49"/>
        <v>2025 JAN-JUN D70</v>
      </c>
      <c r="B432" s="8">
        <f t="shared" si="50"/>
        <v>46104</v>
      </c>
      <c r="C432" s="8">
        <f t="shared" si="54"/>
        <v>46113</v>
      </c>
      <c r="D432" s="7">
        <v>3272</v>
      </c>
      <c r="E432" s="7">
        <v>336</v>
      </c>
      <c r="F432" s="7">
        <v>4</v>
      </c>
      <c r="G432" s="7">
        <v>1</v>
      </c>
      <c r="H432" s="7">
        <v>81379</v>
      </c>
      <c r="I432" s="7" t="s">
        <v>16</v>
      </c>
      <c r="J432" s="7">
        <v>53066556</v>
      </c>
      <c r="K432" s="7" t="s">
        <v>1525</v>
      </c>
      <c r="L432" s="27" t="s">
        <v>1533</v>
      </c>
      <c r="M432" s="9">
        <v>149900</v>
      </c>
      <c r="N432" s="18">
        <f t="shared" si="51"/>
        <v>0.7</v>
      </c>
      <c r="O432" s="32">
        <f t="shared" si="52"/>
        <v>44970</v>
      </c>
      <c r="P432" s="18" t="s">
        <v>19</v>
      </c>
    </row>
    <row r="433" spans="1:16" s="6" customFormat="1" x14ac:dyDescent="0.25">
      <c r="A433" s="25" t="str">
        <f t="shared" si="49"/>
        <v>2025 JAN-JUN D70</v>
      </c>
      <c r="B433" s="8">
        <f t="shared" si="50"/>
        <v>46104</v>
      </c>
      <c r="C433" s="8">
        <f t="shared" si="54"/>
        <v>46113</v>
      </c>
      <c r="D433" s="7">
        <v>3272</v>
      </c>
      <c r="E433" s="7">
        <v>336</v>
      </c>
      <c r="F433" s="7">
        <v>4</v>
      </c>
      <c r="G433" s="7">
        <v>4</v>
      </c>
      <c r="H433" s="7">
        <v>81379</v>
      </c>
      <c r="I433" s="7" t="s">
        <v>16</v>
      </c>
      <c r="J433" s="7">
        <v>51503792</v>
      </c>
      <c r="K433" s="7" t="s">
        <v>1534</v>
      </c>
      <c r="L433" s="27" t="s">
        <v>1535</v>
      </c>
      <c r="M433" s="9">
        <v>169900</v>
      </c>
      <c r="N433" s="18">
        <f t="shared" si="51"/>
        <v>0.7</v>
      </c>
      <c r="O433" s="32">
        <f t="shared" si="52"/>
        <v>50970</v>
      </c>
      <c r="P433" s="18" t="s">
        <v>19</v>
      </c>
    </row>
    <row r="434" spans="1:16" x14ac:dyDescent="0.25">
      <c r="A434" s="25" t="str">
        <f t="shared" si="49"/>
        <v>2025 JAN-JUN D70</v>
      </c>
      <c r="B434" s="8">
        <f t="shared" si="50"/>
        <v>46104</v>
      </c>
      <c r="C434" s="20">
        <f t="shared" si="54"/>
        <v>46113</v>
      </c>
      <c r="D434" s="11">
        <f t="shared" si="54"/>
        <v>3272</v>
      </c>
      <c r="E434" s="11">
        <f t="shared" si="54"/>
        <v>336</v>
      </c>
      <c r="F434" s="11">
        <f t="shared" si="54"/>
        <v>4</v>
      </c>
      <c r="G434" s="11">
        <v>4</v>
      </c>
      <c r="H434" s="11">
        <v>81379</v>
      </c>
      <c r="I434" s="7" t="s">
        <v>16</v>
      </c>
      <c r="J434" s="11">
        <v>51503809</v>
      </c>
      <c r="K434" s="11" t="s">
        <v>1534</v>
      </c>
      <c r="L434" s="27" t="s">
        <v>1536</v>
      </c>
      <c r="M434" s="7">
        <v>169900</v>
      </c>
      <c r="N434" s="18">
        <f t="shared" si="51"/>
        <v>0.7</v>
      </c>
      <c r="O434" s="32">
        <f t="shared" si="52"/>
        <v>50970</v>
      </c>
      <c r="P434" s="18" t="s">
        <v>19</v>
      </c>
    </row>
    <row r="435" spans="1:16" x14ac:dyDescent="0.25">
      <c r="A435" s="25" t="str">
        <f t="shared" si="49"/>
        <v>2025 JAN-JUN D70</v>
      </c>
      <c r="B435" s="8">
        <f t="shared" si="50"/>
        <v>46104</v>
      </c>
      <c r="C435" s="20">
        <f t="shared" ref="C435:F450" si="55">C434</f>
        <v>46113</v>
      </c>
      <c r="D435" s="11">
        <f t="shared" si="55"/>
        <v>3272</v>
      </c>
      <c r="E435" s="11">
        <f t="shared" si="55"/>
        <v>336</v>
      </c>
      <c r="F435" s="11">
        <f t="shared" si="55"/>
        <v>4</v>
      </c>
      <c r="G435" s="11">
        <v>4</v>
      </c>
      <c r="H435" s="11">
        <v>81379</v>
      </c>
      <c r="I435" s="7" t="s">
        <v>16</v>
      </c>
      <c r="J435" s="11">
        <v>51503818</v>
      </c>
      <c r="K435" s="11" t="s">
        <v>1534</v>
      </c>
      <c r="L435" s="27" t="s">
        <v>1537</v>
      </c>
      <c r="M435" s="7">
        <v>169900</v>
      </c>
      <c r="N435" s="18">
        <f t="shared" si="51"/>
        <v>0.7</v>
      </c>
      <c r="O435" s="32">
        <f t="shared" si="52"/>
        <v>50970</v>
      </c>
      <c r="P435" s="18" t="s">
        <v>19</v>
      </c>
    </row>
    <row r="436" spans="1:16" x14ac:dyDescent="0.25">
      <c r="A436" s="25" t="str">
        <f t="shared" si="49"/>
        <v>2025 JAN-JUN D70</v>
      </c>
      <c r="B436" s="8">
        <f t="shared" si="50"/>
        <v>46104</v>
      </c>
      <c r="C436" s="20">
        <f t="shared" si="55"/>
        <v>46113</v>
      </c>
      <c r="D436" s="11">
        <f t="shared" si="55"/>
        <v>3272</v>
      </c>
      <c r="E436" s="11">
        <f t="shared" si="55"/>
        <v>336</v>
      </c>
      <c r="F436" s="11">
        <f t="shared" si="55"/>
        <v>4</v>
      </c>
      <c r="G436" s="11">
        <v>4</v>
      </c>
      <c r="H436" s="11">
        <v>81379</v>
      </c>
      <c r="I436" s="7" t="s">
        <v>16</v>
      </c>
      <c r="J436" s="11">
        <v>51503827</v>
      </c>
      <c r="K436" s="11" t="s">
        <v>1534</v>
      </c>
      <c r="L436" s="27" t="s">
        <v>1538</v>
      </c>
      <c r="M436" s="7">
        <v>169900</v>
      </c>
      <c r="N436" s="18">
        <f t="shared" si="51"/>
        <v>0.7</v>
      </c>
      <c r="O436" s="32">
        <f t="shared" si="52"/>
        <v>50970</v>
      </c>
      <c r="P436" s="18" t="s">
        <v>19</v>
      </c>
    </row>
    <row r="437" spans="1:16" x14ac:dyDescent="0.25">
      <c r="A437" s="25" t="str">
        <f t="shared" si="49"/>
        <v>2025 JAN-JUN D70</v>
      </c>
      <c r="B437" s="8">
        <f t="shared" si="50"/>
        <v>46104</v>
      </c>
      <c r="C437" s="20">
        <f t="shared" si="55"/>
        <v>46113</v>
      </c>
      <c r="D437" s="11">
        <f t="shared" si="55"/>
        <v>3272</v>
      </c>
      <c r="E437" s="11">
        <f t="shared" si="55"/>
        <v>336</v>
      </c>
      <c r="F437" s="11">
        <f t="shared" si="55"/>
        <v>4</v>
      </c>
      <c r="G437" s="11">
        <v>4</v>
      </c>
      <c r="H437" s="11">
        <v>81379</v>
      </c>
      <c r="I437" s="7" t="s">
        <v>16</v>
      </c>
      <c r="J437" s="11">
        <v>51503836</v>
      </c>
      <c r="K437" s="11" t="s">
        <v>1534</v>
      </c>
      <c r="L437" s="27" t="s">
        <v>1539</v>
      </c>
      <c r="M437" s="7">
        <v>169900</v>
      </c>
      <c r="N437" s="18">
        <f t="shared" si="51"/>
        <v>0.7</v>
      </c>
      <c r="O437" s="32">
        <f t="shared" si="52"/>
        <v>50970</v>
      </c>
      <c r="P437" s="18" t="s">
        <v>19</v>
      </c>
    </row>
    <row r="438" spans="1:16" x14ac:dyDescent="0.25">
      <c r="A438" s="25" t="str">
        <f t="shared" si="49"/>
        <v>2025 JAN-JUN D70</v>
      </c>
      <c r="B438" s="8">
        <f t="shared" si="50"/>
        <v>46104</v>
      </c>
      <c r="C438" s="20">
        <f t="shared" si="55"/>
        <v>46113</v>
      </c>
      <c r="D438" s="11">
        <f t="shared" si="55"/>
        <v>3272</v>
      </c>
      <c r="E438" s="11">
        <f t="shared" si="55"/>
        <v>336</v>
      </c>
      <c r="F438" s="11">
        <f t="shared" si="55"/>
        <v>4</v>
      </c>
      <c r="G438" s="11">
        <v>4</v>
      </c>
      <c r="H438" s="11">
        <v>81379</v>
      </c>
      <c r="I438" s="7" t="s">
        <v>16</v>
      </c>
      <c r="J438" s="11">
        <v>51523387</v>
      </c>
      <c r="K438" s="11" t="s">
        <v>1540</v>
      </c>
      <c r="L438" s="27" t="s">
        <v>1541</v>
      </c>
      <c r="M438" s="9">
        <v>149900</v>
      </c>
      <c r="N438" s="18">
        <f t="shared" si="51"/>
        <v>0.7</v>
      </c>
      <c r="O438" s="32">
        <f t="shared" si="52"/>
        <v>44970</v>
      </c>
      <c r="P438" s="18" t="s">
        <v>19</v>
      </c>
    </row>
    <row r="439" spans="1:16" x14ac:dyDescent="0.25">
      <c r="A439" s="25" t="str">
        <f t="shared" si="49"/>
        <v>2025 JAN-JUN D70</v>
      </c>
      <c r="B439" s="8">
        <f t="shared" si="50"/>
        <v>46104</v>
      </c>
      <c r="C439" s="20">
        <f t="shared" si="55"/>
        <v>46113</v>
      </c>
      <c r="D439" s="11">
        <f t="shared" si="55"/>
        <v>3272</v>
      </c>
      <c r="E439" s="11">
        <f t="shared" si="55"/>
        <v>336</v>
      </c>
      <c r="F439" s="11">
        <f t="shared" si="55"/>
        <v>4</v>
      </c>
      <c r="G439" s="11">
        <v>4</v>
      </c>
      <c r="H439" s="11">
        <v>81379</v>
      </c>
      <c r="I439" s="7" t="s">
        <v>16</v>
      </c>
      <c r="J439" s="11">
        <v>51523396</v>
      </c>
      <c r="K439" s="11" t="s">
        <v>1540</v>
      </c>
      <c r="L439" s="27" t="s">
        <v>1542</v>
      </c>
      <c r="M439" s="9">
        <v>149900</v>
      </c>
      <c r="N439" s="18">
        <f t="shared" si="51"/>
        <v>0.7</v>
      </c>
      <c r="O439" s="32">
        <f t="shared" si="52"/>
        <v>44970</v>
      </c>
      <c r="P439" s="18" t="s">
        <v>19</v>
      </c>
    </row>
    <row r="440" spans="1:16" x14ac:dyDescent="0.25">
      <c r="A440" s="25" t="str">
        <f t="shared" si="49"/>
        <v>2025 JAN-JUN D70</v>
      </c>
      <c r="B440" s="8">
        <f t="shared" si="50"/>
        <v>46104</v>
      </c>
      <c r="C440" s="20">
        <f t="shared" si="55"/>
        <v>46113</v>
      </c>
      <c r="D440" s="11">
        <f t="shared" si="55"/>
        <v>3272</v>
      </c>
      <c r="E440" s="11">
        <f t="shared" si="55"/>
        <v>336</v>
      </c>
      <c r="F440" s="11">
        <f t="shared" si="55"/>
        <v>4</v>
      </c>
      <c r="G440" s="11">
        <v>4</v>
      </c>
      <c r="H440" s="11">
        <v>81379</v>
      </c>
      <c r="I440" s="7" t="s">
        <v>16</v>
      </c>
      <c r="J440" s="11">
        <v>51523403</v>
      </c>
      <c r="K440" s="11" t="s">
        <v>1540</v>
      </c>
      <c r="L440" s="27" t="s">
        <v>1543</v>
      </c>
      <c r="M440" s="9">
        <v>149900</v>
      </c>
      <c r="N440" s="18">
        <f t="shared" si="51"/>
        <v>0.7</v>
      </c>
      <c r="O440" s="32">
        <f t="shared" si="52"/>
        <v>44970</v>
      </c>
      <c r="P440" s="18" t="s">
        <v>19</v>
      </c>
    </row>
    <row r="441" spans="1:16" x14ac:dyDescent="0.25">
      <c r="A441" s="25" t="str">
        <f t="shared" si="49"/>
        <v>2025 JAN-JUN D70</v>
      </c>
      <c r="B441" s="8">
        <f t="shared" si="50"/>
        <v>46104</v>
      </c>
      <c r="C441" s="20">
        <f t="shared" si="55"/>
        <v>46113</v>
      </c>
      <c r="D441" s="11">
        <f t="shared" si="55"/>
        <v>3272</v>
      </c>
      <c r="E441" s="11">
        <f t="shared" si="55"/>
        <v>336</v>
      </c>
      <c r="F441" s="11">
        <f t="shared" si="55"/>
        <v>4</v>
      </c>
      <c r="G441" s="11">
        <v>4</v>
      </c>
      <c r="H441" s="11">
        <v>81379</v>
      </c>
      <c r="I441" s="7" t="s">
        <v>16</v>
      </c>
      <c r="J441" s="11">
        <v>51523412</v>
      </c>
      <c r="K441" s="11" t="s">
        <v>1540</v>
      </c>
      <c r="L441" s="27" t="s">
        <v>1544</v>
      </c>
      <c r="M441" s="9">
        <v>149900</v>
      </c>
      <c r="N441" s="18">
        <f t="shared" si="51"/>
        <v>0.7</v>
      </c>
      <c r="O441" s="32">
        <f t="shared" si="52"/>
        <v>44970</v>
      </c>
      <c r="P441" s="18" t="s">
        <v>19</v>
      </c>
    </row>
    <row r="442" spans="1:16" x14ac:dyDescent="0.25">
      <c r="A442" s="25" t="str">
        <f t="shared" si="49"/>
        <v>2025 JAN-JUN D70</v>
      </c>
      <c r="B442" s="8">
        <f t="shared" si="50"/>
        <v>46104</v>
      </c>
      <c r="C442" s="20">
        <f t="shared" si="55"/>
        <v>46113</v>
      </c>
      <c r="D442" s="11">
        <f t="shared" si="55"/>
        <v>3272</v>
      </c>
      <c r="E442" s="11">
        <f t="shared" si="55"/>
        <v>336</v>
      </c>
      <c r="F442" s="11">
        <f t="shared" si="55"/>
        <v>4</v>
      </c>
      <c r="G442" s="11">
        <v>4</v>
      </c>
      <c r="H442" s="11">
        <v>81379</v>
      </c>
      <c r="I442" s="7" t="s">
        <v>16</v>
      </c>
      <c r="J442" s="11">
        <v>51523421</v>
      </c>
      <c r="K442" s="11" t="s">
        <v>1540</v>
      </c>
      <c r="L442" s="27" t="s">
        <v>1545</v>
      </c>
      <c r="M442" s="9">
        <v>149900</v>
      </c>
      <c r="N442" s="18">
        <f t="shared" si="51"/>
        <v>0.7</v>
      </c>
      <c r="O442" s="32">
        <f t="shared" si="52"/>
        <v>44970</v>
      </c>
      <c r="P442" s="18" t="s">
        <v>19</v>
      </c>
    </row>
    <row r="443" spans="1:16" x14ac:dyDescent="0.25">
      <c r="A443" s="25" t="str">
        <f t="shared" si="49"/>
        <v>2025 JAN-JUN D70</v>
      </c>
      <c r="B443" s="8">
        <f t="shared" si="50"/>
        <v>46104</v>
      </c>
      <c r="C443" s="20">
        <f t="shared" si="55"/>
        <v>46113</v>
      </c>
      <c r="D443" s="11">
        <f t="shared" si="55"/>
        <v>3272</v>
      </c>
      <c r="E443" s="11">
        <f t="shared" si="55"/>
        <v>336</v>
      </c>
      <c r="F443" s="11">
        <f t="shared" si="55"/>
        <v>4</v>
      </c>
      <c r="G443" s="11">
        <v>4</v>
      </c>
      <c r="H443" s="11">
        <v>81379</v>
      </c>
      <c r="I443" s="7" t="s">
        <v>16</v>
      </c>
      <c r="J443" s="11">
        <v>51523430</v>
      </c>
      <c r="K443" s="11" t="s">
        <v>1540</v>
      </c>
      <c r="L443" s="27" t="s">
        <v>1546</v>
      </c>
      <c r="M443" s="9">
        <v>149900</v>
      </c>
      <c r="N443" s="18">
        <f t="shared" si="51"/>
        <v>0.7</v>
      </c>
      <c r="O443" s="32">
        <f t="shared" si="52"/>
        <v>44970</v>
      </c>
      <c r="P443" s="18" t="s">
        <v>19</v>
      </c>
    </row>
    <row r="444" spans="1:16" x14ac:dyDescent="0.25">
      <c r="A444" s="25" t="str">
        <f t="shared" si="49"/>
        <v>2025 JAN-JUN D70</v>
      </c>
      <c r="B444" s="8">
        <f t="shared" si="50"/>
        <v>46104</v>
      </c>
      <c r="C444" s="20">
        <f t="shared" si="55"/>
        <v>46113</v>
      </c>
      <c r="D444" s="11">
        <f t="shared" si="55"/>
        <v>3272</v>
      </c>
      <c r="E444" s="11">
        <f t="shared" si="55"/>
        <v>336</v>
      </c>
      <c r="F444" s="11">
        <f t="shared" si="55"/>
        <v>4</v>
      </c>
      <c r="G444" s="11">
        <v>4</v>
      </c>
      <c r="H444" s="11">
        <v>81379</v>
      </c>
      <c r="I444" s="7" t="s">
        <v>16</v>
      </c>
      <c r="J444" s="11">
        <v>51523449</v>
      </c>
      <c r="K444" s="11" t="s">
        <v>1540</v>
      </c>
      <c r="L444" s="27" t="s">
        <v>1547</v>
      </c>
      <c r="M444" s="9">
        <v>149900</v>
      </c>
      <c r="N444" s="18">
        <f t="shared" si="51"/>
        <v>0.7</v>
      </c>
      <c r="O444" s="32">
        <f t="shared" si="52"/>
        <v>44970</v>
      </c>
      <c r="P444" s="18" t="s">
        <v>19</v>
      </c>
    </row>
    <row r="445" spans="1:16" x14ac:dyDescent="0.25">
      <c r="A445" s="25" t="str">
        <f t="shared" si="49"/>
        <v>2025 JAN-JUN D70</v>
      </c>
      <c r="B445" s="8">
        <f t="shared" si="50"/>
        <v>46104</v>
      </c>
      <c r="C445" s="20">
        <f t="shared" si="55"/>
        <v>46113</v>
      </c>
      <c r="D445" s="11">
        <f t="shared" si="55"/>
        <v>3272</v>
      </c>
      <c r="E445" s="11">
        <f t="shared" si="55"/>
        <v>336</v>
      </c>
      <c r="F445" s="11">
        <f t="shared" si="55"/>
        <v>4</v>
      </c>
      <c r="G445" s="11">
        <v>4</v>
      </c>
      <c r="H445" s="11">
        <v>81379</v>
      </c>
      <c r="I445" s="7" t="s">
        <v>16</v>
      </c>
      <c r="J445" s="11">
        <v>51523458</v>
      </c>
      <c r="K445" s="11" t="s">
        <v>1540</v>
      </c>
      <c r="L445" s="27" t="s">
        <v>1548</v>
      </c>
      <c r="M445" s="9">
        <v>149900</v>
      </c>
      <c r="N445" s="18">
        <f t="shared" si="51"/>
        <v>0.7</v>
      </c>
      <c r="O445" s="32">
        <f t="shared" si="52"/>
        <v>44970</v>
      </c>
      <c r="P445" s="18" t="s">
        <v>19</v>
      </c>
    </row>
    <row r="446" spans="1:16" x14ac:dyDescent="0.25">
      <c r="A446" s="25" t="str">
        <f t="shared" si="49"/>
        <v>2025 JAN-JUN D70</v>
      </c>
      <c r="B446" s="8">
        <f t="shared" si="50"/>
        <v>46104</v>
      </c>
      <c r="C446" s="20">
        <f t="shared" si="55"/>
        <v>46113</v>
      </c>
      <c r="D446" s="11">
        <f t="shared" si="55"/>
        <v>3272</v>
      </c>
      <c r="E446" s="11">
        <f t="shared" si="55"/>
        <v>336</v>
      </c>
      <c r="F446" s="11">
        <f t="shared" si="55"/>
        <v>4</v>
      </c>
      <c r="G446" s="11">
        <v>4</v>
      </c>
      <c r="H446" s="11">
        <v>81379</v>
      </c>
      <c r="I446" s="7" t="s">
        <v>16</v>
      </c>
      <c r="J446" s="11">
        <v>51523707</v>
      </c>
      <c r="K446" s="11" t="s">
        <v>1549</v>
      </c>
      <c r="L446" s="27" t="s">
        <v>1550</v>
      </c>
      <c r="M446" s="9">
        <v>139900</v>
      </c>
      <c r="N446" s="18">
        <f t="shared" si="51"/>
        <v>0.7</v>
      </c>
      <c r="O446" s="32">
        <f t="shared" si="52"/>
        <v>41970</v>
      </c>
      <c r="P446" s="18" t="s">
        <v>19</v>
      </c>
    </row>
    <row r="447" spans="1:16" x14ac:dyDescent="0.25">
      <c r="A447" s="25" t="str">
        <f t="shared" si="49"/>
        <v>2025 JAN-JUN D70</v>
      </c>
      <c r="B447" s="8">
        <f t="shared" si="50"/>
        <v>46104</v>
      </c>
      <c r="C447" s="20">
        <f t="shared" si="55"/>
        <v>46113</v>
      </c>
      <c r="D447" s="11">
        <f t="shared" si="55"/>
        <v>3272</v>
      </c>
      <c r="E447" s="11">
        <f t="shared" si="55"/>
        <v>336</v>
      </c>
      <c r="F447" s="11">
        <f t="shared" si="55"/>
        <v>4</v>
      </c>
      <c r="G447" s="11">
        <v>4</v>
      </c>
      <c r="H447" s="11">
        <v>81379</v>
      </c>
      <c r="I447" s="7" t="s">
        <v>16</v>
      </c>
      <c r="J447" s="11">
        <v>51523716</v>
      </c>
      <c r="K447" s="11" t="s">
        <v>1549</v>
      </c>
      <c r="L447" s="27" t="s">
        <v>1551</v>
      </c>
      <c r="M447" s="9">
        <v>139900</v>
      </c>
      <c r="N447" s="18">
        <f t="shared" si="51"/>
        <v>0.7</v>
      </c>
      <c r="O447" s="32">
        <f t="shared" si="52"/>
        <v>41970</v>
      </c>
      <c r="P447" s="18" t="s">
        <v>19</v>
      </c>
    </row>
    <row r="448" spans="1:16" x14ac:dyDescent="0.25">
      <c r="A448" s="25" t="str">
        <f t="shared" si="49"/>
        <v>2025 JAN-JUN D70</v>
      </c>
      <c r="B448" s="8">
        <f t="shared" si="50"/>
        <v>46104</v>
      </c>
      <c r="C448" s="20">
        <f t="shared" si="55"/>
        <v>46113</v>
      </c>
      <c r="D448" s="11">
        <f t="shared" si="55"/>
        <v>3272</v>
      </c>
      <c r="E448" s="11">
        <f t="shared" si="55"/>
        <v>336</v>
      </c>
      <c r="F448" s="11">
        <f t="shared" si="55"/>
        <v>4</v>
      </c>
      <c r="G448" s="11">
        <v>4</v>
      </c>
      <c r="H448" s="11">
        <v>81379</v>
      </c>
      <c r="I448" s="7" t="s">
        <v>16</v>
      </c>
      <c r="J448" s="11">
        <v>51523725</v>
      </c>
      <c r="K448" s="11" t="s">
        <v>1549</v>
      </c>
      <c r="L448" s="27" t="s">
        <v>1552</v>
      </c>
      <c r="M448" s="9">
        <v>139900</v>
      </c>
      <c r="N448" s="18">
        <f t="shared" si="51"/>
        <v>0.7</v>
      </c>
      <c r="O448" s="32">
        <f t="shared" si="52"/>
        <v>41970</v>
      </c>
      <c r="P448" s="18" t="s">
        <v>19</v>
      </c>
    </row>
    <row r="449" spans="1:16" x14ac:dyDescent="0.25">
      <c r="A449" s="25" t="str">
        <f t="shared" si="49"/>
        <v>2025 JAN-JUN D70</v>
      </c>
      <c r="B449" s="8">
        <f t="shared" si="50"/>
        <v>46104</v>
      </c>
      <c r="C449" s="20">
        <f t="shared" si="55"/>
        <v>46113</v>
      </c>
      <c r="D449" s="11">
        <f t="shared" si="55"/>
        <v>3272</v>
      </c>
      <c r="E449" s="11">
        <f t="shared" si="55"/>
        <v>336</v>
      </c>
      <c r="F449" s="11">
        <f t="shared" si="55"/>
        <v>4</v>
      </c>
      <c r="G449" s="11">
        <v>4</v>
      </c>
      <c r="H449" s="11">
        <v>81379</v>
      </c>
      <c r="I449" s="7" t="s">
        <v>16</v>
      </c>
      <c r="J449" s="11">
        <v>51523734</v>
      </c>
      <c r="K449" s="11" t="s">
        <v>1549</v>
      </c>
      <c r="L449" s="27" t="s">
        <v>1553</v>
      </c>
      <c r="M449" s="9">
        <v>139900</v>
      </c>
      <c r="N449" s="18">
        <f t="shared" si="51"/>
        <v>0.7</v>
      </c>
      <c r="O449" s="32">
        <f t="shared" si="52"/>
        <v>41970</v>
      </c>
      <c r="P449" s="18" t="s">
        <v>19</v>
      </c>
    </row>
    <row r="450" spans="1:16" x14ac:dyDescent="0.25">
      <c r="A450" s="25" t="str">
        <f t="shared" si="49"/>
        <v>2025 JAN-JUN D70</v>
      </c>
      <c r="B450" s="8">
        <f t="shared" si="50"/>
        <v>46104</v>
      </c>
      <c r="C450" s="20">
        <f t="shared" si="55"/>
        <v>46113</v>
      </c>
      <c r="D450" s="11">
        <f t="shared" si="55"/>
        <v>3272</v>
      </c>
      <c r="E450" s="11">
        <f t="shared" si="55"/>
        <v>336</v>
      </c>
      <c r="F450" s="11">
        <f t="shared" si="55"/>
        <v>4</v>
      </c>
      <c r="G450" s="11">
        <v>4</v>
      </c>
      <c r="H450" s="11">
        <v>81379</v>
      </c>
      <c r="I450" s="7" t="s">
        <v>16</v>
      </c>
      <c r="J450" s="11">
        <v>51523743</v>
      </c>
      <c r="K450" s="11" t="s">
        <v>1549</v>
      </c>
      <c r="L450" s="27" t="s">
        <v>1554</v>
      </c>
      <c r="M450" s="9">
        <v>139900</v>
      </c>
      <c r="N450" s="18">
        <f t="shared" si="51"/>
        <v>0.7</v>
      </c>
      <c r="O450" s="32">
        <f t="shared" si="52"/>
        <v>41970</v>
      </c>
      <c r="P450" s="18" t="s">
        <v>19</v>
      </c>
    </row>
    <row r="451" spans="1:16" x14ac:dyDescent="0.25">
      <c r="A451" s="25" t="str">
        <f t="shared" si="49"/>
        <v>2025 JAN-JUN D70</v>
      </c>
      <c r="B451" s="8">
        <f t="shared" si="50"/>
        <v>46104</v>
      </c>
      <c r="C451" s="20">
        <f t="shared" ref="C451:F466" si="56">C450</f>
        <v>46113</v>
      </c>
      <c r="D451" s="11">
        <f t="shared" si="56"/>
        <v>3272</v>
      </c>
      <c r="E451" s="11">
        <f t="shared" si="56"/>
        <v>336</v>
      </c>
      <c r="F451" s="11">
        <f t="shared" si="56"/>
        <v>4</v>
      </c>
      <c r="G451" s="11">
        <v>4</v>
      </c>
      <c r="H451" s="11">
        <v>81379</v>
      </c>
      <c r="I451" s="7" t="s">
        <v>16</v>
      </c>
      <c r="J451" s="11">
        <v>51523752</v>
      </c>
      <c r="K451" s="11" t="s">
        <v>1549</v>
      </c>
      <c r="L451" s="27" t="s">
        <v>1555</v>
      </c>
      <c r="M451" s="9">
        <v>139900</v>
      </c>
      <c r="N451" s="18">
        <f t="shared" si="51"/>
        <v>0.7</v>
      </c>
      <c r="O451" s="32">
        <f t="shared" si="52"/>
        <v>41970</v>
      </c>
      <c r="P451" s="18" t="s">
        <v>19</v>
      </c>
    </row>
    <row r="452" spans="1:16" x14ac:dyDescent="0.25">
      <c r="A452" s="25" t="str">
        <f t="shared" ref="A452:A515" si="57">A451</f>
        <v>2025 JAN-JUN D70</v>
      </c>
      <c r="B452" s="8">
        <f t="shared" ref="B452:B515" si="58">B451</f>
        <v>46104</v>
      </c>
      <c r="C452" s="20">
        <f t="shared" si="56"/>
        <v>46113</v>
      </c>
      <c r="D452" s="11">
        <f t="shared" si="56"/>
        <v>3272</v>
      </c>
      <c r="E452" s="11">
        <f t="shared" si="56"/>
        <v>336</v>
      </c>
      <c r="F452" s="11">
        <f t="shared" si="56"/>
        <v>4</v>
      </c>
      <c r="G452" s="11">
        <v>4</v>
      </c>
      <c r="H452" s="11">
        <v>81379</v>
      </c>
      <c r="I452" s="7" t="s">
        <v>16</v>
      </c>
      <c r="J452" s="11">
        <v>51523761</v>
      </c>
      <c r="K452" s="11" t="s">
        <v>1549</v>
      </c>
      <c r="L452" s="27" t="s">
        <v>1556</v>
      </c>
      <c r="M452" s="9">
        <v>139900</v>
      </c>
      <c r="N452" s="18">
        <f t="shared" ref="N452:N515" si="59">N451</f>
        <v>0.7</v>
      </c>
      <c r="O452" s="32">
        <f t="shared" ref="O452:O515" si="60">M452-((70*M452)/100)</f>
        <v>41970</v>
      </c>
      <c r="P452" s="18" t="s">
        <v>19</v>
      </c>
    </row>
    <row r="453" spans="1:16" x14ac:dyDescent="0.25">
      <c r="A453" s="25" t="str">
        <f t="shared" si="57"/>
        <v>2025 JAN-JUN D70</v>
      </c>
      <c r="B453" s="8">
        <f t="shared" si="58"/>
        <v>46104</v>
      </c>
      <c r="C453" s="20">
        <f t="shared" si="56"/>
        <v>46113</v>
      </c>
      <c r="D453" s="11">
        <f t="shared" si="56"/>
        <v>3272</v>
      </c>
      <c r="E453" s="11">
        <f t="shared" si="56"/>
        <v>336</v>
      </c>
      <c r="F453" s="11">
        <f t="shared" si="56"/>
        <v>4</v>
      </c>
      <c r="G453" s="11">
        <v>4</v>
      </c>
      <c r="H453" s="11">
        <v>81379</v>
      </c>
      <c r="I453" s="7" t="s">
        <v>16</v>
      </c>
      <c r="J453" s="11">
        <v>51523770</v>
      </c>
      <c r="K453" s="11" t="s">
        <v>1549</v>
      </c>
      <c r="L453" s="27" t="s">
        <v>1557</v>
      </c>
      <c r="M453" s="9">
        <v>139900</v>
      </c>
      <c r="N453" s="18">
        <f t="shared" si="59"/>
        <v>0.7</v>
      </c>
      <c r="O453" s="32">
        <f t="shared" si="60"/>
        <v>41970</v>
      </c>
      <c r="P453" s="18" t="s">
        <v>19</v>
      </c>
    </row>
    <row r="454" spans="1:16" x14ac:dyDescent="0.25">
      <c r="A454" s="25" t="str">
        <f t="shared" si="57"/>
        <v>2025 JAN-JUN D70</v>
      </c>
      <c r="B454" s="8">
        <f t="shared" si="58"/>
        <v>46104</v>
      </c>
      <c r="C454" s="8">
        <f t="shared" si="56"/>
        <v>46113</v>
      </c>
      <c r="D454" s="7">
        <v>3272</v>
      </c>
      <c r="E454" s="7">
        <v>336</v>
      </c>
      <c r="F454" s="7">
        <v>4</v>
      </c>
      <c r="G454" s="7">
        <v>1</v>
      </c>
      <c r="H454" s="7">
        <v>81676</v>
      </c>
      <c r="I454" s="7" t="s">
        <v>16</v>
      </c>
      <c r="J454" s="7">
        <v>51563058</v>
      </c>
      <c r="K454" s="7" t="s">
        <v>1558</v>
      </c>
      <c r="L454" s="27" t="s">
        <v>1559</v>
      </c>
      <c r="M454" s="9">
        <v>139900</v>
      </c>
      <c r="N454" s="18">
        <f t="shared" si="59"/>
        <v>0.7</v>
      </c>
      <c r="O454" s="32">
        <f t="shared" si="60"/>
        <v>41970</v>
      </c>
      <c r="P454" s="18" t="s">
        <v>19</v>
      </c>
    </row>
    <row r="455" spans="1:16" x14ac:dyDescent="0.25">
      <c r="A455" s="25" t="str">
        <f t="shared" si="57"/>
        <v>2025 JAN-JUN D70</v>
      </c>
      <c r="B455" s="8">
        <f t="shared" si="58"/>
        <v>46104</v>
      </c>
      <c r="C455" s="8">
        <f t="shared" si="56"/>
        <v>46113</v>
      </c>
      <c r="D455" s="7">
        <v>3272</v>
      </c>
      <c r="E455" s="7">
        <v>336</v>
      </c>
      <c r="F455" s="7">
        <v>4</v>
      </c>
      <c r="G455" s="7">
        <v>1</v>
      </c>
      <c r="H455" s="7">
        <v>81676</v>
      </c>
      <c r="I455" s="7" t="s">
        <v>16</v>
      </c>
      <c r="J455" s="7">
        <v>51563067</v>
      </c>
      <c r="K455" s="7" t="s">
        <v>1558</v>
      </c>
      <c r="L455" s="27" t="s">
        <v>1560</v>
      </c>
      <c r="M455" s="9">
        <v>139900</v>
      </c>
      <c r="N455" s="18">
        <f t="shared" si="59"/>
        <v>0.7</v>
      </c>
      <c r="O455" s="32">
        <f t="shared" si="60"/>
        <v>41970</v>
      </c>
      <c r="P455" s="18" t="s">
        <v>19</v>
      </c>
    </row>
    <row r="456" spans="1:16" x14ac:dyDescent="0.25">
      <c r="A456" s="25" t="str">
        <f t="shared" si="57"/>
        <v>2025 JAN-JUN D70</v>
      </c>
      <c r="B456" s="8">
        <f t="shared" si="58"/>
        <v>46104</v>
      </c>
      <c r="C456" s="8">
        <f t="shared" si="56"/>
        <v>46113</v>
      </c>
      <c r="D456" s="7">
        <v>3272</v>
      </c>
      <c r="E456" s="7">
        <v>336</v>
      </c>
      <c r="F456" s="7">
        <v>4</v>
      </c>
      <c r="G456" s="7">
        <v>1</v>
      </c>
      <c r="H456" s="7">
        <v>81676</v>
      </c>
      <c r="I456" s="7" t="s">
        <v>16</v>
      </c>
      <c r="J456" s="7">
        <v>51563076</v>
      </c>
      <c r="K456" s="7" t="s">
        <v>1558</v>
      </c>
      <c r="L456" s="27" t="s">
        <v>1561</v>
      </c>
      <c r="M456" s="9">
        <v>139900</v>
      </c>
      <c r="N456" s="18">
        <f t="shared" si="59"/>
        <v>0.7</v>
      </c>
      <c r="O456" s="32">
        <f t="shared" si="60"/>
        <v>41970</v>
      </c>
      <c r="P456" s="18" t="s">
        <v>19</v>
      </c>
    </row>
    <row r="457" spans="1:16" x14ac:dyDescent="0.25">
      <c r="A457" s="25" t="str">
        <f t="shared" si="57"/>
        <v>2025 JAN-JUN D70</v>
      </c>
      <c r="B457" s="8">
        <f t="shared" si="58"/>
        <v>46104</v>
      </c>
      <c r="C457" s="8">
        <f t="shared" si="56"/>
        <v>46113</v>
      </c>
      <c r="D457" s="7">
        <v>3272</v>
      </c>
      <c r="E457" s="7">
        <v>336</v>
      </c>
      <c r="F457" s="7">
        <v>4</v>
      </c>
      <c r="G457" s="7">
        <v>1</v>
      </c>
      <c r="H457" s="7">
        <v>81676</v>
      </c>
      <c r="I457" s="7" t="s">
        <v>16</v>
      </c>
      <c r="J457" s="7">
        <v>51563085</v>
      </c>
      <c r="K457" s="7" t="s">
        <v>1558</v>
      </c>
      <c r="L457" s="27" t="s">
        <v>1562</v>
      </c>
      <c r="M457" s="9">
        <v>139900</v>
      </c>
      <c r="N457" s="18">
        <f t="shared" si="59"/>
        <v>0.7</v>
      </c>
      <c r="O457" s="32">
        <f t="shared" si="60"/>
        <v>41970</v>
      </c>
      <c r="P457" s="18" t="s">
        <v>19</v>
      </c>
    </row>
    <row r="458" spans="1:16" x14ac:dyDescent="0.25">
      <c r="A458" s="25" t="str">
        <f t="shared" si="57"/>
        <v>2025 JAN-JUN D70</v>
      </c>
      <c r="B458" s="8">
        <f t="shared" si="58"/>
        <v>46104</v>
      </c>
      <c r="C458" s="8">
        <f t="shared" si="56"/>
        <v>46113</v>
      </c>
      <c r="D458" s="7">
        <v>3272</v>
      </c>
      <c r="E458" s="7">
        <v>336</v>
      </c>
      <c r="F458" s="7">
        <v>4</v>
      </c>
      <c r="G458" s="7">
        <v>1</v>
      </c>
      <c r="H458" s="7">
        <v>81676</v>
      </c>
      <c r="I458" s="7" t="s">
        <v>16</v>
      </c>
      <c r="J458" s="7">
        <v>51563094</v>
      </c>
      <c r="K458" s="7" t="s">
        <v>1558</v>
      </c>
      <c r="L458" s="27" t="s">
        <v>1563</v>
      </c>
      <c r="M458" s="9">
        <v>139900</v>
      </c>
      <c r="N458" s="18">
        <f t="shared" si="59"/>
        <v>0.7</v>
      </c>
      <c r="O458" s="32">
        <f t="shared" si="60"/>
        <v>41970</v>
      </c>
      <c r="P458" s="18" t="s">
        <v>19</v>
      </c>
    </row>
    <row r="459" spans="1:16" x14ac:dyDescent="0.25">
      <c r="A459" s="25" t="str">
        <f t="shared" si="57"/>
        <v>2025 JAN-JUN D70</v>
      </c>
      <c r="B459" s="8">
        <f t="shared" si="58"/>
        <v>46104</v>
      </c>
      <c r="C459" s="8">
        <f t="shared" si="56"/>
        <v>46113</v>
      </c>
      <c r="D459" s="7">
        <v>3272</v>
      </c>
      <c r="E459" s="7">
        <v>336</v>
      </c>
      <c r="F459" s="7">
        <v>4</v>
      </c>
      <c r="G459" s="7">
        <v>1</v>
      </c>
      <c r="H459" s="7">
        <v>81588</v>
      </c>
      <c r="I459" s="7" t="s">
        <v>16</v>
      </c>
      <c r="J459" s="7">
        <v>45645829</v>
      </c>
      <c r="K459" s="7" t="s">
        <v>1564</v>
      </c>
      <c r="L459" s="27" t="s">
        <v>1565</v>
      </c>
      <c r="M459" s="9">
        <v>149900</v>
      </c>
      <c r="N459" s="18">
        <f t="shared" si="59"/>
        <v>0.7</v>
      </c>
      <c r="O459" s="32">
        <f t="shared" si="60"/>
        <v>44970</v>
      </c>
      <c r="P459" s="18" t="s">
        <v>19</v>
      </c>
    </row>
    <row r="460" spans="1:16" x14ac:dyDescent="0.25">
      <c r="A460" s="25" t="str">
        <f t="shared" si="57"/>
        <v>2025 JAN-JUN D70</v>
      </c>
      <c r="B460" s="8">
        <f t="shared" si="58"/>
        <v>46104</v>
      </c>
      <c r="C460" s="8">
        <f t="shared" si="56"/>
        <v>46113</v>
      </c>
      <c r="D460" s="7">
        <v>3272</v>
      </c>
      <c r="E460" s="7">
        <v>336</v>
      </c>
      <c r="F460" s="7">
        <v>4</v>
      </c>
      <c r="G460" s="7">
        <v>1</v>
      </c>
      <c r="H460" s="7">
        <v>81588</v>
      </c>
      <c r="I460" s="7" t="s">
        <v>16</v>
      </c>
      <c r="J460" s="7">
        <v>45645838</v>
      </c>
      <c r="K460" s="7" t="s">
        <v>1564</v>
      </c>
      <c r="L460" s="27" t="s">
        <v>1566</v>
      </c>
      <c r="M460" s="9">
        <v>149900</v>
      </c>
      <c r="N460" s="18">
        <f t="shared" si="59"/>
        <v>0.7</v>
      </c>
      <c r="O460" s="32">
        <f t="shared" si="60"/>
        <v>44970</v>
      </c>
      <c r="P460" s="18" t="s">
        <v>19</v>
      </c>
    </row>
    <row r="461" spans="1:16" x14ac:dyDescent="0.25">
      <c r="A461" s="25" t="str">
        <f t="shared" si="57"/>
        <v>2025 JAN-JUN D70</v>
      </c>
      <c r="B461" s="8">
        <f t="shared" si="58"/>
        <v>46104</v>
      </c>
      <c r="C461" s="8">
        <f t="shared" si="56"/>
        <v>46113</v>
      </c>
      <c r="D461" s="7">
        <v>3272</v>
      </c>
      <c r="E461" s="7">
        <v>336</v>
      </c>
      <c r="F461" s="7">
        <v>4</v>
      </c>
      <c r="G461" s="7">
        <v>1</v>
      </c>
      <c r="H461" s="7">
        <v>81588</v>
      </c>
      <c r="I461" s="7" t="s">
        <v>16</v>
      </c>
      <c r="J461" s="7">
        <v>45645847</v>
      </c>
      <c r="K461" s="7" t="s">
        <v>1564</v>
      </c>
      <c r="L461" s="27" t="s">
        <v>1567</v>
      </c>
      <c r="M461" s="9">
        <v>149900</v>
      </c>
      <c r="N461" s="18">
        <f t="shared" si="59"/>
        <v>0.7</v>
      </c>
      <c r="O461" s="32">
        <f t="shared" si="60"/>
        <v>44970</v>
      </c>
      <c r="P461" s="18" t="s">
        <v>19</v>
      </c>
    </row>
    <row r="462" spans="1:16" x14ac:dyDescent="0.25">
      <c r="A462" s="25" t="str">
        <f t="shared" si="57"/>
        <v>2025 JAN-JUN D70</v>
      </c>
      <c r="B462" s="8">
        <f t="shared" si="58"/>
        <v>46104</v>
      </c>
      <c r="C462" s="8">
        <f t="shared" si="56"/>
        <v>46113</v>
      </c>
      <c r="D462" s="7">
        <v>3272</v>
      </c>
      <c r="E462" s="7">
        <v>336</v>
      </c>
      <c r="F462" s="7">
        <v>4</v>
      </c>
      <c r="G462" s="7">
        <v>1</v>
      </c>
      <c r="H462" s="7">
        <v>81588</v>
      </c>
      <c r="I462" s="7" t="s">
        <v>16</v>
      </c>
      <c r="J462" s="7">
        <v>45645856</v>
      </c>
      <c r="K462" s="7" t="s">
        <v>1564</v>
      </c>
      <c r="L462" s="27" t="s">
        <v>1568</v>
      </c>
      <c r="M462" s="9">
        <v>149900</v>
      </c>
      <c r="N462" s="18">
        <f t="shared" si="59"/>
        <v>0.7</v>
      </c>
      <c r="O462" s="32">
        <f t="shared" si="60"/>
        <v>44970</v>
      </c>
      <c r="P462" s="18" t="s">
        <v>19</v>
      </c>
    </row>
    <row r="463" spans="1:16" x14ac:dyDescent="0.25">
      <c r="A463" s="25" t="str">
        <f t="shared" si="57"/>
        <v>2025 JAN-JUN D70</v>
      </c>
      <c r="B463" s="8">
        <f t="shared" si="58"/>
        <v>46104</v>
      </c>
      <c r="C463" s="8">
        <f t="shared" si="56"/>
        <v>46113</v>
      </c>
      <c r="D463" s="7">
        <v>3272</v>
      </c>
      <c r="E463" s="7">
        <v>336</v>
      </c>
      <c r="F463" s="7">
        <v>4</v>
      </c>
      <c r="G463" s="7">
        <v>1</v>
      </c>
      <c r="H463" s="7">
        <v>81588</v>
      </c>
      <c r="I463" s="7" t="s">
        <v>16</v>
      </c>
      <c r="J463" s="7">
        <v>45645865</v>
      </c>
      <c r="K463" s="7" t="s">
        <v>1564</v>
      </c>
      <c r="L463" s="27" t="s">
        <v>1569</v>
      </c>
      <c r="M463" s="9">
        <v>149900</v>
      </c>
      <c r="N463" s="18">
        <f t="shared" si="59"/>
        <v>0.7</v>
      </c>
      <c r="O463" s="32">
        <f t="shared" si="60"/>
        <v>44970</v>
      </c>
      <c r="P463" s="18" t="s">
        <v>19</v>
      </c>
    </row>
    <row r="464" spans="1:16" x14ac:dyDescent="0.25">
      <c r="A464" s="25" t="str">
        <f t="shared" si="57"/>
        <v>2025 JAN-JUN D70</v>
      </c>
      <c r="B464" s="8">
        <f t="shared" si="58"/>
        <v>46104</v>
      </c>
      <c r="C464" s="8">
        <f t="shared" si="56"/>
        <v>46113</v>
      </c>
      <c r="D464" s="7">
        <v>3272</v>
      </c>
      <c r="E464" s="7">
        <v>336</v>
      </c>
      <c r="F464" s="7">
        <v>4</v>
      </c>
      <c r="G464" s="7">
        <v>1</v>
      </c>
      <c r="H464" s="7">
        <v>81379</v>
      </c>
      <c r="I464" s="7" t="s">
        <v>16</v>
      </c>
      <c r="J464" s="7">
        <v>51502962</v>
      </c>
      <c r="K464" s="7" t="s">
        <v>1570</v>
      </c>
      <c r="L464" s="27" t="s">
        <v>1571</v>
      </c>
      <c r="M464" s="9">
        <v>149900</v>
      </c>
      <c r="N464" s="18">
        <f t="shared" si="59"/>
        <v>0.7</v>
      </c>
      <c r="O464" s="32">
        <f t="shared" si="60"/>
        <v>44970</v>
      </c>
      <c r="P464" s="18" t="s">
        <v>19</v>
      </c>
    </row>
    <row r="465" spans="1:16" x14ac:dyDescent="0.25">
      <c r="A465" s="25" t="str">
        <f t="shared" si="57"/>
        <v>2025 JAN-JUN D70</v>
      </c>
      <c r="B465" s="8">
        <f t="shared" si="58"/>
        <v>46104</v>
      </c>
      <c r="C465" s="8">
        <f t="shared" si="56"/>
        <v>46113</v>
      </c>
      <c r="D465" s="7">
        <v>3272</v>
      </c>
      <c r="E465" s="7">
        <v>336</v>
      </c>
      <c r="F465" s="7">
        <v>4</v>
      </c>
      <c r="G465" s="7">
        <v>1</v>
      </c>
      <c r="H465" s="7">
        <v>81379</v>
      </c>
      <c r="I465" s="7" t="s">
        <v>16</v>
      </c>
      <c r="J465" s="7">
        <v>51502971</v>
      </c>
      <c r="K465" s="7" t="s">
        <v>1570</v>
      </c>
      <c r="L465" s="27" t="s">
        <v>1572</v>
      </c>
      <c r="M465" s="9">
        <v>149900</v>
      </c>
      <c r="N465" s="18">
        <f t="shared" si="59"/>
        <v>0.7</v>
      </c>
      <c r="O465" s="32">
        <f t="shared" si="60"/>
        <v>44970</v>
      </c>
      <c r="P465" s="18" t="s">
        <v>19</v>
      </c>
    </row>
    <row r="466" spans="1:16" x14ac:dyDescent="0.25">
      <c r="A466" s="25" t="str">
        <f t="shared" si="57"/>
        <v>2025 JAN-JUN D70</v>
      </c>
      <c r="B466" s="8">
        <f t="shared" si="58"/>
        <v>46104</v>
      </c>
      <c r="C466" s="8">
        <f t="shared" si="56"/>
        <v>46113</v>
      </c>
      <c r="D466" s="7">
        <v>3272</v>
      </c>
      <c r="E466" s="7">
        <v>336</v>
      </c>
      <c r="F466" s="7">
        <v>4</v>
      </c>
      <c r="G466" s="7">
        <v>1</v>
      </c>
      <c r="H466" s="7">
        <v>81379</v>
      </c>
      <c r="I466" s="7" t="s">
        <v>16</v>
      </c>
      <c r="J466" s="7">
        <v>51502980</v>
      </c>
      <c r="K466" s="7" t="s">
        <v>1570</v>
      </c>
      <c r="L466" s="27" t="s">
        <v>1573</v>
      </c>
      <c r="M466" s="9">
        <v>149900</v>
      </c>
      <c r="N466" s="18">
        <f t="shared" si="59"/>
        <v>0.7</v>
      </c>
      <c r="O466" s="32">
        <f t="shared" si="60"/>
        <v>44970</v>
      </c>
      <c r="P466" s="18" t="s">
        <v>19</v>
      </c>
    </row>
    <row r="467" spans="1:16" x14ac:dyDescent="0.25">
      <c r="A467" s="25" t="str">
        <f t="shared" si="57"/>
        <v>2025 JAN-JUN D70</v>
      </c>
      <c r="B467" s="8">
        <f t="shared" si="58"/>
        <v>46104</v>
      </c>
      <c r="C467" s="8">
        <f t="shared" ref="C467:C482" si="61">C466</f>
        <v>46113</v>
      </c>
      <c r="D467" s="7">
        <v>3272</v>
      </c>
      <c r="E467" s="7">
        <v>336</v>
      </c>
      <c r="F467" s="7">
        <v>4</v>
      </c>
      <c r="G467" s="7">
        <v>1</v>
      </c>
      <c r="H467" s="7">
        <v>81379</v>
      </c>
      <c r="I467" s="7" t="s">
        <v>16</v>
      </c>
      <c r="J467" s="7">
        <v>51502999</v>
      </c>
      <c r="K467" s="7" t="s">
        <v>1570</v>
      </c>
      <c r="L467" s="27" t="s">
        <v>1574</v>
      </c>
      <c r="M467" s="9">
        <v>149900</v>
      </c>
      <c r="N467" s="18">
        <f t="shared" si="59"/>
        <v>0.7</v>
      </c>
      <c r="O467" s="32">
        <f t="shared" si="60"/>
        <v>44970</v>
      </c>
      <c r="P467" s="18" t="s">
        <v>19</v>
      </c>
    </row>
    <row r="468" spans="1:16" x14ac:dyDescent="0.25">
      <c r="A468" s="25" t="str">
        <f t="shared" si="57"/>
        <v>2025 JAN-JUN D70</v>
      </c>
      <c r="B468" s="8">
        <f t="shared" si="58"/>
        <v>46104</v>
      </c>
      <c r="C468" s="8">
        <f t="shared" si="61"/>
        <v>46113</v>
      </c>
      <c r="D468" s="7">
        <v>3272</v>
      </c>
      <c r="E468" s="7">
        <v>336</v>
      </c>
      <c r="F468" s="7">
        <v>4</v>
      </c>
      <c r="G468" s="7">
        <v>1</v>
      </c>
      <c r="H468" s="7">
        <v>81379</v>
      </c>
      <c r="I468" s="7" t="s">
        <v>16</v>
      </c>
      <c r="J468" s="7">
        <v>51503005</v>
      </c>
      <c r="K468" s="7" t="s">
        <v>1570</v>
      </c>
      <c r="L468" s="27" t="s">
        <v>1575</v>
      </c>
      <c r="M468" s="9">
        <v>149900</v>
      </c>
      <c r="N468" s="18">
        <f t="shared" si="59"/>
        <v>0.7</v>
      </c>
      <c r="O468" s="32">
        <f t="shared" si="60"/>
        <v>44970</v>
      </c>
      <c r="P468" s="18" t="s">
        <v>19</v>
      </c>
    </row>
    <row r="469" spans="1:16" x14ac:dyDescent="0.25">
      <c r="A469" s="25" t="str">
        <f t="shared" si="57"/>
        <v>2025 JAN-JUN D70</v>
      </c>
      <c r="B469" s="8">
        <f t="shared" si="58"/>
        <v>46104</v>
      </c>
      <c r="C469" s="8">
        <f t="shared" si="61"/>
        <v>46113</v>
      </c>
      <c r="D469" s="7">
        <v>3272</v>
      </c>
      <c r="E469" s="7">
        <v>336</v>
      </c>
      <c r="F469" s="7">
        <v>4</v>
      </c>
      <c r="G469" s="7">
        <v>1</v>
      </c>
      <c r="H469" s="7">
        <v>81588</v>
      </c>
      <c r="I469" s="7" t="s">
        <v>16</v>
      </c>
      <c r="J469" s="7">
        <v>51511827</v>
      </c>
      <c r="K469" s="7" t="s">
        <v>1576</v>
      </c>
      <c r="L469" s="27" t="s">
        <v>1577</v>
      </c>
      <c r="M469" s="9">
        <v>149900</v>
      </c>
      <c r="N469" s="18">
        <f t="shared" si="59"/>
        <v>0.7</v>
      </c>
      <c r="O469" s="32">
        <f t="shared" si="60"/>
        <v>44970</v>
      </c>
      <c r="P469" s="18" t="s">
        <v>19</v>
      </c>
    </row>
    <row r="470" spans="1:16" x14ac:dyDescent="0.25">
      <c r="A470" s="25" t="str">
        <f t="shared" si="57"/>
        <v>2025 JAN-JUN D70</v>
      </c>
      <c r="B470" s="8">
        <f t="shared" si="58"/>
        <v>46104</v>
      </c>
      <c r="C470" s="8">
        <f t="shared" si="61"/>
        <v>46113</v>
      </c>
      <c r="D470" s="7">
        <v>3272</v>
      </c>
      <c r="E470" s="7">
        <v>336</v>
      </c>
      <c r="F470" s="7">
        <v>4</v>
      </c>
      <c r="G470" s="7">
        <v>1</v>
      </c>
      <c r="H470" s="7">
        <v>81588</v>
      </c>
      <c r="I470" s="7" t="s">
        <v>16</v>
      </c>
      <c r="J470" s="7">
        <v>51511836</v>
      </c>
      <c r="K470" s="7" t="s">
        <v>1576</v>
      </c>
      <c r="L470" s="27" t="s">
        <v>1578</v>
      </c>
      <c r="M470" s="9">
        <v>149900</v>
      </c>
      <c r="N470" s="18">
        <f t="shared" si="59"/>
        <v>0.7</v>
      </c>
      <c r="O470" s="32">
        <f t="shared" si="60"/>
        <v>44970</v>
      </c>
      <c r="P470" s="18" t="s">
        <v>19</v>
      </c>
    </row>
    <row r="471" spans="1:16" x14ac:dyDescent="0.25">
      <c r="A471" s="25" t="str">
        <f t="shared" si="57"/>
        <v>2025 JAN-JUN D70</v>
      </c>
      <c r="B471" s="8">
        <f t="shared" si="58"/>
        <v>46104</v>
      </c>
      <c r="C471" s="8">
        <f t="shared" si="61"/>
        <v>46113</v>
      </c>
      <c r="D471" s="7">
        <v>3272</v>
      </c>
      <c r="E471" s="7">
        <v>336</v>
      </c>
      <c r="F471" s="7">
        <v>4</v>
      </c>
      <c r="G471" s="7">
        <v>1</v>
      </c>
      <c r="H471" s="7">
        <v>81588</v>
      </c>
      <c r="I471" s="7" t="s">
        <v>16</v>
      </c>
      <c r="J471" s="7">
        <v>51511845</v>
      </c>
      <c r="K471" s="7" t="s">
        <v>1576</v>
      </c>
      <c r="L471" s="27" t="s">
        <v>1579</v>
      </c>
      <c r="M471" s="9">
        <v>149900</v>
      </c>
      <c r="N471" s="18">
        <f t="shared" si="59"/>
        <v>0.7</v>
      </c>
      <c r="O471" s="32">
        <f t="shared" si="60"/>
        <v>44970</v>
      </c>
      <c r="P471" s="18" t="s">
        <v>19</v>
      </c>
    </row>
    <row r="472" spans="1:16" x14ac:dyDescent="0.25">
      <c r="A472" s="25" t="str">
        <f t="shared" si="57"/>
        <v>2025 JAN-JUN D70</v>
      </c>
      <c r="B472" s="8">
        <f t="shared" si="58"/>
        <v>46104</v>
      </c>
      <c r="C472" s="8">
        <f t="shared" si="61"/>
        <v>46113</v>
      </c>
      <c r="D472" s="7">
        <v>3272</v>
      </c>
      <c r="E472" s="7">
        <v>336</v>
      </c>
      <c r="F472" s="7">
        <v>4</v>
      </c>
      <c r="G472" s="7">
        <v>1</v>
      </c>
      <c r="H472" s="7">
        <v>81588</v>
      </c>
      <c r="I472" s="7" t="s">
        <v>16</v>
      </c>
      <c r="J472" s="7">
        <v>51511854</v>
      </c>
      <c r="K472" s="7" t="s">
        <v>1576</v>
      </c>
      <c r="L472" s="27" t="s">
        <v>1580</v>
      </c>
      <c r="M472" s="9">
        <v>149900</v>
      </c>
      <c r="N472" s="18">
        <f t="shared" si="59"/>
        <v>0.7</v>
      </c>
      <c r="O472" s="32">
        <f t="shared" si="60"/>
        <v>44970</v>
      </c>
      <c r="P472" s="18" t="s">
        <v>19</v>
      </c>
    </row>
    <row r="473" spans="1:16" x14ac:dyDescent="0.25">
      <c r="A473" s="25" t="str">
        <f t="shared" si="57"/>
        <v>2025 JAN-JUN D70</v>
      </c>
      <c r="B473" s="8">
        <f t="shared" si="58"/>
        <v>46104</v>
      </c>
      <c r="C473" s="8">
        <f t="shared" si="61"/>
        <v>46113</v>
      </c>
      <c r="D473" s="7">
        <v>3272</v>
      </c>
      <c r="E473" s="7">
        <v>336</v>
      </c>
      <c r="F473" s="7">
        <v>4</v>
      </c>
      <c r="G473" s="7">
        <v>1</v>
      </c>
      <c r="H473" s="7">
        <v>81588</v>
      </c>
      <c r="I473" s="7" t="s">
        <v>16</v>
      </c>
      <c r="J473" s="7">
        <v>51511863</v>
      </c>
      <c r="K473" s="7" t="s">
        <v>1576</v>
      </c>
      <c r="L473" s="27" t="s">
        <v>1581</v>
      </c>
      <c r="M473" s="9">
        <v>149900</v>
      </c>
      <c r="N473" s="18">
        <f t="shared" si="59"/>
        <v>0.7</v>
      </c>
      <c r="O473" s="32">
        <f t="shared" si="60"/>
        <v>44970</v>
      </c>
      <c r="P473" s="18" t="s">
        <v>19</v>
      </c>
    </row>
    <row r="474" spans="1:16" x14ac:dyDescent="0.25">
      <c r="A474" s="25" t="str">
        <f t="shared" si="57"/>
        <v>2025 JAN-JUN D70</v>
      </c>
      <c r="B474" s="8">
        <f t="shared" si="58"/>
        <v>46104</v>
      </c>
      <c r="C474" s="8">
        <f t="shared" si="61"/>
        <v>46113</v>
      </c>
      <c r="D474" s="7">
        <v>3272</v>
      </c>
      <c r="E474" s="7">
        <v>336</v>
      </c>
      <c r="F474" s="7">
        <v>4</v>
      </c>
      <c r="G474" s="7">
        <v>1</v>
      </c>
      <c r="H474" s="7">
        <v>81588</v>
      </c>
      <c r="I474" s="7" t="s">
        <v>16</v>
      </c>
      <c r="J474" s="7">
        <v>51511872</v>
      </c>
      <c r="K474" s="7" t="s">
        <v>1576</v>
      </c>
      <c r="L474" s="27" t="s">
        <v>1582</v>
      </c>
      <c r="M474" s="9">
        <v>149900</v>
      </c>
      <c r="N474" s="18">
        <f t="shared" si="59"/>
        <v>0.7</v>
      </c>
      <c r="O474" s="32">
        <f t="shared" si="60"/>
        <v>44970</v>
      </c>
      <c r="P474" s="18" t="s">
        <v>19</v>
      </c>
    </row>
    <row r="475" spans="1:16" x14ac:dyDescent="0.25">
      <c r="A475" s="25" t="str">
        <f t="shared" si="57"/>
        <v>2025 JAN-JUN D70</v>
      </c>
      <c r="B475" s="8">
        <f t="shared" si="58"/>
        <v>46104</v>
      </c>
      <c r="C475" s="8">
        <f t="shared" si="61"/>
        <v>46113</v>
      </c>
      <c r="D475" s="7">
        <v>3272</v>
      </c>
      <c r="E475" s="7">
        <v>336</v>
      </c>
      <c r="F475" s="7">
        <v>4</v>
      </c>
      <c r="G475" s="7">
        <v>1</v>
      </c>
      <c r="H475" s="7">
        <v>81379</v>
      </c>
      <c r="I475" s="7" t="s">
        <v>16</v>
      </c>
      <c r="J475" s="7">
        <v>51562844</v>
      </c>
      <c r="K475" s="7" t="s">
        <v>1583</v>
      </c>
      <c r="L475" s="27" t="s">
        <v>1584</v>
      </c>
      <c r="M475" s="9">
        <v>139900</v>
      </c>
      <c r="N475" s="18">
        <f t="shared" si="59"/>
        <v>0.7</v>
      </c>
      <c r="O475" s="32">
        <f t="shared" si="60"/>
        <v>41970</v>
      </c>
      <c r="P475" s="18" t="s">
        <v>19</v>
      </c>
    </row>
    <row r="476" spans="1:16" x14ac:dyDescent="0.25">
      <c r="A476" s="25" t="str">
        <f t="shared" si="57"/>
        <v>2025 JAN-JUN D70</v>
      </c>
      <c r="B476" s="8">
        <f t="shared" si="58"/>
        <v>46104</v>
      </c>
      <c r="C476" s="8">
        <f t="shared" si="61"/>
        <v>46113</v>
      </c>
      <c r="D476" s="7">
        <v>3272</v>
      </c>
      <c r="E476" s="7">
        <v>336</v>
      </c>
      <c r="F476" s="7">
        <v>4</v>
      </c>
      <c r="G476" s="7">
        <v>1</v>
      </c>
      <c r="H476" s="7">
        <v>81379</v>
      </c>
      <c r="I476" s="7" t="s">
        <v>16</v>
      </c>
      <c r="J476" s="7">
        <v>51562853</v>
      </c>
      <c r="K476" s="7" t="s">
        <v>1583</v>
      </c>
      <c r="L476" s="27" t="s">
        <v>1585</v>
      </c>
      <c r="M476" s="9">
        <v>139900</v>
      </c>
      <c r="N476" s="18">
        <f t="shared" si="59"/>
        <v>0.7</v>
      </c>
      <c r="O476" s="32">
        <f t="shared" si="60"/>
        <v>41970</v>
      </c>
      <c r="P476" s="18" t="s">
        <v>19</v>
      </c>
    </row>
    <row r="477" spans="1:16" x14ac:dyDescent="0.25">
      <c r="A477" s="25" t="str">
        <f t="shared" si="57"/>
        <v>2025 JAN-JUN D70</v>
      </c>
      <c r="B477" s="8">
        <f t="shared" si="58"/>
        <v>46104</v>
      </c>
      <c r="C477" s="8">
        <f t="shared" si="61"/>
        <v>46113</v>
      </c>
      <c r="D477" s="7">
        <v>3272</v>
      </c>
      <c r="E477" s="7">
        <v>336</v>
      </c>
      <c r="F477" s="7">
        <v>4</v>
      </c>
      <c r="G477" s="7">
        <v>1</v>
      </c>
      <c r="H477" s="7">
        <v>81379</v>
      </c>
      <c r="I477" s="7" t="s">
        <v>16</v>
      </c>
      <c r="J477" s="7">
        <v>51562862</v>
      </c>
      <c r="K477" s="7" t="s">
        <v>1583</v>
      </c>
      <c r="L477" s="27" t="s">
        <v>1586</v>
      </c>
      <c r="M477" s="9">
        <v>139900</v>
      </c>
      <c r="N477" s="18">
        <f t="shared" si="59"/>
        <v>0.7</v>
      </c>
      <c r="O477" s="32">
        <f t="shared" si="60"/>
        <v>41970</v>
      </c>
      <c r="P477" s="18" t="s">
        <v>19</v>
      </c>
    </row>
    <row r="478" spans="1:16" x14ac:dyDescent="0.25">
      <c r="A478" s="25" t="str">
        <f t="shared" si="57"/>
        <v>2025 JAN-JUN D70</v>
      </c>
      <c r="B478" s="8">
        <f t="shared" si="58"/>
        <v>46104</v>
      </c>
      <c r="C478" s="8">
        <f t="shared" si="61"/>
        <v>46113</v>
      </c>
      <c r="D478" s="7">
        <v>3272</v>
      </c>
      <c r="E478" s="7">
        <v>336</v>
      </c>
      <c r="F478" s="7">
        <v>4</v>
      </c>
      <c r="G478" s="7">
        <v>1</v>
      </c>
      <c r="H478" s="7">
        <v>81379</v>
      </c>
      <c r="I478" s="7" t="s">
        <v>16</v>
      </c>
      <c r="J478" s="7">
        <v>51562871</v>
      </c>
      <c r="K478" s="7" t="s">
        <v>1583</v>
      </c>
      <c r="L478" s="27" t="s">
        <v>1587</v>
      </c>
      <c r="M478" s="9">
        <v>139900</v>
      </c>
      <c r="N478" s="18">
        <f t="shared" si="59"/>
        <v>0.7</v>
      </c>
      <c r="O478" s="32">
        <f t="shared" si="60"/>
        <v>41970</v>
      </c>
      <c r="P478" s="18" t="s">
        <v>19</v>
      </c>
    </row>
    <row r="479" spans="1:16" x14ac:dyDescent="0.25">
      <c r="A479" s="25" t="str">
        <f t="shared" si="57"/>
        <v>2025 JAN-JUN D70</v>
      </c>
      <c r="B479" s="8">
        <f t="shared" si="58"/>
        <v>46104</v>
      </c>
      <c r="C479" s="8">
        <f t="shared" si="61"/>
        <v>46113</v>
      </c>
      <c r="D479" s="7">
        <v>3272</v>
      </c>
      <c r="E479" s="7">
        <v>336</v>
      </c>
      <c r="F479" s="7">
        <v>4</v>
      </c>
      <c r="G479" s="7">
        <v>1</v>
      </c>
      <c r="H479" s="7">
        <v>81379</v>
      </c>
      <c r="I479" s="7" t="s">
        <v>16</v>
      </c>
      <c r="J479" s="7">
        <v>51562880</v>
      </c>
      <c r="K479" s="7" t="s">
        <v>1583</v>
      </c>
      <c r="L479" s="27" t="s">
        <v>1588</v>
      </c>
      <c r="M479" s="9">
        <v>139900</v>
      </c>
      <c r="N479" s="18">
        <f t="shared" si="59"/>
        <v>0.7</v>
      </c>
      <c r="O479" s="32">
        <f t="shared" si="60"/>
        <v>41970</v>
      </c>
      <c r="P479" s="18" t="s">
        <v>19</v>
      </c>
    </row>
    <row r="480" spans="1:16" x14ac:dyDescent="0.25">
      <c r="A480" s="25" t="str">
        <f t="shared" si="57"/>
        <v>2025 JAN-JUN D70</v>
      </c>
      <c r="B480" s="8">
        <f t="shared" si="58"/>
        <v>46104</v>
      </c>
      <c r="C480" s="8">
        <f t="shared" si="61"/>
        <v>46113</v>
      </c>
      <c r="D480" s="7">
        <v>3272</v>
      </c>
      <c r="E480" s="7">
        <v>336</v>
      </c>
      <c r="F480" s="7">
        <v>4</v>
      </c>
      <c r="G480" s="7">
        <v>1</v>
      </c>
      <c r="H480" s="7">
        <v>81379</v>
      </c>
      <c r="I480" s="7" t="s">
        <v>16</v>
      </c>
      <c r="J480" s="7">
        <v>51562899</v>
      </c>
      <c r="K480" s="7" t="s">
        <v>1583</v>
      </c>
      <c r="L480" s="27" t="s">
        <v>1589</v>
      </c>
      <c r="M480" s="9">
        <v>139900</v>
      </c>
      <c r="N480" s="18">
        <f t="shared" si="59"/>
        <v>0.7</v>
      </c>
      <c r="O480" s="32">
        <f t="shared" si="60"/>
        <v>41970</v>
      </c>
      <c r="P480" s="18" t="s">
        <v>19</v>
      </c>
    </row>
    <row r="481" spans="1:16" x14ac:dyDescent="0.25">
      <c r="A481" s="25" t="str">
        <f t="shared" si="57"/>
        <v>2025 JAN-JUN D70</v>
      </c>
      <c r="B481" s="8">
        <f t="shared" si="58"/>
        <v>46104</v>
      </c>
      <c r="C481" s="8">
        <f t="shared" si="61"/>
        <v>46113</v>
      </c>
      <c r="D481" s="7">
        <v>3272</v>
      </c>
      <c r="E481" s="7">
        <v>336</v>
      </c>
      <c r="F481" s="7">
        <v>4</v>
      </c>
      <c r="G481" s="7">
        <v>1</v>
      </c>
      <c r="H481" s="7">
        <v>81379</v>
      </c>
      <c r="I481" s="7" t="s">
        <v>16</v>
      </c>
      <c r="J481" s="7">
        <v>51562906</v>
      </c>
      <c r="K481" s="7" t="s">
        <v>1583</v>
      </c>
      <c r="L481" s="27" t="s">
        <v>1590</v>
      </c>
      <c r="M481" s="9">
        <v>139900</v>
      </c>
      <c r="N481" s="18">
        <f t="shared" si="59"/>
        <v>0.7</v>
      </c>
      <c r="O481" s="32">
        <f t="shared" si="60"/>
        <v>41970</v>
      </c>
      <c r="P481" s="18" t="s">
        <v>19</v>
      </c>
    </row>
    <row r="482" spans="1:16" x14ac:dyDescent="0.25">
      <c r="A482" s="25" t="str">
        <f t="shared" si="57"/>
        <v>2025 JAN-JUN D70</v>
      </c>
      <c r="B482" s="8">
        <f t="shared" si="58"/>
        <v>46104</v>
      </c>
      <c r="C482" s="8">
        <f t="shared" si="61"/>
        <v>46113</v>
      </c>
      <c r="D482" s="7">
        <v>3272</v>
      </c>
      <c r="E482" s="7">
        <v>336</v>
      </c>
      <c r="F482" s="7">
        <v>4</v>
      </c>
      <c r="G482" s="7">
        <v>1</v>
      </c>
      <c r="H482" s="7">
        <v>81379</v>
      </c>
      <c r="I482" s="7" t="s">
        <v>16</v>
      </c>
      <c r="J482" s="7">
        <v>51562915</v>
      </c>
      <c r="K482" s="7" t="s">
        <v>1583</v>
      </c>
      <c r="L482" s="27" t="s">
        <v>1591</v>
      </c>
      <c r="M482" s="9">
        <v>139900</v>
      </c>
      <c r="N482" s="18">
        <f t="shared" si="59"/>
        <v>0.7</v>
      </c>
      <c r="O482" s="32">
        <f t="shared" si="60"/>
        <v>41970</v>
      </c>
      <c r="P482" s="18" t="s">
        <v>19</v>
      </c>
    </row>
    <row r="483" spans="1:16" x14ac:dyDescent="0.25">
      <c r="A483" s="25" t="str">
        <f t="shared" si="57"/>
        <v>2025 JAN-JUN D70</v>
      </c>
      <c r="B483" s="8">
        <f t="shared" si="58"/>
        <v>46104</v>
      </c>
      <c r="C483" s="8">
        <f t="shared" ref="C483:C498" si="62">C482</f>
        <v>46113</v>
      </c>
      <c r="D483" s="7">
        <v>3272</v>
      </c>
      <c r="E483" s="7">
        <v>336</v>
      </c>
      <c r="F483" s="7">
        <v>4</v>
      </c>
      <c r="G483" s="7">
        <v>1</v>
      </c>
      <c r="H483" s="7">
        <v>81588</v>
      </c>
      <c r="I483" s="7" t="s">
        <v>16</v>
      </c>
      <c r="J483" s="7">
        <v>45646024</v>
      </c>
      <c r="K483" s="7" t="s">
        <v>1499</v>
      </c>
      <c r="L483" s="27" t="s">
        <v>1592</v>
      </c>
      <c r="M483" s="9">
        <v>139900</v>
      </c>
      <c r="N483" s="18">
        <f t="shared" si="59"/>
        <v>0.7</v>
      </c>
      <c r="O483" s="32">
        <f t="shared" si="60"/>
        <v>41970</v>
      </c>
      <c r="P483" s="18" t="s">
        <v>19</v>
      </c>
    </row>
    <row r="484" spans="1:16" x14ac:dyDescent="0.25">
      <c r="A484" s="25" t="str">
        <f t="shared" si="57"/>
        <v>2025 JAN-JUN D70</v>
      </c>
      <c r="B484" s="8">
        <f t="shared" si="58"/>
        <v>46104</v>
      </c>
      <c r="C484" s="8">
        <f t="shared" si="62"/>
        <v>46113</v>
      </c>
      <c r="D484" s="7">
        <v>3272</v>
      </c>
      <c r="E484" s="7">
        <v>336</v>
      </c>
      <c r="F484" s="7">
        <v>4</v>
      </c>
      <c r="G484" s="7">
        <v>1</v>
      </c>
      <c r="H484" s="7">
        <v>81588</v>
      </c>
      <c r="I484" s="7" t="s">
        <v>16</v>
      </c>
      <c r="J484" s="7">
        <v>45646033</v>
      </c>
      <c r="K484" s="7" t="s">
        <v>1499</v>
      </c>
      <c r="L484" s="27" t="s">
        <v>1593</v>
      </c>
      <c r="M484" s="9">
        <v>139900</v>
      </c>
      <c r="N484" s="18">
        <f t="shared" si="59"/>
        <v>0.7</v>
      </c>
      <c r="O484" s="32">
        <f t="shared" si="60"/>
        <v>41970</v>
      </c>
      <c r="P484" s="18" t="s">
        <v>19</v>
      </c>
    </row>
    <row r="485" spans="1:16" x14ac:dyDescent="0.25">
      <c r="A485" s="25" t="str">
        <f t="shared" si="57"/>
        <v>2025 JAN-JUN D70</v>
      </c>
      <c r="B485" s="8">
        <f t="shared" si="58"/>
        <v>46104</v>
      </c>
      <c r="C485" s="8">
        <f t="shared" si="62"/>
        <v>46113</v>
      </c>
      <c r="D485" s="7">
        <v>3272</v>
      </c>
      <c r="E485" s="7">
        <v>336</v>
      </c>
      <c r="F485" s="7">
        <v>4</v>
      </c>
      <c r="G485" s="7">
        <v>1</v>
      </c>
      <c r="H485" s="7">
        <v>81588</v>
      </c>
      <c r="I485" s="7" t="s">
        <v>16</v>
      </c>
      <c r="J485" s="7">
        <v>45646042</v>
      </c>
      <c r="K485" s="7" t="s">
        <v>1499</v>
      </c>
      <c r="L485" s="27" t="s">
        <v>1594</v>
      </c>
      <c r="M485" s="9">
        <v>139900</v>
      </c>
      <c r="N485" s="18">
        <f t="shared" si="59"/>
        <v>0.7</v>
      </c>
      <c r="O485" s="32">
        <f t="shared" si="60"/>
        <v>41970</v>
      </c>
      <c r="P485" s="18" t="s">
        <v>19</v>
      </c>
    </row>
    <row r="486" spans="1:16" x14ac:dyDescent="0.25">
      <c r="A486" s="25" t="str">
        <f t="shared" si="57"/>
        <v>2025 JAN-JUN D70</v>
      </c>
      <c r="B486" s="8">
        <f t="shared" si="58"/>
        <v>46104</v>
      </c>
      <c r="C486" s="8">
        <f t="shared" si="62"/>
        <v>46113</v>
      </c>
      <c r="D486" s="7">
        <v>3272</v>
      </c>
      <c r="E486" s="7">
        <v>336</v>
      </c>
      <c r="F486" s="7">
        <v>4</v>
      </c>
      <c r="G486" s="7">
        <v>1</v>
      </c>
      <c r="H486" s="7">
        <v>81588</v>
      </c>
      <c r="I486" s="7" t="s">
        <v>16</v>
      </c>
      <c r="J486" s="7">
        <v>45646051</v>
      </c>
      <c r="K486" s="7" t="s">
        <v>1499</v>
      </c>
      <c r="L486" s="27" t="s">
        <v>1595</v>
      </c>
      <c r="M486" s="9">
        <v>139900</v>
      </c>
      <c r="N486" s="18">
        <f t="shared" si="59"/>
        <v>0.7</v>
      </c>
      <c r="O486" s="32">
        <f t="shared" si="60"/>
        <v>41970</v>
      </c>
      <c r="P486" s="18" t="s">
        <v>19</v>
      </c>
    </row>
    <row r="487" spans="1:16" x14ac:dyDescent="0.25">
      <c r="A487" s="25" t="str">
        <f t="shared" si="57"/>
        <v>2025 JAN-JUN D70</v>
      </c>
      <c r="B487" s="8">
        <f t="shared" si="58"/>
        <v>46104</v>
      </c>
      <c r="C487" s="8">
        <f t="shared" si="62"/>
        <v>46113</v>
      </c>
      <c r="D487" s="7">
        <v>3272</v>
      </c>
      <c r="E487" s="7">
        <v>336</v>
      </c>
      <c r="F487" s="7">
        <v>4</v>
      </c>
      <c r="G487" s="7">
        <v>1</v>
      </c>
      <c r="H487" s="7">
        <v>81588</v>
      </c>
      <c r="I487" s="7" t="s">
        <v>16</v>
      </c>
      <c r="J487" s="7">
        <v>45646060</v>
      </c>
      <c r="K487" s="7" t="s">
        <v>1499</v>
      </c>
      <c r="L487" s="27" t="s">
        <v>1596</v>
      </c>
      <c r="M487" s="9">
        <v>139900</v>
      </c>
      <c r="N487" s="18">
        <f t="shared" si="59"/>
        <v>0.7</v>
      </c>
      <c r="O487" s="32">
        <f t="shared" si="60"/>
        <v>41970</v>
      </c>
      <c r="P487" s="18" t="s">
        <v>19</v>
      </c>
    </row>
    <row r="488" spans="1:16" x14ac:dyDescent="0.25">
      <c r="A488" s="25" t="str">
        <f t="shared" si="57"/>
        <v>2025 JAN-JUN D70</v>
      </c>
      <c r="B488" s="8">
        <f t="shared" si="58"/>
        <v>46104</v>
      </c>
      <c r="C488" s="8">
        <f t="shared" si="62"/>
        <v>46113</v>
      </c>
      <c r="D488" s="7">
        <v>3272</v>
      </c>
      <c r="E488" s="7">
        <v>336</v>
      </c>
      <c r="F488" s="7">
        <v>4</v>
      </c>
      <c r="G488" s="7">
        <v>5</v>
      </c>
      <c r="H488" s="7">
        <v>81588</v>
      </c>
      <c r="I488" s="7" t="s">
        <v>16</v>
      </c>
      <c r="J488" s="7">
        <v>45646220</v>
      </c>
      <c r="K488" s="7" t="s">
        <v>1597</v>
      </c>
      <c r="L488" s="27" t="s">
        <v>1598</v>
      </c>
      <c r="M488" s="9">
        <v>239900</v>
      </c>
      <c r="N488" s="18">
        <f t="shared" si="59"/>
        <v>0.7</v>
      </c>
      <c r="O488" s="32">
        <f t="shared" si="60"/>
        <v>71970</v>
      </c>
      <c r="P488" s="18" t="s">
        <v>19</v>
      </c>
    </row>
    <row r="489" spans="1:16" x14ac:dyDescent="0.25">
      <c r="A489" s="25" t="str">
        <f t="shared" si="57"/>
        <v>2025 JAN-JUN D70</v>
      </c>
      <c r="B489" s="8">
        <f t="shared" si="58"/>
        <v>46104</v>
      </c>
      <c r="C489" s="8">
        <f t="shared" si="62"/>
        <v>46113</v>
      </c>
      <c r="D489" s="7">
        <v>3272</v>
      </c>
      <c r="E489" s="7">
        <v>336</v>
      </c>
      <c r="F489" s="7">
        <v>4</v>
      </c>
      <c r="G489" s="7">
        <v>5</v>
      </c>
      <c r="H489" s="7">
        <v>81588</v>
      </c>
      <c r="I489" s="7" t="s">
        <v>16</v>
      </c>
      <c r="J489" s="7">
        <v>45646239</v>
      </c>
      <c r="K489" s="7" t="s">
        <v>1597</v>
      </c>
      <c r="L489" s="27" t="s">
        <v>1599</v>
      </c>
      <c r="M489" s="9">
        <v>239900</v>
      </c>
      <c r="N489" s="18">
        <f t="shared" si="59"/>
        <v>0.7</v>
      </c>
      <c r="O489" s="32">
        <f t="shared" si="60"/>
        <v>71970</v>
      </c>
      <c r="P489" s="18" t="s">
        <v>19</v>
      </c>
    </row>
    <row r="490" spans="1:16" x14ac:dyDescent="0.25">
      <c r="A490" s="25" t="str">
        <f t="shared" si="57"/>
        <v>2025 JAN-JUN D70</v>
      </c>
      <c r="B490" s="8">
        <f t="shared" si="58"/>
        <v>46104</v>
      </c>
      <c r="C490" s="8">
        <f t="shared" si="62"/>
        <v>46113</v>
      </c>
      <c r="D490" s="7">
        <v>3272</v>
      </c>
      <c r="E490" s="7">
        <v>336</v>
      </c>
      <c r="F490" s="7">
        <v>4</v>
      </c>
      <c r="G490" s="7">
        <v>5</v>
      </c>
      <c r="H490" s="7">
        <v>81588</v>
      </c>
      <c r="I490" s="7" t="s">
        <v>16</v>
      </c>
      <c r="J490" s="7">
        <v>45646248</v>
      </c>
      <c r="K490" s="7" t="s">
        <v>1597</v>
      </c>
      <c r="L490" s="27" t="s">
        <v>1600</v>
      </c>
      <c r="M490" s="9">
        <v>239900</v>
      </c>
      <c r="N490" s="18">
        <f t="shared" si="59"/>
        <v>0.7</v>
      </c>
      <c r="O490" s="32">
        <f t="shared" si="60"/>
        <v>71970</v>
      </c>
      <c r="P490" s="18" t="s">
        <v>19</v>
      </c>
    </row>
    <row r="491" spans="1:16" x14ac:dyDescent="0.25">
      <c r="A491" s="25" t="str">
        <f t="shared" si="57"/>
        <v>2025 JAN-JUN D70</v>
      </c>
      <c r="B491" s="8">
        <f t="shared" si="58"/>
        <v>46104</v>
      </c>
      <c r="C491" s="8">
        <f t="shared" si="62"/>
        <v>46113</v>
      </c>
      <c r="D491" s="7">
        <v>3272</v>
      </c>
      <c r="E491" s="7">
        <v>336</v>
      </c>
      <c r="F491" s="7">
        <v>4</v>
      </c>
      <c r="G491" s="7">
        <v>5</v>
      </c>
      <c r="H491" s="7">
        <v>81588</v>
      </c>
      <c r="I491" s="7" t="s">
        <v>16</v>
      </c>
      <c r="J491" s="7">
        <v>45646257</v>
      </c>
      <c r="K491" s="7" t="s">
        <v>1597</v>
      </c>
      <c r="L491" s="27" t="s">
        <v>1601</v>
      </c>
      <c r="M491" s="9">
        <v>239900</v>
      </c>
      <c r="N491" s="18">
        <f t="shared" si="59"/>
        <v>0.7</v>
      </c>
      <c r="O491" s="32">
        <f t="shared" si="60"/>
        <v>71970</v>
      </c>
      <c r="P491" s="18" t="s">
        <v>19</v>
      </c>
    </row>
    <row r="492" spans="1:16" x14ac:dyDescent="0.25">
      <c r="A492" s="25" t="str">
        <f t="shared" si="57"/>
        <v>2025 JAN-JUN D70</v>
      </c>
      <c r="B492" s="8">
        <f t="shared" si="58"/>
        <v>46104</v>
      </c>
      <c r="C492" s="8">
        <f t="shared" si="62"/>
        <v>46113</v>
      </c>
      <c r="D492" s="7">
        <v>3272</v>
      </c>
      <c r="E492" s="7">
        <v>336</v>
      </c>
      <c r="F492" s="7">
        <v>4</v>
      </c>
      <c r="G492" s="7">
        <v>5</v>
      </c>
      <c r="H492" s="7">
        <v>81588</v>
      </c>
      <c r="I492" s="7" t="s">
        <v>16</v>
      </c>
      <c r="J492" s="7">
        <v>45646266</v>
      </c>
      <c r="K492" s="7" t="s">
        <v>1597</v>
      </c>
      <c r="L492" s="27" t="s">
        <v>1602</v>
      </c>
      <c r="M492" s="9">
        <v>239900</v>
      </c>
      <c r="N492" s="18">
        <f t="shared" si="59"/>
        <v>0.7</v>
      </c>
      <c r="O492" s="32">
        <f t="shared" si="60"/>
        <v>71970</v>
      </c>
      <c r="P492" s="18" t="s">
        <v>19</v>
      </c>
    </row>
    <row r="493" spans="1:16" x14ac:dyDescent="0.25">
      <c r="A493" s="25" t="str">
        <f t="shared" si="57"/>
        <v>2025 JAN-JUN D70</v>
      </c>
      <c r="B493" s="8">
        <f t="shared" si="58"/>
        <v>46104</v>
      </c>
      <c r="C493" s="8">
        <f t="shared" si="62"/>
        <v>46113</v>
      </c>
      <c r="D493" s="7">
        <v>3272</v>
      </c>
      <c r="E493" s="7">
        <v>336</v>
      </c>
      <c r="F493" s="7">
        <v>4</v>
      </c>
      <c r="G493" s="7">
        <v>4</v>
      </c>
      <c r="H493" s="7">
        <v>81588</v>
      </c>
      <c r="I493" s="7" t="s">
        <v>16</v>
      </c>
      <c r="J493" s="7">
        <v>45646177</v>
      </c>
      <c r="K493" s="7" t="s">
        <v>1603</v>
      </c>
      <c r="L493" s="27" t="s">
        <v>1604</v>
      </c>
      <c r="M493" s="9">
        <v>169900</v>
      </c>
      <c r="N493" s="18">
        <f t="shared" si="59"/>
        <v>0.7</v>
      </c>
      <c r="O493" s="32">
        <f t="shared" si="60"/>
        <v>50970</v>
      </c>
      <c r="P493" s="18" t="s">
        <v>19</v>
      </c>
    </row>
    <row r="494" spans="1:16" x14ac:dyDescent="0.25">
      <c r="A494" s="25" t="str">
        <f t="shared" si="57"/>
        <v>2025 JAN-JUN D70</v>
      </c>
      <c r="B494" s="8">
        <f t="shared" si="58"/>
        <v>46104</v>
      </c>
      <c r="C494" s="8">
        <f t="shared" si="62"/>
        <v>46113</v>
      </c>
      <c r="D494" s="7">
        <v>3272</v>
      </c>
      <c r="E494" s="7">
        <v>336</v>
      </c>
      <c r="F494" s="7">
        <v>4</v>
      </c>
      <c r="G494" s="7">
        <v>4</v>
      </c>
      <c r="H494" s="7">
        <v>81588</v>
      </c>
      <c r="I494" s="7" t="s">
        <v>16</v>
      </c>
      <c r="J494" s="7">
        <v>45646186</v>
      </c>
      <c r="K494" s="7" t="s">
        <v>1603</v>
      </c>
      <c r="L494" s="27" t="s">
        <v>1605</v>
      </c>
      <c r="M494" s="9">
        <v>169900</v>
      </c>
      <c r="N494" s="18">
        <f t="shared" si="59"/>
        <v>0.7</v>
      </c>
      <c r="O494" s="32">
        <f t="shared" si="60"/>
        <v>50970</v>
      </c>
      <c r="P494" s="18" t="s">
        <v>19</v>
      </c>
    </row>
    <row r="495" spans="1:16" x14ac:dyDescent="0.25">
      <c r="A495" s="25" t="str">
        <f t="shared" si="57"/>
        <v>2025 JAN-JUN D70</v>
      </c>
      <c r="B495" s="8">
        <f t="shared" si="58"/>
        <v>46104</v>
      </c>
      <c r="C495" s="8">
        <f t="shared" si="62"/>
        <v>46113</v>
      </c>
      <c r="D495" s="7">
        <v>3272</v>
      </c>
      <c r="E495" s="7">
        <v>336</v>
      </c>
      <c r="F495" s="7">
        <v>4</v>
      </c>
      <c r="G495" s="7">
        <v>4</v>
      </c>
      <c r="H495" s="7">
        <v>81588</v>
      </c>
      <c r="I495" s="7" t="s">
        <v>16</v>
      </c>
      <c r="J495" s="7">
        <v>45646195</v>
      </c>
      <c r="K495" s="7" t="s">
        <v>1603</v>
      </c>
      <c r="L495" s="27" t="s">
        <v>1606</v>
      </c>
      <c r="M495" s="9">
        <v>169900</v>
      </c>
      <c r="N495" s="18">
        <f t="shared" si="59"/>
        <v>0.7</v>
      </c>
      <c r="O495" s="32">
        <f t="shared" si="60"/>
        <v>50970</v>
      </c>
      <c r="P495" s="18" t="s">
        <v>19</v>
      </c>
    </row>
    <row r="496" spans="1:16" x14ac:dyDescent="0.25">
      <c r="A496" s="25" t="str">
        <f t="shared" si="57"/>
        <v>2025 JAN-JUN D70</v>
      </c>
      <c r="B496" s="8">
        <f t="shared" si="58"/>
        <v>46104</v>
      </c>
      <c r="C496" s="8">
        <f t="shared" si="62"/>
        <v>46113</v>
      </c>
      <c r="D496" s="7">
        <v>3272</v>
      </c>
      <c r="E496" s="7">
        <v>336</v>
      </c>
      <c r="F496" s="7">
        <v>4</v>
      </c>
      <c r="G496" s="7">
        <v>4</v>
      </c>
      <c r="H496" s="7">
        <v>81588</v>
      </c>
      <c r="I496" s="7" t="s">
        <v>16</v>
      </c>
      <c r="J496" s="7">
        <v>45646202</v>
      </c>
      <c r="K496" s="7" t="s">
        <v>1603</v>
      </c>
      <c r="L496" s="27" t="s">
        <v>1607</v>
      </c>
      <c r="M496" s="9">
        <v>169900</v>
      </c>
      <c r="N496" s="18">
        <f t="shared" si="59"/>
        <v>0.7</v>
      </c>
      <c r="O496" s="32">
        <f t="shared" si="60"/>
        <v>50970</v>
      </c>
      <c r="P496" s="18" t="s">
        <v>19</v>
      </c>
    </row>
    <row r="497" spans="1:16" x14ac:dyDescent="0.25">
      <c r="A497" s="25" t="str">
        <f t="shared" si="57"/>
        <v>2025 JAN-JUN D70</v>
      </c>
      <c r="B497" s="8">
        <f t="shared" si="58"/>
        <v>46104</v>
      </c>
      <c r="C497" s="8">
        <f t="shared" si="62"/>
        <v>46113</v>
      </c>
      <c r="D497" s="7">
        <v>3272</v>
      </c>
      <c r="E497" s="7">
        <v>336</v>
      </c>
      <c r="F497" s="7">
        <v>4</v>
      </c>
      <c r="G497" s="7">
        <v>4</v>
      </c>
      <c r="H497" s="7">
        <v>81588</v>
      </c>
      <c r="I497" s="7" t="s">
        <v>16</v>
      </c>
      <c r="J497" s="7">
        <v>45646211</v>
      </c>
      <c r="K497" s="7" t="s">
        <v>1603</v>
      </c>
      <c r="L497" s="27" t="s">
        <v>1608</v>
      </c>
      <c r="M497" s="9">
        <v>169900</v>
      </c>
      <c r="N497" s="18">
        <f t="shared" si="59"/>
        <v>0.7</v>
      </c>
      <c r="O497" s="32">
        <f t="shared" si="60"/>
        <v>50970</v>
      </c>
      <c r="P497" s="18" t="s">
        <v>19</v>
      </c>
    </row>
    <row r="498" spans="1:16" x14ac:dyDescent="0.25">
      <c r="A498" s="25" t="str">
        <f t="shared" si="57"/>
        <v>2025 JAN-JUN D70</v>
      </c>
      <c r="B498" s="8">
        <f t="shared" si="58"/>
        <v>46104</v>
      </c>
      <c r="C498" s="8">
        <f t="shared" si="62"/>
        <v>46113</v>
      </c>
      <c r="D498" s="7">
        <v>3272</v>
      </c>
      <c r="E498" s="7">
        <v>336</v>
      </c>
      <c r="F498" s="7">
        <v>4</v>
      </c>
      <c r="G498" s="7">
        <v>3</v>
      </c>
      <c r="H498" s="7">
        <v>81379</v>
      </c>
      <c r="I498" s="7" t="s">
        <v>16</v>
      </c>
      <c r="J498" s="7">
        <v>51511381</v>
      </c>
      <c r="K498" s="7" t="s">
        <v>1609</v>
      </c>
      <c r="L498" s="27" t="s">
        <v>1610</v>
      </c>
      <c r="M498" s="9">
        <v>249900</v>
      </c>
      <c r="N498" s="18">
        <f t="shared" si="59"/>
        <v>0.7</v>
      </c>
      <c r="O498" s="32">
        <f t="shared" si="60"/>
        <v>74970</v>
      </c>
      <c r="P498" s="18" t="s">
        <v>19</v>
      </c>
    </row>
    <row r="499" spans="1:16" x14ac:dyDescent="0.25">
      <c r="A499" s="25" t="str">
        <f t="shared" si="57"/>
        <v>2025 JAN-JUN D70</v>
      </c>
      <c r="B499" s="8">
        <f t="shared" si="58"/>
        <v>46104</v>
      </c>
      <c r="C499" s="8">
        <f t="shared" ref="C499:C514" si="63">C498</f>
        <v>46113</v>
      </c>
      <c r="D499" s="7">
        <v>3272</v>
      </c>
      <c r="E499" s="7">
        <v>336</v>
      </c>
      <c r="F499" s="7">
        <v>4</v>
      </c>
      <c r="G499" s="7">
        <v>3</v>
      </c>
      <c r="H499" s="7">
        <v>81379</v>
      </c>
      <c r="I499" s="7" t="s">
        <v>16</v>
      </c>
      <c r="J499" s="7">
        <v>51511390</v>
      </c>
      <c r="K499" s="7" t="s">
        <v>1609</v>
      </c>
      <c r="L499" s="27" t="s">
        <v>1611</v>
      </c>
      <c r="M499" s="9">
        <v>249900</v>
      </c>
      <c r="N499" s="18">
        <f t="shared" si="59"/>
        <v>0.7</v>
      </c>
      <c r="O499" s="32">
        <f t="shared" si="60"/>
        <v>74970</v>
      </c>
      <c r="P499" s="18" t="s">
        <v>19</v>
      </c>
    </row>
    <row r="500" spans="1:16" x14ac:dyDescent="0.25">
      <c r="A500" s="25" t="str">
        <f t="shared" si="57"/>
        <v>2025 JAN-JUN D70</v>
      </c>
      <c r="B500" s="8">
        <f t="shared" si="58"/>
        <v>46104</v>
      </c>
      <c r="C500" s="8">
        <f t="shared" si="63"/>
        <v>46113</v>
      </c>
      <c r="D500" s="7">
        <v>3272</v>
      </c>
      <c r="E500" s="7">
        <v>336</v>
      </c>
      <c r="F500" s="7">
        <v>4</v>
      </c>
      <c r="G500" s="7">
        <v>3</v>
      </c>
      <c r="H500" s="7">
        <v>81379</v>
      </c>
      <c r="I500" s="7" t="s">
        <v>16</v>
      </c>
      <c r="J500" s="7">
        <v>51511407</v>
      </c>
      <c r="K500" s="7" t="s">
        <v>1609</v>
      </c>
      <c r="L500" s="27" t="s">
        <v>1612</v>
      </c>
      <c r="M500" s="9">
        <v>249900</v>
      </c>
      <c r="N500" s="18">
        <f t="shared" si="59"/>
        <v>0.7</v>
      </c>
      <c r="O500" s="32">
        <f t="shared" si="60"/>
        <v>74970</v>
      </c>
      <c r="P500" s="18" t="s">
        <v>19</v>
      </c>
    </row>
    <row r="501" spans="1:16" x14ac:dyDescent="0.25">
      <c r="A501" s="25" t="str">
        <f t="shared" si="57"/>
        <v>2025 JAN-JUN D70</v>
      </c>
      <c r="B501" s="8">
        <f t="shared" si="58"/>
        <v>46104</v>
      </c>
      <c r="C501" s="8">
        <f t="shared" si="63"/>
        <v>46113</v>
      </c>
      <c r="D501" s="7">
        <v>3272</v>
      </c>
      <c r="E501" s="7">
        <v>336</v>
      </c>
      <c r="F501" s="7">
        <v>4</v>
      </c>
      <c r="G501" s="7">
        <v>3</v>
      </c>
      <c r="H501" s="7">
        <v>81379</v>
      </c>
      <c r="I501" s="7" t="s">
        <v>16</v>
      </c>
      <c r="J501" s="7">
        <v>51511416</v>
      </c>
      <c r="K501" s="7" t="s">
        <v>1609</v>
      </c>
      <c r="L501" s="27" t="s">
        <v>1613</v>
      </c>
      <c r="M501" s="9">
        <v>249900</v>
      </c>
      <c r="N501" s="18">
        <f t="shared" si="59"/>
        <v>0.7</v>
      </c>
      <c r="O501" s="32">
        <f t="shared" si="60"/>
        <v>74970</v>
      </c>
      <c r="P501" s="18" t="s">
        <v>19</v>
      </c>
    </row>
    <row r="502" spans="1:16" x14ac:dyDescent="0.25">
      <c r="A502" s="25" t="str">
        <f t="shared" si="57"/>
        <v>2025 JAN-JUN D70</v>
      </c>
      <c r="B502" s="8">
        <f t="shared" si="58"/>
        <v>46104</v>
      </c>
      <c r="C502" s="8">
        <f t="shared" si="63"/>
        <v>46113</v>
      </c>
      <c r="D502" s="7">
        <v>3272</v>
      </c>
      <c r="E502" s="7">
        <v>336</v>
      </c>
      <c r="F502" s="7">
        <v>4</v>
      </c>
      <c r="G502" s="7">
        <v>3</v>
      </c>
      <c r="H502" s="7">
        <v>81379</v>
      </c>
      <c r="I502" s="7" t="s">
        <v>16</v>
      </c>
      <c r="J502" s="7">
        <v>51511425</v>
      </c>
      <c r="K502" s="7" t="s">
        <v>1609</v>
      </c>
      <c r="L502" s="27" t="s">
        <v>1614</v>
      </c>
      <c r="M502" s="9">
        <v>249900</v>
      </c>
      <c r="N502" s="18">
        <f t="shared" si="59"/>
        <v>0.7</v>
      </c>
      <c r="O502" s="32">
        <f t="shared" si="60"/>
        <v>74970</v>
      </c>
      <c r="P502" s="18" t="s">
        <v>19</v>
      </c>
    </row>
    <row r="503" spans="1:16" x14ac:dyDescent="0.25">
      <c r="A503" s="25" t="str">
        <f t="shared" si="57"/>
        <v>2025 JAN-JUN D70</v>
      </c>
      <c r="B503" s="8">
        <f t="shared" si="58"/>
        <v>46104</v>
      </c>
      <c r="C503" s="8">
        <f t="shared" si="63"/>
        <v>46113</v>
      </c>
      <c r="D503" s="7">
        <v>3272</v>
      </c>
      <c r="E503" s="7">
        <v>336</v>
      </c>
      <c r="F503" s="7">
        <v>4</v>
      </c>
      <c r="G503" s="7">
        <v>3</v>
      </c>
      <c r="H503" s="7">
        <v>81379</v>
      </c>
      <c r="I503" s="7" t="s">
        <v>16</v>
      </c>
      <c r="J503" s="7">
        <v>51511434</v>
      </c>
      <c r="K503" s="7" t="s">
        <v>1609</v>
      </c>
      <c r="L503" s="27" t="s">
        <v>1615</v>
      </c>
      <c r="M503" s="9">
        <v>249900</v>
      </c>
      <c r="N503" s="18">
        <f t="shared" si="59"/>
        <v>0.7</v>
      </c>
      <c r="O503" s="32">
        <f t="shared" si="60"/>
        <v>74970</v>
      </c>
      <c r="P503" s="18" t="s">
        <v>19</v>
      </c>
    </row>
    <row r="504" spans="1:16" x14ac:dyDescent="0.25">
      <c r="A504" s="25" t="str">
        <f t="shared" si="57"/>
        <v>2025 JAN-JUN D70</v>
      </c>
      <c r="B504" s="8">
        <f t="shared" si="58"/>
        <v>46104</v>
      </c>
      <c r="C504" s="8">
        <f t="shared" si="63"/>
        <v>46113</v>
      </c>
      <c r="D504" s="7">
        <v>3272</v>
      </c>
      <c r="E504" s="7">
        <v>336</v>
      </c>
      <c r="F504" s="7">
        <v>4</v>
      </c>
      <c r="G504" s="7">
        <v>3</v>
      </c>
      <c r="H504" s="7">
        <v>81379</v>
      </c>
      <c r="I504" s="7" t="s">
        <v>16</v>
      </c>
      <c r="J504" s="7">
        <v>51511443</v>
      </c>
      <c r="K504" s="7" t="s">
        <v>1609</v>
      </c>
      <c r="L504" s="27" t="s">
        <v>1616</v>
      </c>
      <c r="M504" s="9">
        <v>249900</v>
      </c>
      <c r="N504" s="18">
        <f t="shared" si="59"/>
        <v>0.7</v>
      </c>
      <c r="O504" s="32">
        <f t="shared" si="60"/>
        <v>74970</v>
      </c>
      <c r="P504" s="18" t="s">
        <v>19</v>
      </c>
    </row>
    <row r="505" spans="1:16" x14ac:dyDescent="0.25">
      <c r="A505" s="25" t="str">
        <f t="shared" si="57"/>
        <v>2025 JAN-JUN D70</v>
      </c>
      <c r="B505" s="8">
        <f t="shared" si="58"/>
        <v>46104</v>
      </c>
      <c r="C505" s="8">
        <f t="shared" si="63"/>
        <v>46113</v>
      </c>
      <c r="D505" s="7">
        <v>3272</v>
      </c>
      <c r="E505" s="7">
        <v>336</v>
      </c>
      <c r="F505" s="7">
        <v>4</v>
      </c>
      <c r="G505" s="7">
        <v>3</v>
      </c>
      <c r="H505" s="7">
        <v>81379</v>
      </c>
      <c r="I505" s="7" t="s">
        <v>16</v>
      </c>
      <c r="J505" s="7">
        <v>51511452</v>
      </c>
      <c r="K505" s="7" t="s">
        <v>1609</v>
      </c>
      <c r="L505" s="27" t="s">
        <v>1617</v>
      </c>
      <c r="M505" s="9">
        <v>249900</v>
      </c>
      <c r="N505" s="18">
        <f t="shared" si="59"/>
        <v>0.7</v>
      </c>
      <c r="O505" s="32">
        <f t="shared" si="60"/>
        <v>74970</v>
      </c>
      <c r="P505" s="18" t="s">
        <v>19</v>
      </c>
    </row>
    <row r="506" spans="1:16" x14ac:dyDescent="0.25">
      <c r="A506" s="25" t="str">
        <f t="shared" si="57"/>
        <v>2025 JAN-JUN D70</v>
      </c>
      <c r="B506" s="8">
        <f t="shared" si="58"/>
        <v>46104</v>
      </c>
      <c r="C506" s="8">
        <f t="shared" si="63"/>
        <v>46113</v>
      </c>
      <c r="D506" s="7">
        <v>3272</v>
      </c>
      <c r="E506" s="7">
        <v>336</v>
      </c>
      <c r="F506" s="7">
        <v>4</v>
      </c>
      <c r="G506" s="7">
        <v>4</v>
      </c>
      <c r="H506" s="7">
        <v>81588</v>
      </c>
      <c r="I506" s="7" t="s">
        <v>16</v>
      </c>
      <c r="J506" s="7">
        <v>51523243</v>
      </c>
      <c r="K506" s="7" t="s">
        <v>1618</v>
      </c>
      <c r="L506" s="27" t="s">
        <v>1619</v>
      </c>
      <c r="M506" s="9">
        <v>169900</v>
      </c>
      <c r="N506" s="18">
        <f t="shared" si="59"/>
        <v>0.7</v>
      </c>
      <c r="O506" s="32">
        <f t="shared" si="60"/>
        <v>50970</v>
      </c>
      <c r="P506" s="18" t="s">
        <v>19</v>
      </c>
    </row>
    <row r="507" spans="1:16" x14ac:dyDescent="0.25">
      <c r="A507" s="25" t="str">
        <f t="shared" si="57"/>
        <v>2025 JAN-JUN D70</v>
      </c>
      <c r="B507" s="8">
        <f t="shared" si="58"/>
        <v>46104</v>
      </c>
      <c r="C507" s="8">
        <f t="shared" si="63"/>
        <v>46113</v>
      </c>
      <c r="D507" s="7">
        <v>3272</v>
      </c>
      <c r="E507" s="7">
        <v>336</v>
      </c>
      <c r="F507" s="7">
        <v>4</v>
      </c>
      <c r="G507" s="7">
        <v>4</v>
      </c>
      <c r="H507" s="7">
        <v>81588</v>
      </c>
      <c r="I507" s="7" t="s">
        <v>16</v>
      </c>
      <c r="J507" s="7">
        <v>51523252</v>
      </c>
      <c r="K507" s="7" t="s">
        <v>1618</v>
      </c>
      <c r="L507" s="27" t="s">
        <v>1620</v>
      </c>
      <c r="M507" s="9">
        <v>169900</v>
      </c>
      <c r="N507" s="18">
        <f t="shared" si="59"/>
        <v>0.7</v>
      </c>
      <c r="O507" s="32">
        <f t="shared" si="60"/>
        <v>50970</v>
      </c>
      <c r="P507" s="18" t="s">
        <v>19</v>
      </c>
    </row>
    <row r="508" spans="1:16" x14ac:dyDescent="0.25">
      <c r="A508" s="25" t="str">
        <f t="shared" si="57"/>
        <v>2025 JAN-JUN D70</v>
      </c>
      <c r="B508" s="8">
        <f t="shared" si="58"/>
        <v>46104</v>
      </c>
      <c r="C508" s="8">
        <f t="shared" si="63"/>
        <v>46113</v>
      </c>
      <c r="D508" s="7">
        <v>3272</v>
      </c>
      <c r="E508" s="7">
        <v>336</v>
      </c>
      <c r="F508" s="7">
        <v>4</v>
      </c>
      <c r="G508" s="7">
        <v>4</v>
      </c>
      <c r="H508" s="7">
        <v>81588</v>
      </c>
      <c r="I508" s="7" t="s">
        <v>16</v>
      </c>
      <c r="J508" s="7">
        <v>51523261</v>
      </c>
      <c r="K508" s="7" t="s">
        <v>1618</v>
      </c>
      <c r="L508" s="27" t="s">
        <v>1621</v>
      </c>
      <c r="M508" s="9">
        <v>169900</v>
      </c>
      <c r="N508" s="18">
        <f t="shared" si="59"/>
        <v>0.7</v>
      </c>
      <c r="O508" s="32">
        <f t="shared" si="60"/>
        <v>50970</v>
      </c>
      <c r="P508" s="18" t="s">
        <v>19</v>
      </c>
    </row>
    <row r="509" spans="1:16" x14ac:dyDescent="0.25">
      <c r="A509" s="25" t="str">
        <f t="shared" si="57"/>
        <v>2025 JAN-JUN D70</v>
      </c>
      <c r="B509" s="8">
        <f t="shared" si="58"/>
        <v>46104</v>
      </c>
      <c r="C509" s="8">
        <f t="shared" si="63"/>
        <v>46113</v>
      </c>
      <c r="D509" s="7">
        <v>3272</v>
      </c>
      <c r="E509" s="7">
        <v>336</v>
      </c>
      <c r="F509" s="7">
        <v>4</v>
      </c>
      <c r="G509" s="7">
        <v>4</v>
      </c>
      <c r="H509" s="7">
        <v>81588</v>
      </c>
      <c r="I509" s="7" t="s">
        <v>16</v>
      </c>
      <c r="J509" s="7">
        <v>51523270</v>
      </c>
      <c r="K509" s="7" t="s">
        <v>1618</v>
      </c>
      <c r="L509" s="27" t="s">
        <v>1622</v>
      </c>
      <c r="M509" s="9">
        <v>169900</v>
      </c>
      <c r="N509" s="18">
        <f t="shared" si="59"/>
        <v>0.7</v>
      </c>
      <c r="O509" s="32">
        <f t="shared" si="60"/>
        <v>50970</v>
      </c>
      <c r="P509" s="18" t="s">
        <v>19</v>
      </c>
    </row>
    <row r="510" spans="1:16" x14ac:dyDescent="0.25">
      <c r="A510" s="25" t="str">
        <f t="shared" si="57"/>
        <v>2025 JAN-JUN D70</v>
      </c>
      <c r="B510" s="8">
        <f t="shared" si="58"/>
        <v>46104</v>
      </c>
      <c r="C510" s="8">
        <f t="shared" si="63"/>
        <v>46113</v>
      </c>
      <c r="D510" s="7">
        <v>3272</v>
      </c>
      <c r="E510" s="7">
        <v>336</v>
      </c>
      <c r="F510" s="7">
        <v>4</v>
      </c>
      <c r="G510" s="7">
        <v>4</v>
      </c>
      <c r="H510" s="7">
        <v>81588</v>
      </c>
      <c r="I510" s="7" t="s">
        <v>16</v>
      </c>
      <c r="J510" s="7">
        <v>51523289</v>
      </c>
      <c r="K510" s="7" t="s">
        <v>1618</v>
      </c>
      <c r="L510" s="27" t="s">
        <v>1623</v>
      </c>
      <c r="M510" s="9">
        <v>169900</v>
      </c>
      <c r="N510" s="18">
        <f t="shared" si="59"/>
        <v>0.7</v>
      </c>
      <c r="O510" s="32">
        <f t="shared" si="60"/>
        <v>50970</v>
      </c>
      <c r="P510" s="18" t="s">
        <v>19</v>
      </c>
    </row>
    <row r="511" spans="1:16" x14ac:dyDescent="0.25">
      <c r="A511" s="25" t="str">
        <f t="shared" si="57"/>
        <v>2025 JAN-JUN D70</v>
      </c>
      <c r="B511" s="8">
        <f t="shared" si="58"/>
        <v>46104</v>
      </c>
      <c r="C511" s="8">
        <f t="shared" si="63"/>
        <v>46113</v>
      </c>
      <c r="D511" s="7">
        <v>3272</v>
      </c>
      <c r="E511" s="7">
        <v>336</v>
      </c>
      <c r="F511" s="7">
        <v>4</v>
      </c>
      <c r="G511" s="7">
        <v>4</v>
      </c>
      <c r="H511" s="7">
        <v>81588</v>
      </c>
      <c r="I511" s="7" t="s">
        <v>16</v>
      </c>
      <c r="J511" s="7">
        <v>51523298</v>
      </c>
      <c r="K511" s="7" t="s">
        <v>1618</v>
      </c>
      <c r="L511" s="27" t="s">
        <v>1624</v>
      </c>
      <c r="M511" s="9">
        <v>169900</v>
      </c>
      <c r="N511" s="18">
        <f t="shared" si="59"/>
        <v>0.7</v>
      </c>
      <c r="O511" s="32">
        <f t="shared" si="60"/>
        <v>50970</v>
      </c>
      <c r="P511" s="18" t="s">
        <v>19</v>
      </c>
    </row>
    <row r="512" spans="1:16" x14ac:dyDescent="0.25">
      <c r="A512" s="25" t="str">
        <f t="shared" si="57"/>
        <v>2025 JAN-JUN D70</v>
      </c>
      <c r="B512" s="8">
        <f t="shared" si="58"/>
        <v>46104</v>
      </c>
      <c r="C512" s="8">
        <f t="shared" si="63"/>
        <v>46113</v>
      </c>
      <c r="D512" s="7">
        <v>3272</v>
      </c>
      <c r="E512" s="7">
        <v>336</v>
      </c>
      <c r="F512" s="7">
        <v>4</v>
      </c>
      <c r="G512" s="7">
        <v>4</v>
      </c>
      <c r="H512" s="7">
        <v>81588</v>
      </c>
      <c r="I512" s="7" t="s">
        <v>16</v>
      </c>
      <c r="J512" s="7">
        <v>51523305</v>
      </c>
      <c r="K512" s="7" t="s">
        <v>1618</v>
      </c>
      <c r="L512" s="27" t="s">
        <v>1625</v>
      </c>
      <c r="M512" s="9">
        <v>169900</v>
      </c>
      <c r="N512" s="18">
        <f t="shared" si="59"/>
        <v>0.7</v>
      </c>
      <c r="O512" s="32">
        <f t="shared" si="60"/>
        <v>50970</v>
      </c>
      <c r="P512" s="18" t="s">
        <v>19</v>
      </c>
    </row>
    <row r="513" spans="1:16" x14ac:dyDescent="0.25">
      <c r="A513" s="25" t="str">
        <f t="shared" si="57"/>
        <v>2025 JAN-JUN D70</v>
      </c>
      <c r="B513" s="8">
        <f t="shared" si="58"/>
        <v>46104</v>
      </c>
      <c r="C513" s="8">
        <f t="shared" si="63"/>
        <v>46113</v>
      </c>
      <c r="D513" s="7">
        <v>3272</v>
      </c>
      <c r="E513" s="7">
        <v>336</v>
      </c>
      <c r="F513" s="7">
        <v>4</v>
      </c>
      <c r="G513" s="7">
        <v>4</v>
      </c>
      <c r="H513" s="7">
        <v>81588</v>
      </c>
      <c r="I513" s="7" t="s">
        <v>16</v>
      </c>
      <c r="J513" s="7">
        <v>51523314</v>
      </c>
      <c r="K513" s="7" t="s">
        <v>1618</v>
      </c>
      <c r="L513" s="27" t="s">
        <v>1626</v>
      </c>
      <c r="M513" s="9">
        <v>169900</v>
      </c>
      <c r="N513" s="18">
        <f t="shared" si="59"/>
        <v>0.7</v>
      </c>
      <c r="O513" s="32">
        <f t="shared" si="60"/>
        <v>50970</v>
      </c>
      <c r="P513" s="18" t="s">
        <v>19</v>
      </c>
    </row>
    <row r="514" spans="1:16" x14ac:dyDescent="0.25">
      <c r="A514" s="25" t="str">
        <f t="shared" si="57"/>
        <v>2025 JAN-JUN D70</v>
      </c>
      <c r="B514" s="8">
        <f t="shared" si="58"/>
        <v>46104</v>
      </c>
      <c r="C514" s="8">
        <f t="shared" si="63"/>
        <v>46113</v>
      </c>
      <c r="D514" s="7">
        <v>3272</v>
      </c>
      <c r="E514" s="7">
        <v>336</v>
      </c>
      <c r="F514" s="7">
        <v>4</v>
      </c>
      <c r="G514" s="7">
        <v>5</v>
      </c>
      <c r="H514" s="7">
        <v>81379</v>
      </c>
      <c r="I514" s="7" t="s">
        <v>16</v>
      </c>
      <c r="J514" s="7">
        <v>51503265</v>
      </c>
      <c r="K514" s="7" t="s">
        <v>1627</v>
      </c>
      <c r="L514" s="27" t="s">
        <v>1628</v>
      </c>
      <c r="M514" s="9">
        <v>249900</v>
      </c>
      <c r="N514" s="18">
        <f t="shared" si="59"/>
        <v>0.7</v>
      </c>
      <c r="O514" s="32">
        <f t="shared" si="60"/>
        <v>74970</v>
      </c>
      <c r="P514" s="18" t="s">
        <v>19</v>
      </c>
    </row>
    <row r="515" spans="1:16" x14ac:dyDescent="0.25">
      <c r="A515" s="25" t="str">
        <f t="shared" si="57"/>
        <v>2025 JAN-JUN D70</v>
      </c>
      <c r="B515" s="8">
        <f t="shared" si="58"/>
        <v>46104</v>
      </c>
      <c r="C515" s="8">
        <f t="shared" ref="C515:C530" si="64">C514</f>
        <v>46113</v>
      </c>
      <c r="D515" s="7">
        <v>3272</v>
      </c>
      <c r="E515" s="7">
        <v>336</v>
      </c>
      <c r="F515" s="7">
        <v>4</v>
      </c>
      <c r="G515" s="7">
        <v>5</v>
      </c>
      <c r="H515" s="7">
        <v>81379</v>
      </c>
      <c r="I515" s="7" t="s">
        <v>16</v>
      </c>
      <c r="J515" s="7">
        <v>51503274</v>
      </c>
      <c r="K515" s="7" t="s">
        <v>1627</v>
      </c>
      <c r="L515" s="27" t="s">
        <v>1629</v>
      </c>
      <c r="M515" s="9">
        <v>249900</v>
      </c>
      <c r="N515" s="18">
        <f t="shared" si="59"/>
        <v>0.7</v>
      </c>
      <c r="O515" s="32">
        <f t="shared" si="60"/>
        <v>74970</v>
      </c>
      <c r="P515" s="18" t="s">
        <v>19</v>
      </c>
    </row>
    <row r="516" spans="1:16" x14ac:dyDescent="0.25">
      <c r="A516" s="25" t="str">
        <f t="shared" ref="A516:A579" si="65">A515</f>
        <v>2025 JAN-JUN D70</v>
      </c>
      <c r="B516" s="8">
        <f t="shared" ref="B516:B579" si="66">B515</f>
        <v>46104</v>
      </c>
      <c r="C516" s="8">
        <f t="shared" si="64"/>
        <v>46113</v>
      </c>
      <c r="D516" s="7">
        <v>3272</v>
      </c>
      <c r="E516" s="7">
        <v>336</v>
      </c>
      <c r="F516" s="7">
        <v>4</v>
      </c>
      <c r="G516" s="7">
        <v>5</v>
      </c>
      <c r="H516" s="7">
        <v>81379</v>
      </c>
      <c r="I516" s="7" t="s">
        <v>16</v>
      </c>
      <c r="J516" s="7">
        <v>51503283</v>
      </c>
      <c r="K516" s="7" t="s">
        <v>1627</v>
      </c>
      <c r="L516" s="27" t="s">
        <v>1630</v>
      </c>
      <c r="M516" s="9">
        <v>249900</v>
      </c>
      <c r="N516" s="18">
        <f t="shared" ref="N516:N579" si="67">N515</f>
        <v>0.7</v>
      </c>
      <c r="O516" s="32">
        <f t="shared" ref="O516:O579" si="68">M516-((70*M516)/100)</f>
        <v>74970</v>
      </c>
      <c r="P516" s="18" t="s">
        <v>19</v>
      </c>
    </row>
    <row r="517" spans="1:16" x14ac:dyDescent="0.25">
      <c r="A517" s="25" t="str">
        <f t="shared" si="65"/>
        <v>2025 JAN-JUN D70</v>
      </c>
      <c r="B517" s="8">
        <f t="shared" si="66"/>
        <v>46104</v>
      </c>
      <c r="C517" s="8">
        <f t="shared" si="64"/>
        <v>46113</v>
      </c>
      <c r="D517" s="7">
        <v>3272</v>
      </c>
      <c r="E517" s="7">
        <v>336</v>
      </c>
      <c r="F517" s="7">
        <v>4</v>
      </c>
      <c r="G517" s="7">
        <v>5</v>
      </c>
      <c r="H517" s="7">
        <v>81379</v>
      </c>
      <c r="I517" s="7" t="s">
        <v>16</v>
      </c>
      <c r="J517" s="7">
        <v>51503292</v>
      </c>
      <c r="K517" s="7" t="s">
        <v>1627</v>
      </c>
      <c r="L517" s="27" t="s">
        <v>1631</v>
      </c>
      <c r="M517" s="9">
        <v>249900</v>
      </c>
      <c r="N517" s="18">
        <f t="shared" si="67"/>
        <v>0.7</v>
      </c>
      <c r="O517" s="32">
        <f t="shared" si="68"/>
        <v>74970</v>
      </c>
      <c r="P517" s="18" t="s">
        <v>19</v>
      </c>
    </row>
    <row r="518" spans="1:16" x14ac:dyDescent="0.25">
      <c r="A518" s="25" t="str">
        <f t="shared" si="65"/>
        <v>2025 JAN-JUN D70</v>
      </c>
      <c r="B518" s="8">
        <f t="shared" si="66"/>
        <v>46104</v>
      </c>
      <c r="C518" s="8">
        <f t="shared" si="64"/>
        <v>46113</v>
      </c>
      <c r="D518" s="7">
        <v>3272</v>
      </c>
      <c r="E518" s="7">
        <v>336</v>
      </c>
      <c r="F518" s="7">
        <v>4</v>
      </c>
      <c r="G518" s="7">
        <v>5</v>
      </c>
      <c r="H518" s="7">
        <v>81379</v>
      </c>
      <c r="I518" s="7" t="s">
        <v>16</v>
      </c>
      <c r="J518" s="7">
        <v>51503309</v>
      </c>
      <c r="K518" s="7" t="s">
        <v>1627</v>
      </c>
      <c r="L518" s="27" t="s">
        <v>1632</v>
      </c>
      <c r="M518" s="9">
        <v>249900</v>
      </c>
      <c r="N518" s="18">
        <f t="shared" si="67"/>
        <v>0.7</v>
      </c>
      <c r="O518" s="32">
        <f t="shared" si="68"/>
        <v>74970</v>
      </c>
      <c r="P518" s="18" t="s">
        <v>19</v>
      </c>
    </row>
    <row r="519" spans="1:16" x14ac:dyDescent="0.25">
      <c r="A519" s="25" t="str">
        <f t="shared" si="65"/>
        <v>2025 JAN-JUN D70</v>
      </c>
      <c r="B519" s="8">
        <f t="shared" si="66"/>
        <v>46104</v>
      </c>
      <c r="C519" s="8">
        <f t="shared" si="64"/>
        <v>46113</v>
      </c>
      <c r="D519" s="7">
        <v>3272</v>
      </c>
      <c r="E519" s="7">
        <v>336</v>
      </c>
      <c r="F519" s="7">
        <v>4</v>
      </c>
      <c r="G519" s="7">
        <v>5</v>
      </c>
      <c r="H519" s="7">
        <v>81379</v>
      </c>
      <c r="I519" s="7" t="s">
        <v>16</v>
      </c>
      <c r="J519" s="7">
        <v>51503747</v>
      </c>
      <c r="K519" s="7" t="s">
        <v>1633</v>
      </c>
      <c r="L519" s="27" t="s">
        <v>1634</v>
      </c>
      <c r="M519" s="9">
        <v>249900</v>
      </c>
      <c r="N519" s="18">
        <f t="shared" si="67"/>
        <v>0.7</v>
      </c>
      <c r="O519" s="32">
        <f t="shared" si="68"/>
        <v>74970</v>
      </c>
      <c r="P519" s="18" t="s">
        <v>19</v>
      </c>
    </row>
    <row r="520" spans="1:16" x14ac:dyDescent="0.25">
      <c r="A520" s="25" t="str">
        <f t="shared" si="65"/>
        <v>2025 JAN-JUN D70</v>
      </c>
      <c r="B520" s="8">
        <f t="shared" si="66"/>
        <v>46104</v>
      </c>
      <c r="C520" s="8">
        <f t="shared" si="64"/>
        <v>46113</v>
      </c>
      <c r="D520" s="7">
        <v>3272</v>
      </c>
      <c r="E520" s="7">
        <v>336</v>
      </c>
      <c r="F520" s="7">
        <v>4</v>
      </c>
      <c r="G520" s="7">
        <v>5</v>
      </c>
      <c r="H520" s="7">
        <v>81379</v>
      </c>
      <c r="I520" s="7" t="s">
        <v>16</v>
      </c>
      <c r="J520" s="7">
        <v>51503756</v>
      </c>
      <c r="K520" s="7" t="s">
        <v>1633</v>
      </c>
      <c r="L520" s="27" t="s">
        <v>1635</v>
      </c>
      <c r="M520" s="9">
        <v>249900</v>
      </c>
      <c r="N520" s="18">
        <f t="shared" si="67"/>
        <v>0.7</v>
      </c>
      <c r="O520" s="32">
        <f t="shared" si="68"/>
        <v>74970</v>
      </c>
      <c r="P520" s="18" t="s">
        <v>19</v>
      </c>
    </row>
    <row r="521" spans="1:16" x14ac:dyDescent="0.25">
      <c r="A521" s="25" t="str">
        <f t="shared" si="65"/>
        <v>2025 JAN-JUN D70</v>
      </c>
      <c r="B521" s="8">
        <f t="shared" si="66"/>
        <v>46104</v>
      </c>
      <c r="C521" s="8">
        <f t="shared" si="64"/>
        <v>46113</v>
      </c>
      <c r="D521" s="7">
        <v>3272</v>
      </c>
      <c r="E521" s="7">
        <v>336</v>
      </c>
      <c r="F521" s="7">
        <v>4</v>
      </c>
      <c r="G521" s="7">
        <v>5</v>
      </c>
      <c r="H521" s="7">
        <v>81379</v>
      </c>
      <c r="I521" s="7" t="s">
        <v>16</v>
      </c>
      <c r="J521" s="7">
        <v>51503765</v>
      </c>
      <c r="K521" s="7" t="s">
        <v>1633</v>
      </c>
      <c r="L521" s="27" t="s">
        <v>1636</v>
      </c>
      <c r="M521" s="9">
        <v>249900</v>
      </c>
      <c r="N521" s="18">
        <f t="shared" si="67"/>
        <v>0.7</v>
      </c>
      <c r="O521" s="32">
        <f t="shared" si="68"/>
        <v>74970</v>
      </c>
      <c r="P521" s="18" t="s">
        <v>19</v>
      </c>
    </row>
    <row r="522" spans="1:16" x14ac:dyDescent="0.25">
      <c r="A522" s="25" t="str">
        <f t="shared" si="65"/>
        <v>2025 JAN-JUN D70</v>
      </c>
      <c r="B522" s="8">
        <f t="shared" si="66"/>
        <v>46104</v>
      </c>
      <c r="C522" s="8">
        <f t="shared" si="64"/>
        <v>46113</v>
      </c>
      <c r="D522" s="7">
        <v>3272</v>
      </c>
      <c r="E522" s="7">
        <v>336</v>
      </c>
      <c r="F522" s="7">
        <v>4</v>
      </c>
      <c r="G522" s="7">
        <v>5</v>
      </c>
      <c r="H522" s="7">
        <v>81379</v>
      </c>
      <c r="I522" s="7" t="s">
        <v>16</v>
      </c>
      <c r="J522" s="7">
        <v>51503774</v>
      </c>
      <c r="K522" s="7" t="s">
        <v>1633</v>
      </c>
      <c r="L522" s="27" t="s">
        <v>1637</v>
      </c>
      <c r="M522" s="9">
        <v>249900</v>
      </c>
      <c r="N522" s="18">
        <f t="shared" si="67"/>
        <v>0.7</v>
      </c>
      <c r="O522" s="32">
        <f t="shared" si="68"/>
        <v>74970</v>
      </c>
      <c r="P522" s="18" t="s">
        <v>19</v>
      </c>
    </row>
    <row r="523" spans="1:16" x14ac:dyDescent="0.25">
      <c r="A523" s="25" t="str">
        <f t="shared" si="65"/>
        <v>2025 JAN-JUN D70</v>
      </c>
      <c r="B523" s="8">
        <f t="shared" si="66"/>
        <v>46104</v>
      </c>
      <c r="C523" s="8">
        <f t="shared" si="64"/>
        <v>46113</v>
      </c>
      <c r="D523" s="7">
        <v>3272</v>
      </c>
      <c r="E523" s="7">
        <v>336</v>
      </c>
      <c r="F523" s="7">
        <v>4</v>
      </c>
      <c r="G523" s="7">
        <v>5</v>
      </c>
      <c r="H523" s="7">
        <v>81379</v>
      </c>
      <c r="I523" s="7" t="s">
        <v>16</v>
      </c>
      <c r="J523" s="7">
        <v>51503783</v>
      </c>
      <c r="K523" s="7" t="s">
        <v>1633</v>
      </c>
      <c r="L523" s="27" t="s">
        <v>1638</v>
      </c>
      <c r="M523" s="9">
        <v>249900</v>
      </c>
      <c r="N523" s="18">
        <f t="shared" si="67"/>
        <v>0.7</v>
      </c>
      <c r="O523" s="32">
        <f t="shared" si="68"/>
        <v>74970</v>
      </c>
      <c r="P523" s="18" t="s">
        <v>19</v>
      </c>
    </row>
    <row r="524" spans="1:16" x14ac:dyDescent="0.25">
      <c r="A524" s="25" t="str">
        <f t="shared" si="65"/>
        <v>2025 JAN-JUN D70</v>
      </c>
      <c r="B524" s="8">
        <f t="shared" si="66"/>
        <v>46104</v>
      </c>
      <c r="C524" s="8">
        <f t="shared" si="64"/>
        <v>46113</v>
      </c>
      <c r="D524" s="7">
        <v>3272</v>
      </c>
      <c r="E524" s="7">
        <v>336</v>
      </c>
      <c r="F524" s="7">
        <v>4</v>
      </c>
      <c r="G524" s="7">
        <v>4</v>
      </c>
      <c r="H524" s="11">
        <v>4953</v>
      </c>
      <c r="I524" s="7" t="s">
        <v>16</v>
      </c>
      <c r="J524" s="7">
        <v>52176304</v>
      </c>
      <c r="K524" s="7" t="s">
        <v>1639</v>
      </c>
      <c r="L524" s="27" t="s">
        <v>1640</v>
      </c>
      <c r="M524" s="9">
        <v>169900</v>
      </c>
      <c r="N524" s="18">
        <f t="shared" si="67"/>
        <v>0.7</v>
      </c>
      <c r="O524" s="32">
        <f t="shared" si="68"/>
        <v>50970</v>
      </c>
      <c r="P524" s="18" t="s">
        <v>19</v>
      </c>
    </row>
    <row r="525" spans="1:16" x14ac:dyDescent="0.25">
      <c r="A525" s="25" t="str">
        <f t="shared" si="65"/>
        <v>2025 JAN-JUN D70</v>
      </c>
      <c r="B525" s="8">
        <f t="shared" si="66"/>
        <v>46104</v>
      </c>
      <c r="C525" s="8">
        <f t="shared" si="64"/>
        <v>46113</v>
      </c>
      <c r="D525" s="7">
        <v>3272</v>
      </c>
      <c r="E525" s="7">
        <v>336</v>
      </c>
      <c r="F525" s="7">
        <v>4</v>
      </c>
      <c r="G525" s="7">
        <v>4</v>
      </c>
      <c r="H525" s="11">
        <v>4953</v>
      </c>
      <c r="I525" s="7" t="s">
        <v>16</v>
      </c>
      <c r="J525" s="7">
        <v>52176313</v>
      </c>
      <c r="K525" s="7" t="s">
        <v>1639</v>
      </c>
      <c r="L525" s="27" t="s">
        <v>1641</v>
      </c>
      <c r="M525" s="9">
        <v>169900</v>
      </c>
      <c r="N525" s="18">
        <f t="shared" si="67"/>
        <v>0.7</v>
      </c>
      <c r="O525" s="32">
        <f t="shared" si="68"/>
        <v>50970</v>
      </c>
      <c r="P525" s="18" t="s">
        <v>19</v>
      </c>
    </row>
    <row r="526" spans="1:16" x14ac:dyDescent="0.25">
      <c r="A526" s="25" t="str">
        <f t="shared" si="65"/>
        <v>2025 JAN-JUN D70</v>
      </c>
      <c r="B526" s="8">
        <f t="shared" si="66"/>
        <v>46104</v>
      </c>
      <c r="C526" s="8">
        <f t="shared" si="64"/>
        <v>46113</v>
      </c>
      <c r="D526" s="7">
        <v>3272</v>
      </c>
      <c r="E526" s="7">
        <v>336</v>
      </c>
      <c r="F526" s="7">
        <v>4</v>
      </c>
      <c r="G526" s="7">
        <v>4</v>
      </c>
      <c r="H526" s="11">
        <v>4953</v>
      </c>
      <c r="I526" s="7" t="s">
        <v>16</v>
      </c>
      <c r="J526" s="7">
        <v>52176322</v>
      </c>
      <c r="K526" s="7" t="s">
        <v>1639</v>
      </c>
      <c r="L526" s="27" t="s">
        <v>1642</v>
      </c>
      <c r="M526" s="9">
        <v>169900</v>
      </c>
      <c r="N526" s="18">
        <f t="shared" si="67"/>
        <v>0.7</v>
      </c>
      <c r="O526" s="32">
        <f t="shared" si="68"/>
        <v>50970</v>
      </c>
      <c r="P526" s="18" t="s">
        <v>19</v>
      </c>
    </row>
    <row r="527" spans="1:16" x14ac:dyDescent="0.25">
      <c r="A527" s="25" t="str">
        <f t="shared" si="65"/>
        <v>2025 JAN-JUN D70</v>
      </c>
      <c r="B527" s="8">
        <f t="shared" si="66"/>
        <v>46104</v>
      </c>
      <c r="C527" s="8">
        <f t="shared" si="64"/>
        <v>46113</v>
      </c>
      <c r="D527" s="7">
        <v>3272</v>
      </c>
      <c r="E527" s="7">
        <v>336</v>
      </c>
      <c r="F527" s="7">
        <v>4</v>
      </c>
      <c r="G527" s="7">
        <v>4</v>
      </c>
      <c r="H527" s="11">
        <v>4953</v>
      </c>
      <c r="I527" s="7" t="s">
        <v>16</v>
      </c>
      <c r="J527" s="7">
        <v>52176331</v>
      </c>
      <c r="K527" s="7" t="s">
        <v>1639</v>
      </c>
      <c r="L527" s="27" t="s">
        <v>1643</v>
      </c>
      <c r="M527" s="9">
        <v>169900</v>
      </c>
      <c r="N527" s="18">
        <f t="shared" si="67"/>
        <v>0.7</v>
      </c>
      <c r="O527" s="32">
        <f t="shared" si="68"/>
        <v>50970</v>
      </c>
      <c r="P527" s="18" t="s">
        <v>19</v>
      </c>
    </row>
    <row r="528" spans="1:16" x14ac:dyDescent="0.25">
      <c r="A528" s="25" t="str">
        <f t="shared" si="65"/>
        <v>2025 JAN-JUN D70</v>
      </c>
      <c r="B528" s="8">
        <f t="shared" si="66"/>
        <v>46104</v>
      </c>
      <c r="C528" s="8">
        <f t="shared" si="64"/>
        <v>46113</v>
      </c>
      <c r="D528" s="7">
        <v>3272</v>
      </c>
      <c r="E528" s="7">
        <v>336</v>
      </c>
      <c r="F528" s="7">
        <v>4</v>
      </c>
      <c r="G528" s="7">
        <v>4</v>
      </c>
      <c r="H528" s="11">
        <v>4953</v>
      </c>
      <c r="I528" s="7" t="s">
        <v>16</v>
      </c>
      <c r="J528" s="7">
        <v>52176340</v>
      </c>
      <c r="K528" s="7" t="s">
        <v>1639</v>
      </c>
      <c r="L528" s="27" t="s">
        <v>1644</v>
      </c>
      <c r="M528" s="9">
        <v>169900</v>
      </c>
      <c r="N528" s="18">
        <f t="shared" si="67"/>
        <v>0.7</v>
      </c>
      <c r="O528" s="32">
        <f t="shared" si="68"/>
        <v>50970</v>
      </c>
      <c r="P528" s="18" t="s">
        <v>19</v>
      </c>
    </row>
    <row r="529" spans="1:16" x14ac:dyDescent="0.25">
      <c r="A529" s="25" t="str">
        <f t="shared" si="65"/>
        <v>2025 JAN-JUN D70</v>
      </c>
      <c r="B529" s="8">
        <f t="shared" si="66"/>
        <v>46104</v>
      </c>
      <c r="C529" s="8">
        <f t="shared" si="64"/>
        <v>46113</v>
      </c>
      <c r="D529" s="7">
        <v>3272</v>
      </c>
      <c r="E529" s="7">
        <v>336</v>
      </c>
      <c r="F529" s="7">
        <v>4</v>
      </c>
      <c r="G529" s="7">
        <v>4</v>
      </c>
      <c r="H529" s="11">
        <v>4953</v>
      </c>
      <c r="I529" s="7" t="s">
        <v>16</v>
      </c>
      <c r="J529" s="7">
        <v>52176359</v>
      </c>
      <c r="K529" s="7" t="s">
        <v>1639</v>
      </c>
      <c r="L529" s="27" t="s">
        <v>1645</v>
      </c>
      <c r="M529" s="9">
        <v>169900</v>
      </c>
      <c r="N529" s="18">
        <f t="shared" si="67"/>
        <v>0.7</v>
      </c>
      <c r="O529" s="32">
        <f t="shared" si="68"/>
        <v>50970</v>
      </c>
      <c r="P529" s="18" t="s">
        <v>19</v>
      </c>
    </row>
    <row r="530" spans="1:16" x14ac:dyDescent="0.25">
      <c r="A530" s="25" t="str">
        <f t="shared" si="65"/>
        <v>2025 JAN-JUN D70</v>
      </c>
      <c r="B530" s="8">
        <f t="shared" si="66"/>
        <v>46104</v>
      </c>
      <c r="C530" s="8">
        <f t="shared" si="64"/>
        <v>46113</v>
      </c>
      <c r="D530" s="7">
        <v>3272</v>
      </c>
      <c r="E530" s="7">
        <v>336</v>
      </c>
      <c r="F530" s="7">
        <v>4</v>
      </c>
      <c r="G530" s="7">
        <v>4</v>
      </c>
      <c r="H530" s="11">
        <v>4953</v>
      </c>
      <c r="I530" s="7" t="s">
        <v>16</v>
      </c>
      <c r="J530" s="7">
        <v>52176368</v>
      </c>
      <c r="K530" s="7" t="s">
        <v>1639</v>
      </c>
      <c r="L530" s="27" t="s">
        <v>1646</v>
      </c>
      <c r="M530" s="9">
        <v>169900</v>
      </c>
      <c r="N530" s="18">
        <f t="shared" si="67"/>
        <v>0.7</v>
      </c>
      <c r="O530" s="32">
        <f t="shared" si="68"/>
        <v>50970</v>
      </c>
      <c r="P530" s="18" t="s">
        <v>19</v>
      </c>
    </row>
    <row r="531" spans="1:16" x14ac:dyDescent="0.25">
      <c r="A531" s="25" t="str">
        <f t="shared" si="65"/>
        <v>2025 JAN-JUN D70</v>
      </c>
      <c r="B531" s="8">
        <f t="shared" si="66"/>
        <v>46104</v>
      </c>
      <c r="C531" s="8">
        <f t="shared" ref="C531:C546" si="69">C530</f>
        <v>46113</v>
      </c>
      <c r="D531" s="7">
        <v>3272</v>
      </c>
      <c r="E531" s="7">
        <v>336</v>
      </c>
      <c r="F531" s="7">
        <v>4</v>
      </c>
      <c r="G531" s="7">
        <v>4</v>
      </c>
      <c r="H531" s="11">
        <v>4953</v>
      </c>
      <c r="I531" s="7" t="s">
        <v>16</v>
      </c>
      <c r="J531" s="7">
        <v>52176377</v>
      </c>
      <c r="K531" s="7" t="s">
        <v>1639</v>
      </c>
      <c r="L531" s="27" t="s">
        <v>1647</v>
      </c>
      <c r="M531" s="9">
        <v>169900</v>
      </c>
      <c r="N531" s="18">
        <f t="shared" si="67"/>
        <v>0.7</v>
      </c>
      <c r="O531" s="32">
        <f t="shared" si="68"/>
        <v>50970</v>
      </c>
      <c r="P531" s="18" t="s">
        <v>19</v>
      </c>
    </row>
    <row r="532" spans="1:16" x14ac:dyDescent="0.25">
      <c r="A532" s="25" t="str">
        <f t="shared" si="65"/>
        <v>2025 JAN-JUN D70</v>
      </c>
      <c r="B532" s="8">
        <f t="shared" si="66"/>
        <v>46104</v>
      </c>
      <c r="C532" s="8">
        <f t="shared" si="69"/>
        <v>46113</v>
      </c>
      <c r="D532" s="7">
        <v>3272</v>
      </c>
      <c r="E532" s="7">
        <v>336</v>
      </c>
      <c r="F532" s="7">
        <v>4</v>
      </c>
      <c r="G532" s="7">
        <v>1</v>
      </c>
      <c r="H532" s="7">
        <v>4953</v>
      </c>
      <c r="I532" s="7" t="s">
        <v>16</v>
      </c>
      <c r="J532" s="7">
        <v>53659648</v>
      </c>
      <c r="K532" s="7" t="s">
        <v>1648</v>
      </c>
      <c r="L532" s="27" t="s">
        <v>1649</v>
      </c>
      <c r="M532" s="9">
        <v>149900</v>
      </c>
      <c r="N532" s="18">
        <f t="shared" si="67"/>
        <v>0.7</v>
      </c>
      <c r="O532" s="32">
        <f t="shared" si="68"/>
        <v>44970</v>
      </c>
      <c r="P532" s="18" t="s">
        <v>19</v>
      </c>
    </row>
    <row r="533" spans="1:16" x14ac:dyDescent="0.25">
      <c r="A533" s="25" t="str">
        <f t="shared" si="65"/>
        <v>2025 JAN-JUN D70</v>
      </c>
      <c r="B533" s="8">
        <f t="shared" si="66"/>
        <v>46104</v>
      </c>
      <c r="C533" s="8">
        <f t="shared" si="69"/>
        <v>46113</v>
      </c>
      <c r="D533" s="7">
        <v>3272</v>
      </c>
      <c r="E533" s="7">
        <v>336</v>
      </c>
      <c r="F533" s="7">
        <v>4</v>
      </c>
      <c r="G533" s="7">
        <v>1</v>
      </c>
      <c r="H533" s="7">
        <v>4953</v>
      </c>
      <c r="I533" s="7" t="s">
        <v>16</v>
      </c>
      <c r="J533" s="7">
        <v>53659657</v>
      </c>
      <c r="K533" s="7" t="s">
        <v>1648</v>
      </c>
      <c r="L533" s="27" t="s">
        <v>1650</v>
      </c>
      <c r="M533" s="9">
        <v>149900</v>
      </c>
      <c r="N533" s="18">
        <f t="shared" si="67"/>
        <v>0.7</v>
      </c>
      <c r="O533" s="32">
        <f t="shared" si="68"/>
        <v>44970</v>
      </c>
      <c r="P533" s="18" t="s">
        <v>19</v>
      </c>
    </row>
    <row r="534" spans="1:16" x14ac:dyDescent="0.25">
      <c r="A534" s="25" t="str">
        <f t="shared" si="65"/>
        <v>2025 JAN-JUN D70</v>
      </c>
      <c r="B534" s="8">
        <f t="shared" si="66"/>
        <v>46104</v>
      </c>
      <c r="C534" s="8">
        <f t="shared" si="69"/>
        <v>46113</v>
      </c>
      <c r="D534" s="7">
        <v>3272</v>
      </c>
      <c r="E534" s="7">
        <v>336</v>
      </c>
      <c r="F534" s="7">
        <v>4</v>
      </c>
      <c r="G534" s="7">
        <v>1</v>
      </c>
      <c r="H534" s="7">
        <v>4953</v>
      </c>
      <c r="I534" s="7" t="s">
        <v>16</v>
      </c>
      <c r="J534" s="7">
        <v>53659666</v>
      </c>
      <c r="K534" s="7" t="s">
        <v>1648</v>
      </c>
      <c r="L534" s="27" t="s">
        <v>1651</v>
      </c>
      <c r="M534" s="9">
        <v>149900</v>
      </c>
      <c r="N534" s="18">
        <f t="shared" si="67"/>
        <v>0.7</v>
      </c>
      <c r="O534" s="32">
        <f t="shared" si="68"/>
        <v>44970</v>
      </c>
      <c r="P534" s="18" t="s">
        <v>19</v>
      </c>
    </row>
    <row r="535" spans="1:16" x14ac:dyDescent="0.25">
      <c r="A535" s="25" t="str">
        <f t="shared" si="65"/>
        <v>2025 JAN-JUN D70</v>
      </c>
      <c r="B535" s="8">
        <f t="shared" si="66"/>
        <v>46104</v>
      </c>
      <c r="C535" s="8">
        <f t="shared" si="69"/>
        <v>46113</v>
      </c>
      <c r="D535" s="7">
        <v>3272</v>
      </c>
      <c r="E535" s="7">
        <v>336</v>
      </c>
      <c r="F535" s="7">
        <v>4</v>
      </c>
      <c r="G535" s="7">
        <v>1</v>
      </c>
      <c r="H535" s="7">
        <v>4953</v>
      </c>
      <c r="I535" s="7" t="s">
        <v>16</v>
      </c>
      <c r="J535" s="7">
        <v>53659675</v>
      </c>
      <c r="K535" s="7" t="s">
        <v>1648</v>
      </c>
      <c r="L535" s="27" t="s">
        <v>1652</v>
      </c>
      <c r="M535" s="9">
        <v>149900</v>
      </c>
      <c r="N535" s="18">
        <f t="shared" si="67"/>
        <v>0.7</v>
      </c>
      <c r="O535" s="32">
        <f t="shared" si="68"/>
        <v>44970</v>
      </c>
      <c r="P535" s="18" t="s">
        <v>19</v>
      </c>
    </row>
    <row r="536" spans="1:16" x14ac:dyDescent="0.25">
      <c r="A536" s="25" t="str">
        <f t="shared" si="65"/>
        <v>2025 JAN-JUN D70</v>
      </c>
      <c r="B536" s="8">
        <f t="shared" si="66"/>
        <v>46104</v>
      </c>
      <c r="C536" s="8">
        <f t="shared" si="69"/>
        <v>46113</v>
      </c>
      <c r="D536" s="7">
        <v>3272</v>
      </c>
      <c r="E536" s="7">
        <v>336</v>
      </c>
      <c r="F536" s="7">
        <v>4</v>
      </c>
      <c r="G536" s="7">
        <v>1</v>
      </c>
      <c r="H536" s="7">
        <v>4953</v>
      </c>
      <c r="I536" s="7" t="s">
        <v>16</v>
      </c>
      <c r="J536" s="7">
        <v>53659684</v>
      </c>
      <c r="K536" s="7" t="s">
        <v>1648</v>
      </c>
      <c r="L536" s="27" t="s">
        <v>1653</v>
      </c>
      <c r="M536" s="9">
        <v>149900</v>
      </c>
      <c r="N536" s="18">
        <f t="shared" si="67"/>
        <v>0.7</v>
      </c>
      <c r="O536" s="32">
        <f t="shared" si="68"/>
        <v>44970</v>
      </c>
      <c r="P536" s="18" t="s">
        <v>19</v>
      </c>
    </row>
    <row r="537" spans="1:16" x14ac:dyDescent="0.25">
      <c r="A537" s="25" t="str">
        <f t="shared" si="65"/>
        <v>2025 JAN-JUN D70</v>
      </c>
      <c r="B537" s="8">
        <f t="shared" si="66"/>
        <v>46104</v>
      </c>
      <c r="C537" s="8">
        <f t="shared" si="69"/>
        <v>46113</v>
      </c>
      <c r="D537" s="7">
        <v>3272</v>
      </c>
      <c r="E537" s="7">
        <v>336</v>
      </c>
      <c r="F537" s="7">
        <v>4</v>
      </c>
      <c r="G537" s="7">
        <v>1</v>
      </c>
      <c r="H537" s="7">
        <v>4953</v>
      </c>
      <c r="I537" s="7" t="s">
        <v>16</v>
      </c>
      <c r="J537" s="7">
        <v>53659693</v>
      </c>
      <c r="K537" s="7" t="s">
        <v>1648</v>
      </c>
      <c r="L537" s="27" t="s">
        <v>1654</v>
      </c>
      <c r="M537" s="9">
        <v>149900</v>
      </c>
      <c r="N537" s="18">
        <f t="shared" si="67"/>
        <v>0.7</v>
      </c>
      <c r="O537" s="32">
        <f t="shared" si="68"/>
        <v>44970</v>
      </c>
      <c r="P537" s="18" t="s">
        <v>19</v>
      </c>
    </row>
    <row r="538" spans="1:16" x14ac:dyDescent="0.25">
      <c r="A538" s="25" t="str">
        <f t="shared" si="65"/>
        <v>2025 JAN-JUN D70</v>
      </c>
      <c r="B538" s="8">
        <f t="shared" si="66"/>
        <v>46104</v>
      </c>
      <c r="C538" s="8">
        <f t="shared" si="69"/>
        <v>46113</v>
      </c>
      <c r="D538" s="7">
        <v>3272</v>
      </c>
      <c r="E538" s="7">
        <v>336</v>
      </c>
      <c r="F538" s="7">
        <v>4</v>
      </c>
      <c r="G538" s="7">
        <v>1</v>
      </c>
      <c r="H538" s="7">
        <v>4953</v>
      </c>
      <c r="I538" s="7" t="s">
        <v>16</v>
      </c>
      <c r="J538" s="7">
        <v>53659700</v>
      </c>
      <c r="K538" s="7" t="s">
        <v>1648</v>
      </c>
      <c r="L538" s="27" t="s">
        <v>1655</v>
      </c>
      <c r="M538" s="9">
        <v>149900</v>
      </c>
      <c r="N538" s="18">
        <f t="shared" si="67"/>
        <v>0.7</v>
      </c>
      <c r="O538" s="32">
        <f t="shared" si="68"/>
        <v>44970</v>
      </c>
      <c r="P538" s="18" t="s">
        <v>19</v>
      </c>
    </row>
    <row r="539" spans="1:16" x14ac:dyDescent="0.25">
      <c r="A539" s="25" t="str">
        <f t="shared" si="65"/>
        <v>2025 JAN-JUN D70</v>
      </c>
      <c r="B539" s="8">
        <f t="shared" si="66"/>
        <v>46104</v>
      </c>
      <c r="C539" s="8">
        <f t="shared" si="69"/>
        <v>46113</v>
      </c>
      <c r="D539" s="7">
        <v>3272</v>
      </c>
      <c r="E539" s="7">
        <v>336</v>
      </c>
      <c r="F539" s="7">
        <v>4</v>
      </c>
      <c r="G539" s="7">
        <v>1</v>
      </c>
      <c r="H539" s="7">
        <v>4953</v>
      </c>
      <c r="I539" s="7" t="s">
        <v>16</v>
      </c>
      <c r="J539" s="7">
        <v>53659719</v>
      </c>
      <c r="K539" s="7" t="s">
        <v>1648</v>
      </c>
      <c r="L539" s="27" t="s">
        <v>1656</v>
      </c>
      <c r="M539" s="9">
        <v>149900</v>
      </c>
      <c r="N539" s="18">
        <f t="shared" si="67"/>
        <v>0.7</v>
      </c>
      <c r="O539" s="32">
        <f t="shared" si="68"/>
        <v>44970</v>
      </c>
      <c r="P539" s="18" t="s">
        <v>19</v>
      </c>
    </row>
    <row r="540" spans="1:16" x14ac:dyDescent="0.25">
      <c r="A540" s="25" t="str">
        <f t="shared" si="65"/>
        <v>2025 JAN-JUN D70</v>
      </c>
      <c r="B540" s="8">
        <f t="shared" si="66"/>
        <v>46104</v>
      </c>
      <c r="C540" s="8">
        <f t="shared" si="69"/>
        <v>46113</v>
      </c>
      <c r="D540" s="7">
        <v>3272</v>
      </c>
      <c r="E540" s="7">
        <v>336</v>
      </c>
      <c r="F540" s="7">
        <v>4</v>
      </c>
      <c r="G540" s="7">
        <v>1</v>
      </c>
      <c r="H540" s="7">
        <v>4953</v>
      </c>
      <c r="I540" s="7" t="s">
        <v>16</v>
      </c>
      <c r="J540" s="7">
        <v>53659728</v>
      </c>
      <c r="K540" s="7" t="s">
        <v>1657</v>
      </c>
      <c r="L540" s="27" t="s">
        <v>1658</v>
      </c>
      <c r="M540" s="9">
        <v>149900</v>
      </c>
      <c r="N540" s="18">
        <f t="shared" si="67"/>
        <v>0.7</v>
      </c>
      <c r="O540" s="32">
        <f t="shared" si="68"/>
        <v>44970</v>
      </c>
      <c r="P540" s="18" t="s">
        <v>19</v>
      </c>
    </row>
    <row r="541" spans="1:16" x14ac:dyDescent="0.25">
      <c r="A541" s="25" t="str">
        <f t="shared" si="65"/>
        <v>2025 JAN-JUN D70</v>
      </c>
      <c r="B541" s="8">
        <f t="shared" si="66"/>
        <v>46104</v>
      </c>
      <c r="C541" s="8">
        <f t="shared" si="69"/>
        <v>46113</v>
      </c>
      <c r="D541" s="7">
        <v>3272</v>
      </c>
      <c r="E541" s="7">
        <v>336</v>
      </c>
      <c r="F541" s="7">
        <v>4</v>
      </c>
      <c r="G541" s="7">
        <v>1</v>
      </c>
      <c r="H541" s="7">
        <v>4953</v>
      </c>
      <c r="I541" s="7" t="s">
        <v>16</v>
      </c>
      <c r="J541" s="7">
        <v>53659737</v>
      </c>
      <c r="K541" s="7" t="s">
        <v>1657</v>
      </c>
      <c r="L541" s="27" t="s">
        <v>1659</v>
      </c>
      <c r="M541" s="9">
        <v>149900</v>
      </c>
      <c r="N541" s="18">
        <f t="shared" si="67"/>
        <v>0.7</v>
      </c>
      <c r="O541" s="32">
        <f t="shared" si="68"/>
        <v>44970</v>
      </c>
      <c r="P541" s="18" t="s">
        <v>19</v>
      </c>
    </row>
    <row r="542" spans="1:16" x14ac:dyDescent="0.25">
      <c r="A542" s="25" t="str">
        <f t="shared" si="65"/>
        <v>2025 JAN-JUN D70</v>
      </c>
      <c r="B542" s="8">
        <f t="shared" si="66"/>
        <v>46104</v>
      </c>
      <c r="C542" s="8">
        <f t="shared" si="69"/>
        <v>46113</v>
      </c>
      <c r="D542" s="7">
        <v>3272</v>
      </c>
      <c r="E542" s="7">
        <v>336</v>
      </c>
      <c r="F542" s="7">
        <v>4</v>
      </c>
      <c r="G542" s="7">
        <v>1</v>
      </c>
      <c r="H542" s="7">
        <v>4953</v>
      </c>
      <c r="I542" s="7" t="s">
        <v>16</v>
      </c>
      <c r="J542" s="7">
        <v>53659746</v>
      </c>
      <c r="K542" s="7" t="s">
        <v>1657</v>
      </c>
      <c r="L542" s="27" t="s">
        <v>1660</v>
      </c>
      <c r="M542" s="9">
        <v>139900</v>
      </c>
      <c r="N542" s="18">
        <f t="shared" si="67"/>
        <v>0.7</v>
      </c>
      <c r="O542" s="32">
        <f t="shared" si="68"/>
        <v>41970</v>
      </c>
      <c r="P542" s="18" t="s">
        <v>19</v>
      </c>
    </row>
    <row r="543" spans="1:16" x14ac:dyDescent="0.25">
      <c r="A543" s="25" t="str">
        <f t="shared" si="65"/>
        <v>2025 JAN-JUN D70</v>
      </c>
      <c r="B543" s="8">
        <f t="shared" si="66"/>
        <v>46104</v>
      </c>
      <c r="C543" s="8">
        <f t="shared" si="69"/>
        <v>46113</v>
      </c>
      <c r="D543" s="7">
        <v>3272</v>
      </c>
      <c r="E543" s="7">
        <v>336</v>
      </c>
      <c r="F543" s="7">
        <v>4</v>
      </c>
      <c r="G543" s="7">
        <v>1</v>
      </c>
      <c r="H543" s="7">
        <v>4953</v>
      </c>
      <c r="I543" s="7" t="s">
        <v>16</v>
      </c>
      <c r="J543" s="7">
        <v>53659755</v>
      </c>
      <c r="K543" s="7" t="s">
        <v>1657</v>
      </c>
      <c r="L543" s="27" t="s">
        <v>1661</v>
      </c>
      <c r="M543" s="9">
        <v>139900</v>
      </c>
      <c r="N543" s="18">
        <f t="shared" si="67"/>
        <v>0.7</v>
      </c>
      <c r="O543" s="32">
        <f t="shared" si="68"/>
        <v>41970</v>
      </c>
      <c r="P543" s="18" t="s">
        <v>19</v>
      </c>
    </row>
    <row r="544" spans="1:16" x14ac:dyDescent="0.25">
      <c r="A544" s="25" t="str">
        <f t="shared" si="65"/>
        <v>2025 JAN-JUN D70</v>
      </c>
      <c r="B544" s="8">
        <f t="shared" si="66"/>
        <v>46104</v>
      </c>
      <c r="C544" s="8">
        <f t="shared" si="69"/>
        <v>46113</v>
      </c>
      <c r="D544" s="7">
        <v>3272</v>
      </c>
      <c r="E544" s="7">
        <v>336</v>
      </c>
      <c r="F544" s="7">
        <v>4</v>
      </c>
      <c r="G544" s="7">
        <v>1</v>
      </c>
      <c r="H544" s="7">
        <v>4953</v>
      </c>
      <c r="I544" s="7" t="s">
        <v>16</v>
      </c>
      <c r="J544" s="7">
        <v>53659764</v>
      </c>
      <c r="K544" s="7" t="s">
        <v>1657</v>
      </c>
      <c r="L544" s="27" t="s">
        <v>1662</v>
      </c>
      <c r="M544" s="9">
        <v>139900</v>
      </c>
      <c r="N544" s="18">
        <f t="shared" si="67"/>
        <v>0.7</v>
      </c>
      <c r="O544" s="32">
        <f t="shared" si="68"/>
        <v>41970</v>
      </c>
      <c r="P544" s="18" t="s">
        <v>19</v>
      </c>
    </row>
    <row r="545" spans="1:16" x14ac:dyDescent="0.25">
      <c r="A545" s="25" t="str">
        <f t="shared" si="65"/>
        <v>2025 JAN-JUN D70</v>
      </c>
      <c r="B545" s="8">
        <f t="shared" si="66"/>
        <v>46104</v>
      </c>
      <c r="C545" s="8">
        <f t="shared" si="69"/>
        <v>46113</v>
      </c>
      <c r="D545" s="7">
        <v>3272</v>
      </c>
      <c r="E545" s="7">
        <v>336</v>
      </c>
      <c r="F545" s="7">
        <v>4</v>
      </c>
      <c r="G545" s="7">
        <v>1</v>
      </c>
      <c r="H545" s="7">
        <v>4953</v>
      </c>
      <c r="I545" s="7" t="s">
        <v>16</v>
      </c>
      <c r="J545" s="7">
        <v>53659773</v>
      </c>
      <c r="K545" s="7" t="s">
        <v>1657</v>
      </c>
      <c r="L545" s="27" t="s">
        <v>1663</v>
      </c>
      <c r="M545" s="9">
        <v>139900</v>
      </c>
      <c r="N545" s="18">
        <f t="shared" si="67"/>
        <v>0.7</v>
      </c>
      <c r="O545" s="32">
        <f t="shared" si="68"/>
        <v>41970</v>
      </c>
      <c r="P545" s="18" t="s">
        <v>19</v>
      </c>
    </row>
    <row r="546" spans="1:16" x14ac:dyDescent="0.25">
      <c r="A546" s="25" t="str">
        <f t="shared" si="65"/>
        <v>2025 JAN-JUN D70</v>
      </c>
      <c r="B546" s="8">
        <f t="shared" si="66"/>
        <v>46104</v>
      </c>
      <c r="C546" s="8">
        <f t="shared" si="69"/>
        <v>46113</v>
      </c>
      <c r="D546" s="7">
        <v>3272</v>
      </c>
      <c r="E546" s="7">
        <v>336</v>
      </c>
      <c r="F546" s="7">
        <v>4</v>
      </c>
      <c r="G546" s="7">
        <v>1</v>
      </c>
      <c r="H546" s="7">
        <v>4953</v>
      </c>
      <c r="I546" s="7" t="s">
        <v>16</v>
      </c>
      <c r="J546" s="7">
        <v>53659782</v>
      </c>
      <c r="K546" s="7" t="s">
        <v>1657</v>
      </c>
      <c r="L546" s="27" t="s">
        <v>1664</v>
      </c>
      <c r="M546" s="9">
        <v>139900</v>
      </c>
      <c r="N546" s="18">
        <f t="shared" si="67"/>
        <v>0.7</v>
      </c>
      <c r="O546" s="32">
        <f t="shared" si="68"/>
        <v>41970</v>
      </c>
      <c r="P546" s="18" t="s">
        <v>19</v>
      </c>
    </row>
    <row r="547" spans="1:16" x14ac:dyDescent="0.25">
      <c r="A547" s="25" t="str">
        <f t="shared" si="65"/>
        <v>2025 JAN-JUN D70</v>
      </c>
      <c r="B547" s="8">
        <f t="shared" si="66"/>
        <v>46104</v>
      </c>
      <c r="C547" s="8">
        <f t="shared" ref="C547:C562" si="70">C546</f>
        <v>46113</v>
      </c>
      <c r="D547" s="7">
        <v>3272</v>
      </c>
      <c r="E547" s="7">
        <v>336</v>
      </c>
      <c r="F547" s="7">
        <v>4</v>
      </c>
      <c r="G547" s="7">
        <v>1</v>
      </c>
      <c r="H547" s="7">
        <v>4953</v>
      </c>
      <c r="I547" s="7" t="s">
        <v>16</v>
      </c>
      <c r="J547" s="7">
        <v>53659791</v>
      </c>
      <c r="K547" s="7" t="s">
        <v>1657</v>
      </c>
      <c r="L547" s="27" t="s">
        <v>1665</v>
      </c>
      <c r="M547" s="9">
        <v>139900</v>
      </c>
      <c r="N547" s="18">
        <f t="shared" si="67"/>
        <v>0.7</v>
      </c>
      <c r="O547" s="32">
        <f t="shared" si="68"/>
        <v>41970</v>
      </c>
      <c r="P547" s="18" t="s">
        <v>19</v>
      </c>
    </row>
    <row r="548" spans="1:16" x14ac:dyDescent="0.25">
      <c r="A548" s="25" t="str">
        <f t="shared" si="65"/>
        <v>2025 JAN-JUN D70</v>
      </c>
      <c r="B548" s="8">
        <f t="shared" si="66"/>
        <v>46104</v>
      </c>
      <c r="C548" s="8">
        <f t="shared" si="70"/>
        <v>46113</v>
      </c>
      <c r="D548" s="7">
        <v>3272</v>
      </c>
      <c r="E548" s="7">
        <v>336</v>
      </c>
      <c r="F548" s="7">
        <v>4</v>
      </c>
      <c r="G548" s="7">
        <v>1</v>
      </c>
      <c r="H548" s="7">
        <v>81379</v>
      </c>
      <c r="I548" s="7" t="s">
        <v>16</v>
      </c>
      <c r="J548" s="7">
        <v>53659960</v>
      </c>
      <c r="K548" s="7" t="s">
        <v>1666</v>
      </c>
      <c r="L548" s="27" t="s">
        <v>1667</v>
      </c>
      <c r="M548" s="9">
        <v>149900</v>
      </c>
      <c r="N548" s="18">
        <f t="shared" si="67"/>
        <v>0.7</v>
      </c>
      <c r="O548" s="32">
        <f t="shared" si="68"/>
        <v>44970</v>
      </c>
      <c r="P548" s="18" t="s">
        <v>19</v>
      </c>
    </row>
    <row r="549" spans="1:16" x14ac:dyDescent="0.25">
      <c r="A549" s="25" t="str">
        <f t="shared" si="65"/>
        <v>2025 JAN-JUN D70</v>
      </c>
      <c r="B549" s="8">
        <f t="shared" si="66"/>
        <v>46104</v>
      </c>
      <c r="C549" s="8">
        <f t="shared" si="70"/>
        <v>46113</v>
      </c>
      <c r="D549" s="7">
        <v>3272</v>
      </c>
      <c r="E549" s="7">
        <v>336</v>
      </c>
      <c r="F549" s="7">
        <v>4</v>
      </c>
      <c r="G549" s="7">
        <v>1</v>
      </c>
      <c r="H549" s="7">
        <v>81379</v>
      </c>
      <c r="I549" s="7" t="s">
        <v>16</v>
      </c>
      <c r="J549" s="7">
        <v>53659979</v>
      </c>
      <c r="K549" s="7" t="s">
        <v>1666</v>
      </c>
      <c r="L549" s="27" t="s">
        <v>1668</v>
      </c>
      <c r="M549" s="9">
        <v>149900</v>
      </c>
      <c r="N549" s="18">
        <f t="shared" si="67"/>
        <v>0.7</v>
      </c>
      <c r="O549" s="32">
        <f t="shared" si="68"/>
        <v>44970</v>
      </c>
      <c r="P549" s="18" t="s">
        <v>19</v>
      </c>
    </row>
    <row r="550" spans="1:16" x14ac:dyDescent="0.25">
      <c r="A550" s="25" t="str">
        <f t="shared" si="65"/>
        <v>2025 JAN-JUN D70</v>
      </c>
      <c r="B550" s="8">
        <f t="shared" si="66"/>
        <v>46104</v>
      </c>
      <c r="C550" s="8">
        <f t="shared" si="70"/>
        <v>46113</v>
      </c>
      <c r="D550" s="7">
        <v>3272</v>
      </c>
      <c r="E550" s="7">
        <v>336</v>
      </c>
      <c r="F550" s="7">
        <v>4</v>
      </c>
      <c r="G550" s="7">
        <v>1</v>
      </c>
      <c r="H550" s="7">
        <v>81379</v>
      </c>
      <c r="I550" s="7" t="s">
        <v>16</v>
      </c>
      <c r="J550" s="7">
        <v>53659988</v>
      </c>
      <c r="K550" s="7" t="s">
        <v>1666</v>
      </c>
      <c r="L550" s="27" t="s">
        <v>1669</v>
      </c>
      <c r="M550" s="9">
        <v>149900</v>
      </c>
      <c r="N550" s="18">
        <f t="shared" si="67"/>
        <v>0.7</v>
      </c>
      <c r="O550" s="32">
        <f t="shared" si="68"/>
        <v>44970</v>
      </c>
      <c r="P550" s="18" t="s">
        <v>19</v>
      </c>
    </row>
    <row r="551" spans="1:16" x14ac:dyDescent="0.25">
      <c r="A551" s="25" t="str">
        <f t="shared" si="65"/>
        <v>2025 JAN-JUN D70</v>
      </c>
      <c r="B551" s="8">
        <f t="shared" si="66"/>
        <v>46104</v>
      </c>
      <c r="C551" s="8">
        <f t="shared" si="70"/>
        <v>46113</v>
      </c>
      <c r="D551" s="7">
        <v>3272</v>
      </c>
      <c r="E551" s="7">
        <v>336</v>
      </c>
      <c r="F551" s="7">
        <v>4</v>
      </c>
      <c r="G551" s="7">
        <v>1</v>
      </c>
      <c r="H551" s="7">
        <v>81379</v>
      </c>
      <c r="I551" s="7" t="s">
        <v>16</v>
      </c>
      <c r="J551" s="7">
        <v>53659997</v>
      </c>
      <c r="K551" s="7" t="s">
        <v>1666</v>
      </c>
      <c r="L551" s="27" t="s">
        <v>1670</v>
      </c>
      <c r="M551" s="9">
        <v>149900</v>
      </c>
      <c r="N551" s="18">
        <f t="shared" si="67"/>
        <v>0.7</v>
      </c>
      <c r="O551" s="32">
        <f t="shared" si="68"/>
        <v>44970</v>
      </c>
      <c r="P551" s="18" t="s">
        <v>19</v>
      </c>
    </row>
    <row r="552" spans="1:16" x14ac:dyDescent="0.25">
      <c r="A552" s="25" t="str">
        <f t="shared" si="65"/>
        <v>2025 JAN-JUN D70</v>
      </c>
      <c r="B552" s="8">
        <f t="shared" si="66"/>
        <v>46104</v>
      </c>
      <c r="C552" s="8">
        <f t="shared" si="70"/>
        <v>46113</v>
      </c>
      <c r="D552" s="7">
        <v>3272</v>
      </c>
      <c r="E552" s="7">
        <v>336</v>
      </c>
      <c r="F552" s="7">
        <v>4</v>
      </c>
      <c r="G552" s="7">
        <v>1</v>
      </c>
      <c r="H552" s="7">
        <v>81379</v>
      </c>
      <c r="I552" s="7" t="s">
        <v>16</v>
      </c>
      <c r="J552" s="7">
        <v>53660001</v>
      </c>
      <c r="K552" s="7" t="s">
        <v>1666</v>
      </c>
      <c r="L552" s="27" t="s">
        <v>1671</v>
      </c>
      <c r="M552" s="9">
        <v>149900</v>
      </c>
      <c r="N552" s="18">
        <f t="shared" si="67"/>
        <v>0.7</v>
      </c>
      <c r="O552" s="32">
        <f t="shared" si="68"/>
        <v>44970</v>
      </c>
      <c r="P552" s="18" t="s">
        <v>19</v>
      </c>
    </row>
    <row r="553" spans="1:16" x14ac:dyDescent="0.25">
      <c r="A553" s="25" t="str">
        <f t="shared" si="65"/>
        <v>2025 JAN-JUN D70</v>
      </c>
      <c r="B553" s="8">
        <f t="shared" si="66"/>
        <v>46104</v>
      </c>
      <c r="C553" s="8">
        <f t="shared" si="70"/>
        <v>46113</v>
      </c>
      <c r="D553" s="7">
        <v>3272</v>
      </c>
      <c r="E553" s="7">
        <v>336</v>
      </c>
      <c r="F553" s="7">
        <v>4</v>
      </c>
      <c r="G553" s="7">
        <v>1</v>
      </c>
      <c r="H553" s="7">
        <v>81379</v>
      </c>
      <c r="I553" s="7" t="s">
        <v>16</v>
      </c>
      <c r="J553" s="7">
        <v>53660010</v>
      </c>
      <c r="K553" s="7" t="s">
        <v>1672</v>
      </c>
      <c r="L553" s="27" t="s">
        <v>1673</v>
      </c>
      <c r="M553" s="9">
        <v>149900</v>
      </c>
      <c r="N553" s="18">
        <f t="shared" si="67"/>
        <v>0.7</v>
      </c>
      <c r="O553" s="32">
        <f t="shared" si="68"/>
        <v>44970</v>
      </c>
      <c r="P553" s="18" t="s">
        <v>19</v>
      </c>
    </row>
    <row r="554" spans="1:16" x14ac:dyDescent="0.25">
      <c r="A554" s="25" t="str">
        <f t="shared" si="65"/>
        <v>2025 JAN-JUN D70</v>
      </c>
      <c r="B554" s="8">
        <f t="shared" si="66"/>
        <v>46104</v>
      </c>
      <c r="C554" s="8">
        <f t="shared" si="70"/>
        <v>46113</v>
      </c>
      <c r="D554" s="7">
        <v>3272</v>
      </c>
      <c r="E554" s="7">
        <v>336</v>
      </c>
      <c r="F554" s="7">
        <v>4</v>
      </c>
      <c r="G554" s="11">
        <v>1</v>
      </c>
      <c r="H554" s="11">
        <v>81379</v>
      </c>
      <c r="I554" s="7" t="s">
        <v>16</v>
      </c>
      <c r="J554" s="11">
        <v>53660029</v>
      </c>
      <c r="K554" s="11" t="s">
        <v>1672</v>
      </c>
      <c r="L554" s="27" t="s">
        <v>1674</v>
      </c>
      <c r="M554" s="9">
        <v>149900</v>
      </c>
      <c r="N554" s="18">
        <f t="shared" si="67"/>
        <v>0.7</v>
      </c>
      <c r="O554" s="32">
        <f t="shared" si="68"/>
        <v>44970</v>
      </c>
      <c r="P554" s="18" t="s">
        <v>19</v>
      </c>
    </row>
    <row r="555" spans="1:16" x14ac:dyDescent="0.25">
      <c r="A555" s="25" t="str">
        <f t="shared" si="65"/>
        <v>2025 JAN-JUN D70</v>
      </c>
      <c r="B555" s="8">
        <f t="shared" si="66"/>
        <v>46104</v>
      </c>
      <c r="C555" s="8">
        <f t="shared" si="70"/>
        <v>46113</v>
      </c>
      <c r="D555" s="7">
        <v>3272</v>
      </c>
      <c r="E555" s="7">
        <v>336</v>
      </c>
      <c r="F555" s="7">
        <v>4</v>
      </c>
      <c r="G555" s="11">
        <v>1</v>
      </c>
      <c r="H555" s="11">
        <v>81379</v>
      </c>
      <c r="I555" s="7" t="s">
        <v>16</v>
      </c>
      <c r="J555" s="11">
        <v>53660038</v>
      </c>
      <c r="K555" s="11" t="s">
        <v>1672</v>
      </c>
      <c r="L555" s="27" t="s">
        <v>1675</v>
      </c>
      <c r="M555" s="9">
        <v>149900</v>
      </c>
      <c r="N555" s="18">
        <f t="shared" si="67"/>
        <v>0.7</v>
      </c>
      <c r="O555" s="32">
        <f t="shared" si="68"/>
        <v>44970</v>
      </c>
      <c r="P555" s="18" t="s">
        <v>19</v>
      </c>
    </row>
    <row r="556" spans="1:16" x14ac:dyDescent="0.25">
      <c r="A556" s="25" t="str">
        <f t="shared" si="65"/>
        <v>2025 JAN-JUN D70</v>
      </c>
      <c r="B556" s="8">
        <f t="shared" si="66"/>
        <v>46104</v>
      </c>
      <c r="C556" s="8">
        <f t="shared" si="70"/>
        <v>46113</v>
      </c>
      <c r="D556" s="7">
        <v>3272</v>
      </c>
      <c r="E556" s="7">
        <v>336</v>
      </c>
      <c r="F556" s="7">
        <v>4</v>
      </c>
      <c r="G556" s="11">
        <v>1</v>
      </c>
      <c r="H556" s="11">
        <v>81379</v>
      </c>
      <c r="I556" s="7" t="s">
        <v>16</v>
      </c>
      <c r="J556" s="11">
        <v>53660047</v>
      </c>
      <c r="K556" s="11" t="s">
        <v>1672</v>
      </c>
      <c r="L556" s="27" t="s">
        <v>1676</v>
      </c>
      <c r="M556" s="9">
        <v>149900</v>
      </c>
      <c r="N556" s="18">
        <f t="shared" si="67"/>
        <v>0.7</v>
      </c>
      <c r="O556" s="32">
        <f t="shared" si="68"/>
        <v>44970</v>
      </c>
      <c r="P556" s="18" t="s">
        <v>19</v>
      </c>
    </row>
    <row r="557" spans="1:16" x14ac:dyDescent="0.25">
      <c r="A557" s="25" t="str">
        <f t="shared" si="65"/>
        <v>2025 JAN-JUN D70</v>
      </c>
      <c r="B557" s="8">
        <f t="shared" si="66"/>
        <v>46104</v>
      </c>
      <c r="C557" s="8">
        <f t="shared" si="70"/>
        <v>46113</v>
      </c>
      <c r="D557" s="7">
        <v>3272</v>
      </c>
      <c r="E557" s="7">
        <v>336</v>
      </c>
      <c r="F557" s="7">
        <v>4</v>
      </c>
      <c r="G557" s="11">
        <v>1</v>
      </c>
      <c r="H557" s="11">
        <v>81379</v>
      </c>
      <c r="I557" s="7" t="s">
        <v>16</v>
      </c>
      <c r="J557" s="11">
        <v>53660056</v>
      </c>
      <c r="K557" s="11" t="s">
        <v>1672</v>
      </c>
      <c r="L557" s="27" t="s">
        <v>1677</v>
      </c>
      <c r="M557" s="9">
        <v>149900</v>
      </c>
      <c r="N557" s="18">
        <f t="shared" si="67"/>
        <v>0.7</v>
      </c>
      <c r="O557" s="32">
        <f t="shared" si="68"/>
        <v>44970</v>
      </c>
      <c r="P557" s="18" t="s">
        <v>19</v>
      </c>
    </row>
    <row r="558" spans="1:16" x14ac:dyDescent="0.25">
      <c r="A558" s="25" t="str">
        <f t="shared" si="65"/>
        <v>2025 JAN-JUN D70</v>
      </c>
      <c r="B558" s="8">
        <f t="shared" si="66"/>
        <v>46104</v>
      </c>
      <c r="C558" s="8">
        <f t="shared" si="70"/>
        <v>46113</v>
      </c>
      <c r="D558" s="7">
        <v>3272</v>
      </c>
      <c r="E558" s="7">
        <v>336</v>
      </c>
      <c r="F558" s="7">
        <v>4</v>
      </c>
      <c r="G558" s="11">
        <v>1</v>
      </c>
      <c r="H558" s="11">
        <v>81379</v>
      </c>
      <c r="I558" s="7" t="s">
        <v>16</v>
      </c>
      <c r="J558" s="11">
        <v>53660065</v>
      </c>
      <c r="K558" s="11" t="s">
        <v>1672</v>
      </c>
      <c r="L558" s="27" t="s">
        <v>1678</v>
      </c>
      <c r="M558" s="9">
        <v>149900</v>
      </c>
      <c r="N558" s="18">
        <f t="shared" si="67"/>
        <v>0.7</v>
      </c>
      <c r="O558" s="32">
        <f t="shared" si="68"/>
        <v>44970</v>
      </c>
      <c r="P558" s="18" t="s">
        <v>19</v>
      </c>
    </row>
    <row r="559" spans="1:16" x14ac:dyDescent="0.25">
      <c r="A559" s="25" t="str">
        <f t="shared" si="65"/>
        <v>2025 JAN-JUN D70</v>
      </c>
      <c r="B559" s="8">
        <f t="shared" si="66"/>
        <v>46104</v>
      </c>
      <c r="C559" s="8">
        <f t="shared" si="70"/>
        <v>46113</v>
      </c>
      <c r="D559" s="7">
        <v>3272</v>
      </c>
      <c r="E559" s="7">
        <v>336</v>
      </c>
      <c r="F559" s="7">
        <v>4</v>
      </c>
      <c r="G559" s="11">
        <v>1</v>
      </c>
      <c r="H559" s="11">
        <v>81379</v>
      </c>
      <c r="I559" s="7" t="s">
        <v>16</v>
      </c>
      <c r="J559" s="11">
        <v>53660074</v>
      </c>
      <c r="K559" s="11" t="s">
        <v>1672</v>
      </c>
      <c r="L559" s="27" t="s">
        <v>1679</v>
      </c>
      <c r="M559" s="9">
        <v>149900</v>
      </c>
      <c r="N559" s="18">
        <f t="shared" si="67"/>
        <v>0.7</v>
      </c>
      <c r="O559" s="32">
        <f t="shared" si="68"/>
        <v>44970</v>
      </c>
      <c r="P559" s="18" t="s">
        <v>19</v>
      </c>
    </row>
    <row r="560" spans="1:16" x14ac:dyDescent="0.25">
      <c r="A560" s="25" t="str">
        <f t="shared" si="65"/>
        <v>2025 JAN-JUN D70</v>
      </c>
      <c r="B560" s="8">
        <f t="shared" si="66"/>
        <v>46104</v>
      </c>
      <c r="C560" s="8">
        <f t="shared" si="70"/>
        <v>46113</v>
      </c>
      <c r="D560" s="7">
        <v>3272</v>
      </c>
      <c r="E560" s="7">
        <v>336</v>
      </c>
      <c r="F560" s="7">
        <v>4</v>
      </c>
      <c r="G560" s="11">
        <v>1</v>
      </c>
      <c r="H560" s="11">
        <v>81379</v>
      </c>
      <c r="I560" s="7" t="s">
        <v>16</v>
      </c>
      <c r="J560" s="11">
        <v>53660083</v>
      </c>
      <c r="K560" s="11" t="s">
        <v>1672</v>
      </c>
      <c r="L560" s="27" t="s">
        <v>1680</v>
      </c>
      <c r="M560" s="9">
        <v>149900</v>
      </c>
      <c r="N560" s="18">
        <f t="shared" si="67"/>
        <v>0.7</v>
      </c>
      <c r="O560" s="32">
        <f t="shared" si="68"/>
        <v>44970</v>
      </c>
      <c r="P560" s="18" t="s">
        <v>19</v>
      </c>
    </row>
    <row r="561" spans="1:16" x14ac:dyDescent="0.25">
      <c r="A561" s="25" t="str">
        <f t="shared" si="65"/>
        <v>2025 JAN-JUN D70</v>
      </c>
      <c r="B561" s="8">
        <f t="shared" si="66"/>
        <v>46104</v>
      </c>
      <c r="C561" s="8">
        <f t="shared" si="70"/>
        <v>46113</v>
      </c>
      <c r="D561" s="7">
        <v>3272</v>
      </c>
      <c r="E561" s="7">
        <v>336</v>
      </c>
      <c r="F561" s="7">
        <v>4</v>
      </c>
      <c r="G561" s="11">
        <v>1</v>
      </c>
      <c r="H561" s="11">
        <v>81379</v>
      </c>
      <c r="I561" s="7" t="s">
        <v>16</v>
      </c>
      <c r="J561" s="11">
        <v>53660092</v>
      </c>
      <c r="K561" s="11" t="s">
        <v>1681</v>
      </c>
      <c r="L561" s="27" t="s">
        <v>1682</v>
      </c>
      <c r="M561" s="9">
        <v>149900</v>
      </c>
      <c r="N561" s="18">
        <f t="shared" si="67"/>
        <v>0.7</v>
      </c>
      <c r="O561" s="32">
        <f t="shared" si="68"/>
        <v>44970</v>
      </c>
      <c r="P561" s="18" t="s">
        <v>19</v>
      </c>
    </row>
    <row r="562" spans="1:16" x14ac:dyDescent="0.25">
      <c r="A562" s="25" t="str">
        <f t="shared" si="65"/>
        <v>2025 JAN-JUN D70</v>
      </c>
      <c r="B562" s="8">
        <f t="shared" si="66"/>
        <v>46104</v>
      </c>
      <c r="C562" s="8">
        <f t="shared" si="70"/>
        <v>46113</v>
      </c>
      <c r="D562" s="7">
        <v>3272</v>
      </c>
      <c r="E562" s="7">
        <v>336</v>
      </c>
      <c r="F562" s="7">
        <v>4</v>
      </c>
      <c r="G562" s="11">
        <v>1</v>
      </c>
      <c r="H562" s="11">
        <v>81379</v>
      </c>
      <c r="I562" s="7" t="s">
        <v>16</v>
      </c>
      <c r="J562" s="11">
        <v>53660109</v>
      </c>
      <c r="K562" s="11" t="s">
        <v>1681</v>
      </c>
      <c r="L562" s="27" t="s">
        <v>1683</v>
      </c>
      <c r="M562" s="9">
        <v>149900</v>
      </c>
      <c r="N562" s="18">
        <f t="shared" si="67"/>
        <v>0.7</v>
      </c>
      <c r="O562" s="32">
        <f t="shared" si="68"/>
        <v>44970</v>
      </c>
      <c r="P562" s="18" t="s">
        <v>19</v>
      </c>
    </row>
    <row r="563" spans="1:16" x14ac:dyDescent="0.25">
      <c r="A563" s="25" t="str">
        <f t="shared" si="65"/>
        <v>2025 JAN-JUN D70</v>
      </c>
      <c r="B563" s="8">
        <f t="shared" si="66"/>
        <v>46104</v>
      </c>
      <c r="C563" s="8">
        <f t="shared" ref="C563:C568" si="71">C562</f>
        <v>46113</v>
      </c>
      <c r="D563" s="7">
        <v>3272</v>
      </c>
      <c r="E563" s="7">
        <v>336</v>
      </c>
      <c r="F563" s="7">
        <v>4</v>
      </c>
      <c r="G563" s="11">
        <v>1</v>
      </c>
      <c r="H563" s="11">
        <v>81379</v>
      </c>
      <c r="I563" s="7" t="s">
        <v>16</v>
      </c>
      <c r="J563" s="11">
        <v>53660118</v>
      </c>
      <c r="K563" s="11" t="s">
        <v>1681</v>
      </c>
      <c r="L563" s="27" t="s">
        <v>1684</v>
      </c>
      <c r="M563" s="9">
        <v>149900</v>
      </c>
      <c r="N563" s="18">
        <f t="shared" si="67"/>
        <v>0.7</v>
      </c>
      <c r="O563" s="32">
        <f t="shared" si="68"/>
        <v>44970</v>
      </c>
      <c r="P563" s="18" t="s">
        <v>19</v>
      </c>
    </row>
    <row r="564" spans="1:16" x14ac:dyDescent="0.25">
      <c r="A564" s="25" t="str">
        <f t="shared" si="65"/>
        <v>2025 JAN-JUN D70</v>
      </c>
      <c r="B564" s="8">
        <f t="shared" si="66"/>
        <v>46104</v>
      </c>
      <c r="C564" s="8">
        <f t="shared" si="71"/>
        <v>46113</v>
      </c>
      <c r="D564" s="7">
        <v>3272</v>
      </c>
      <c r="E564" s="7">
        <v>336</v>
      </c>
      <c r="F564" s="7">
        <v>4</v>
      </c>
      <c r="G564" s="11">
        <v>1</v>
      </c>
      <c r="H564" s="11">
        <v>81379</v>
      </c>
      <c r="I564" s="7" t="s">
        <v>16</v>
      </c>
      <c r="J564" s="11">
        <v>53660127</v>
      </c>
      <c r="K564" s="11" t="s">
        <v>1681</v>
      </c>
      <c r="L564" s="27" t="s">
        <v>1685</v>
      </c>
      <c r="M564" s="9">
        <v>149900</v>
      </c>
      <c r="N564" s="18">
        <f t="shared" si="67"/>
        <v>0.7</v>
      </c>
      <c r="O564" s="32">
        <f t="shared" si="68"/>
        <v>44970</v>
      </c>
      <c r="P564" s="18" t="s">
        <v>19</v>
      </c>
    </row>
    <row r="565" spans="1:16" x14ac:dyDescent="0.25">
      <c r="A565" s="25" t="str">
        <f t="shared" si="65"/>
        <v>2025 JAN-JUN D70</v>
      </c>
      <c r="B565" s="8">
        <f t="shared" si="66"/>
        <v>46104</v>
      </c>
      <c r="C565" s="8">
        <f t="shared" si="71"/>
        <v>46113</v>
      </c>
      <c r="D565" s="7">
        <v>3272</v>
      </c>
      <c r="E565" s="7">
        <v>336</v>
      </c>
      <c r="F565" s="7">
        <v>4</v>
      </c>
      <c r="G565" s="11">
        <v>1</v>
      </c>
      <c r="H565" s="11">
        <v>81379</v>
      </c>
      <c r="I565" s="7" t="s">
        <v>16</v>
      </c>
      <c r="J565" s="11">
        <v>53660136</v>
      </c>
      <c r="K565" s="11" t="s">
        <v>1681</v>
      </c>
      <c r="L565" s="27" t="s">
        <v>1686</v>
      </c>
      <c r="M565" s="9">
        <v>149900</v>
      </c>
      <c r="N565" s="18">
        <f t="shared" si="67"/>
        <v>0.7</v>
      </c>
      <c r="O565" s="32">
        <f t="shared" si="68"/>
        <v>44970</v>
      </c>
      <c r="P565" s="18" t="s">
        <v>19</v>
      </c>
    </row>
    <row r="566" spans="1:16" x14ac:dyDescent="0.25">
      <c r="A566" s="25" t="str">
        <f t="shared" si="65"/>
        <v>2025 JAN-JUN D70</v>
      </c>
      <c r="B566" s="8">
        <f t="shared" si="66"/>
        <v>46104</v>
      </c>
      <c r="C566" s="8">
        <f t="shared" si="71"/>
        <v>46113</v>
      </c>
      <c r="D566" s="7">
        <v>3272</v>
      </c>
      <c r="E566" s="7">
        <v>336</v>
      </c>
      <c r="F566" s="7">
        <v>4</v>
      </c>
      <c r="G566" s="11">
        <v>1</v>
      </c>
      <c r="H566" s="11">
        <v>81379</v>
      </c>
      <c r="I566" s="7" t="s">
        <v>16</v>
      </c>
      <c r="J566" s="11">
        <v>53660145</v>
      </c>
      <c r="K566" s="11" t="s">
        <v>1681</v>
      </c>
      <c r="L566" s="27" t="s">
        <v>1687</v>
      </c>
      <c r="M566" s="9">
        <v>149900</v>
      </c>
      <c r="N566" s="18">
        <f t="shared" si="67"/>
        <v>0.7</v>
      </c>
      <c r="O566" s="32">
        <f t="shared" si="68"/>
        <v>44970</v>
      </c>
      <c r="P566" s="18" t="s">
        <v>19</v>
      </c>
    </row>
    <row r="567" spans="1:16" x14ac:dyDescent="0.25">
      <c r="A567" s="25" t="str">
        <f t="shared" si="65"/>
        <v>2025 JAN-JUN D70</v>
      </c>
      <c r="B567" s="8">
        <f t="shared" si="66"/>
        <v>46104</v>
      </c>
      <c r="C567" s="8">
        <f t="shared" si="71"/>
        <v>46113</v>
      </c>
      <c r="D567" s="7">
        <v>3272</v>
      </c>
      <c r="E567" s="7">
        <v>336</v>
      </c>
      <c r="F567" s="7">
        <v>4</v>
      </c>
      <c r="G567" s="11">
        <v>1</v>
      </c>
      <c r="H567" s="11">
        <v>81379</v>
      </c>
      <c r="I567" s="7" t="s">
        <v>16</v>
      </c>
      <c r="J567" s="11">
        <v>53660154</v>
      </c>
      <c r="K567" s="11" t="s">
        <v>1681</v>
      </c>
      <c r="L567" s="27" t="s">
        <v>1688</v>
      </c>
      <c r="M567" s="9">
        <v>149900</v>
      </c>
      <c r="N567" s="18">
        <f t="shared" si="67"/>
        <v>0.7</v>
      </c>
      <c r="O567" s="32">
        <f t="shared" si="68"/>
        <v>44970</v>
      </c>
      <c r="P567" s="18" t="s">
        <v>19</v>
      </c>
    </row>
    <row r="568" spans="1:16" x14ac:dyDescent="0.25">
      <c r="A568" s="25" t="str">
        <f t="shared" si="65"/>
        <v>2025 JAN-JUN D70</v>
      </c>
      <c r="B568" s="8">
        <f t="shared" si="66"/>
        <v>46104</v>
      </c>
      <c r="C568" s="8">
        <f t="shared" si="71"/>
        <v>46113</v>
      </c>
      <c r="D568" s="7">
        <v>3272</v>
      </c>
      <c r="E568" s="7">
        <v>336</v>
      </c>
      <c r="F568" s="7">
        <v>4</v>
      </c>
      <c r="G568" s="11">
        <v>1</v>
      </c>
      <c r="H568" s="11">
        <v>81379</v>
      </c>
      <c r="I568" s="7" t="s">
        <v>16</v>
      </c>
      <c r="J568" s="11">
        <v>53660163</v>
      </c>
      <c r="K568" s="11" t="s">
        <v>1681</v>
      </c>
      <c r="L568" s="27" t="s">
        <v>1689</v>
      </c>
      <c r="M568" s="9">
        <v>149900</v>
      </c>
      <c r="N568" s="18">
        <f t="shared" si="67"/>
        <v>0.7</v>
      </c>
      <c r="O568" s="32">
        <f t="shared" si="68"/>
        <v>44970</v>
      </c>
      <c r="P568" s="18" t="s">
        <v>19</v>
      </c>
    </row>
    <row r="569" spans="1:16" s="16" customFormat="1" x14ac:dyDescent="0.25">
      <c r="A569" s="25" t="str">
        <f t="shared" si="65"/>
        <v>2025 JAN-JUN D70</v>
      </c>
      <c r="B569" s="8">
        <f t="shared" si="66"/>
        <v>46104</v>
      </c>
      <c r="C569" s="8">
        <f>'[1]2019 ALL D95'!C2</f>
        <v>46113</v>
      </c>
      <c r="D569" s="7">
        <v>3272</v>
      </c>
      <c r="E569" s="7">
        <v>336</v>
      </c>
      <c r="F569" s="7">
        <v>4</v>
      </c>
      <c r="G569" s="7">
        <v>1</v>
      </c>
      <c r="H569" s="7">
        <v>4953</v>
      </c>
      <c r="I569" s="7" t="s">
        <v>16</v>
      </c>
      <c r="J569" s="7">
        <v>52777496</v>
      </c>
      <c r="K569" s="7" t="s">
        <v>1690</v>
      </c>
      <c r="L569" s="27" t="s">
        <v>1691</v>
      </c>
      <c r="M569" s="9">
        <v>139900</v>
      </c>
      <c r="N569" s="18">
        <f t="shared" si="67"/>
        <v>0.7</v>
      </c>
      <c r="O569" s="32">
        <f t="shared" si="68"/>
        <v>41970</v>
      </c>
      <c r="P569" s="18" t="s">
        <v>19</v>
      </c>
    </row>
    <row r="570" spans="1:16" s="16" customFormat="1" x14ac:dyDescent="0.25">
      <c r="A570" s="25" t="str">
        <f t="shared" si="65"/>
        <v>2025 JAN-JUN D70</v>
      </c>
      <c r="B570" s="8">
        <f t="shared" si="66"/>
        <v>46104</v>
      </c>
      <c r="C570" s="8">
        <f t="shared" ref="C570:C601" si="72">C569</f>
        <v>46113</v>
      </c>
      <c r="D570" s="7">
        <v>3272</v>
      </c>
      <c r="E570" s="7">
        <v>336</v>
      </c>
      <c r="F570" s="7">
        <v>4</v>
      </c>
      <c r="G570" s="7">
        <v>1</v>
      </c>
      <c r="H570" s="7">
        <v>4953</v>
      </c>
      <c r="I570" s="7" t="str">
        <f t="shared" ref="I570:I601" si="73">I569</f>
        <v>CHARACTER</v>
      </c>
      <c r="J570" s="7">
        <v>52777503</v>
      </c>
      <c r="K570" s="7" t="s">
        <v>1690</v>
      </c>
      <c r="L570" s="27" t="s">
        <v>1692</v>
      </c>
      <c r="M570" s="9">
        <v>139900</v>
      </c>
      <c r="N570" s="18">
        <f t="shared" si="67"/>
        <v>0.7</v>
      </c>
      <c r="O570" s="32">
        <f t="shared" si="68"/>
        <v>41970</v>
      </c>
      <c r="P570" s="18" t="s">
        <v>19</v>
      </c>
    </row>
    <row r="571" spans="1:16" s="16" customFormat="1" x14ac:dyDescent="0.25">
      <c r="A571" s="25" t="str">
        <f t="shared" si="65"/>
        <v>2025 JAN-JUN D70</v>
      </c>
      <c r="B571" s="8">
        <f t="shared" si="66"/>
        <v>46104</v>
      </c>
      <c r="C571" s="8">
        <f t="shared" si="72"/>
        <v>46113</v>
      </c>
      <c r="D571" s="7">
        <v>3272</v>
      </c>
      <c r="E571" s="7">
        <v>336</v>
      </c>
      <c r="F571" s="7">
        <v>4</v>
      </c>
      <c r="G571" s="7">
        <v>1</v>
      </c>
      <c r="H571" s="7">
        <v>4953</v>
      </c>
      <c r="I571" s="7" t="str">
        <f t="shared" si="73"/>
        <v>CHARACTER</v>
      </c>
      <c r="J571" s="7">
        <v>52777512</v>
      </c>
      <c r="K571" s="7" t="s">
        <v>1690</v>
      </c>
      <c r="L571" s="27" t="s">
        <v>1693</v>
      </c>
      <c r="M571" s="9">
        <v>139900</v>
      </c>
      <c r="N571" s="18">
        <f t="shared" si="67"/>
        <v>0.7</v>
      </c>
      <c r="O571" s="32">
        <f t="shared" si="68"/>
        <v>41970</v>
      </c>
      <c r="P571" s="18" t="s">
        <v>19</v>
      </c>
    </row>
    <row r="572" spans="1:16" s="16" customFormat="1" x14ac:dyDescent="0.25">
      <c r="A572" s="25" t="str">
        <f t="shared" si="65"/>
        <v>2025 JAN-JUN D70</v>
      </c>
      <c r="B572" s="8">
        <f t="shared" si="66"/>
        <v>46104</v>
      </c>
      <c r="C572" s="8">
        <f t="shared" si="72"/>
        <v>46113</v>
      </c>
      <c r="D572" s="7">
        <v>3272</v>
      </c>
      <c r="E572" s="7">
        <v>336</v>
      </c>
      <c r="F572" s="7">
        <v>4</v>
      </c>
      <c r="G572" s="11">
        <v>1</v>
      </c>
      <c r="H572" s="11">
        <v>4953</v>
      </c>
      <c r="I572" s="7" t="str">
        <f t="shared" si="73"/>
        <v>CHARACTER</v>
      </c>
      <c r="J572" s="11">
        <v>52777521</v>
      </c>
      <c r="K572" s="11" t="s">
        <v>1690</v>
      </c>
      <c r="L572" s="27" t="s">
        <v>1694</v>
      </c>
      <c r="M572" s="7">
        <v>139900</v>
      </c>
      <c r="N572" s="18">
        <f t="shared" si="67"/>
        <v>0.7</v>
      </c>
      <c r="O572" s="32">
        <f t="shared" si="68"/>
        <v>41970</v>
      </c>
      <c r="P572" s="18" t="s">
        <v>19</v>
      </c>
    </row>
    <row r="573" spans="1:16" s="16" customFormat="1" x14ac:dyDescent="0.25">
      <c r="A573" s="25" t="str">
        <f t="shared" si="65"/>
        <v>2025 JAN-JUN D70</v>
      </c>
      <c r="B573" s="8">
        <f t="shared" si="66"/>
        <v>46104</v>
      </c>
      <c r="C573" s="8">
        <f t="shared" si="72"/>
        <v>46113</v>
      </c>
      <c r="D573" s="7">
        <v>3272</v>
      </c>
      <c r="E573" s="7">
        <v>336</v>
      </c>
      <c r="F573" s="7">
        <v>4</v>
      </c>
      <c r="G573" s="11">
        <v>1</v>
      </c>
      <c r="H573" s="11">
        <v>4953</v>
      </c>
      <c r="I573" s="7" t="str">
        <f t="shared" si="73"/>
        <v>CHARACTER</v>
      </c>
      <c r="J573" s="11">
        <v>52777530</v>
      </c>
      <c r="K573" s="11" t="s">
        <v>1690</v>
      </c>
      <c r="L573" s="27" t="s">
        <v>1695</v>
      </c>
      <c r="M573" s="7">
        <v>139900</v>
      </c>
      <c r="N573" s="18">
        <f t="shared" si="67"/>
        <v>0.7</v>
      </c>
      <c r="O573" s="32">
        <f t="shared" si="68"/>
        <v>41970</v>
      </c>
      <c r="P573" s="18" t="s">
        <v>19</v>
      </c>
    </row>
    <row r="574" spans="1:16" s="16" customFormat="1" x14ac:dyDescent="0.25">
      <c r="A574" s="25" t="str">
        <f t="shared" si="65"/>
        <v>2025 JAN-JUN D70</v>
      </c>
      <c r="B574" s="8">
        <f t="shared" si="66"/>
        <v>46104</v>
      </c>
      <c r="C574" s="8">
        <f t="shared" si="72"/>
        <v>46113</v>
      </c>
      <c r="D574" s="7">
        <v>3272</v>
      </c>
      <c r="E574" s="7">
        <v>336</v>
      </c>
      <c r="F574" s="7">
        <v>4</v>
      </c>
      <c r="G574" s="11">
        <v>1</v>
      </c>
      <c r="H574" s="11">
        <v>4953</v>
      </c>
      <c r="I574" s="7" t="str">
        <f t="shared" si="73"/>
        <v>CHARACTER</v>
      </c>
      <c r="J574" s="11">
        <v>52777549</v>
      </c>
      <c r="K574" s="11" t="s">
        <v>1690</v>
      </c>
      <c r="L574" s="27" t="s">
        <v>1696</v>
      </c>
      <c r="M574" s="7">
        <v>139900</v>
      </c>
      <c r="N574" s="18">
        <f t="shared" si="67"/>
        <v>0.7</v>
      </c>
      <c r="O574" s="32">
        <f t="shared" si="68"/>
        <v>41970</v>
      </c>
      <c r="P574" s="18" t="s">
        <v>19</v>
      </c>
    </row>
    <row r="575" spans="1:16" s="16" customFormat="1" x14ac:dyDescent="0.25">
      <c r="A575" s="25" t="str">
        <f t="shared" si="65"/>
        <v>2025 JAN-JUN D70</v>
      </c>
      <c r="B575" s="8">
        <f t="shared" si="66"/>
        <v>46104</v>
      </c>
      <c r="C575" s="8">
        <f t="shared" si="72"/>
        <v>46113</v>
      </c>
      <c r="D575" s="7">
        <v>3272</v>
      </c>
      <c r="E575" s="7">
        <v>336</v>
      </c>
      <c r="F575" s="7">
        <v>4</v>
      </c>
      <c r="G575" s="11">
        <v>1</v>
      </c>
      <c r="H575" s="11">
        <v>4953</v>
      </c>
      <c r="I575" s="7" t="str">
        <f t="shared" si="73"/>
        <v>CHARACTER</v>
      </c>
      <c r="J575" s="11">
        <v>52777558</v>
      </c>
      <c r="K575" s="11" t="s">
        <v>1690</v>
      </c>
      <c r="L575" s="27" t="s">
        <v>1697</v>
      </c>
      <c r="M575" s="7">
        <v>139900</v>
      </c>
      <c r="N575" s="18">
        <f t="shared" si="67"/>
        <v>0.7</v>
      </c>
      <c r="O575" s="32">
        <f t="shared" si="68"/>
        <v>41970</v>
      </c>
      <c r="P575" s="18" t="s">
        <v>19</v>
      </c>
    </row>
    <row r="576" spans="1:16" s="16" customFormat="1" x14ac:dyDescent="0.25">
      <c r="A576" s="25" t="str">
        <f t="shared" si="65"/>
        <v>2025 JAN-JUN D70</v>
      </c>
      <c r="B576" s="8">
        <f t="shared" si="66"/>
        <v>46104</v>
      </c>
      <c r="C576" s="8">
        <f t="shared" si="72"/>
        <v>46113</v>
      </c>
      <c r="D576" s="7">
        <v>3272</v>
      </c>
      <c r="E576" s="7">
        <v>336</v>
      </c>
      <c r="F576" s="7">
        <v>4</v>
      </c>
      <c r="G576" s="11">
        <v>1</v>
      </c>
      <c r="H576" s="11">
        <v>4953</v>
      </c>
      <c r="I576" s="7" t="str">
        <f t="shared" si="73"/>
        <v>CHARACTER</v>
      </c>
      <c r="J576" s="11">
        <v>52777567</v>
      </c>
      <c r="K576" s="11" t="s">
        <v>1690</v>
      </c>
      <c r="L576" s="27" t="s">
        <v>1698</v>
      </c>
      <c r="M576" s="7">
        <v>139900</v>
      </c>
      <c r="N576" s="18">
        <f t="shared" si="67"/>
        <v>0.7</v>
      </c>
      <c r="O576" s="32">
        <f t="shared" si="68"/>
        <v>41970</v>
      </c>
      <c r="P576" s="18" t="s">
        <v>19</v>
      </c>
    </row>
    <row r="577" spans="1:16" s="16" customFormat="1" x14ac:dyDescent="0.25">
      <c r="A577" s="25" t="str">
        <f t="shared" si="65"/>
        <v>2025 JAN-JUN D70</v>
      </c>
      <c r="B577" s="8">
        <f t="shared" si="66"/>
        <v>46104</v>
      </c>
      <c r="C577" s="8">
        <f t="shared" si="72"/>
        <v>46113</v>
      </c>
      <c r="D577" s="7">
        <v>3272</v>
      </c>
      <c r="E577" s="7">
        <v>336</v>
      </c>
      <c r="F577" s="7">
        <v>4</v>
      </c>
      <c r="G577" s="11">
        <v>1</v>
      </c>
      <c r="H577" s="11">
        <v>81379</v>
      </c>
      <c r="I577" s="7" t="str">
        <f t="shared" si="73"/>
        <v>CHARACTER</v>
      </c>
      <c r="J577" s="11">
        <v>51562602</v>
      </c>
      <c r="K577" s="11" t="s">
        <v>1699</v>
      </c>
      <c r="L577" s="27" t="s">
        <v>1700</v>
      </c>
      <c r="M577" s="7">
        <v>149900</v>
      </c>
      <c r="N577" s="18">
        <f t="shared" si="67"/>
        <v>0.7</v>
      </c>
      <c r="O577" s="32">
        <f t="shared" si="68"/>
        <v>44970</v>
      </c>
      <c r="P577" s="18" t="s">
        <v>19</v>
      </c>
    </row>
    <row r="578" spans="1:16" s="16" customFormat="1" x14ac:dyDescent="0.25">
      <c r="A578" s="25" t="str">
        <f t="shared" si="65"/>
        <v>2025 JAN-JUN D70</v>
      </c>
      <c r="B578" s="8">
        <f t="shared" si="66"/>
        <v>46104</v>
      </c>
      <c r="C578" s="8">
        <f t="shared" si="72"/>
        <v>46113</v>
      </c>
      <c r="D578" s="7">
        <v>3272</v>
      </c>
      <c r="E578" s="7">
        <v>336</v>
      </c>
      <c r="F578" s="7">
        <v>4</v>
      </c>
      <c r="G578" s="11">
        <v>1</v>
      </c>
      <c r="H578" s="11">
        <v>81379</v>
      </c>
      <c r="I578" s="7" t="str">
        <f t="shared" si="73"/>
        <v>CHARACTER</v>
      </c>
      <c r="J578" s="11">
        <v>51562611</v>
      </c>
      <c r="K578" s="11" t="s">
        <v>1699</v>
      </c>
      <c r="L578" s="27" t="s">
        <v>1701</v>
      </c>
      <c r="M578" s="7">
        <v>149900</v>
      </c>
      <c r="N578" s="18">
        <f t="shared" si="67"/>
        <v>0.7</v>
      </c>
      <c r="O578" s="32">
        <f t="shared" si="68"/>
        <v>44970</v>
      </c>
      <c r="P578" s="18" t="s">
        <v>19</v>
      </c>
    </row>
    <row r="579" spans="1:16" s="16" customFormat="1" x14ac:dyDescent="0.25">
      <c r="A579" s="25" t="str">
        <f t="shared" si="65"/>
        <v>2025 JAN-JUN D70</v>
      </c>
      <c r="B579" s="8">
        <f t="shared" si="66"/>
        <v>46104</v>
      </c>
      <c r="C579" s="8">
        <f t="shared" si="72"/>
        <v>46113</v>
      </c>
      <c r="D579" s="7">
        <v>3272</v>
      </c>
      <c r="E579" s="7">
        <v>336</v>
      </c>
      <c r="F579" s="7">
        <v>4</v>
      </c>
      <c r="G579" s="11">
        <v>1</v>
      </c>
      <c r="H579" s="11">
        <v>81379</v>
      </c>
      <c r="I579" s="7" t="str">
        <f t="shared" si="73"/>
        <v>CHARACTER</v>
      </c>
      <c r="J579" s="11">
        <v>51562620</v>
      </c>
      <c r="K579" s="11" t="s">
        <v>1699</v>
      </c>
      <c r="L579" s="27" t="s">
        <v>1702</v>
      </c>
      <c r="M579" s="7">
        <v>149900</v>
      </c>
      <c r="N579" s="18">
        <f t="shared" si="67"/>
        <v>0.7</v>
      </c>
      <c r="O579" s="32">
        <f t="shared" si="68"/>
        <v>44970</v>
      </c>
      <c r="P579" s="18" t="s">
        <v>19</v>
      </c>
    </row>
    <row r="580" spans="1:16" s="16" customFormat="1" x14ac:dyDescent="0.25">
      <c r="A580" s="25" t="str">
        <f t="shared" ref="A580:A643" si="74">A579</f>
        <v>2025 JAN-JUN D70</v>
      </c>
      <c r="B580" s="8">
        <f t="shared" ref="B580:B643" si="75">B579</f>
        <v>46104</v>
      </c>
      <c r="C580" s="8">
        <f t="shared" si="72"/>
        <v>46113</v>
      </c>
      <c r="D580" s="7">
        <v>3272</v>
      </c>
      <c r="E580" s="7">
        <v>336</v>
      </c>
      <c r="F580" s="7">
        <v>4</v>
      </c>
      <c r="G580" s="11">
        <v>1</v>
      </c>
      <c r="H580" s="11">
        <v>81379</v>
      </c>
      <c r="I580" s="7" t="str">
        <f t="shared" si="73"/>
        <v>CHARACTER</v>
      </c>
      <c r="J580" s="11">
        <v>51562639</v>
      </c>
      <c r="K580" s="11" t="s">
        <v>1699</v>
      </c>
      <c r="L580" s="27" t="s">
        <v>1703</v>
      </c>
      <c r="M580" s="7">
        <v>149900</v>
      </c>
      <c r="N580" s="18">
        <f t="shared" ref="N580:N643" si="76">N579</f>
        <v>0.7</v>
      </c>
      <c r="O580" s="32">
        <f t="shared" ref="O580:O643" si="77">M580-((70*M580)/100)</f>
        <v>44970</v>
      </c>
      <c r="P580" s="18" t="s">
        <v>19</v>
      </c>
    </row>
    <row r="581" spans="1:16" s="16" customFormat="1" x14ac:dyDescent="0.25">
      <c r="A581" s="25" t="str">
        <f t="shared" si="74"/>
        <v>2025 JAN-JUN D70</v>
      </c>
      <c r="B581" s="8">
        <f t="shared" si="75"/>
        <v>46104</v>
      </c>
      <c r="C581" s="8">
        <f t="shared" si="72"/>
        <v>46113</v>
      </c>
      <c r="D581" s="7">
        <v>3272</v>
      </c>
      <c r="E581" s="7">
        <v>336</v>
      </c>
      <c r="F581" s="7">
        <v>4</v>
      </c>
      <c r="G581" s="11">
        <v>1</v>
      </c>
      <c r="H581" s="11">
        <v>81379</v>
      </c>
      <c r="I581" s="7" t="str">
        <f t="shared" si="73"/>
        <v>CHARACTER</v>
      </c>
      <c r="J581" s="11">
        <v>51562648</v>
      </c>
      <c r="K581" s="11" t="s">
        <v>1699</v>
      </c>
      <c r="L581" s="27" t="s">
        <v>1704</v>
      </c>
      <c r="M581" s="7">
        <v>149900</v>
      </c>
      <c r="N581" s="18">
        <f t="shared" si="76"/>
        <v>0.7</v>
      </c>
      <c r="O581" s="32">
        <f t="shared" si="77"/>
        <v>44970</v>
      </c>
      <c r="P581" s="18" t="s">
        <v>19</v>
      </c>
    </row>
    <row r="582" spans="1:16" s="16" customFormat="1" x14ac:dyDescent="0.25">
      <c r="A582" s="25" t="str">
        <f t="shared" si="74"/>
        <v>2025 JAN-JUN D70</v>
      </c>
      <c r="B582" s="8">
        <f t="shared" si="75"/>
        <v>46104</v>
      </c>
      <c r="C582" s="8">
        <f t="shared" si="72"/>
        <v>46113</v>
      </c>
      <c r="D582" s="7">
        <v>3272</v>
      </c>
      <c r="E582" s="7">
        <v>336</v>
      </c>
      <c r="F582" s="7">
        <v>4</v>
      </c>
      <c r="G582" s="11">
        <v>1</v>
      </c>
      <c r="H582" s="11">
        <v>81379</v>
      </c>
      <c r="I582" s="7" t="str">
        <f t="shared" si="73"/>
        <v>CHARACTER</v>
      </c>
      <c r="J582" s="11">
        <v>51562657</v>
      </c>
      <c r="K582" s="11" t="s">
        <v>1699</v>
      </c>
      <c r="L582" s="27" t="s">
        <v>1705</v>
      </c>
      <c r="M582" s="7">
        <v>149900</v>
      </c>
      <c r="N582" s="18">
        <f t="shared" si="76"/>
        <v>0.7</v>
      </c>
      <c r="O582" s="32">
        <f t="shared" si="77"/>
        <v>44970</v>
      </c>
      <c r="P582" s="18" t="s">
        <v>19</v>
      </c>
    </row>
    <row r="583" spans="1:16" s="16" customFormat="1" x14ac:dyDescent="0.25">
      <c r="A583" s="25" t="str">
        <f t="shared" si="74"/>
        <v>2025 JAN-JUN D70</v>
      </c>
      <c r="B583" s="8">
        <f t="shared" si="75"/>
        <v>46104</v>
      </c>
      <c r="C583" s="8">
        <f t="shared" si="72"/>
        <v>46113</v>
      </c>
      <c r="D583" s="7">
        <v>3272</v>
      </c>
      <c r="E583" s="7">
        <v>336</v>
      </c>
      <c r="F583" s="7">
        <v>4</v>
      </c>
      <c r="G583" s="11">
        <v>1</v>
      </c>
      <c r="H583" s="11">
        <v>81379</v>
      </c>
      <c r="I583" s="7" t="str">
        <f t="shared" si="73"/>
        <v>CHARACTER</v>
      </c>
      <c r="J583" s="11">
        <v>51562666</v>
      </c>
      <c r="K583" s="11" t="s">
        <v>1699</v>
      </c>
      <c r="L583" s="27" t="s">
        <v>1706</v>
      </c>
      <c r="M583" s="7">
        <v>149900</v>
      </c>
      <c r="N583" s="18">
        <f t="shared" si="76"/>
        <v>0.7</v>
      </c>
      <c r="O583" s="32">
        <f t="shared" si="77"/>
        <v>44970</v>
      </c>
      <c r="P583" s="18" t="s">
        <v>19</v>
      </c>
    </row>
    <row r="584" spans="1:16" s="16" customFormat="1" x14ac:dyDescent="0.25">
      <c r="A584" s="25" t="str">
        <f t="shared" si="74"/>
        <v>2025 JAN-JUN D70</v>
      </c>
      <c r="B584" s="8">
        <f t="shared" si="75"/>
        <v>46104</v>
      </c>
      <c r="C584" s="8">
        <f t="shared" si="72"/>
        <v>46113</v>
      </c>
      <c r="D584" s="7">
        <v>3272</v>
      </c>
      <c r="E584" s="7">
        <v>336</v>
      </c>
      <c r="F584" s="7">
        <v>4</v>
      </c>
      <c r="G584" s="11">
        <v>1</v>
      </c>
      <c r="H584" s="11">
        <v>81379</v>
      </c>
      <c r="I584" s="7" t="str">
        <f t="shared" si="73"/>
        <v>CHARACTER</v>
      </c>
      <c r="J584" s="11">
        <v>51562675</v>
      </c>
      <c r="K584" s="11" t="s">
        <v>1699</v>
      </c>
      <c r="L584" s="27" t="s">
        <v>1707</v>
      </c>
      <c r="M584" s="7">
        <v>149900</v>
      </c>
      <c r="N584" s="18">
        <f t="shared" si="76"/>
        <v>0.7</v>
      </c>
      <c r="O584" s="32">
        <f t="shared" si="77"/>
        <v>44970</v>
      </c>
      <c r="P584" s="18" t="s">
        <v>19</v>
      </c>
    </row>
    <row r="585" spans="1:16" s="16" customFormat="1" x14ac:dyDescent="0.25">
      <c r="A585" s="25" t="str">
        <f t="shared" si="74"/>
        <v>2025 JAN-JUN D70</v>
      </c>
      <c r="B585" s="8">
        <f t="shared" si="75"/>
        <v>46104</v>
      </c>
      <c r="C585" s="8">
        <f t="shared" si="72"/>
        <v>46113</v>
      </c>
      <c r="D585" s="7">
        <v>3272</v>
      </c>
      <c r="E585" s="7">
        <v>336</v>
      </c>
      <c r="F585" s="7">
        <v>4</v>
      </c>
      <c r="G585" s="11">
        <v>1</v>
      </c>
      <c r="H585" s="11">
        <v>81379</v>
      </c>
      <c r="I585" s="7" t="str">
        <f t="shared" si="73"/>
        <v>CHARACTER</v>
      </c>
      <c r="J585" s="11">
        <v>51562684</v>
      </c>
      <c r="K585" s="11" t="s">
        <v>1708</v>
      </c>
      <c r="L585" s="27" t="s">
        <v>1709</v>
      </c>
      <c r="M585" s="7">
        <v>149900</v>
      </c>
      <c r="N585" s="18">
        <f t="shared" si="76"/>
        <v>0.7</v>
      </c>
      <c r="O585" s="32">
        <f t="shared" si="77"/>
        <v>44970</v>
      </c>
      <c r="P585" s="18" t="s">
        <v>19</v>
      </c>
    </row>
    <row r="586" spans="1:16" s="16" customFormat="1" x14ac:dyDescent="0.25">
      <c r="A586" s="25" t="str">
        <f t="shared" si="74"/>
        <v>2025 JAN-JUN D70</v>
      </c>
      <c r="B586" s="8">
        <f t="shared" si="75"/>
        <v>46104</v>
      </c>
      <c r="C586" s="8">
        <f t="shared" si="72"/>
        <v>46113</v>
      </c>
      <c r="D586" s="7">
        <v>3272</v>
      </c>
      <c r="E586" s="7">
        <v>336</v>
      </c>
      <c r="F586" s="7">
        <v>4</v>
      </c>
      <c r="G586" s="11">
        <v>1</v>
      </c>
      <c r="H586" s="11">
        <v>81379</v>
      </c>
      <c r="I586" s="7" t="str">
        <f t="shared" si="73"/>
        <v>CHARACTER</v>
      </c>
      <c r="J586" s="11">
        <v>51562693</v>
      </c>
      <c r="K586" s="11" t="s">
        <v>1708</v>
      </c>
      <c r="L586" s="27" t="s">
        <v>1710</v>
      </c>
      <c r="M586" s="7">
        <v>149900</v>
      </c>
      <c r="N586" s="18">
        <f t="shared" si="76"/>
        <v>0.7</v>
      </c>
      <c r="O586" s="32">
        <f t="shared" si="77"/>
        <v>44970</v>
      </c>
      <c r="P586" s="18" t="s">
        <v>19</v>
      </c>
    </row>
    <row r="587" spans="1:16" s="16" customFormat="1" x14ac:dyDescent="0.25">
      <c r="A587" s="25" t="str">
        <f t="shared" si="74"/>
        <v>2025 JAN-JUN D70</v>
      </c>
      <c r="B587" s="8">
        <f t="shared" si="75"/>
        <v>46104</v>
      </c>
      <c r="C587" s="8">
        <f t="shared" si="72"/>
        <v>46113</v>
      </c>
      <c r="D587" s="7">
        <v>3272</v>
      </c>
      <c r="E587" s="7">
        <v>336</v>
      </c>
      <c r="F587" s="7">
        <v>4</v>
      </c>
      <c r="G587" s="11">
        <v>1</v>
      </c>
      <c r="H587" s="11">
        <v>81379</v>
      </c>
      <c r="I587" s="7" t="str">
        <f t="shared" si="73"/>
        <v>CHARACTER</v>
      </c>
      <c r="J587" s="11">
        <v>51562700</v>
      </c>
      <c r="K587" s="11" t="s">
        <v>1708</v>
      </c>
      <c r="L587" s="27" t="s">
        <v>1711</v>
      </c>
      <c r="M587" s="7">
        <v>149900</v>
      </c>
      <c r="N587" s="18">
        <f t="shared" si="76"/>
        <v>0.7</v>
      </c>
      <c r="O587" s="32">
        <f t="shared" si="77"/>
        <v>44970</v>
      </c>
      <c r="P587" s="18" t="s">
        <v>19</v>
      </c>
    </row>
    <row r="588" spans="1:16" s="16" customFormat="1" x14ac:dyDescent="0.25">
      <c r="A588" s="25" t="str">
        <f t="shared" si="74"/>
        <v>2025 JAN-JUN D70</v>
      </c>
      <c r="B588" s="8">
        <f t="shared" si="75"/>
        <v>46104</v>
      </c>
      <c r="C588" s="8">
        <f t="shared" si="72"/>
        <v>46113</v>
      </c>
      <c r="D588" s="7">
        <v>3272</v>
      </c>
      <c r="E588" s="7">
        <v>336</v>
      </c>
      <c r="F588" s="7">
        <v>4</v>
      </c>
      <c r="G588" s="11">
        <v>1</v>
      </c>
      <c r="H588" s="11">
        <v>81379</v>
      </c>
      <c r="I588" s="7" t="str">
        <f t="shared" si="73"/>
        <v>CHARACTER</v>
      </c>
      <c r="J588" s="11">
        <v>51562719</v>
      </c>
      <c r="K588" s="11" t="s">
        <v>1708</v>
      </c>
      <c r="L588" s="27" t="s">
        <v>1712</v>
      </c>
      <c r="M588" s="7">
        <v>149900</v>
      </c>
      <c r="N588" s="18">
        <f t="shared" si="76"/>
        <v>0.7</v>
      </c>
      <c r="O588" s="32">
        <f t="shared" si="77"/>
        <v>44970</v>
      </c>
      <c r="P588" s="18" t="s">
        <v>19</v>
      </c>
    </row>
    <row r="589" spans="1:16" s="16" customFormat="1" x14ac:dyDescent="0.25">
      <c r="A589" s="25" t="str">
        <f t="shared" si="74"/>
        <v>2025 JAN-JUN D70</v>
      </c>
      <c r="B589" s="8">
        <f t="shared" si="75"/>
        <v>46104</v>
      </c>
      <c r="C589" s="8">
        <f t="shared" si="72"/>
        <v>46113</v>
      </c>
      <c r="D589" s="7">
        <v>3272</v>
      </c>
      <c r="E589" s="7">
        <v>336</v>
      </c>
      <c r="F589" s="7">
        <v>4</v>
      </c>
      <c r="G589" s="11">
        <v>1</v>
      </c>
      <c r="H589" s="11">
        <v>81379</v>
      </c>
      <c r="I589" s="7" t="str">
        <f t="shared" si="73"/>
        <v>CHARACTER</v>
      </c>
      <c r="J589" s="11">
        <v>51562728</v>
      </c>
      <c r="K589" s="11" t="s">
        <v>1708</v>
      </c>
      <c r="L589" s="27" t="s">
        <v>1713</v>
      </c>
      <c r="M589" s="7">
        <v>149900</v>
      </c>
      <c r="N589" s="18">
        <f t="shared" si="76"/>
        <v>0.7</v>
      </c>
      <c r="O589" s="32">
        <f t="shared" si="77"/>
        <v>44970</v>
      </c>
      <c r="P589" s="18" t="s">
        <v>19</v>
      </c>
    </row>
    <row r="590" spans="1:16" s="16" customFormat="1" x14ac:dyDescent="0.25">
      <c r="A590" s="25" t="str">
        <f t="shared" si="74"/>
        <v>2025 JAN-JUN D70</v>
      </c>
      <c r="B590" s="8">
        <f t="shared" si="75"/>
        <v>46104</v>
      </c>
      <c r="C590" s="8">
        <f t="shared" si="72"/>
        <v>46113</v>
      </c>
      <c r="D590" s="7">
        <v>3272</v>
      </c>
      <c r="E590" s="7">
        <v>336</v>
      </c>
      <c r="F590" s="7">
        <v>4</v>
      </c>
      <c r="G590" s="11">
        <v>1</v>
      </c>
      <c r="H590" s="11">
        <v>81379</v>
      </c>
      <c r="I590" s="7" t="str">
        <f t="shared" si="73"/>
        <v>CHARACTER</v>
      </c>
      <c r="J590" s="11">
        <v>51562737</v>
      </c>
      <c r="K590" s="11" t="s">
        <v>1708</v>
      </c>
      <c r="L590" s="27" t="s">
        <v>1714</v>
      </c>
      <c r="M590" s="7">
        <v>149900</v>
      </c>
      <c r="N590" s="18">
        <f t="shared" si="76"/>
        <v>0.7</v>
      </c>
      <c r="O590" s="32">
        <f t="shared" si="77"/>
        <v>44970</v>
      </c>
      <c r="P590" s="18" t="s">
        <v>19</v>
      </c>
    </row>
    <row r="591" spans="1:16" s="16" customFormat="1" x14ac:dyDescent="0.25">
      <c r="A591" s="25" t="str">
        <f t="shared" si="74"/>
        <v>2025 JAN-JUN D70</v>
      </c>
      <c r="B591" s="8">
        <f t="shared" si="75"/>
        <v>46104</v>
      </c>
      <c r="C591" s="8">
        <f t="shared" si="72"/>
        <v>46113</v>
      </c>
      <c r="D591" s="7">
        <v>3272</v>
      </c>
      <c r="E591" s="7">
        <v>336</v>
      </c>
      <c r="F591" s="7">
        <v>4</v>
      </c>
      <c r="G591" s="11">
        <v>1</v>
      </c>
      <c r="H591" s="11">
        <v>81379</v>
      </c>
      <c r="I591" s="7" t="str">
        <f t="shared" si="73"/>
        <v>CHARACTER</v>
      </c>
      <c r="J591" s="11">
        <v>51562746</v>
      </c>
      <c r="K591" s="11" t="s">
        <v>1708</v>
      </c>
      <c r="L591" s="27" t="s">
        <v>1715</v>
      </c>
      <c r="M591" s="7">
        <v>149900</v>
      </c>
      <c r="N591" s="18">
        <f t="shared" si="76"/>
        <v>0.7</v>
      </c>
      <c r="O591" s="32">
        <f t="shared" si="77"/>
        <v>44970</v>
      </c>
      <c r="P591" s="18" t="s">
        <v>19</v>
      </c>
    </row>
    <row r="592" spans="1:16" s="16" customFormat="1" x14ac:dyDescent="0.25">
      <c r="A592" s="25" t="str">
        <f t="shared" si="74"/>
        <v>2025 JAN-JUN D70</v>
      </c>
      <c r="B592" s="8">
        <f t="shared" si="75"/>
        <v>46104</v>
      </c>
      <c r="C592" s="8">
        <f t="shared" si="72"/>
        <v>46113</v>
      </c>
      <c r="D592" s="7">
        <v>3272</v>
      </c>
      <c r="E592" s="7">
        <v>336</v>
      </c>
      <c r="F592" s="7">
        <v>4</v>
      </c>
      <c r="G592" s="11">
        <v>1</v>
      </c>
      <c r="H592" s="11">
        <v>81379</v>
      </c>
      <c r="I592" s="7" t="str">
        <f t="shared" si="73"/>
        <v>CHARACTER</v>
      </c>
      <c r="J592" s="11">
        <v>51562755</v>
      </c>
      <c r="K592" s="11" t="s">
        <v>1708</v>
      </c>
      <c r="L592" s="27" t="s">
        <v>1716</v>
      </c>
      <c r="M592" s="7">
        <v>149900</v>
      </c>
      <c r="N592" s="18">
        <f t="shared" si="76"/>
        <v>0.7</v>
      </c>
      <c r="O592" s="32">
        <f t="shared" si="77"/>
        <v>44970</v>
      </c>
      <c r="P592" s="18" t="s">
        <v>19</v>
      </c>
    </row>
    <row r="593" spans="1:16" s="16" customFormat="1" x14ac:dyDescent="0.25">
      <c r="A593" s="25" t="str">
        <f t="shared" si="74"/>
        <v>2025 JAN-JUN D70</v>
      </c>
      <c r="B593" s="8">
        <f t="shared" si="75"/>
        <v>46104</v>
      </c>
      <c r="C593" s="8">
        <f t="shared" si="72"/>
        <v>46113</v>
      </c>
      <c r="D593" s="7">
        <v>3272</v>
      </c>
      <c r="E593" s="7">
        <v>336</v>
      </c>
      <c r="F593" s="7">
        <v>4</v>
      </c>
      <c r="G593" s="11">
        <v>1</v>
      </c>
      <c r="H593" s="11">
        <v>81379</v>
      </c>
      <c r="I593" s="7" t="str">
        <f t="shared" si="73"/>
        <v>CHARACTER</v>
      </c>
      <c r="J593" s="11">
        <v>53659808</v>
      </c>
      <c r="K593" s="11" t="s">
        <v>1717</v>
      </c>
      <c r="L593" s="27" t="s">
        <v>1718</v>
      </c>
      <c r="M593" s="7">
        <v>149900</v>
      </c>
      <c r="N593" s="18">
        <f t="shared" si="76"/>
        <v>0.7</v>
      </c>
      <c r="O593" s="32">
        <f t="shared" si="77"/>
        <v>44970</v>
      </c>
      <c r="P593" s="18" t="s">
        <v>19</v>
      </c>
    </row>
    <row r="594" spans="1:16" s="16" customFormat="1" x14ac:dyDescent="0.25">
      <c r="A594" s="25" t="str">
        <f t="shared" si="74"/>
        <v>2025 JAN-JUN D70</v>
      </c>
      <c r="B594" s="8">
        <f t="shared" si="75"/>
        <v>46104</v>
      </c>
      <c r="C594" s="8">
        <f t="shared" si="72"/>
        <v>46113</v>
      </c>
      <c r="D594" s="7">
        <v>3272</v>
      </c>
      <c r="E594" s="7">
        <v>336</v>
      </c>
      <c r="F594" s="7">
        <v>4</v>
      </c>
      <c r="G594" s="11">
        <v>1</v>
      </c>
      <c r="H594" s="11">
        <v>81379</v>
      </c>
      <c r="I594" s="7" t="str">
        <f t="shared" si="73"/>
        <v>CHARACTER</v>
      </c>
      <c r="J594" s="11">
        <v>53659817</v>
      </c>
      <c r="K594" s="11" t="s">
        <v>1717</v>
      </c>
      <c r="L594" s="27" t="s">
        <v>1719</v>
      </c>
      <c r="M594" s="7">
        <v>149900</v>
      </c>
      <c r="N594" s="18">
        <f t="shared" si="76"/>
        <v>0.7</v>
      </c>
      <c r="O594" s="32">
        <f t="shared" si="77"/>
        <v>44970</v>
      </c>
      <c r="P594" s="18" t="s">
        <v>19</v>
      </c>
    </row>
    <row r="595" spans="1:16" s="16" customFormat="1" x14ac:dyDescent="0.25">
      <c r="A595" s="25" t="str">
        <f t="shared" si="74"/>
        <v>2025 JAN-JUN D70</v>
      </c>
      <c r="B595" s="8">
        <f t="shared" si="75"/>
        <v>46104</v>
      </c>
      <c r="C595" s="8">
        <f t="shared" si="72"/>
        <v>46113</v>
      </c>
      <c r="D595" s="7">
        <v>3272</v>
      </c>
      <c r="E595" s="7">
        <v>336</v>
      </c>
      <c r="F595" s="7">
        <v>4</v>
      </c>
      <c r="G595" s="11">
        <v>1</v>
      </c>
      <c r="H595" s="11">
        <v>81379</v>
      </c>
      <c r="I595" s="7" t="str">
        <f t="shared" si="73"/>
        <v>CHARACTER</v>
      </c>
      <c r="J595" s="11">
        <v>53659826</v>
      </c>
      <c r="K595" s="11" t="s">
        <v>1717</v>
      </c>
      <c r="L595" s="27" t="s">
        <v>1720</v>
      </c>
      <c r="M595" s="7">
        <v>149900</v>
      </c>
      <c r="N595" s="18">
        <f t="shared" si="76"/>
        <v>0.7</v>
      </c>
      <c r="O595" s="32">
        <f t="shared" si="77"/>
        <v>44970</v>
      </c>
      <c r="P595" s="18" t="s">
        <v>19</v>
      </c>
    </row>
    <row r="596" spans="1:16" s="16" customFormat="1" x14ac:dyDescent="0.25">
      <c r="A596" s="25" t="str">
        <f t="shared" si="74"/>
        <v>2025 JAN-JUN D70</v>
      </c>
      <c r="B596" s="8">
        <f t="shared" si="75"/>
        <v>46104</v>
      </c>
      <c r="C596" s="8">
        <f t="shared" si="72"/>
        <v>46113</v>
      </c>
      <c r="D596" s="7">
        <v>3272</v>
      </c>
      <c r="E596" s="7">
        <v>336</v>
      </c>
      <c r="F596" s="7">
        <v>4</v>
      </c>
      <c r="G596" s="11">
        <v>1</v>
      </c>
      <c r="H596" s="11">
        <v>81379</v>
      </c>
      <c r="I596" s="7" t="str">
        <f t="shared" si="73"/>
        <v>CHARACTER</v>
      </c>
      <c r="J596" s="11">
        <v>53659835</v>
      </c>
      <c r="K596" s="11" t="s">
        <v>1717</v>
      </c>
      <c r="L596" s="27" t="s">
        <v>1721</v>
      </c>
      <c r="M596" s="7">
        <v>149900</v>
      </c>
      <c r="N596" s="18">
        <f t="shared" si="76"/>
        <v>0.7</v>
      </c>
      <c r="O596" s="32">
        <f t="shared" si="77"/>
        <v>44970</v>
      </c>
      <c r="P596" s="18" t="s">
        <v>19</v>
      </c>
    </row>
    <row r="597" spans="1:16" s="16" customFormat="1" x14ac:dyDescent="0.25">
      <c r="A597" s="25" t="str">
        <f t="shared" si="74"/>
        <v>2025 JAN-JUN D70</v>
      </c>
      <c r="B597" s="8">
        <f t="shared" si="75"/>
        <v>46104</v>
      </c>
      <c r="C597" s="8">
        <f t="shared" si="72"/>
        <v>46113</v>
      </c>
      <c r="D597" s="7">
        <v>3272</v>
      </c>
      <c r="E597" s="7">
        <v>336</v>
      </c>
      <c r="F597" s="7">
        <v>4</v>
      </c>
      <c r="G597" s="11">
        <v>1</v>
      </c>
      <c r="H597" s="11">
        <v>81379</v>
      </c>
      <c r="I597" s="7" t="str">
        <f t="shared" si="73"/>
        <v>CHARACTER</v>
      </c>
      <c r="J597" s="11">
        <v>53659844</v>
      </c>
      <c r="K597" s="11" t="s">
        <v>1717</v>
      </c>
      <c r="L597" s="27" t="s">
        <v>1722</v>
      </c>
      <c r="M597" s="7">
        <v>149900</v>
      </c>
      <c r="N597" s="18">
        <f t="shared" si="76"/>
        <v>0.7</v>
      </c>
      <c r="O597" s="32">
        <f t="shared" si="77"/>
        <v>44970</v>
      </c>
      <c r="P597" s="18" t="s">
        <v>19</v>
      </c>
    </row>
    <row r="598" spans="1:16" s="16" customFormat="1" x14ac:dyDescent="0.25">
      <c r="A598" s="25" t="str">
        <f t="shared" si="74"/>
        <v>2025 JAN-JUN D70</v>
      </c>
      <c r="B598" s="8">
        <f t="shared" si="75"/>
        <v>46104</v>
      </c>
      <c r="C598" s="8">
        <f t="shared" si="72"/>
        <v>46113</v>
      </c>
      <c r="D598" s="7">
        <v>3272</v>
      </c>
      <c r="E598" s="7">
        <v>336</v>
      </c>
      <c r="F598" s="7">
        <v>4</v>
      </c>
      <c r="G598" s="11">
        <v>1</v>
      </c>
      <c r="H598" s="11">
        <v>81379</v>
      </c>
      <c r="I598" s="7" t="str">
        <f t="shared" si="73"/>
        <v>CHARACTER</v>
      </c>
      <c r="J598" s="11">
        <v>53659853</v>
      </c>
      <c r="K598" s="11" t="s">
        <v>1717</v>
      </c>
      <c r="L598" s="27" t="s">
        <v>1723</v>
      </c>
      <c r="M598" s="7">
        <v>149900</v>
      </c>
      <c r="N598" s="18">
        <f t="shared" si="76"/>
        <v>0.7</v>
      </c>
      <c r="O598" s="32">
        <f t="shared" si="77"/>
        <v>44970</v>
      </c>
      <c r="P598" s="18" t="s">
        <v>19</v>
      </c>
    </row>
    <row r="599" spans="1:16" s="16" customFormat="1" x14ac:dyDescent="0.25">
      <c r="A599" s="25" t="str">
        <f t="shared" si="74"/>
        <v>2025 JAN-JUN D70</v>
      </c>
      <c r="B599" s="8">
        <f t="shared" si="75"/>
        <v>46104</v>
      </c>
      <c r="C599" s="8">
        <f t="shared" si="72"/>
        <v>46113</v>
      </c>
      <c r="D599" s="7">
        <v>3272</v>
      </c>
      <c r="E599" s="7">
        <v>336</v>
      </c>
      <c r="F599" s="7">
        <v>4</v>
      </c>
      <c r="G599" s="11">
        <v>1</v>
      </c>
      <c r="H599" s="11">
        <v>81379</v>
      </c>
      <c r="I599" s="7" t="str">
        <f t="shared" si="73"/>
        <v>CHARACTER</v>
      </c>
      <c r="J599" s="11">
        <v>53659862</v>
      </c>
      <c r="K599" s="11" t="s">
        <v>1717</v>
      </c>
      <c r="L599" s="27" t="s">
        <v>1724</v>
      </c>
      <c r="M599" s="7">
        <v>149900</v>
      </c>
      <c r="N599" s="18">
        <f t="shared" si="76"/>
        <v>0.7</v>
      </c>
      <c r="O599" s="32">
        <f t="shared" si="77"/>
        <v>44970</v>
      </c>
      <c r="P599" s="18" t="s">
        <v>19</v>
      </c>
    </row>
    <row r="600" spans="1:16" s="16" customFormat="1" x14ac:dyDescent="0.25">
      <c r="A600" s="25" t="str">
        <f t="shared" si="74"/>
        <v>2025 JAN-JUN D70</v>
      </c>
      <c r="B600" s="8">
        <f t="shared" si="75"/>
        <v>46104</v>
      </c>
      <c r="C600" s="8">
        <f t="shared" si="72"/>
        <v>46113</v>
      </c>
      <c r="D600" s="7">
        <v>3272</v>
      </c>
      <c r="E600" s="7">
        <v>336</v>
      </c>
      <c r="F600" s="7">
        <v>4</v>
      </c>
      <c r="G600" s="11">
        <v>1</v>
      </c>
      <c r="H600" s="11">
        <v>81379</v>
      </c>
      <c r="I600" s="7" t="str">
        <f t="shared" si="73"/>
        <v>CHARACTER</v>
      </c>
      <c r="J600" s="11">
        <v>53659871</v>
      </c>
      <c r="K600" s="11" t="s">
        <v>1717</v>
      </c>
      <c r="L600" s="27" t="s">
        <v>1725</v>
      </c>
      <c r="M600" s="7">
        <v>149900</v>
      </c>
      <c r="N600" s="18">
        <f t="shared" si="76"/>
        <v>0.7</v>
      </c>
      <c r="O600" s="32">
        <f t="shared" si="77"/>
        <v>44970</v>
      </c>
      <c r="P600" s="18" t="s">
        <v>19</v>
      </c>
    </row>
    <row r="601" spans="1:16" s="16" customFormat="1" x14ac:dyDescent="0.25">
      <c r="A601" s="25" t="str">
        <f t="shared" si="74"/>
        <v>2025 JAN-JUN D70</v>
      </c>
      <c r="B601" s="8">
        <f t="shared" si="75"/>
        <v>46104</v>
      </c>
      <c r="C601" s="8">
        <f t="shared" si="72"/>
        <v>46113</v>
      </c>
      <c r="D601" s="7">
        <v>3272</v>
      </c>
      <c r="E601" s="7">
        <v>336</v>
      </c>
      <c r="F601" s="7">
        <v>4</v>
      </c>
      <c r="G601" s="11">
        <v>1</v>
      </c>
      <c r="H601" s="11">
        <v>81379</v>
      </c>
      <c r="I601" s="7" t="str">
        <f t="shared" si="73"/>
        <v>CHARACTER</v>
      </c>
      <c r="J601" s="11">
        <v>53659880</v>
      </c>
      <c r="K601" s="11" t="s">
        <v>1726</v>
      </c>
      <c r="L601" s="27" t="s">
        <v>1727</v>
      </c>
      <c r="M601" s="7">
        <v>149900</v>
      </c>
      <c r="N601" s="18">
        <f t="shared" si="76"/>
        <v>0.7</v>
      </c>
      <c r="O601" s="32">
        <f t="shared" si="77"/>
        <v>44970</v>
      </c>
      <c r="P601" s="18" t="s">
        <v>19</v>
      </c>
    </row>
    <row r="602" spans="1:16" s="16" customFormat="1" x14ac:dyDescent="0.25">
      <c r="A602" s="25" t="str">
        <f t="shared" si="74"/>
        <v>2025 JAN-JUN D70</v>
      </c>
      <c r="B602" s="8">
        <f t="shared" si="75"/>
        <v>46104</v>
      </c>
      <c r="C602" s="8">
        <f t="shared" ref="C602:C633" si="78">C601</f>
        <v>46113</v>
      </c>
      <c r="D602" s="7">
        <v>3272</v>
      </c>
      <c r="E602" s="7">
        <v>336</v>
      </c>
      <c r="F602" s="7">
        <v>4</v>
      </c>
      <c r="G602" s="11">
        <v>1</v>
      </c>
      <c r="H602" s="11">
        <v>81379</v>
      </c>
      <c r="I602" s="7" t="str">
        <f t="shared" ref="I602:I633" si="79">I601</f>
        <v>CHARACTER</v>
      </c>
      <c r="J602" s="11">
        <v>53659899</v>
      </c>
      <c r="K602" s="11" t="s">
        <v>1726</v>
      </c>
      <c r="L602" s="27" t="s">
        <v>1728</v>
      </c>
      <c r="M602" s="7">
        <v>149900</v>
      </c>
      <c r="N602" s="18">
        <f t="shared" si="76"/>
        <v>0.7</v>
      </c>
      <c r="O602" s="32">
        <f t="shared" si="77"/>
        <v>44970</v>
      </c>
      <c r="P602" s="18" t="s">
        <v>19</v>
      </c>
    </row>
    <row r="603" spans="1:16" s="16" customFormat="1" x14ac:dyDescent="0.25">
      <c r="A603" s="25" t="str">
        <f t="shared" si="74"/>
        <v>2025 JAN-JUN D70</v>
      </c>
      <c r="B603" s="8">
        <f t="shared" si="75"/>
        <v>46104</v>
      </c>
      <c r="C603" s="8">
        <f t="shared" si="78"/>
        <v>46113</v>
      </c>
      <c r="D603" s="7">
        <v>3272</v>
      </c>
      <c r="E603" s="7">
        <v>336</v>
      </c>
      <c r="F603" s="7">
        <v>4</v>
      </c>
      <c r="G603" s="11">
        <v>1</v>
      </c>
      <c r="H603" s="11">
        <v>81379</v>
      </c>
      <c r="I603" s="7" t="str">
        <f t="shared" si="79"/>
        <v>CHARACTER</v>
      </c>
      <c r="J603" s="11">
        <v>53659906</v>
      </c>
      <c r="K603" s="11" t="s">
        <v>1726</v>
      </c>
      <c r="L603" s="27" t="s">
        <v>1729</v>
      </c>
      <c r="M603" s="7">
        <v>149900</v>
      </c>
      <c r="N603" s="18">
        <f t="shared" si="76"/>
        <v>0.7</v>
      </c>
      <c r="O603" s="32">
        <f t="shared" si="77"/>
        <v>44970</v>
      </c>
      <c r="P603" s="18" t="s">
        <v>19</v>
      </c>
    </row>
    <row r="604" spans="1:16" s="16" customFormat="1" x14ac:dyDescent="0.25">
      <c r="A604" s="25" t="str">
        <f t="shared" si="74"/>
        <v>2025 JAN-JUN D70</v>
      </c>
      <c r="B604" s="8">
        <f t="shared" si="75"/>
        <v>46104</v>
      </c>
      <c r="C604" s="8">
        <f t="shared" si="78"/>
        <v>46113</v>
      </c>
      <c r="D604" s="7">
        <v>3272</v>
      </c>
      <c r="E604" s="7">
        <v>336</v>
      </c>
      <c r="F604" s="7">
        <v>4</v>
      </c>
      <c r="G604" s="11">
        <v>1</v>
      </c>
      <c r="H604" s="11">
        <v>81379</v>
      </c>
      <c r="I604" s="7" t="str">
        <f t="shared" si="79"/>
        <v>CHARACTER</v>
      </c>
      <c r="J604" s="11">
        <v>53659915</v>
      </c>
      <c r="K604" s="11" t="s">
        <v>1726</v>
      </c>
      <c r="L604" s="27" t="s">
        <v>1730</v>
      </c>
      <c r="M604" s="7">
        <v>149900</v>
      </c>
      <c r="N604" s="18">
        <f t="shared" si="76"/>
        <v>0.7</v>
      </c>
      <c r="O604" s="32">
        <f t="shared" si="77"/>
        <v>44970</v>
      </c>
      <c r="P604" s="18" t="s">
        <v>19</v>
      </c>
    </row>
    <row r="605" spans="1:16" s="16" customFormat="1" x14ac:dyDescent="0.25">
      <c r="A605" s="25" t="str">
        <f t="shared" si="74"/>
        <v>2025 JAN-JUN D70</v>
      </c>
      <c r="B605" s="8">
        <f t="shared" si="75"/>
        <v>46104</v>
      </c>
      <c r="C605" s="8">
        <f t="shared" si="78"/>
        <v>46113</v>
      </c>
      <c r="D605" s="7">
        <v>3272</v>
      </c>
      <c r="E605" s="7">
        <v>336</v>
      </c>
      <c r="F605" s="7">
        <v>4</v>
      </c>
      <c r="G605" s="11">
        <v>1</v>
      </c>
      <c r="H605" s="11">
        <v>81379</v>
      </c>
      <c r="I605" s="7" t="str">
        <f t="shared" si="79"/>
        <v>CHARACTER</v>
      </c>
      <c r="J605" s="11">
        <v>53659924</v>
      </c>
      <c r="K605" s="11" t="s">
        <v>1726</v>
      </c>
      <c r="L605" s="27" t="s">
        <v>1731</v>
      </c>
      <c r="M605" s="7">
        <v>149900</v>
      </c>
      <c r="N605" s="18">
        <f t="shared" si="76"/>
        <v>0.7</v>
      </c>
      <c r="O605" s="32">
        <f t="shared" si="77"/>
        <v>44970</v>
      </c>
      <c r="P605" s="18" t="s">
        <v>19</v>
      </c>
    </row>
    <row r="606" spans="1:16" s="16" customFormat="1" x14ac:dyDescent="0.25">
      <c r="A606" s="25" t="str">
        <f t="shared" si="74"/>
        <v>2025 JAN-JUN D70</v>
      </c>
      <c r="B606" s="8">
        <f t="shared" si="75"/>
        <v>46104</v>
      </c>
      <c r="C606" s="8">
        <f t="shared" si="78"/>
        <v>46113</v>
      </c>
      <c r="D606" s="7">
        <v>3272</v>
      </c>
      <c r="E606" s="7">
        <v>336</v>
      </c>
      <c r="F606" s="7">
        <v>4</v>
      </c>
      <c r="G606" s="11">
        <v>1</v>
      </c>
      <c r="H606" s="11">
        <v>81379</v>
      </c>
      <c r="I606" s="7" t="str">
        <f t="shared" si="79"/>
        <v>CHARACTER</v>
      </c>
      <c r="J606" s="11">
        <v>53659933</v>
      </c>
      <c r="K606" s="11" t="s">
        <v>1726</v>
      </c>
      <c r="L606" s="27" t="s">
        <v>1732</v>
      </c>
      <c r="M606" s="7">
        <v>149900</v>
      </c>
      <c r="N606" s="18">
        <f t="shared" si="76"/>
        <v>0.7</v>
      </c>
      <c r="O606" s="32">
        <f t="shared" si="77"/>
        <v>44970</v>
      </c>
      <c r="P606" s="18" t="s">
        <v>19</v>
      </c>
    </row>
    <row r="607" spans="1:16" s="16" customFormat="1" x14ac:dyDescent="0.25">
      <c r="A607" s="25" t="str">
        <f t="shared" si="74"/>
        <v>2025 JAN-JUN D70</v>
      </c>
      <c r="B607" s="8">
        <f t="shared" si="75"/>
        <v>46104</v>
      </c>
      <c r="C607" s="8">
        <f t="shared" si="78"/>
        <v>46113</v>
      </c>
      <c r="D607" s="7">
        <v>3272</v>
      </c>
      <c r="E607" s="7">
        <v>336</v>
      </c>
      <c r="F607" s="7">
        <v>4</v>
      </c>
      <c r="G607" s="11">
        <v>1</v>
      </c>
      <c r="H607" s="11">
        <v>81379</v>
      </c>
      <c r="I607" s="7" t="str">
        <f t="shared" si="79"/>
        <v>CHARACTER</v>
      </c>
      <c r="J607" s="11">
        <v>53659942</v>
      </c>
      <c r="K607" s="11" t="s">
        <v>1726</v>
      </c>
      <c r="L607" s="27" t="s">
        <v>1733</v>
      </c>
      <c r="M607" s="7">
        <v>149900</v>
      </c>
      <c r="N607" s="18">
        <f t="shared" si="76"/>
        <v>0.7</v>
      </c>
      <c r="O607" s="32">
        <f t="shared" si="77"/>
        <v>44970</v>
      </c>
      <c r="P607" s="18" t="s">
        <v>19</v>
      </c>
    </row>
    <row r="608" spans="1:16" s="16" customFormat="1" x14ac:dyDescent="0.25">
      <c r="A608" s="25" t="str">
        <f t="shared" si="74"/>
        <v>2025 JAN-JUN D70</v>
      </c>
      <c r="B608" s="8">
        <f t="shared" si="75"/>
        <v>46104</v>
      </c>
      <c r="C608" s="8">
        <f t="shared" si="78"/>
        <v>46113</v>
      </c>
      <c r="D608" s="7">
        <v>3272</v>
      </c>
      <c r="E608" s="7">
        <v>336</v>
      </c>
      <c r="F608" s="7">
        <v>4</v>
      </c>
      <c r="G608" s="11">
        <v>1</v>
      </c>
      <c r="H608" s="11">
        <v>81379</v>
      </c>
      <c r="I608" s="7" t="str">
        <f t="shared" si="79"/>
        <v>CHARACTER</v>
      </c>
      <c r="J608" s="11">
        <v>53659951</v>
      </c>
      <c r="K608" s="11" t="s">
        <v>1726</v>
      </c>
      <c r="L608" s="27" t="s">
        <v>1734</v>
      </c>
      <c r="M608" s="7">
        <v>149900</v>
      </c>
      <c r="N608" s="18">
        <f t="shared" si="76"/>
        <v>0.7</v>
      </c>
      <c r="O608" s="32">
        <f t="shared" si="77"/>
        <v>44970</v>
      </c>
      <c r="P608" s="18" t="s">
        <v>19</v>
      </c>
    </row>
    <row r="609" spans="1:16" s="16" customFormat="1" x14ac:dyDescent="0.25">
      <c r="A609" s="25" t="str">
        <f t="shared" si="74"/>
        <v>2025 JAN-JUN D70</v>
      </c>
      <c r="B609" s="8">
        <f t="shared" si="75"/>
        <v>46104</v>
      </c>
      <c r="C609" s="8">
        <f t="shared" si="78"/>
        <v>46113</v>
      </c>
      <c r="D609" s="7">
        <v>3272</v>
      </c>
      <c r="E609" s="7">
        <v>336</v>
      </c>
      <c r="F609" s="7">
        <v>4</v>
      </c>
      <c r="G609" s="11">
        <v>1</v>
      </c>
      <c r="H609" s="11">
        <v>81379</v>
      </c>
      <c r="I609" s="7" t="str">
        <f t="shared" si="79"/>
        <v>CHARACTER</v>
      </c>
      <c r="J609" s="11">
        <v>53660314</v>
      </c>
      <c r="K609" s="11" t="s">
        <v>1735</v>
      </c>
      <c r="L609" s="27" t="s">
        <v>1736</v>
      </c>
      <c r="M609" s="7">
        <v>149900</v>
      </c>
      <c r="N609" s="18">
        <f t="shared" si="76"/>
        <v>0.7</v>
      </c>
      <c r="O609" s="32">
        <f t="shared" si="77"/>
        <v>44970</v>
      </c>
      <c r="P609" s="18" t="s">
        <v>19</v>
      </c>
    </row>
    <row r="610" spans="1:16" s="16" customFormat="1" x14ac:dyDescent="0.25">
      <c r="A610" s="25" t="str">
        <f t="shared" si="74"/>
        <v>2025 JAN-JUN D70</v>
      </c>
      <c r="B610" s="8">
        <f t="shared" si="75"/>
        <v>46104</v>
      </c>
      <c r="C610" s="8">
        <f t="shared" si="78"/>
        <v>46113</v>
      </c>
      <c r="D610" s="7">
        <v>3272</v>
      </c>
      <c r="E610" s="7">
        <v>336</v>
      </c>
      <c r="F610" s="7">
        <v>4</v>
      </c>
      <c r="G610" s="11">
        <v>1</v>
      </c>
      <c r="H610" s="11">
        <v>81379</v>
      </c>
      <c r="I610" s="7" t="str">
        <f t="shared" si="79"/>
        <v>CHARACTER</v>
      </c>
      <c r="J610" s="11">
        <v>53660323</v>
      </c>
      <c r="K610" s="11" t="s">
        <v>1735</v>
      </c>
      <c r="L610" s="27" t="s">
        <v>1737</v>
      </c>
      <c r="M610" s="7">
        <v>149900</v>
      </c>
      <c r="N610" s="18">
        <f t="shared" si="76"/>
        <v>0.7</v>
      </c>
      <c r="O610" s="32">
        <f t="shared" si="77"/>
        <v>44970</v>
      </c>
      <c r="P610" s="18" t="s">
        <v>19</v>
      </c>
    </row>
    <row r="611" spans="1:16" s="16" customFormat="1" x14ac:dyDescent="0.25">
      <c r="A611" s="25" t="str">
        <f t="shared" si="74"/>
        <v>2025 JAN-JUN D70</v>
      </c>
      <c r="B611" s="8">
        <f t="shared" si="75"/>
        <v>46104</v>
      </c>
      <c r="C611" s="8">
        <f t="shared" si="78"/>
        <v>46113</v>
      </c>
      <c r="D611" s="7">
        <v>3272</v>
      </c>
      <c r="E611" s="7">
        <v>336</v>
      </c>
      <c r="F611" s="7">
        <v>4</v>
      </c>
      <c r="G611" s="11">
        <v>1</v>
      </c>
      <c r="H611" s="11">
        <v>81379</v>
      </c>
      <c r="I611" s="7" t="str">
        <f t="shared" si="79"/>
        <v>CHARACTER</v>
      </c>
      <c r="J611" s="11">
        <v>53660332</v>
      </c>
      <c r="K611" s="11" t="s">
        <v>1735</v>
      </c>
      <c r="L611" s="27" t="s">
        <v>1738</v>
      </c>
      <c r="M611" s="7">
        <v>149900</v>
      </c>
      <c r="N611" s="18">
        <f t="shared" si="76"/>
        <v>0.7</v>
      </c>
      <c r="O611" s="32">
        <f t="shared" si="77"/>
        <v>44970</v>
      </c>
      <c r="P611" s="18" t="s">
        <v>19</v>
      </c>
    </row>
    <row r="612" spans="1:16" s="16" customFormat="1" x14ac:dyDescent="0.25">
      <c r="A612" s="25" t="str">
        <f t="shared" si="74"/>
        <v>2025 JAN-JUN D70</v>
      </c>
      <c r="B612" s="8">
        <f t="shared" si="75"/>
        <v>46104</v>
      </c>
      <c r="C612" s="8">
        <f t="shared" si="78"/>
        <v>46113</v>
      </c>
      <c r="D612" s="7">
        <v>3272</v>
      </c>
      <c r="E612" s="7">
        <v>336</v>
      </c>
      <c r="F612" s="7">
        <v>4</v>
      </c>
      <c r="G612" s="11">
        <v>1</v>
      </c>
      <c r="H612" s="11">
        <v>81379</v>
      </c>
      <c r="I612" s="7" t="str">
        <f t="shared" si="79"/>
        <v>CHARACTER</v>
      </c>
      <c r="J612" s="11">
        <v>53660341</v>
      </c>
      <c r="K612" s="11" t="s">
        <v>1735</v>
      </c>
      <c r="L612" s="27" t="s">
        <v>1739</v>
      </c>
      <c r="M612" s="7">
        <v>149900</v>
      </c>
      <c r="N612" s="18">
        <f t="shared" si="76"/>
        <v>0.7</v>
      </c>
      <c r="O612" s="32">
        <f t="shared" si="77"/>
        <v>44970</v>
      </c>
      <c r="P612" s="18" t="s">
        <v>19</v>
      </c>
    </row>
    <row r="613" spans="1:16" s="16" customFormat="1" x14ac:dyDescent="0.25">
      <c r="A613" s="25" t="str">
        <f t="shared" si="74"/>
        <v>2025 JAN-JUN D70</v>
      </c>
      <c r="B613" s="8">
        <f t="shared" si="75"/>
        <v>46104</v>
      </c>
      <c r="C613" s="8">
        <f t="shared" si="78"/>
        <v>46113</v>
      </c>
      <c r="D613" s="7">
        <v>3272</v>
      </c>
      <c r="E613" s="7">
        <v>336</v>
      </c>
      <c r="F613" s="7">
        <v>4</v>
      </c>
      <c r="G613" s="11">
        <v>1</v>
      </c>
      <c r="H613" s="11">
        <v>81379</v>
      </c>
      <c r="I613" s="7" t="str">
        <f t="shared" si="79"/>
        <v>CHARACTER</v>
      </c>
      <c r="J613" s="11">
        <v>53660350</v>
      </c>
      <c r="K613" s="11" t="s">
        <v>1735</v>
      </c>
      <c r="L613" s="27" t="s">
        <v>1740</v>
      </c>
      <c r="M613" s="7">
        <v>149900</v>
      </c>
      <c r="N613" s="18">
        <f t="shared" si="76"/>
        <v>0.7</v>
      </c>
      <c r="O613" s="32">
        <f t="shared" si="77"/>
        <v>44970</v>
      </c>
      <c r="P613" s="18" t="s">
        <v>19</v>
      </c>
    </row>
    <row r="614" spans="1:16" s="16" customFormat="1" x14ac:dyDescent="0.25">
      <c r="A614" s="25" t="str">
        <f t="shared" si="74"/>
        <v>2025 JAN-JUN D70</v>
      </c>
      <c r="B614" s="8">
        <f t="shared" si="75"/>
        <v>46104</v>
      </c>
      <c r="C614" s="8">
        <f t="shared" si="78"/>
        <v>46113</v>
      </c>
      <c r="D614" s="7">
        <v>3272</v>
      </c>
      <c r="E614" s="7">
        <v>336</v>
      </c>
      <c r="F614" s="7">
        <v>4</v>
      </c>
      <c r="G614" s="11">
        <v>1</v>
      </c>
      <c r="H614" s="11">
        <v>81379</v>
      </c>
      <c r="I614" s="7" t="str">
        <f t="shared" si="79"/>
        <v>CHARACTER</v>
      </c>
      <c r="J614" s="11">
        <v>53660369</v>
      </c>
      <c r="K614" s="11" t="s">
        <v>1735</v>
      </c>
      <c r="L614" s="27" t="s">
        <v>1741</v>
      </c>
      <c r="M614" s="7">
        <v>149900</v>
      </c>
      <c r="N614" s="18">
        <f t="shared" si="76"/>
        <v>0.7</v>
      </c>
      <c r="O614" s="32">
        <f t="shared" si="77"/>
        <v>44970</v>
      </c>
      <c r="P614" s="18" t="s">
        <v>19</v>
      </c>
    </row>
    <row r="615" spans="1:16" s="16" customFormat="1" x14ac:dyDescent="0.25">
      <c r="A615" s="25" t="str">
        <f t="shared" si="74"/>
        <v>2025 JAN-JUN D70</v>
      </c>
      <c r="B615" s="8">
        <f t="shared" si="75"/>
        <v>46104</v>
      </c>
      <c r="C615" s="8">
        <f t="shared" si="78"/>
        <v>46113</v>
      </c>
      <c r="D615" s="7">
        <v>3272</v>
      </c>
      <c r="E615" s="7">
        <v>336</v>
      </c>
      <c r="F615" s="7">
        <v>4</v>
      </c>
      <c r="G615" s="11">
        <v>1</v>
      </c>
      <c r="H615" s="11">
        <v>81379</v>
      </c>
      <c r="I615" s="7" t="str">
        <f t="shared" si="79"/>
        <v>CHARACTER</v>
      </c>
      <c r="J615" s="11">
        <v>53660378</v>
      </c>
      <c r="K615" s="11" t="s">
        <v>1735</v>
      </c>
      <c r="L615" s="27" t="s">
        <v>1742</v>
      </c>
      <c r="M615" s="7">
        <v>149900</v>
      </c>
      <c r="N615" s="18">
        <f t="shared" si="76"/>
        <v>0.7</v>
      </c>
      <c r="O615" s="32">
        <f t="shared" si="77"/>
        <v>44970</v>
      </c>
      <c r="P615" s="18" t="s">
        <v>19</v>
      </c>
    </row>
    <row r="616" spans="1:16" s="16" customFormat="1" x14ac:dyDescent="0.25">
      <c r="A616" s="25" t="str">
        <f t="shared" si="74"/>
        <v>2025 JAN-JUN D70</v>
      </c>
      <c r="B616" s="8">
        <f t="shared" si="75"/>
        <v>46104</v>
      </c>
      <c r="C616" s="8">
        <f t="shared" si="78"/>
        <v>46113</v>
      </c>
      <c r="D616" s="7">
        <v>3272</v>
      </c>
      <c r="E616" s="7">
        <v>336</v>
      </c>
      <c r="F616" s="7">
        <v>4</v>
      </c>
      <c r="G616" s="11">
        <v>1</v>
      </c>
      <c r="H616" s="11">
        <v>81379</v>
      </c>
      <c r="I616" s="7" t="str">
        <f t="shared" si="79"/>
        <v>CHARACTER</v>
      </c>
      <c r="J616" s="11">
        <v>53660387</v>
      </c>
      <c r="K616" s="11" t="s">
        <v>1735</v>
      </c>
      <c r="L616" s="27" t="s">
        <v>1743</v>
      </c>
      <c r="M616" s="7">
        <v>149900</v>
      </c>
      <c r="N616" s="18">
        <f t="shared" si="76"/>
        <v>0.7</v>
      </c>
      <c r="O616" s="32">
        <f t="shared" si="77"/>
        <v>44970</v>
      </c>
      <c r="P616" s="18" t="s">
        <v>19</v>
      </c>
    </row>
    <row r="617" spans="1:16" s="16" customFormat="1" x14ac:dyDescent="0.25">
      <c r="A617" s="25" t="str">
        <f t="shared" si="74"/>
        <v>2025 JAN-JUN D70</v>
      </c>
      <c r="B617" s="8">
        <f t="shared" si="75"/>
        <v>46104</v>
      </c>
      <c r="C617" s="8">
        <f t="shared" si="78"/>
        <v>46113</v>
      </c>
      <c r="D617" s="7">
        <v>3272</v>
      </c>
      <c r="E617" s="7">
        <v>336</v>
      </c>
      <c r="F617" s="7">
        <v>4</v>
      </c>
      <c r="G617" s="11">
        <v>1</v>
      </c>
      <c r="H617" s="11">
        <v>81379</v>
      </c>
      <c r="I617" s="7" t="str">
        <f t="shared" si="79"/>
        <v>CHARACTER</v>
      </c>
      <c r="J617" s="11">
        <v>53660396</v>
      </c>
      <c r="K617" s="11" t="s">
        <v>1744</v>
      </c>
      <c r="L617" s="27" t="s">
        <v>1745</v>
      </c>
      <c r="M617" s="7">
        <v>149900</v>
      </c>
      <c r="N617" s="18">
        <f t="shared" si="76"/>
        <v>0.7</v>
      </c>
      <c r="O617" s="32">
        <f t="shared" si="77"/>
        <v>44970</v>
      </c>
      <c r="P617" s="18" t="s">
        <v>19</v>
      </c>
    </row>
    <row r="618" spans="1:16" s="16" customFormat="1" x14ac:dyDescent="0.25">
      <c r="A618" s="25" t="str">
        <f t="shared" si="74"/>
        <v>2025 JAN-JUN D70</v>
      </c>
      <c r="B618" s="8">
        <f t="shared" si="75"/>
        <v>46104</v>
      </c>
      <c r="C618" s="8">
        <f t="shared" si="78"/>
        <v>46113</v>
      </c>
      <c r="D618" s="7">
        <v>3272</v>
      </c>
      <c r="E618" s="7">
        <v>336</v>
      </c>
      <c r="F618" s="7">
        <v>4</v>
      </c>
      <c r="G618" s="11">
        <v>1</v>
      </c>
      <c r="H618" s="11">
        <v>81379</v>
      </c>
      <c r="I618" s="7" t="str">
        <f t="shared" si="79"/>
        <v>CHARACTER</v>
      </c>
      <c r="J618" s="11">
        <v>53660403</v>
      </c>
      <c r="K618" s="11" t="s">
        <v>1744</v>
      </c>
      <c r="L618" s="27" t="s">
        <v>1746</v>
      </c>
      <c r="M618" s="7">
        <v>149900</v>
      </c>
      <c r="N618" s="18">
        <f t="shared" si="76"/>
        <v>0.7</v>
      </c>
      <c r="O618" s="32">
        <f t="shared" si="77"/>
        <v>44970</v>
      </c>
      <c r="P618" s="18" t="s">
        <v>19</v>
      </c>
    </row>
    <row r="619" spans="1:16" s="16" customFormat="1" x14ac:dyDescent="0.25">
      <c r="A619" s="25" t="str">
        <f t="shared" si="74"/>
        <v>2025 JAN-JUN D70</v>
      </c>
      <c r="B619" s="8">
        <f t="shared" si="75"/>
        <v>46104</v>
      </c>
      <c r="C619" s="8">
        <f t="shared" si="78"/>
        <v>46113</v>
      </c>
      <c r="D619" s="7">
        <v>3272</v>
      </c>
      <c r="E619" s="7">
        <v>336</v>
      </c>
      <c r="F619" s="7">
        <v>4</v>
      </c>
      <c r="G619" s="11">
        <v>1</v>
      </c>
      <c r="H619" s="11">
        <v>81379</v>
      </c>
      <c r="I619" s="7" t="str">
        <f t="shared" si="79"/>
        <v>CHARACTER</v>
      </c>
      <c r="J619" s="11">
        <v>53660412</v>
      </c>
      <c r="K619" s="11" t="s">
        <v>1744</v>
      </c>
      <c r="L619" s="27" t="s">
        <v>1747</v>
      </c>
      <c r="M619" s="7">
        <v>149900</v>
      </c>
      <c r="N619" s="18">
        <f t="shared" si="76"/>
        <v>0.7</v>
      </c>
      <c r="O619" s="32">
        <f t="shared" si="77"/>
        <v>44970</v>
      </c>
      <c r="P619" s="18" t="s">
        <v>19</v>
      </c>
    </row>
    <row r="620" spans="1:16" s="16" customFormat="1" x14ac:dyDescent="0.25">
      <c r="A620" s="25" t="str">
        <f t="shared" si="74"/>
        <v>2025 JAN-JUN D70</v>
      </c>
      <c r="B620" s="8">
        <f t="shared" si="75"/>
        <v>46104</v>
      </c>
      <c r="C620" s="8">
        <f t="shared" si="78"/>
        <v>46113</v>
      </c>
      <c r="D620" s="7">
        <v>3272</v>
      </c>
      <c r="E620" s="7">
        <v>336</v>
      </c>
      <c r="F620" s="7">
        <v>4</v>
      </c>
      <c r="G620" s="11">
        <v>1</v>
      </c>
      <c r="H620" s="11">
        <v>81379</v>
      </c>
      <c r="I620" s="7" t="str">
        <f t="shared" si="79"/>
        <v>CHARACTER</v>
      </c>
      <c r="J620" s="11">
        <v>53660421</v>
      </c>
      <c r="K620" s="11" t="s">
        <v>1744</v>
      </c>
      <c r="L620" s="27" t="s">
        <v>1748</v>
      </c>
      <c r="M620" s="7">
        <v>149900</v>
      </c>
      <c r="N620" s="18">
        <f t="shared" si="76"/>
        <v>0.7</v>
      </c>
      <c r="O620" s="32">
        <f t="shared" si="77"/>
        <v>44970</v>
      </c>
      <c r="P620" s="18" t="s">
        <v>19</v>
      </c>
    </row>
    <row r="621" spans="1:16" s="16" customFormat="1" x14ac:dyDescent="0.25">
      <c r="A621" s="25" t="str">
        <f t="shared" si="74"/>
        <v>2025 JAN-JUN D70</v>
      </c>
      <c r="B621" s="8">
        <f t="shared" si="75"/>
        <v>46104</v>
      </c>
      <c r="C621" s="8">
        <f t="shared" si="78"/>
        <v>46113</v>
      </c>
      <c r="D621" s="7">
        <v>3272</v>
      </c>
      <c r="E621" s="7">
        <v>336</v>
      </c>
      <c r="F621" s="7">
        <v>4</v>
      </c>
      <c r="G621" s="11">
        <v>1</v>
      </c>
      <c r="H621" s="11">
        <v>81379</v>
      </c>
      <c r="I621" s="7" t="str">
        <f t="shared" si="79"/>
        <v>CHARACTER</v>
      </c>
      <c r="J621" s="11">
        <v>53660430</v>
      </c>
      <c r="K621" s="11" t="s">
        <v>1744</v>
      </c>
      <c r="L621" s="27" t="s">
        <v>1749</v>
      </c>
      <c r="M621" s="7">
        <v>149900</v>
      </c>
      <c r="N621" s="18">
        <f t="shared" si="76"/>
        <v>0.7</v>
      </c>
      <c r="O621" s="32">
        <f t="shared" si="77"/>
        <v>44970</v>
      </c>
      <c r="P621" s="18" t="s">
        <v>19</v>
      </c>
    </row>
    <row r="622" spans="1:16" s="16" customFormat="1" x14ac:dyDescent="0.25">
      <c r="A622" s="25" t="str">
        <f t="shared" si="74"/>
        <v>2025 JAN-JUN D70</v>
      </c>
      <c r="B622" s="8">
        <f t="shared" si="75"/>
        <v>46104</v>
      </c>
      <c r="C622" s="8">
        <f t="shared" si="78"/>
        <v>46113</v>
      </c>
      <c r="D622" s="7">
        <v>3272</v>
      </c>
      <c r="E622" s="7">
        <v>336</v>
      </c>
      <c r="F622" s="7">
        <v>4</v>
      </c>
      <c r="G622" s="11">
        <v>1</v>
      </c>
      <c r="H622" s="11">
        <v>81379</v>
      </c>
      <c r="I622" s="7" t="str">
        <f t="shared" si="79"/>
        <v>CHARACTER</v>
      </c>
      <c r="J622" s="11">
        <v>53660449</v>
      </c>
      <c r="K622" s="11" t="s">
        <v>1744</v>
      </c>
      <c r="L622" s="27" t="s">
        <v>1750</v>
      </c>
      <c r="M622" s="7">
        <v>149900</v>
      </c>
      <c r="N622" s="18">
        <f t="shared" si="76"/>
        <v>0.7</v>
      </c>
      <c r="O622" s="32">
        <f t="shared" si="77"/>
        <v>44970</v>
      </c>
      <c r="P622" s="18" t="s">
        <v>19</v>
      </c>
    </row>
    <row r="623" spans="1:16" s="16" customFormat="1" x14ac:dyDescent="0.25">
      <c r="A623" s="25" t="str">
        <f t="shared" si="74"/>
        <v>2025 JAN-JUN D70</v>
      </c>
      <c r="B623" s="8">
        <f t="shared" si="75"/>
        <v>46104</v>
      </c>
      <c r="C623" s="8">
        <f t="shared" si="78"/>
        <v>46113</v>
      </c>
      <c r="D623" s="7">
        <v>3272</v>
      </c>
      <c r="E623" s="7">
        <v>336</v>
      </c>
      <c r="F623" s="7">
        <v>4</v>
      </c>
      <c r="G623" s="11">
        <v>1</v>
      </c>
      <c r="H623" s="11">
        <v>81379</v>
      </c>
      <c r="I623" s="7" t="str">
        <f t="shared" si="79"/>
        <v>CHARACTER</v>
      </c>
      <c r="J623" s="11">
        <v>53660458</v>
      </c>
      <c r="K623" s="11" t="s">
        <v>1744</v>
      </c>
      <c r="L623" s="27" t="s">
        <v>1751</v>
      </c>
      <c r="M623" s="7">
        <v>149900</v>
      </c>
      <c r="N623" s="18">
        <f t="shared" si="76"/>
        <v>0.7</v>
      </c>
      <c r="O623" s="32">
        <f t="shared" si="77"/>
        <v>44970</v>
      </c>
      <c r="P623" s="18" t="s">
        <v>19</v>
      </c>
    </row>
    <row r="624" spans="1:16" s="16" customFormat="1" x14ac:dyDescent="0.25">
      <c r="A624" s="25" t="str">
        <f t="shared" si="74"/>
        <v>2025 JAN-JUN D70</v>
      </c>
      <c r="B624" s="8">
        <f t="shared" si="75"/>
        <v>46104</v>
      </c>
      <c r="C624" s="8">
        <f t="shared" si="78"/>
        <v>46113</v>
      </c>
      <c r="D624" s="7">
        <v>3272</v>
      </c>
      <c r="E624" s="7">
        <v>336</v>
      </c>
      <c r="F624" s="7">
        <v>4</v>
      </c>
      <c r="G624" s="11">
        <v>1</v>
      </c>
      <c r="H624" s="11">
        <v>81379</v>
      </c>
      <c r="I624" s="7" t="str">
        <f t="shared" si="79"/>
        <v>CHARACTER</v>
      </c>
      <c r="J624" s="11">
        <v>53660467</v>
      </c>
      <c r="K624" s="11" t="s">
        <v>1744</v>
      </c>
      <c r="L624" s="27" t="s">
        <v>1752</v>
      </c>
      <c r="M624" s="7">
        <v>149900</v>
      </c>
      <c r="N624" s="18">
        <f t="shared" si="76"/>
        <v>0.7</v>
      </c>
      <c r="O624" s="32">
        <f t="shared" si="77"/>
        <v>44970</v>
      </c>
      <c r="P624" s="18" t="s">
        <v>19</v>
      </c>
    </row>
    <row r="625" spans="1:16" s="16" customFormat="1" x14ac:dyDescent="0.25">
      <c r="A625" s="25" t="str">
        <f t="shared" si="74"/>
        <v>2025 JAN-JUN D70</v>
      </c>
      <c r="B625" s="8">
        <f t="shared" si="75"/>
        <v>46104</v>
      </c>
      <c r="C625" s="8">
        <f t="shared" si="78"/>
        <v>46113</v>
      </c>
      <c r="D625" s="7">
        <v>3272</v>
      </c>
      <c r="E625" s="7">
        <v>336</v>
      </c>
      <c r="F625" s="7">
        <v>4</v>
      </c>
      <c r="G625" s="11">
        <v>1</v>
      </c>
      <c r="H625" s="11">
        <v>81676</v>
      </c>
      <c r="I625" s="7" t="str">
        <f t="shared" si="79"/>
        <v>CHARACTER</v>
      </c>
      <c r="J625" s="11">
        <v>53660850</v>
      </c>
      <c r="K625" s="11" t="s">
        <v>1753</v>
      </c>
      <c r="L625" s="27" t="s">
        <v>1754</v>
      </c>
      <c r="M625" s="7">
        <v>139900</v>
      </c>
      <c r="N625" s="18">
        <f t="shared" si="76"/>
        <v>0.7</v>
      </c>
      <c r="O625" s="32">
        <f t="shared" si="77"/>
        <v>41970</v>
      </c>
      <c r="P625" s="18" t="s">
        <v>19</v>
      </c>
    </row>
    <row r="626" spans="1:16" s="16" customFormat="1" x14ac:dyDescent="0.25">
      <c r="A626" s="25" t="str">
        <f t="shared" si="74"/>
        <v>2025 JAN-JUN D70</v>
      </c>
      <c r="B626" s="8">
        <f t="shared" si="75"/>
        <v>46104</v>
      </c>
      <c r="C626" s="8">
        <f t="shared" si="78"/>
        <v>46113</v>
      </c>
      <c r="D626" s="7">
        <v>3272</v>
      </c>
      <c r="E626" s="7">
        <v>336</v>
      </c>
      <c r="F626" s="7">
        <v>4</v>
      </c>
      <c r="G626" s="11">
        <v>1</v>
      </c>
      <c r="H626" s="11">
        <v>81676</v>
      </c>
      <c r="I626" s="7" t="str">
        <f t="shared" si="79"/>
        <v>CHARACTER</v>
      </c>
      <c r="J626" s="11">
        <v>53660869</v>
      </c>
      <c r="K626" s="11" t="s">
        <v>1753</v>
      </c>
      <c r="L626" s="27" t="s">
        <v>1755</v>
      </c>
      <c r="M626" s="7">
        <v>139900</v>
      </c>
      <c r="N626" s="18">
        <f t="shared" si="76"/>
        <v>0.7</v>
      </c>
      <c r="O626" s="32">
        <f t="shared" si="77"/>
        <v>41970</v>
      </c>
      <c r="P626" s="18" t="s">
        <v>19</v>
      </c>
    </row>
    <row r="627" spans="1:16" s="16" customFormat="1" x14ac:dyDescent="0.25">
      <c r="A627" s="25" t="str">
        <f t="shared" si="74"/>
        <v>2025 JAN-JUN D70</v>
      </c>
      <c r="B627" s="8">
        <f t="shared" si="75"/>
        <v>46104</v>
      </c>
      <c r="C627" s="8">
        <f t="shared" si="78"/>
        <v>46113</v>
      </c>
      <c r="D627" s="7">
        <v>3272</v>
      </c>
      <c r="E627" s="7">
        <v>336</v>
      </c>
      <c r="F627" s="7">
        <v>4</v>
      </c>
      <c r="G627" s="11">
        <v>1</v>
      </c>
      <c r="H627" s="11">
        <v>81676</v>
      </c>
      <c r="I627" s="7" t="str">
        <f t="shared" si="79"/>
        <v>CHARACTER</v>
      </c>
      <c r="J627" s="11">
        <v>53660878</v>
      </c>
      <c r="K627" s="11" t="s">
        <v>1753</v>
      </c>
      <c r="L627" s="27" t="s">
        <v>1756</v>
      </c>
      <c r="M627" s="7">
        <v>139900</v>
      </c>
      <c r="N627" s="18">
        <f t="shared" si="76"/>
        <v>0.7</v>
      </c>
      <c r="O627" s="32">
        <f t="shared" si="77"/>
        <v>41970</v>
      </c>
      <c r="P627" s="18" t="s">
        <v>19</v>
      </c>
    </row>
    <row r="628" spans="1:16" s="16" customFormat="1" x14ac:dyDescent="0.25">
      <c r="A628" s="25" t="str">
        <f t="shared" si="74"/>
        <v>2025 JAN-JUN D70</v>
      </c>
      <c r="B628" s="8">
        <f t="shared" si="75"/>
        <v>46104</v>
      </c>
      <c r="C628" s="8">
        <f t="shared" si="78"/>
        <v>46113</v>
      </c>
      <c r="D628" s="7">
        <v>3272</v>
      </c>
      <c r="E628" s="7">
        <v>336</v>
      </c>
      <c r="F628" s="7">
        <v>4</v>
      </c>
      <c r="G628" s="11">
        <v>1</v>
      </c>
      <c r="H628" s="11">
        <v>81676</v>
      </c>
      <c r="I628" s="7" t="str">
        <f t="shared" si="79"/>
        <v>CHARACTER</v>
      </c>
      <c r="J628" s="11">
        <v>53660887</v>
      </c>
      <c r="K628" s="11" t="s">
        <v>1753</v>
      </c>
      <c r="L628" s="27" t="s">
        <v>1757</v>
      </c>
      <c r="M628" s="7">
        <v>139900</v>
      </c>
      <c r="N628" s="18">
        <f t="shared" si="76"/>
        <v>0.7</v>
      </c>
      <c r="O628" s="32">
        <f t="shared" si="77"/>
        <v>41970</v>
      </c>
      <c r="P628" s="18" t="s">
        <v>19</v>
      </c>
    </row>
    <row r="629" spans="1:16" s="16" customFormat="1" x14ac:dyDescent="0.25">
      <c r="A629" s="25" t="str">
        <f t="shared" si="74"/>
        <v>2025 JAN-JUN D70</v>
      </c>
      <c r="B629" s="8">
        <f t="shared" si="75"/>
        <v>46104</v>
      </c>
      <c r="C629" s="8">
        <f t="shared" si="78"/>
        <v>46113</v>
      </c>
      <c r="D629" s="7">
        <v>3272</v>
      </c>
      <c r="E629" s="7">
        <v>336</v>
      </c>
      <c r="F629" s="7">
        <v>4</v>
      </c>
      <c r="G629" s="11">
        <v>1</v>
      </c>
      <c r="H629" s="11">
        <v>81676</v>
      </c>
      <c r="I629" s="7" t="str">
        <f t="shared" si="79"/>
        <v>CHARACTER</v>
      </c>
      <c r="J629" s="11">
        <v>53660896</v>
      </c>
      <c r="K629" s="11" t="s">
        <v>1753</v>
      </c>
      <c r="L629" s="27" t="s">
        <v>1758</v>
      </c>
      <c r="M629" s="7">
        <v>139900</v>
      </c>
      <c r="N629" s="18">
        <f t="shared" si="76"/>
        <v>0.7</v>
      </c>
      <c r="O629" s="32">
        <f t="shared" si="77"/>
        <v>41970</v>
      </c>
      <c r="P629" s="18" t="s">
        <v>19</v>
      </c>
    </row>
    <row r="630" spans="1:16" s="16" customFormat="1" x14ac:dyDescent="0.25">
      <c r="A630" s="25" t="str">
        <f t="shared" si="74"/>
        <v>2025 JAN-JUN D70</v>
      </c>
      <c r="B630" s="8">
        <f t="shared" si="75"/>
        <v>46104</v>
      </c>
      <c r="C630" s="8">
        <f t="shared" si="78"/>
        <v>46113</v>
      </c>
      <c r="D630" s="7">
        <v>3272</v>
      </c>
      <c r="E630" s="7">
        <v>336</v>
      </c>
      <c r="F630" s="7">
        <v>4</v>
      </c>
      <c r="G630" s="11">
        <v>1</v>
      </c>
      <c r="H630" s="11">
        <v>81676</v>
      </c>
      <c r="I630" s="7" t="str">
        <f t="shared" si="79"/>
        <v>CHARACTER</v>
      </c>
      <c r="J630" s="11">
        <v>53660903</v>
      </c>
      <c r="K630" s="11" t="s">
        <v>1753</v>
      </c>
      <c r="L630" s="27" t="s">
        <v>1759</v>
      </c>
      <c r="M630" s="7">
        <v>139900</v>
      </c>
      <c r="N630" s="18">
        <f t="shared" si="76"/>
        <v>0.7</v>
      </c>
      <c r="O630" s="32">
        <f t="shared" si="77"/>
        <v>41970</v>
      </c>
      <c r="P630" s="18" t="s">
        <v>19</v>
      </c>
    </row>
    <row r="631" spans="1:16" s="16" customFormat="1" x14ac:dyDescent="0.25">
      <c r="A631" s="25" t="str">
        <f t="shared" si="74"/>
        <v>2025 JAN-JUN D70</v>
      </c>
      <c r="B631" s="8">
        <f t="shared" si="75"/>
        <v>46104</v>
      </c>
      <c r="C631" s="8">
        <f t="shared" si="78"/>
        <v>46113</v>
      </c>
      <c r="D631" s="7">
        <v>3272</v>
      </c>
      <c r="E631" s="7">
        <v>336</v>
      </c>
      <c r="F631" s="7">
        <v>4</v>
      </c>
      <c r="G631" s="11">
        <v>1</v>
      </c>
      <c r="H631" s="11">
        <v>81676</v>
      </c>
      <c r="I631" s="7" t="str">
        <f t="shared" si="79"/>
        <v>CHARACTER</v>
      </c>
      <c r="J631" s="11">
        <v>53660912</v>
      </c>
      <c r="K631" s="11" t="s">
        <v>1760</v>
      </c>
      <c r="L631" s="27" t="s">
        <v>1761</v>
      </c>
      <c r="M631" s="7">
        <v>139900</v>
      </c>
      <c r="N631" s="18">
        <f t="shared" si="76"/>
        <v>0.7</v>
      </c>
      <c r="O631" s="32">
        <f t="shared" si="77"/>
        <v>41970</v>
      </c>
      <c r="P631" s="18" t="s">
        <v>19</v>
      </c>
    </row>
    <row r="632" spans="1:16" s="16" customFormat="1" x14ac:dyDescent="0.25">
      <c r="A632" s="25" t="str">
        <f t="shared" si="74"/>
        <v>2025 JAN-JUN D70</v>
      </c>
      <c r="B632" s="8">
        <f t="shared" si="75"/>
        <v>46104</v>
      </c>
      <c r="C632" s="8">
        <f t="shared" si="78"/>
        <v>46113</v>
      </c>
      <c r="D632" s="7">
        <v>3272</v>
      </c>
      <c r="E632" s="7">
        <v>336</v>
      </c>
      <c r="F632" s="7">
        <v>4</v>
      </c>
      <c r="G632" s="11">
        <v>1</v>
      </c>
      <c r="H632" s="11">
        <v>81676</v>
      </c>
      <c r="I632" s="7" t="str">
        <f t="shared" si="79"/>
        <v>CHARACTER</v>
      </c>
      <c r="J632" s="11">
        <v>53660921</v>
      </c>
      <c r="K632" s="11" t="s">
        <v>1760</v>
      </c>
      <c r="L632" s="27" t="s">
        <v>1762</v>
      </c>
      <c r="M632" s="7">
        <v>139900</v>
      </c>
      <c r="N632" s="18">
        <f t="shared" si="76"/>
        <v>0.7</v>
      </c>
      <c r="O632" s="32">
        <f t="shared" si="77"/>
        <v>41970</v>
      </c>
      <c r="P632" s="18" t="s">
        <v>19</v>
      </c>
    </row>
    <row r="633" spans="1:16" s="16" customFormat="1" x14ac:dyDescent="0.25">
      <c r="A633" s="25" t="str">
        <f t="shared" si="74"/>
        <v>2025 JAN-JUN D70</v>
      </c>
      <c r="B633" s="8">
        <f t="shared" si="75"/>
        <v>46104</v>
      </c>
      <c r="C633" s="8">
        <f t="shared" si="78"/>
        <v>46113</v>
      </c>
      <c r="D633" s="7">
        <v>3272</v>
      </c>
      <c r="E633" s="7">
        <v>336</v>
      </c>
      <c r="F633" s="7">
        <v>4</v>
      </c>
      <c r="G633" s="11">
        <v>1</v>
      </c>
      <c r="H633" s="11">
        <v>81676</v>
      </c>
      <c r="I633" s="7" t="str">
        <f t="shared" si="79"/>
        <v>CHARACTER</v>
      </c>
      <c r="J633" s="11">
        <v>53660930</v>
      </c>
      <c r="K633" s="11" t="s">
        <v>1760</v>
      </c>
      <c r="L633" s="27" t="s">
        <v>1763</v>
      </c>
      <c r="M633" s="7">
        <v>139900</v>
      </c>
      <c r="N633" s="18">
        <f t="shared" si="76"/>
        <v>0.7</v>
      </c>
      <c r="O633" s="32">
        <f t="shared" si="77"/>
        <v>41970</v>
      </c>
      <c r="P633" s="18" t="s">
        <v>19</v>
      </c>
    </row>
    <row r="634" spans="1:16" s="16" customFormat="1" x14ac:dyDescent="0.25">
      <c r="A634" s="25" t="str">
        <f t="shared" si="74"/>
        <v>2025 JAN-JUN D70</v>
      </c>
      <c r="B634" s="8">
        <f t="shared" si="75"/>
        <v>46104</v>
      </c>
      <c r="C634" s="8">
        <f t="shared" ref="C634:C665" si="80">C633</f>
        <v>46113</v>
      </c>
      <c r="D634" s="7">
        <v>3272</v>
      </c>
      <c r="E634" s="7">
        <v>336</v>
      </c>
      <c r="F634" s="7">
        <v>4</v>
      </c>
      <c r="G634" s="11">
        <v>1</v>
      </c>
      <c r="H634" s="11">
        <v>81676</v>
      </c>
      <c r="I634" s="7" t="str">
        <f t="shared" ref="I634:I652" si="81">I633</f>
        <v>CHARACTER</v>
      </c>
      <c r="J634" s="11">
        <v>53660949</v>
      </c>
      <c r="K634" s="11" t="s">
        <v>1760</v>
      </c>
      <c r="L634" s="27" t="s">
        <v>1764</v>
      </c>
      <c r="M634" s="7">
        <v>139900</v>
      </c>
      <c r="N634" s="18">
        <f t="shared" si="76"/>
        <v>0.7</v>
      </c>
      <c r="O634" s="32">
        <f t="shared" si="77"/>
        <v>41970</v>
      </c>
      <c r="P634" s="18" t="s">
        <v>19</v>
      </c>
    </row>
    <row r="635" spans="1:16" s="16" customFormat="1" x14ac:dyDescent="0.25">
      <c r="A635" s="25" t="str">
        <f t="shared" si="74"/>
        <v>2025 JAN-JUN D70</v>
      </c>
      <c r="B635" s="8">
        <f t="shared" si="75"/>
        <v>46104</v>
      </c>
      <c r="C635" s="8">
        <f t="shared" si="80"/>
        <v>46113</v>
      </c>
      <c r="D635" s="7">
        <v>3272</v>
      </c>
      <c r="E635" s="7">
        <v>336</v>
      </c>
      <c r="F635" s="7">
        <v>4</v>
      </c>
      <c r="G635" s="11">
        <v>1</v>
      </c>
      <c r="H635" s="11">
        <v>81676</v>
      </c>
      <c r="I635" s="7" t="str">
        <f t="shared" si="81"/>
        <v>CHARACTER</v>
      </c>
      <c r="J635" s="11">
        <v>53660958</v>
      </c>
      <c r="K635" s="11" t="s">
        <v>1760</v>
      </c>
      <c r="L635" s="27" t="s">
        <v>1765</v>
      </c>
      <c r="M635" s="7">
        <v>139900</v>
      </c>
      <c r="N635" s="18">
        <f t="shared" si="76"/>
        <v>0.7</v>
      </c>
      <c r="O635" s="32">
        <f t="shared" si="77"/>
        <v>41970</v>
      </c>
      <c r="P635" s="18" t="s">
        <v>19</v>
      </c>
    </row>
    <row r="636" spans="1:16" s="16" customFormat="1" x14ac:dyDescent="0.25">
      <c r="A636" s="25" t="str">
        <f t="shared" si="74"/>
        <v>2025 JAN-JUN D70</v>
      </c>
      <c r="B636" s="8">
        <f t="shared" si="75"/>
        <v>46104</v>
      </c>
      <c r="C636" s="8">
        <f t="shared" si="80"/>
        <v>46113</v>
      </c>
      <c r="D636" s="7">
        <v>3272</v>
      </c>
      <c r="E636" s="7">
        <v>336</v>
      </c>
      <c r="F636" s="7">
        <v>4</v>
      </c>
      <c r="G636" s="11">
        <v>1</v>
      </c>
      <c r="H636" s="11">
        <v>81676</v>
      </c>
      <c r="I636" s="7" t="str">
        <f t="shared" si="81"/>
        <v>CHARACTER</v>
      </c>
      <c r="J636" s="11">
        <v>53660967</v>
      </c>
      <c r="K636" s="11" t="s">
        <v>1760</v>
      </c>
      <c r="L636" s="27" t="s">
        <v>1766</v>
      </c>
      <c r="M636" s="7">
        <v>139900</v>
      </c>
      <c r="N636" s="18">
        <f t="shared" si="76"/>
        <v>0.7</v>
      </c>
      <c r="O636" s="32">
        <f t="shared" si="77"/>
        <v>41970</v>
      </c>
      <c r="P636" s="18" t="s">
        <v>19</v>
      </c>
    </row>
    <row r="637" spans="1:16" s="16" customFormat="1" x14ac:dyDescent="0.25">
      <c r="A637" s="25" t="str">
        <f t="shared" si="74"/>
        <v>2025 JAN-JUN D70</v>
      </c>
      <c r="B637" s="8">
        <f t="shared" si="75"/>
        <v>46104</v>
      </c>
      <c r="C637" s="8">
        <f t="shared" si="80"/>
        <v>46113</v>
      </c>
      <c r="D637" s="7">
        <v>3272</v>
      </c>
      <c r="E637" s="7">
        <v>336</v>
      </c>
      <c r="F637" s="7">
        <v>4</v>
      </c>
      <c r="G637" s="11">
        <v>3</v>
      </c>
      <c r="H637" s="11">
        <v>81379</v>
      </c>
      <c r="I637" s="7" t="str">
        <f t="shared" si="81"/>
        <v>CHARACTER</v>
      </c>
      <c r="J637" s="11">
        <v>53660476</v>
      </c>
      <c r="K637" s="11" t="s">
        <v>1767</v>
      </c>
      <c r="L637" s="27" t="s">
        <v>1768</v>
      </c>
      <c r="M637" s="7">
        <v>229900</v>
      </c>
      <c r="N637" s="18">
        <f t="shared" si="76"/>
        <v>0.7</v>
      </c>
      <c r="O637" s="32">
        <f t="shared" si="77"/>
        <v>68970</v>
      </c>
      <c r="P637" s="18" t="s">
        <v>19</v>
      </c>
    </row>
    <row r="638" spans="1:16" s="16" customFormat="1" x14ac:dyDescent="0.25">
      <c r="A638" s="25" t="str">
        <f t="shared" si="74"/>
        <v>2025 JAN-JUN D70</v>
      </c>
      <c r="B638" s="8">
        <f t="shared" si="75"/>
        <v>46104</v>
      </c>
      <c r="C638" s="8">
        <f t="shared" si="80"/>
        <v>46113</v>
      </c>
      <c r="D638" s="7">
        <v>3272</v>
      </c>
      <c r="E638" s="7">
        <v>336</v>
      </c>
      <c r="F638" s="7">
        <v>4</v>
      </c>
      <c r="G638" s="11">
        <v>3</v>
      </c>
      <c r="H638" s="11">
        <v>81379</v>
      </c>
      <c r="I638" s="7" t="str">
        <f t="shared" si="81"/>
        <v>CHARACTER</v>
      </c>
      <c r="J638" s="11">
        <v>53660485</v>
      </c>
      <c r="K638" s="11" t="s">
        <v>1767</v>
      </c>
      <c r="L638" s="27" t="s">
        <v>1769</v>
      </c>
      <c r="M638" s="7">
        <v>229900</v>
      </c>
      <c r="N638" s="18">
        <f t="shared" si="76"/>
        <v>0.7</v>
      </c>
      <c r="O638" s="32">
        <f t="shared" si="77"/>
        <v>68970</v>
      </c>
      <c r="P638" s="18" t="s">
        <v>19</v>
      </c>
    </row>
    <row r="639" spans="1:16" s="16" customFormat="1" x14ac:dyDescent="0.25">
      <c r="A639" s="25" t="str">
        <f t="shared" si="74"/>
        <v>2025 JAN-JUN D70</v>
      </c>
      <c r="B639" s="8">
        <f t="shared" si="75"/>
        <v>46104</v>
      </c>
      <c r="C639" s="8">
        <f t="shared" si="80"/>
        <v>46113</v>
      </c>
      <c r="D639" s="7">
        <v>3272</v>
      </c>
      <c r="E639" s="7">
        <v>336</v>
      </c>
      <c r="F639" s="7">
        <v>4</v>
      </c>
      <c r="G639" s="11">
        <v>3</v>
      </c>
      <c r="H639" s="11">
        <v>81379</v>
      </c>
      <c r="I639" s="7" t="str">
        <f t="shared" si="81"/>
        <v>CHARACTER</v>
      </c>
      <c r="J639" s="11">
        <v>53660494</v>
      </c>
      <c r="K639" s="11" t="s">
        <v>1767</v>
      </c>
      <c r="L639" s="27" t="s">
        <v>1770</v>
      </c>
      <c r="M639" s="7">
        <v>229900</v>
      </c>
      <c r="N639" s="18">
        <f t="shared" si="76"/>
        <v>0.7</v>
      </c>
      <c r="O639" s="32">
        <f t="shared" si="77"/>
        <v>68970</v>
      </c>
      <c r="P639" s="18" t="s">
        <v>19</v>
      </c>
    </row>
    <row r="640" spans="1:16" s="16" customFormat="1" x14ac:dyDescent="0.25">
      <c r="A640" s="25" t="str">
        <f t="shared" si="74"/>
        <v>2025 JAN-JUN D70</v>
      </c>
      <c r="B640" s="8">
        <f t="shared" si="75"/>
        <v>46104</v>
      </c>
      <c r="C640" s="8">
        <f t="shared" si="80"/>
        <v>46113</v>
      </c>
      <c r="D640" s="7">
        <v>3272</v>
      </c>
      <c r="E640" s="7">
        <v>336</v>
      </c>
      <c r="F640" s="7">
        <v>4</v>
      </c>
      <c r="G640" s="11">
        <v>3</v>
      </c>
      <c r="H640" s="11">
        <v>81379</v>
      </c>
      <c r="I640" s="7" t="str">
        <f t="shared" si="81"/>
        <v>CHARACTER</v>
      </c>
      <c r="J640" s="11">
        <v>53660501</v>
      </c>
      <c r="K640" s="11" t="s">
        <v>1767</v>
      </c>
      <c r="L640" s="27" t="s">
        <v>1771</v>
      </c>
      <c r="M640" s="7">
        <v>229900</v>
      </c>
      <c r="N640" s="18">
        <f t="shared" si="76"/>
        <v>0.7</v>
      </c>
      <c r="O640" s="32">
        <f t="shared" si="77"/>
        <v>68970</v>
      </c>
      <c r="P640" s="18" t="s">
        <v>19</v>
      </c>
    </row>
    <row r="641" spans="1:16" s="16" customFormat="1" x14ac:dyDescent="0.25">
      <c r="A641" s="25" t="str">
        <f t="shared" si="74"/>
        <v>2025 JAN-JUN D70</v>
      </c>
      <c r="B641" s="8">
        <f t="shared" si="75"/>
        <v>46104</v>
      </c>
      <c r="C641" s="8">
        <f t="shared" si="80"/>
        <v>46113</v>
      </c>
      <c r="D641" s="7">
        <v>3272</v>
      </c>
      <c r="E641" s="7">
        <v>336</v>
      </c>
      <c r="F641" s="7">
        <v>4</v>
      </c>
      <c r="G641" s="11">
        <v>3</v>
      </c>
      <c r="H641" s="11">
        <v>81379</v>
      </c>
      <c r="I641" s="7" t="str">
        <f t="shared" si="81"/>
        <v>CHARACTER</v>
      </c>
      <c r="J641" s="11">
        <v>53660510</v>
      </c>
      <c r="K641" s="11" t="s">
        <v>1767</v>
      </c>
      <c r="L641" s="27" t="s">
        <v>1772</v>
      </c>
      <c r="M641" s="7">
        <v>229900</v>
      </c>
      <c r="N641" s="18">
        <f t="shared" si="76"/>
        <v>0.7</v>
      </c>
      <c r="O641" s="32">
        <f t="shared" si="77"/>
        <v>68970</v>
      </c>
      <c r="P641" s="18" t="s">
        <v>19</v>
      </c>
    </row>
    <row r="642" spans="1:16" s="16" customFormat="1" x14ac:dyDescent="0.25">
      <c r="A642" s="25" t="str">
        <f t="shared" si="74"/>
        <v>2025 JAN-JUN D70</v>
      </c>
      <c r="B642" s="8">
        <f t="shared" si="75"/>
        <v>46104</v>
      </c>
      <c r="C642" s="8">
        <f t="shared" si="80"/>
        <v>46113</v>
      </c>
      <c r="D642" s="7">
        <v>3272</v>
      </c>
      <c r="E642" s="7">
        <v>336</v>
      </c>
      <c r="F642" s="7">
        <v>4</v>
      </c>
      <c r="G642" s="11">
        <v>3</v>
      </c>
      <c r="H642" s="11">
        <v>81379</v>
      </c>
      <c r="I642" s="7" t="str">
        <f t="shared" si="81"/>
        <v>CHARACTER</v>
      </c>
      <c r="J642" s="11">
        <v>53660529</v>
      </c>
      <c r="K642" s="11" t="s">
        <v>1767</v>
      </c>
      <c r="L642" s="27" t="s">
        <v>1773</v>
      </c>
      <c r="M642" s="7">
        <v>229900</v>
      </c>
      <c r="N642" s="18">
        <f t="shared" si="76"/>
        <v>0.7</v>
      </c>
      <c r="O642" s="32">
        <f t="shared" si="77"/>
        <v>68970</v>
      </c>
      <c r="P642" s="18" t="s">
        <v>19</v>
      </c>
    </row>
    <row r="643" spans="1:16" s="16" customFormat="1" x14ac:dyDescent="0.25">
      <c r="A643" s="25" t="str">
        <f t="shared" si="74"/>
        <v>2025 JAN-JUN D70</v>
      </c>
      <c r="B643" s="8">
        <f t="shared" si="75"/>
        <v>46104</v>
      </c>
      <c r="C643" s="8">
        <f t="shared" si="80"/>
        <v>46113</v>
      </c>
      <c r="D643" s="7">
        <v>3272</v>
      </c>
      <c r="E643" s="7">
        <v>336</v>
      </c>
      <c r="F643" s="7">
        <v>4</v>
      </c>
      <c r="G643" s="11">
        <v>3</v>
      </c>
      <c r="H643" s="11">
        <v>81379</v>
      </c>
      <c r="I643" s="7" t="str">
        <f t="shared" si="81"/>
        <v>CHARACTER</v>
      </c>
      <c r="J643" s="11">
        <v>53660538</v>
      </c>
      <c r="K643" s="11" t="s">
        <v>1767</v>
      </c>
      <c r="L643" s="27" t="s">
        <v>1774</v>
      </c>
      <c r="M643" s="7">
        <v>229900</v>
      </c>
      <c r="N643" s="18">
        <f t="shared" si="76"/>
        <v>0.7</v>
      </c>
      <c r="O643" s="32">
        <f t="shared" si="77"/>
        <v>68970</v>
      </c>
      <c r="P643" s="18" t="s">
        <v>19</v>
      </c>
    </row>
    <row r="644" spans="1:16" s="16" customFormat="1" x14ac:dyDescent="0.25">
      <c r="A644" s="25" t="str">
        <f t="shared" ref="A644:A707" si="82">A643</f>
        <v>2025 JAN-JUN D70</v>
      </c>
      <c r="B644" s="8">
        <f t="shared" ref="B644:B707" si="83">B643</f>
        <v>46104</v>
      </c>
      <c r="C644" s="8">
        <f t="shared" si="80"/>
        <v>46113</v>
      </c>
      <c r="D644" s="7">
        <v>3272</v>
      </c>
      <c r="E644" s="7">
        <v>336</v>
      </c>
      <c r="F644" s="7">
        <v>4</v>
      </c>
      <c r="G644" s="11">
        <v>3</v>
      </c>
      <c r="H644" s="11">
        <v>81379</v>
      </c>
      <c r="I644" s="7" t="str">
        <f t="shared" si="81"/>
        <v>CHARACTER</v>
      </c>
      <c r="J644" s="11">
        <v>53660547</v>
      </c>
      <c r="K644" s="11" t="s">
        <v>1767</v>
      </c>
      <c r="L644" s="27" t="s">
        <v>1775</v>
      </c>
      <c r="M644" s="7">
        <v>229900</v>
      </c>
      <c r="N644" s="18">
        <f t="shared" ref="N644:N707" si="84">N643</f>
        <v>0.7</v>
      </c>
      <c r="O644" s="32">
        <f t="shared" ref="O644:O707" si="85">M644-((70*M644)/100)</f>
        <v>68970</v>
      </c>
      <c r="P644" s="18" t="s">
        <v>19</v>
      </c>
    </row>
    <row r="645" spans="1:16" s="16" customFormat="1" x14ac:dyDescent="0.25">
      <c r="A645" s="25" t="str">
        <f t="shared" si="82"/>
        <v>2025 JAN-JUN D70</v>
      </c>
      <c r="B645" s="8">
        <f t="shared" si="83"/>
        <v>46104</v>
      </c>
      <c r="C645" s="8">
        <f t="shared" si="80"/>
        <v>46113</v>
      </c>
      <c r="D645" s="7">
        <v>3272</v>
      </c>
      <c r="E645" s="7">
        <v>336</v>
      </c>
      <c r="F645" s="7">
        <v>4</v>
      </c>
      <c r="G645" s="11">
        <v>3</v>
      </c>
      <c r="H645" s="11">
        <v>81379</v>
      </c>
      <c r="I645" s="7" t="str">
        <f t="shared" si="81"/>
        <v>CHARACTER</v>
      </c>
      <c r="J645" s="11">
        <v>53660976</v>
      </c>
      <c r="K645" s="11" t="s">
        <v>1776</v>
      </c>
      <c r="L645" s="27" t="s">
        <v>1777</v>
      </c>
      <c r="M645" s="7">
        <v>299900</v>
      </c>
      <c r="N645" s="18">
        <f t="shared" si="84"/>
        <v>0.7</v>
      </c>
      <c r="O645" s="32">
        <f t="shared" si="85"/>
        <v>89970</v>
      </c>
      <c r="P645" s="18" t="s">
        <v>19</v>
      </c>
    </row>
    <row r="646" spans="1:16" s="16" customFormat="1" x14ac:dyDescent="0.25">
      <c r="A646" s="25" t="str">
        <f t="shared" si="82"/>
        <v>2025 JAN-JUN D70</v>
      </c>
      <c r="B646" s="8">
        <f t="shared" si="83"/>
        <v>46104</v>
      </c>
      <c r="C646" s="8">
        <f t="shared" si="80"/>
        <v>46113</v>
      </c>
      <c r="D646" s="7">
        <v>3272</v>
      </c>
      <c r="E646" s="7">
        <v>336</v>
      </c>
      <c r="F646" s="7">
        <v>4</v>
      </c>
      <c r="G646" s="11">
        <v>3</v>
      </c>
      <c r="H646" s="11">
        <v>81379</v>
      </c>
      <c r="I646" s="7" t="str">
        <f t="shared" si="81"/>
        <v>CHARACTER</v>
      </c>
      <c r="J646" s="11">
        <v>53660985</v>
      </c>
      <c r="K646" s="11" t="s">
        <v>1776</v>
      </c>
      <c r="L646" s="27" t="s">
        <v>1778</v>
      </c>
      <c r="M646" s="7">
        <v>299900</v>
      </c>
      <c r="N646" s="18">
        <f t="shared" si="84"/>
        <v>0.7</v>
      </c>
      <c r="O646" s="32">
        <f t="shared" si="85"/>
        <v>89970</v>
      </c>
      <c r="P646" s="18" t="s">
        <v>19</v>
      </c>
    </row>
    <row r="647" spans="1:16" s="16" customFormat="1" x14ac:dyDescent="0.25">
      <c r="A647" s="25" t="str">
        <f t="shared" si="82"/>
        <v>2025 JAN-JUN D70</v>
      </c>
      <c r="B647" s="8">
        <f t="shared" si="83"/>
        <v>46104</v>
      </c>
      <c r="C647" s="8">
        <f t="shared" si="80"/>
        <v>46113</v>
      </c>
      <c r="D647" s="7">
        <v>3272</v>
      </c>
      <c r="E647" s="7">
        <v>336</v>
      </c>
      <c r="F647" s="7">
        <v>4</v>
      </c>
      <c r="G647" s="11">
        <v>3</v>
      </c>
      <c r="H647" s="11">
        <v>81379</v>
      </c>
      <c r="I647" s="7" t="str">
        <f t="shared" si="81"/>
        <v>CHARACTER</v>
      </c>
      <c r="J647" s="11">
        <v>53660994</v>
      </c>
      <c r="K647" s="11" t="s">
        <v>1776</v>
      </c>
      <c r="L647" s="27" t="s">
        <v>1779</v>
      </c>
      <c r="M647" s="7">
        <v>299900</v>
      </c>
      <c r="N647" s="18">
        <f t="shared" si="84"/>
        <v>0.7</v>
      </c>
      <c r="O647" s="32">
        <f t="shared" si="85"/>
        <v>89970</v>
      </c>
      <c r="P647" s="18" t="s">
        <v>19</v>
      </c>
    </row>
    <row r="648" spans="1:16" s="16" customFormat="1" x14ac:dyDescent="0.25">
      <c r="A648" s="25" t="str">
        <f t="shared" si="82"/>
        <v>2025 JAN-JUN D70</v>
      </c>
      <c r="B648" s="8">
        <f t="shared" si="83"/>
        <v>46104</v>
      </c>
      <c r="C648" s="8">
        <f t="shared" si="80"/>
        <v>46113</v>
      </c>
      <c r="D648" s="7">
        <v>3272</v>
      </c>
      <c r="E648" s="7">
        <v>336</v>
      </c>
      <c r="F648" s="7">
        <v>4</v>
      </c>
      <c r="G648" s="11">
        <v>3</v>
      </c>
      <c r="H648" s="11">
        <v>81379</v>
      </c>
      <c r="I648" s="7" t="str">
        <f t="shared" si="81"/>
        <v>CHARACTER</v>
      </c>
      <c r="J648" s="11">
        <v>53661000</v>
      </c>
      <c r="K648" s="11" t="s">
        <v>1776</v>
      </c>
      <c r="L648" s="27" t="s">
        <v>1780</v>
      </c>
      <c r="M648" s="7">
        <v>299900</v>
      </c>
      <c r="N648" s="18">
        <f t="shared" si="84"/>
        <v>0.7</v>
      </c>
      <c r="O648" s="32">
        <f t="shared" si="85"/>
        <v>89970</v>
      </c>
      <c r="P648" s="18" t="s">
        <v>19</v>
      </c>
    </row>
    <row r="649" spans="1:16" s="16" customFormat="1" x14ac:dyDescent="0.25">
      <c r="A649" s="25" t="str">
        <f t="shared" si="82"/>
        <v>2025 JAN-JUN D70</v>
      </c>
      <c r="B649" s="8">
        <f t="shared" si="83"/>
        <v>46104</v>
      </c>
      <c r="C649" s="8">
        <f t="shared" si="80"/>
        <v>46113</v>
      </c>
      <c r="D649" s="7">
        <v>3272</v>
      </c>
      <c r="E649" s="7">
        <v>336</v>
      </c>
      <c r="F649" s="7">
        <v>4</v>
      </c>
      <c r="G649" s="11">
        <v>3</v>
      </c>
      <c r="H649" s="11">
        <v>81379</v>
      </c>
      <c r="I649" s="7" t="str">
        <f t="shared" si="81"/>
        <v>CHARACTER</v>
      </c>
      <c r="J649" s="11">
        <v>53661019</v>
      </c>
      <c r="K649" s="11" t="s">
        <v>1776</v>
      </c>
      <c r="L649" s="27" t="s">
        <v>1781</v>
      </c>
      <c r="M649" s="7">
        <v>299900</v>
      </c>
      <c r="N649" s="18">
        <f t="shared" si="84"/>
        <v>0.7</v>
      </c>
      <c r="O649" s="32">
        <f t="shared" si="85"/>
        <v>89970</v>
      </c>
      <c r="P649" s="18" t="s">
        <v>19</v>
      </c>
    </row>
    <row r="650" spans="1:16" s="16" customFormat="1" x14ac:dyDescent="0.25">
      <c r="A650" s="25" t="str">
        <f t="shared" si="82"/>
        <v>2025 JAN-JUN D70</v>
      </c>
      <c r="B650" s="8">
        <f t="shared" si="83"/>
        <v>46104</v>
      </c>
      <c r="C650" s="8">
        <f t="shared" si="80"/>
        <v>46113</v>
      </c>
      <c r="D650" s="7">
        <v>3272</v>
      </c>
      <c r="E650" s="7">
        <v>336</v>
      </c>
      <c r="F650" s="7">
        <v>4</v>
      </c>
      <c r="G650" s="11">
        <v>3</v>
      </c>
      <c r="H650" s="11">
        <v>81379</v>
      </c>
      <c r="I650" s="7" t="str">
        <f t="shared" si="81"/>
        <v>CHARACTER</v>
      </c>
      <c r="J650" s="11">
        <v>53661028</v>
      </c>
      <c r="K650" s="11" t="s">
        <v>1776</v>
      </c>
      <c r="L650" s="27" t="s">
        <v>1782</v>
      </c>
      <c r="M650" s="7">
        <v>299900</v>
      </c>
      <c r="N650" s="18">
        <f t="shared" si="84"/>
        <v>0.7</v>
      </c>
      <c r="O650" s="32">
        <f t="shared" si="85"/>
        <v>89970</v>
      </c>
      <c r="P650" s="18" t="s">
        <v>19</v>
      </c>
    </row>
    <row r="651" spans="1:16" s="16" customFormat="1" x14ac:dyDescent="0.25">
      <c r="A651" s="25" t="str">
        <f t="shared" si="82"/>
        <v>2025 JAN-JUN D70</v>
      </c>
      <c r="B651" s="8">
        <f t="shared" si="83"/>
        <v>46104</v>
      </c>
      <c r="C651" s="8">
        <f t="shared" si="80"/>
        <v>46113</v>
      </c>
      <c r="D651" s="7">
        <v>3272</v>
      </c>
      <c r="E651" s="7">
        <v>336</v>
      </c>
      <c r="F651" s="7">
        <v>4</v>
      </c>
      <c r="G651" s="11">
        <v>3</v>
      </c>
      <c r="H651" s="11">
        <v>81379</v>
      </c>
      <c r="I651" s="7" t="str">
        <f t="shared" si="81"/>
        <v>CHARACTER</v>
      </c>
      <c r="J651" s="11">
        <v>53661037</v>
      </c>
      <c r="K651" s="11" t="s">
        <v>1776</v>
      </c>
      <c r="L651" s="27" t="s">
        <v>1783</v>
      </c>
      <c r="M651" s="7">
        <v>299900</v>
      </c>
      <c r="N651" s="18">
        <f t="shared" si="84"/>
        <v>0.7</v>
      </c>
      <c r="O651" s="32">
        <f t="shared" si="85"/>
        <v>89970</v>
      </c>
      <c r="P651" s="18" t="s">
        <v>19</v>
      </c>
    </row>
    <row r="652" spans="1:16" s="16" customFormat="1" x14ac:dyDescent="0.25">
      <c r="A652" s="25" t="str">
        <f t="shared" si="82"/>
        <v>2025 JAN-JUN D70</v>
      </c>
      <c r="B652" s="8">
        <f t="shared" si="83"/>
        <v>46104</v>
      </c>
      <c r="C652" s="8">
        <f t="shared" si="80"/>
        <v>46113</v>
      </c>
      <c r="D652" s="7">
        <v>3272</v>
      </c>
      <c r="E652" s="7">
        <v>336</v>
      </c>
      <c r="F652" s="7">
        <v>4</v>
      </c>
      <c r="G652" s="11">
        <v>3</v>
      </c>
      <c r="H652" s="11">
        <v>81379</v>
      </c>
      <c r="I652" s="7" t="str">
        <f t="shared" si="81"/>
        <v>CHARACTER</v>
      </c>
      <c r="J652" s="11">
        <v>53661046</v>
      </c>
      <c r="K652" s="11" t="s">
        <v>1776</v>
      </c>
      <c r="L652" s="27" t="s">
        <v>1784</v>
      </c>
      <c r="M652" s="7">
        <v>299900</v>
      </c>
      <c r="N652" s="18">
        <f t="shared" si="84"/>
        <v>0.7</v>
      </c>
      <c r="O652" s="32">
        <f t="shared" si="85"/>
        <v>89970</v>
      </c>
      <c r="P652" s="18" t="s">
        <v>19</v>
      </c>
    </row>
    <row r="653" spans="1:16" s="16" customFormat="1" x14ac:dyDescent="0.25">
      <c r="A653" s="25" t="str">
        <f t="shared" si="82"/>
        <v>2025 JAN-JUN D70</v>
      </c>
      <c r="B653" s="8">
        <f t="shared" si="83"/>
        <v>46104</v>
      </c>
      <c r="C653" s="8">
        <f t="shared" si="80"/>
        <v>46113</v>
      </c>
      <c r="D653" s="7">
        <v>3272</v>
      </c>
      <c r="E653" s="7">
        <v>336</v>
      </c>
      <c r="F653" s="7">
        <v>4</v>
      </c>
      <c r="G653" s="7">
        <v>4</v>
      </c>
      <c r="H653" s="7">
        <v>81379</v>
      </c>
      <c r="I653" s="7" t="s">
        <v>16</v>
      </c>
      <c r="J653" s="7">
        <v>53660636</v>
      </c>
      <c r="K653" s="11" t="s">
        <v>1785</v>
      </c>
      <c r="L653" s="27" t="s">
        <v>1786</v>
      </c>
      <c r="M653" s="9">
        <v>169900</v>
      </c>
      <c r="N653" s="18">
        <f t="shared" si="84"/>
        <v>0.7</v>
      </c>
      <c r="O653" s="32">
        <f t="shared" si="85"/>
        <v>50970</v>
      </c>
      <c r="P653" s="18" t="s">
        <v>19</v>
      </c>
    </row>
    <row r="654" spans="1:16" s="16" customFormat="1" x14ac:dyDescent="0.25">
      <c r="A654" s="25" t="str">
        <f t="shared" si="82"/>
        <v>2025 JAN-JUN D70</v>
      </c>
      <c r="B654" s="8">
        <f t="shared" si="83"/>
        <v>46104</v>
      </c>
      <c r="C654" s="8">
        <f t="shared" si="80"/>
        <v>46113</v>
      </c>
      <c r="D654" s="7">
        <v>3272</v>
      </c>
      <c r="E654" s="7">
        <v>336</v>
      </c>
      <c r="F654" s="7">
        <v>4</v>
      </c>
      <c r="G654" s="7">
        <v>4</v>
      </c>
      <c r="H654" s="7">
        <v>81379</v>
      </c>
      <c r="I654" s="7" t="str">
        <f t="shared" ref="I654:I684" si="86">I653</f>
        <v>CHARACTER</v>
      </c>
      <c r="J654" s="7">
        <v>53660645</v>
      </c>
      <c r="K654" s="11" t="s">
        <v>1785</v>
      </c>
      <c r="L654" s="27" t="s">
        <v>1787</v>
      </c>
      <c r="M654" s="9">
        <v>169900</v>
      </c>
      <c r="N654" s="18">
        <f t="shared" si="84"/>
        <v>0.7</v>
      </c>
      <c r="O654" s="32">
        <f t="shared" si="85"/>
        <v>50970</v>
      </c>
      <c r="P654" s="18" t="s">
        <v>19</v>
      </c>
    </row>
    <row r="655" spans="1:16" s="16" customFormat="1" x14ac:dyDescent="0.25">
      <c r="A655" s="25" t="str">
        <f t="shared" si="82"/>
        <v>2025 JAN-JUN D70</v>
      </c>
      <c r="B655" s="8">
        <f t="shared" si="83"/>
        <v>46104</v>
      </c>
      <c r="C655" s="8">
        <f t="shared" si="80"/>
        <v>46113</v>
      </c>
      <c r="D655" s="7">
        <v>3272</v>
      </c>
      <c r="E655" s="7">
        <v>336</v>
      </c>
      <c r="F655" s="7">
        <v>4</v>
      </c>
      <c r="G655" s="7">
        <v>4</v>
      </c>
      <c r="H655" s="7">
        <v>81379</v>
      </c>
      <c r="I655" s="7" t="str">
        <f t="shared" si="86"/>
        <v>CHARACTER</v>
      </c>
      <c r="J655" s="7">
        <v>53660654</v>
      </c>
      <c r="K655" s="11" t="s">
        <v>1785</v>
      </c>
      <c r="L655" s="27" t="s">
        <v>1788</v>
      </c>
      <c r="M655" s="9">
        <v>169900</v>
      </c>
      <c r="N655" s="18">
        <f t="shared" si="84"/>
        <v>0.7</v>
      </c>
      <c r="O655" s="32">
        <f t="shared" si="85"/>
        <v>50970</v>
      </c>
      <c r="P655" s="18" t="s">
        <v>19</v>
      </c>
    </row>
    <row r="656" spans="1:16" s="16" customFormat="1" x14ac:dyDescent="0.25">
      <c r="A656" s="25" t="str">
        <f t="shared" si="82"/>
        <v>2025 JAN-JUN D70</v>
      </c>
      <c r="B656" s="8">
        <f t="shared" si="83"/>
        <v>46104</v>
      </c>
      <c r="C656" s="8">
        <f t="shared" si="80"/>
        <v>46113</v>
      </c>
      <c r="D656" s="7">
        <v>3272</v>
      </c>
      <c r="E656" s="7">
        <v>336</v>
      </c>
      <c r="F656" s="7">
        <v>4</v>
      </c>
      <c r="G656" s="11">
        <v>4</v>
      </c>
      <c r="H656" s="11">
        <v>81379</v>
      </c>
      <c r="I656" s="7" t="str">
        <f t="shared" si="86"/>
        <v>CHARACTER</v>
      </c>
      <c r="J656" s="11">
        <v>53660663</v>
      </c>
      <c r="K656" s="11" t="s">
        <v>1785</v>
      </c>
      <c r="L656" s="27" t="s">
        <v>1789</v>
      </c>
      <c r="M656" s="7">
        <v>169900</v>
      </c>
      <c r="N656" s="18">
        <f t="shared" si="84"/>
        <v>0.7</v>
      </c>
      <c r="O656" s="32">
        <f t="shared" si="85"/>
        <v>50970</v>
      </c>
      <c r="P656" s="18" t="s">
        <v>19</v>
      </c>
    </row>
    <row r="657" spans="1:16" s="16" customFormat="1" x14ac:dyDescent="0.25">
      <c r="A657" s="25" t="str">
        <f t="shared" si="82"/>
        <v>2025 JAN-JUN D70</v>
      </c>
      <c r="B657" s="8">
        <f t="shared" si="83"/>
        <v>46104</v>
      </c>
      <c r="C657" s="8">
        <f t="shared" si="80"/>
        <v>46113</v>
      </c>
      <c r="D657" s="7">
        <v>3272</v>
      </c>
      <c r="E657" s="7">
        <v>336</v>
      </c>
      <c r="F657" s="7">
        <v>4</v>
      </c>
      <c r="G657" s="11">
        <v>4</v>
      </c>
      <c r="H657" s="11">
        <v>81379</v>
      </c>
      <c r="I657" s="7" t="str">
        <f t="shared" si="86"/>
        <v>CHARACTER</v>
      </c>
      <c r="J657" s="11">
        <v>53660672</v>
      </c>
      <c r="K657" s="11" t="s">
        <v>1785</v>
      </c>
      <c r="L657" s="27" t="s">
        <v>1790</v>
      </c>
      <c r="M657" s="7">
        <v>169900</v>
      </c>
      <c r="N657" s="18">
        <f t="shared" si="84"/>
        <v>0.7</v>
      </c>
      <c r="O657" s="32">
        <f t="shared" si="85"/>
        <v>50970</v>
      </c>
      <c r="P657" s="18" t="s">
        <v>19</v>
      </c>
    </row>
    <row r="658" spans="1:16" s="16" customFormat="1" x14ac:dyDescent="0.25">
      <c r="A658" s="25" t="str">
        <f t="shared" si="82"/>
        <v>2025 JAN-JUN D70</v>
      </c>
      <c r="B658" s="8">
        <f t="shared" si="83"/>
        <v>46104</v>
      </c>
      <c r="C658" s="8">
        <f t="shared" si="80"/>
        <v>46113</v>
      </c>
      <c r="D658" s="7">
        <v>3272</v>
      </c>
      <c r="E658" s="7">
        <v>336</v>
      </c>
      <c r="F658" s="7">
        <v>4</v>
      </c>
      <c r="G658" s="11">
        <v>4</v>
      </c>
      <c r="H658" s="11">
        <v>81379</v>
      </c>
      <c r="I658" s="7" t="str">
        <f t="shared" si="86"/>
        <v>CHARACTER</v>
      </c>
      <c r="J658" s="11">
        <v>53660681</v>
      </c>
      <c r="K658" s="11" t="s">
        <v>1785</v>
      </c>
      <c r="L658" s="27" t="s">
        <v>1791</v>
      </c>
      <c r="M658" s="7">
        <v>169900</v>
      </c>
      <c r="N658" s="18">
        <f t="shared" si="84"/>
        <v>0.7</v>
      </c>
      <c r="O658" s="32">
        <f t="shared" si="85"/>
        <v>50970</v>
      </c>
      <c r="P658" s="18" t="s">
        <v>19</v>
      </c>
    </row>
    <row r="659" spans="1:16" s="16" customFormat="1" x14ac:dyDescent="0.25">
      <c r="A659" s="25" t="str">
        <f t="shared" si="82"/>
        <v>2025 JAN-JUN D70</v>
      </c>
      <c r="B659" s="8">
        <f t="shared" si="83"/>
        <v>46104</v>
      </c>
      <c r="C659" s="8">
        <f t="shared" si="80"/>
        <v>46113</v>
      </c>
      <c r="D659" s="7">
        <v>3272</v>
      </c>
      <c r="E659" s="7">
        <v>336</v>
      </c>
      <c r="F659" s="7">
        <v>4</v>
      </c>
      <c r="G659" s="11">
        <v>4</v>
      </c>
      <c r="H659" s="11">
        <v>81379</v>
      </c>
      <c r="I659" s="7" t="str">
        <f t="shared" si="86"/>
        <v>CHARACTER</v>
      </c>
      <c r="J659" s="11">
        <v>53660690</v>
      </c>
      <c r="K659" s="11" t="s">
        <v>1785</v>
      </c>
      <c r="L659" s="27" t="s">
        <v>1792</v>
      </c>
      <c r="M659" s="7">
        <v>169900</v>
      </c>
      <c r="N659" s="18">
        <f t="shared" si="84"/>
        <v>0.7</v>
      </c>
      <c r="O659" s="32">
        <f t="shared" si="85"/>
        <v>50970</v>
      </c>
      <c r="P659" s="18" t="s">
        <v>19</v>
      </c>
    </row>
    <row r="660" spans="1:16" s="16" customFormat="1" x14ac:dyDescent="0.25">
      <c r="A660" s="25" t="str">
        <f t="shared" si="82"/>
        <v>2025 JAN-JUN D70</v>
      </c>
      <c r="B660" s="8">
        <f t="shared" si="83"/>
        <v>46104</v>
      </c>
      <c r="C660" s="8">
        <f t="shared" si="80"/>
        <v>46113</v>
      </c>
      <c r="D660" s="7">
        <v>3272</v>
      </c>
      <c r="E660" s="7">
        <v>336</v>
      </c>
      <c r="F660" s="7">
        <v>4</v>
      </c>
      <c r="G660" s="11">
        <v>4</v>
      </c>
      <c r="H660" s="11">
        <v>81379</v>
      </c>
      <c r="I660" s="7" t="str">
        <f t="shared" si="86"/>
        <v>CHARACTER</v>
      </c>
      <c r="J660" s="11">
        <v>53660707</v>
      </c>
      <c r="K660" s="11" t="s">
        <v>1785</v>
      </c>
      <c r="L660" s="27" t="s">
        <v>1793</v>
      </c>
      <c r="M660" s="7">
        <v>169900</v>
      </c>
      <c r="N660" s="18">
        <f t="shared" si="84"/>
        <v>0.7</v>
      </c>
      <c r="O660" s="32">
        <f t="shared" si="85"/>
        <v>50970</v>
      </c>
      <c r="P660" s="18" t="s">
        <v>19</v>
      </c>
    </row>
    <row r="661" spans="1:16" s="16" customFormat="1" x14ac:dyDescent="0.25">
      <c r="A661" s="25" t="str">
        <f t="shared" si="82"/>
        <v>2025 JAN-JUN D70</v>
      </c>
      <c r="B661" s="8">
        <f t="shared" si="83"/>
        <v>46104</v>
      </c>
      <c r="C661" s="8">
        <f t="shared" si="80"/>
        <v>46113</v>
      </c>
      <c r="D661" s="7">
        <v>3272</v>
      </c>
      <c r="E661" s="7">
        <v>336</v>
      </c>
      <c r="F661" s="7">
        <v>4</v>
      </c>
      <c r="G661" s="11">
        <v>4</v>
      </c>
      <c r="H661" s="11">
        <v>81379</v>
      </c>
      <c r="I661" s="7" t="str">
        <f t="shared" si="86"/>
        <v>CHARACTER</v>
      </c>
      <c r="J661" s="11">
        <v>53661055</v>
      </c>
      <c r="K661" s="11" t="s">
        <v>1794</v>
      </c>
      <c r="L661" s="27" t="s">
        <v>1795</v>
      </c>
      <c r="M661" s="7">
        <v>169900</v>
      </c>
      <c r="N661" s="18">
        <f t="shared" si="84"/>
        <v>0.7</v>
      </c>
      <c r="O661" s="32">
        <f t="shared" si="85"/>
        <v>50970</v>
      </c>
      <c r="P661" s="18" t="s">
        <v>19</v>
      </c>
    </row>
    <row r="662" spans="1:16" s="16" customFormat="1" x14ac:dyDescent="0.25">
      <c r="A662" s="25" t="str">
        <f t="shared" si="82"/>
        <v>2025 JAN-JUN D70</v>
      </c>
      <c r="B662" s="8">
        <f t="shared" si="83"/>
        <v>46104</v>
      </c>
      <c r="C662" s="8">
        <f t="shared" si="80"/>
        <v>46113</v>
      </c>
      <c r="D662" s="7">
        <v>3272</v>
      </c>
      <c r="E662" s="7">
        <v>336</v>
      </c>
      <c r="F662" s="7">
        <v>4</v>
      </c>
      <c r="G662" s="11">
        <v>4</v>
      </c>
      <c r="H662" s="11">
        <v>81379</v>
      </c>
      <c r="I662" s="7" t="str">
        <f t="shared" si="86"/>
        <v>CHARACTER</v>
      </c>
      <c r="J662" s="11">
        <v>53661064</v>
      </c>
      <c r="K662" s="11" t="s">
        <v>1794</v>
      </c>
      <c r="L662" s="27" t="s">
        <v>1796</v>
      </c>
      <c r="M662" s="7">
        <v>169900</v>
      </c>
      <c r="N662" s="18">
        <f t="shared" si="84"/>
        <v>0.7</v>
      </c>
      <c r="O662" s="32">
        <f t="shared" si="85"/>
        <v>50970</v>
      </c>
      <c r="P662" s="18" t="s">
        <v>19</v>
      </c>
    </row>
    <row r="663" spans="1:16" s="16" customFormat="1" x14ac:dyDescent="0.25">
      <c r="A663" s="25" t="str">
        <f t="shared" si="82"/>
        <v>2025 JAN-JUN D70</v>
      </c>
      <c r="B663" s="8">
        <f t="shared" si="83"/>
        <v>46104</v>
      </c>
      <c r="C663" s="8">
        <f t="shared" si="80"/>
        <v>46113</v>
      </c>
      <c r="D663" s="7">
        <v>3272</v>
      </c>
      <c r="E663" s="7">
        <v>336</v>
      </c>
      <c r="F663" s="7">
        <v>4</v>
      </c>
      <c r="G663" s="11">
        <v>4</v>
      </c>
      <c r="H663" s="11">
        <v>81379</v>
      </c>
      <c r="I663" s="7" t="str">
        <f t="shared" si="86"/>
        <v>CHARACTER</v>
      </c>
      <c r="J663" s="11">
        <v>53661073</v>
      </c>
      <c r="K663" s="11" t="s">
        <v>1794</v>
      </c>
      <c r="L663" s="27" t="s">
        <v>1797</v>
      </c>
      <c r="M663" s="7">
        <v>169900</v>
      </c>
      <c r="N663" s="18">
        <f t="shared" si="84"/>
        <v>0.7</v>
      </c>
      <c r="O663" s="32">
        <f t="shared" si="85"/>
        <v>50970</v>
      </c>
      <c r="P663" s="18" t="s">
        <v>19</v>
      </c>
    </row>
    <row r="664" spans="1:16" s="16" customFormat="1" x14ac:dyDescent="0.25">
      <c r="A664" s="25" t="str">
        <f t="shared" si="82"/>
        <v>2025 JAN-JUN D70</v>
      </c>
      <c r="B664" s="8">
        <f t="shared" si="83"/>
        <v>46104</v>
      </c>
      <c r="C664" s="8">
        <f t="shared" si="80"/>
        <v>46113</v>
      </c>
      <c r="D664" s="7">
        <v>3272</v>
      </c>
      <c r="E664" s="7">
        <v>336</v>
      </c>
      <c r="F664" s="7">
        <v>4</v>
      </c>
      <c r="G664" s="11">
        <v>4</v>
      </c>
      <c r="H664" s="11">
        <v>81379</v>
      </c>
      <c r="I664" s="7" t="str">
        <f t="shared" si="86"/>
        <v>CHARACTER</v>
      </c>
      <c r="J664" s="11">
        <v>53661082</v>
      </c>
      <c r="K664" s="11" t="s">
        <v>1794</v>
      </c>
      <c r="L664" s="27" t="s">
        <v>1798</v>
      </c>
      <c r="M664" s="7">
        <v>169900</v>
      </c>
      <c r="N664" s="18">
        <f t="shared" si="84"/>
        <v>0.7</v>
      </c>
      <c r="O664" s="32">
        <f t="shared" si="85"/>
        <v>50970</v>
      </c>
      <c r="P664" s="18" t="s">
        <v>19</v>
      </c>
    </row>
    <row r="665" spans="1:16" s="16" customFormat="1" x14ac:dyDescent="0.25">
      <c r="A665" s="25" t="str">
        <f t="shared" si="82"/>
        <v>2025 JAN-JUN D70</v>
      </c>
      <c r="B665" s="8">
        <f t="shared" si="83"/>
        <v>46104</v>
      </c>
      <c r="C665" s="8">
        <f t="shared" si="80"/>
        <v>46113</v>
      </c>
      <c r="D665" s="7">
        <v>3272</v>
      </c>
      <c r="E665" s="7">
        <v>336</v>
      </c>
      <c r="F665" s="7">
        <v>4</v>
      </c>
      <c r="G665" s="11">
        <v>4</v>
      </c>
      <c r="H665" s="11">
        <v>81379</v>
      </c>
      <c r="I665" s="7" t="str">
        <f t="shared" si="86"/>
        <v>CHARACTER</v>
      </c>
      <c r="J665" s="11">
        <v>53661091</v>
      </c>
      <c r="K665" s="11" t="s">
        <v>1794</v>
      </c>
      <c r="L665" s="27" t="s">
        <v>1799</v>
      </c>
      <c r="M665" s="7">
        <v>169900</v>
      </c>
      <c r="N665" s="18">
        <f t="shared" si="84"/>
        <v>0.7</v>
      </c>
      <c r="O665" s="32">
        <f t="shared" si="85"/>
        <v>50970</v>
      </c>
      <c r="P665" s="18" t="s">
        <v>19</v>
      </c>
    </row>
    <row r="666" spans="1:16" s="16" customFormat="1" x14ac:dyDescent="0.25">
      <c r="A666" s="25" t="str">
        <f t="shared" si="82"/>
        <v>2025 JAN-JUN D70</v>
      </c>
      <c r="B666" s="8">
        <f t="shared" si="83"/>
        <v>46104</v>
      </c>
      <c r="C666" s="8">
        <f t="shared" ref="C666:C684" si="87">C665</f>
        <v>46113</v>
      </c>
      <c r="D666" s="7">
        <v>3272</v>
      </c>
      <c r="E666" s="7">
        <v>336</v>
      </c>
      <c r="F666" s="7">
        <v>4</v>
      </c>
      <c r="G666" s="11">
        <v>4</v>
      </c>
      <c r="H666" s="11">
        <v>81379</v>
      </c>
      <c r="I666" s="7" t="str">
        <f t="shared" si="86"/>
        <v>CHARACTER</v>
      </c>
      <c r="J666" s="11">
        <v>53661108</v>
      </c>
      <c r="K666" s="11" t="s">
        <v>1794</v>
      </c>
      <c r="L666" s="27" t="s">
        <v>1800</v>
      </c>
      <c r="M666" s="7">
        <v>169900</v>
      </c>
      <c r="N666" s="18">
        <f t="shared" si="84"/>
        <v>0.7</v>
      </c>
      <c r="O666" s="32">
        <f t="shared" si="85"/>
        <v>50970</v>
      </c>
      <c r="P666" s="18" t="s">
        <v>19</v>
      </c>
    </row>
    <row r="667" spans="1:16" s="16" customFormat="1" x14ac:dyDescent="0.25">
      <c r="A667" s="25" t="str">
        <f t="shared" si="82"/>
        <v>2025 JAN-JUN D70</v>
      </c>
      <c r="B667" s="8">
        <f t="shared" si="83"/>
        <v>46104</v>
      </c>
      <c r="C667" s="8">
        <f t="shared" si="87"/>
        <v>46113</v>
      </c>
      <c r="D667" s="7">
        <v>3272</v>
      </c>
      <c r="E667" s="7">
        <v>336</v>
      </c>
      <c r="F667" s="7">
        <v>4</v>
      </c>
      <c r="G667" s="11">
        <v>4</v>
      </c>
      <c r="H667" s="11">
        <v>81379</v>
      </c>
      <c r="I667" s="7" t="str">
        <f t="shared" si="86"/>
        <v>CHARACTER</v>
      </c>
      <c r="J667" s="11">
        <v>53661117</v>
      </c>
      <c r="K667" s="11" t="s">
        <v>1794</v>
      </c>
      <c r="L667" s="27" t="s">
        <v>1801</v>
      </c>
      <c r="M667" s="7">
        <v>169900</v>
      </c>
      <c r="N667" s="18">
        <f t="shared" si="84"/>
        <v>0.7</v>
      </c>
      <c r="O667" s="32">
        <f t="shared" si="85"/>
        <v>50970</v>
      </c>
      <c r="P667" s="18" t="s">
        <v>19</v>
      </c>
    </row>
    <row r="668" spans="1:16" s="16" customFormat="1" x14ac:dyDescent="0.25">
      <c r="A668" s="25" t="str">
        <f t="shared" si="82"/>
        <v>2025 JAN-JUN D70</v>
      </c>
      <c r="B668" s="8">
        <f t="shared" si="83"/>
        <v>46104</v>
      </c>
      <c r="C668" s="8">
        <f t="shared" si="87"/>
        <v>46113</v>
      </c>
      <c r="D668" s="7">
        <v>3272</v>
      </c>
      <c r="E668" s="7">
        <v>336</v>
      </c>
      <c r="F668" s="7">
        <v>4</v>
      </c>
      <c r="G668" s="11">
        <v>4</v>
      </c>
      <c r="H668" s="11">
        <v>81379</v>
      </c>
      <c r="I668" s="7" t="str">
        <f t="shared" si="86"/>
        <v>CHARACTER</v>
      </c>
      <c r="J668" s="11">
        <v>53661126</v>
      </c>
      <c r="K668" s="11" t="s">
        <v>1794</v>
      </c>
      <c r="L668" s="27" t="s">
        <v>1802</v>
      </c>
      <c r="M668" s="7">
        <v>169900</v>
      </c>
      <c r="N668" s="18">
        <f t="shared" si="84"/>
        <v>0.7</v>
      </c>
      <c r="O668" s="32">
        <f t="shared" si="85"/>
        <v>50970</v>
      </c>
      <c r="P668" s="18" t="s">
        <v>19</v>
      </c>
    </row>
    <row r="669" spans="1:16" s="16" customFormat="1" x14ac:dyDescent="0.25">
      <c r="A669" s="25" t="str">
        <f t="shared" si="82"/>
        <v>2025 JAN-JUN D70</v>
      </c>
      <c r="B669" s="8">
        <f t="shared" si="83"/>
        <v>46104</v>
      </c>
      <c r="C669" s="8">
        <f t="shared" si="87"/>
        <v>46113</v>
      </c>
      <c r="D669" s="7">
        <v>3272</v>
      </c>
      <c r="E669" s="7">
        <v>336</v>
      </c>
      <c r="F669" s="7">
        <v>4</v>
      </c>
      <c r="G669" s="11">
        <v>5</v>
      </c>
      <c r="H669" s="11">
        <v>81379</v>
      </c>
      <c r="I669" s="7" t="str">
        <f t="shared" si="86"/>
        <v>CHARACTER</v>
      </c>
      <c r="J669" s="11">
        <v>53660556</v>
      </c>
      <c r="K669" s="11" t="s">
        <v>1803</v>
      </c>
      <c r="L669" s="27" t="s">
        <v>1804</v>
      </c>
      <c r="M669" s="7">
        <v>249900</v>
      </c>
      <c r="N669" s="18">
        <f t="shared" si="84"/>
        <v>0.7</v>
      </c>
      <c r="O669" s="32">
        <f t="shared" si="85"/>
        <v>74970</v>
      </c>
      <c r="P669" s="18" t="s">
        <v>19</v>
      </c>
    </row>
    <row r="670" spans="1:16" s="16" customFormat="1" x14ac:dyDescent="0.25">
      <c r="A670" s="25" t="str">
        <f t="shared" si="82"/>
        <v>2025 JAN-JUN D70</v>
      </c>
      <c r="B670" s="8">
        <f t="shared" si="83"/>
        <v>46104</v>
      </c>
      <c r="C670" s="8">
        <f t="shared" si="87"/>
        <v>46113</v>
      </c>
      <c r="D670" s="7">
        <v>3272</v>
      </c>
      <c r="E670" s="7">
        <v>336</v>
      </c>
      <c r="F670" s="7">
        <v>4</v>
      </c>
      <c r="G670" s="11">
        <v>5</v>
      </c>
      <c r="H670" s="11">
        <v>81379</v>
      </c>
      <c r="I670" s="7" t="str">
        <f t="shared" si="86"/>
        <v>CHARACTER</v>
      </c>
      <c r="J670" s="11">
        <v>53660565</v>
      </c>
      <c r="K670" s="11" t="s">
        <v>1803</v>
      </c>
      <c r="L670" s="27" t="s">
        <v>1805</v>
      </c>
      <c r="M670" s="7">
        <v>249900</v>
      </c>
      <c r="N670" s="18">
        <f t="shared" si="84"/>
        <v>0.7</v>
      </c>
      <c r="O670" s="32">
        <f t="shared" si="85"/>
        <v>74970</v>
      </c>
      <c r="P670" s="18" t="s">
        <v>19</v>
      </c>
    </row>
    <row r="671" spans="1:16" s="16" customFormat="1" x14ac:dyDescent="0.25">
      <c r="A671" s="25" t="str">
        <f t="shared" si="82"/>
        <v>2025 JAN-JUN D70</v>
      </c>
      <c r="B671" s="8">
        <f t="shared" si="83"/>
        <v>46104</v>
      </c>
      <c r="C671" s="8">
        <f t="shared" si="87"/>
        <v>46113</v>
      </c>
      <c r="D671" s="7">
        <v>3272</v>
      </c>
      <c r="E671" s="7">
        <v>336</v>
      </c>
      <c r="F671" s="7">
        <v>4</v>
      </c>
      <c r="G671" s="11">
        <v>5</v>
      </c>
      <c r="H671" s="11">
        <v>81379</v>
      </c>
      <c r="I671" s="7" t="str">
        <f t="shared" si="86"/>
        <v>CHARACTER</v>
      </c>
      <c r="J671" s="11">
        <v>53660574</v>
      </c>
      <c r="K671" s="11" t="s">
        <v>1803</v>
      </c>
      <c r="L671" s="27" t="s">
        <v>1806</v>
      </c>
      <c r="M671" s="7">
        <v>249900</v>
      </c>
      <c r="N671" s="18">
        <f t="shared" si="84"/>
        <v>0.7</v>
      </c>
      <c r="O671" s="32">
        <f t="shared" si="85"/>
        <v>74970</v>
      </c>
      <c r="P671" s="18" t="s">
        <v>19</v>
      </c>
    </row>
    <row r="672" spans="1:16" s="16" customFormat="1" x14ac:dyDescent="0.25">
      <c r="A672" s="25" t="str">
        <f t="shared" si="82"/>
        <v>2025 JAN-JUN D70</v>
      </c>
      <c r="B672" s="8">
        <f t="shared" si="83"/>
        <v>46104</v>
      </c>
      <c r="C672" s="8">
        <f t="shared" si="87"/>
        <v>46113</v>
      </c>
      <c r="D672" s="7">
        <v>3272</v>
      </c>
      <c r="E672" s="7">
        <v>336</v>
      </c>
      <c r="F672" s="7">
        <v>4</v>
      </c>
      <c r="G672" s="11">
        <v>5</v>
      </c>
      <c r="H672" s="11">
        <v>81379</v>
      </c>
      <c r="I672" s="7" t="str">
        <f t="shared" si="86"/>
        <v>CHARACTER</v>
      </c>
      <c r="J672" s="11">
        <v>53660583</v>
      </c>
      <c r="K672" s="11" t="s">
        <v>1803</v>
      </c>
      <c r="L672" s="27" t="s">
        <v>1807</v>
      </c>
      <c r="M672" s="7">
        <v>249900</v>
      </c>
      <c r="N672" s="18">
        <f t="shared" si="84"/>
        <v>0.7</v>
      </c>
      <c r="O672" s="32">
        <f t="shared" si="85"/>
        <v>74970</v>
      </c>
      <c r="P672" s="18" t="s">
        <v>19</v>
      </c>
    </row>
    <row r="673" spans="1:16" s="16" customFormat="1" x14ac:dyDescent="0.25">
      <c r="A673" s="25" t="str">
        <f t="shared" si="82"/>
        <v>2025 JAN-JUN D70</v>
      </c>
      <c r="B673" s="8">
        <f t="shared" si="83"/>
        <v>46104</v>
      </c>
      <c r="C673" s="8">
        <f t="shared" si="87"/>
        <v>46113</v>
      </c>
      <c r="D673" s="7">
        <v>3272</v>
      </c>
      <c r="E673" s="7">
        <v>336</v>
      </c>
      <c r="F673" s="7">
        <v>4</v>
      </c>
      <c r="G673" s="11">
        <v>5</v>
      </c>
      <c r="H673" s="11">
        <v>81379</v>
      </c>
      <c r="I673" s="7" t="str">
        <f t="shared" si="86"/>
        <v>CHARACTER</v>
      </c>
      <c r="J673" s="11">
        <v>53660592</v>
      </c>
      <c r="K673" s="11" t="s">
        <v>1803</v>
      </c>
      <c r="L673" s="27" t="s">
        <v>1808</v>
      </c>
      <c r="M673" s="7">
        <v>249900</v>
      </c>
      <c r="N673" s="18">
        <f t="shared" si="84"/>
        <v>0.7</v>
      </c>
      <c r="O673" s="32">
        <f t="shared" si="85"/>
        <v>74970</v>
      </c>
      <c r="P673" s="18" t="s">
        <v>19</v>
      </c>
    </row>
    <row r="674" spans="1:16" s="16" customFormat="1" x14ac:dyDescent="0.25">
      <c r="A674" s="25" t="str">
        <f t="shared" si="82"/>
        <v>2025 JAN-JUN D70</v>
      </c>
      <c r="B674" s="8">
        <f t="shared" si="83"/>
        <v>46104</v>
      </c>
      <c r="C674" s="8">
        <f t="shared" si="87"/>
        <v>46113</v>
      </c>
      <c r="D674" s="7">
        <v>3272</v>
      </c>
      <c r="E674" s="7">
        <v>336</v>
      </c>
      <c r="F674" s="7">
        <v>4</v>
      </c>
      <c r="G674" s="11">
        <v>5</v>
      </c>
      <c r="H674" s="11">
        <v>81379</v>
      </c>
      <c r="I674" s="7" t="str">
        <f t="shared" si="86"/>
        <v>CHARACTER</v>
      </c>
      <c r="J674" s="11">
        <v>53660609</v>
      </c>
      <c r="K674" s="11" t="s">
        <v>1803</v>
      </c>
      <c r="L674" s="27" t="s">
        <v>1809</v>
      </c>
      <c r="M674" s="7">
        <v>249900</v>
      </c>
      <c r="N674" s="18">
        <f t="shared" si="84"/>
        <v>0.7</v>
      </c>
      <c r="O674" s="32">
        <f t="shared" si="85"/>
        <v>74970</v>
      </c>
      <c r="P674" s="18" t="s">
        <v>19</v>
      </c>
    </row>
    <row r="675" spans="1:16" s="16" customFormat="1" x14ac:dyDescent="0.25">
      <c r="A675" s="25" t="str">
        <f t="shared" si="82"/>
        <v>2025 JAN-JUN D70</v>
      </c>
      <c r="B675" s="8">
        <f t="shared" si="83"/>
        <v>46104</v>
      </c>
      <c r="C675" s="8">
        <f t="shared" si="87"/>
        <v>46113</v>
      </c>
      <c r="D675" s="7">
        <v>3272</v>
      </c>
      <c r="E675" s="7">
        <v>336</v>
      </c>
      <c r="F675" s="7">
        <v>4</v>
      </c>
      <c r="G675" s="11">
        <v>5</v>
      </c>
      <c r="H675" s="11">
        <v>81379</v>
      </c>
      <c r="I675" s="7" t="str">
        <f t="shared" si="86"/>
        <v>CHARACTER</v>
      </c>
      <c r="J675" s="11">
        <v>53660618</v>
      </c>
      <c r="K675" s="11" t="s">
        <v>1803</v>
      </c>
      <c r="L675" s="27" t="s">
        <v>1810</v>
      </c>
      <c r="M675" s="7">
        <v>249900</v>
      </c>
      <c r="N675" s="18">
        <f t="shared" si="84"/>
        <v>0.7</v>
      </c>
      <c r="O675" s="32">
        <f t="shared" si="85"/>
        <v>74970</v>
      </c>
      <c r="P675" s="18" t="s">
        <v>19</v>
      </c>
    </row>
    <row r="676" spans="1:16" s="16" customFormat="1" x14ac:dyDescent="0.25">
      <c r="A676" s="25" t="str">
        <f t="shared" si="82"/>
        <v>2025 JAN-JUN D70</v>
      </c>
      <c r="B676" s="8">
        <f t="shared" si="83"/>
        <v>46104</v>
      </c>
      <c r="C676" s="8">
        <f t="shared" si="87"/>
        <v>46113</v>
      </c>
      <c r="D676" s="7">
        <v>3272</v>
      </c>
      <c r="E676" s="7">
        <v>336</v>
      </c>
      <c r="F676" s="7">
        <v>4</v>
      </c>
      <c r="G676" s="11">
        <v>5</v>
      </c>
      <c r="H676" s="11">
        <v>81379</v>
      </c>
      <c r="I676" s="7" t="str">
        <f t="shared" si="86"/>
        <v>CHARACTER</v>
      </c>
      <c r="J676" s="11">
        <v>53660627</v>
      </c>
      <c r="K676" s="11" t="s">
        <v>1803</v>
      </c>
      <c r="L676" s="27" t="s">
        <v>1811</v>
      </c>
      <c r="M676" s="7">
        <v>249900</v>
      </c>
      <c r="N676" s="18">
        <f t="shared" si="84"/>
        <v>0.7</v>
      </c>
      <c r="O676" s="32">
        <f t="shared" si="85"/>
        <v>74970</v>
      </c>
      <c r="P676" s="18" t="s">
        <v>19</v>
      </c>
    </row>
    <row r="677" spans="1:16" s="16" customFormat="1" x14ac:dyDescent="0.25">
      <c r="A677" s="25" t="str">
        <f t="shared" si="82"/>
        <v>2025 JAN-JUN D70</v>
      </c>
      <c r="B677" s="8">
        <f t="shared" si="83"/>
        <v>46104</v>
      </c>
      <c r="C677" s="8">
        <f t="shared" si="87"/>
        <v>46113</v>
      </c>
      <c r="D677" s="7">
        <v>3272</v>
      </c>
      <c r="E677" s="7">
        <v>336</v>
      </c>
      <c r="F677" s="7">
        <v>4</v>
      </c>
      <c r="G677" s="11">
        <v>5</v>
      </c>
      <c r="H677" s="11">
        <v>81379</v>
      </c>
      <c r="I677" s="7" t="str">
        <f t="shared" si="86"/>
        <v>CHARACTER</v>
      </c>
      <c r="J677" s="11">
        <v>53661135</v>
      </c>
      <c r="K677" s="11" t="s">
        <v>1812</v>
      </c>
      <c r="L677" s="27" t="s">
        <v>1813</v>
      </c>
      <c r="M677" s="7">
        <v>249900</v>
      </c>
      <c r="N677" s="18">
        <f t="shared" si="84"/>
        <v>0.7</v>
      </c>
      <c r="O677" s="32">
        <f t="shared" si="85"/>
        <v>74970</v>
      </c>
      <c r="P677" s="18" t="s">
        <v>19</v>
      </c>
    </row>
    <row r="678" spans="1:16" s="16" customFormat="1" x14ac:dyDescent="0.25">
      <c r="A678" s="25" t="str">
        <f t="shared" si="82"/>
        <v>2025 JAN-JUN D70</v>
      </c>
      <c r="B678" s="8">
        <f t="shared" si="83"/>
        <v>46104</v>
      </c>
      <c r="C678" s="8">
        <f t="shared" si="87"/>
        <v>46113</v>
      </c>
      <c r="D678" s="7">
        <v>3272</v>
      </c>
      <c r="E678" s="7">
        <v>336</v>
      </c>
      <c r="F678" s="7">
        <v>4</v>
      </c>
      <c r="G678" s="11">
        <v>5</v>
      </c>
      <c r="H678" s="11">
        <v>81379</v>
      </c>
      <c r="I678" s="7" t="str">
        <f t="shared" si="86"/>
        <v>CHARACTER</v>
      </c>
      <c r="J678" s="11">
        <v>53661144</v>
      </c>
      <c r="K678" s="11" t="s">
        <v>1812</v>
      </c>
      <c r="L678" s="27" t="s">
        <v>1814</v>
      </c>
      <c r="M678" s="7">
        <v>249900</v>
      </c>
      <c r="N678" s="18">
        <f t="shared" si="84"/>
        <v>0.7</v>
      </c>
      <c r="O678" s="32">
        <f t="shared" si="85"/>
        <v>74970</v>
      </c>
      <c r="P678" s="18" t="s">
        <v>19</v>
      </c>
    </row>
    <row r="679" spans="1:16" s="16" customFormat="1" x14ac:dyDescent="0.25">
      <c r="A679" s="25" t="str">
        <f t="shared" si="82"/>
        <v>2025 JAN-JUN D70</v>
      </c>
      <c r="B679" s="8">
        <f t="shared" si="83"/>
        <v>46104</v>
      </c>
      <c r="C679" s="8">
        <f t="shared" si="87"/>
        <v>46113</v>
      </c>
      <c r="D679" s="7">
        <v>3272</v>
      </c>
      <c r="E679" s="7">
        <v>336</v>
      </c>
      <c r="F679" s="7">
        <v>4</v>
      </c>
      <c r="G679" s="11">
        <v>5</v>
      </c>
      <c r="H679" s="11">
        <v>81379</v>
      </c>
      <c r="I679" s="7" t="str">
        <f t="shared" si="86"/>
        <v>CHARACTER</v>
      </c>
      <c r="J679" s="11">
        <v>53661153</v>
      </c>
      <c r="K679" s="11" t="s">
        <v>1812</v>
      </c>
      <c r="L679" s="27" t="s">
        <v>1815</v>
      </c>
      <c r="M679" s="7">
        <v>249900</v>
      </c>
      <c r="N679" s="18">
        <f t="shared" si="84"/>
        <v>0.7</v>
      </c>
      <c r="O679" s="32">
        <f t="shared" si="85"/>
        <v>74970</v>
      </c>
      <c r="P679" s="18" t="s">
        <v>19</v>
      </c>
    </row>
    <row r="680" spans="1:16" s="16" customFormat="1" x14ac:dyDescent="0.25">
      <c r="A680" s="25" t="str">
        <f t="shared" si="82"/>
        <v>2025 JAN-JUN D70</v>
      </c>
      <c r="B680" s="8">
        <f t="shared" si="83"/>
        <v>46104</v>
      </c>
      <c r="C680" s="8">
        <f t="shared" si="87"/>
        <v>46113</v>
      </c>
      <c r="D680" s="7">
        <v>3272</v>
      </c>
      <c r="E680" s="7">
        <v>336</v>
      </c>
      <c r="F680" s="7">
        <v>4</v>
      </c>
      <c r="G680" s="11">
        <v>5</v>
      </c>
      <c r="H680" s="11">
        <v>81379</v>
      </c>
      <c r="I680" s="7" t="str">
        <f t="shared" si="86"/>
        <v>CHARACTER</v>
      </c>
      <c r="J680" s="11">
        <v>53661162</v>
      </c>
      <c r="K680" s="11" t="s">
        <v>1812</v>
      </c>
      <c r="L680" s="27" t="s">
        <v>1816</v>
      </c>
      <c r="M680" s="7">
        <v>249900</v>
      </c>
      <c r="N680" s="18">
        <f t="shared" si="84"/>
        <v>0.7</v>
      </c>
      <c r="O680" s="32">
        <f t="shared" si="85"/>
        <v>74970</v>
      </c>
      <c r="P680" s="18" t="s">
        <v>19</v>
      </c>
    </row>
    <row r="681" spans="1:16" s="16" customFormat="1" x14ac:dyDescent="0.25">
      <c r="A681" s="25" t="str">
        <f t="shared" si="82"/>
        <v>2025 JAN-JUN D70</v>
      </c>
      <c r="B681" s="8">
        <f t="shared" si="83"/>
        <v>46104</v>
      </c>
      <c r="C681" s="8">
        <f t="shared" si="87"/>
        <v>46113</v>
      </c>
      <c r="D681" s="7">
        <v>3272</v>
      </c>
      <c r="E681" s="7">
        <v>336</v>
      </c>
      <c r="F681" s="7">
        <v>4</v>
      </c>
      <c r="G681" s="11">
        <v>5</v>
      </c>
      <c r="H681" s="11">
        <v>81379</v>
      </c>
      <c r="I681" s="7" t="str">
        <f t="shared" si="86"/>
        <v>CHARACTER</v>
      </c>
      <c r="J681" s="11">
        <v>53661171</v>
      </c>
      <c r="K681" s="11" t="s">
        <v>1812</v>
      </c>
      <c r="L681" s="27" t="s">
        <v>1817</v>
      </c>
      <c r="M681" s="7">
        <v>249900</v>
      </c>
      <c r="N681" s="18">
        <f t="shared" si="84"/>
        <v>0.7</v>
      </c>
      <c r="O681" s="32">
        <f t="shared" si="85"/>
        <v>74970</v>
      </c>
      <c r="P681" s="18" t="s">
        <v>19</v>
      </c>
    </row>
    <row r="682" spans="1:16" s="16" customFormat="1" x14ac:dyDescent="0.25">
      <c r="A682" s="25" t="str">
        <f t="shared" si="82"/>
        <v>2025 JAN-JUN D70</v>
      </c>
      <c r="B682" s="8">
        <f t="shared" si="83"/>
        <v>46104</v>
      </c>
      <c r="C682" s="8">
        <f t="shared" si="87"/>
        <v>46113</v>
      </c>
      <c r="D682" s="7">
        <v>3272</v>
      </c>
      <c r="E682" s="7">
        <v>336</v>
      </c>
      <c r="F682" s="7">
        <v>4</v>
      </c>
      <c r="G682" s="11">
        <v>5</v>
      </c>
      <c r="H682" s="11">
        <v>81379</v>
      </c>
      <c r="I682" s="7" t="str">
        <f t="shared" si="86"/>
        <v>CHARACTER</v>
      </c>
      <c r="J682" s="11">
        <v>53661180</v>
      </c>
      <c r="K682" s="11" t="s">
        <v>1812</v>
      </c>
      <c r="L682" s="27" t="s">
        <v>1818</v>
      </c>
      <c r="M682" s="7">
        <v>249900</v>
      </c>
      <c r="N682" s="18">
        <f t="shared" si="84"/>
        <v>0.7</v>
      </c>
      <c r="O682" s="32">
        <f t="shared" si="85"/>
        <v>74970</v>
      </c>
      <c r="P682" s="18" t="s">
        <v>19</v>
      </c>
    </row>
    <row r="683" spans="1:16" s="16" customFormat="1" x14ac:dyDescent="0.25">
      <c r="A683" s="25" t="str">
        <f t="shared" si="82"/>
        <v>2025 JAN-JUN D70</v>
      </c>
      <c r="B683" s="8">
        <f t="shared" si="83"/>
        <v>46104</v>
      </c>
      <c r="C683" s="8">
        <f t="shared" si="87"/>
        <v>46113</v>
      </c>
      <c r="D683" s="7">
        <v>3272</v>
      </c>
      <c r="E683" s="7">
        <v>336</v>
      </c>
      <c r="F683" s="7">
        <v>4</v>
      </c>
      <c r="G683" s="11">
        <v>5</v>
      </c>
      <c r="H683" s="11">
        <v>81379</v>
      </c>
      <c r="I683" s="7" t="str">
        <f t="shared" si="86"/>
        <v>CHARACTER</v>
      </c>
      <c r="J683" s="11">
        <v>53661199</v>
      </c>
      <c r="K683" s="11" t="s">
        <v>1812</v>
      </c>
      <c r="L683" s="27" t="s">
        <v>1819</v>
      </c>
      <c r="M683" s="7">
        <v>249900</v>
      </c>
      <c r="N683" s="18">
        <f t="shared" si="84"/>
        <v>0.7</v>
      </c>
      <c r="O683" s="32">
        <f t="shared" si="85"/>
        <v>74970</v>
      </c>
      <c r="P683" s="18" t="s">
        <v>19</v>
      </c>
    </row>
    <row r="684" spans="1:16" s="16" customFormat="1" x14ac:dyDescent="0.25">
      <c r="A684" s="25" t="str">
        <f t="shared" si="82"/>
        <v>2025 JAN-JUN D70</v>
      </c>
      <c r="B684" s="8">
        <f t="shared" si="83"/>
        <v>46104</v>
      </c>
      <c r="C684" s="8">
        <f t="shared" si="87"/>
        <v>46113</v>
      </c>
      <c r="D684" s="7">
        <v>3272</v>
      </c>
      <c r="E684" s="7">
        <v>336</v>
      </c>
      <c r="F684" s="7">
        <v>4</v>
      </c>
      <c r="G684" s="11">
        <v>5</v>
      </c>
      <c r="H684" s="11">
        <v>81379</v>
      </c>
      <c r="I684" s="7" t="str">
        <f t="shared" si="86"/>
        <v>CHARACTER</v>
      </c>
      <c r="J684" s="11">
        <v>53661206</v>
      </c>
      <c r="K684" s="11" t="s">
        <v>1812</v>
      </c>
      <c r="L684" s="27" t="s">
        <v>1820</v>
      </c>
      <c r="M684" s="7">
        <v>249900</v>
      </c>
      <c r="N684" s="18">
        <f t="shared" si="84"/>
        <v>0.7</v>
      </c>
      <c r="O684" s="32">
        <f t="shared" si="85"/>
        <v>74970</v>
      </c>
      <c r="P684" s="18" t="s">
        <v>19</v>
      </c>
    </row>
    <row r="685" spans="1:16" s="6" customFormat="1" ht="13.5" customHeight="1" x14ac:dyDescent="0.25">
      <c r="A685" s="25" t="str">
        <f t="shared" si="82"/>
        <v>2025 JAN-JUN D70</v>
      </c>
      <c r="B685" s="8">
        <f t="shared" si="83"/>
        <v>46104</v>
      </c>
      <c r="C685" s="8">
        <f>'[1]2019 ALL D95'!C2</f>
        <v>46113</v>
      </c>
      <c r="D685" s="7">
        <v>3272</v>
      </c>
      <c r="E685" s="7">
        <v>336</v>
      </c>
      <c r="F685" s="7">
        <v>4</v>
      </c>
      <c r="G685" s="7">
        <v>1</v>
      </c>
      <c r="H685" s="7">
        <v>4953</v>
      </c>
      <c r="I685" s="7" t="s">
        <v>16</v>
      </c>
      <c r="J685" s="7">
        <v>54555589</v>
      </c>
      <c r="K685" s="7" t="s">
        <v>1821</v>
      </c>
      <c r="L685" s="27" t="s">
        <v>1822</v>
      </c>
      <c r="M685" s="9">
        <v>119900</v>
      </c>
      <c r="N685" s="18">
        <f t="shared" si="84"/>
        <v>0.7</v>
      </c>
      <c r="O685" s="32">
        <f t="shared" si="85"/>
        <v>35970</v>
      </c>
      <c r="P685" s="18" t="s">
        <v>19</v>
      </c>
    </row>
    <row r="686" spans="1:16" s="6" customFormat="1" x14ac:dyDescent="0.25">
      <c r="A686" s="25" t="str">
        <f t="shared" si="82"/>
        <v>2025 JAN-JUN D70</v>
      </c>
      <c r="B686" s="8">
        <f t="shared" si="83"/>
        <v>46104</v>
      </c>
      <c r="C686" s="8">
        <f t="shared" ref="C686:C717" si="88">C685</f>
        <v>46113</v>
      </c>
      <c r="D686" s="7">
        <v>3272</v>
      </c>
      <c r="E686" s="7">
        <v>336</v>
      </c>
      <c r="F686" s="7">
        <v>4</v>
      </c>
      <c r="G686" s="7">
        <v>1</v>
      </c>
      <c r="H686" s="7">
        <v>4953</v>
      </c>
      <c r="I686" s="7" t="s">
        <v>16</v>
      </c>
      <c r="J686" s="7">
        <v>54555598</v>
      </c>
      <c r="K686" s="7" t="s">
        <v>1821</v>
      </c>
      <c r="L686" s="27" t="s">
        <v>1823</v>
      </c>
      <c r="M686" s="9">
        <v>119900</v>
      </c>
      <c r="N686" s="18">
        <f t="shared" si="84"/>
        <v>0.7</v>
      </c>
      <c r="O686" s="32">
        <f t="shared" si="85"/>
        <v>35970</v>
      </c>
      <c r="P686" s="18" t="s">
        <v>19</v>
      </c>
    </row>
    <row r="687" spans="1:16" s="6" customFormat="1" x14ac:dyDescent="0.25">
      <c r="A687" s="25" t="str">
        <f t="shared" si="82"/>
        <v>2025 JAN-JUN D70</v>
      </c>
      <c r="B687" s="8">
        <f t="shared" si="83"/>
        <v>46104</v>
      </c>
      <c r="C687" s="8">
        <f t="shared" si="88"/>
        <v>46113</v>
      </c>
      <c r="D687" s="7">
        <v>3272</v>
      </c>
      <c r="E687" s="7">
        <v>336</v>
      </c>
      <c r="F687" s="7">
        <v>4</v>
      </c>
      <c r="G687" s="7">
        <v>1</v>
      </c>
      <c r="H687" s="7">
        <v>4953</v>
      </c>
      <c r="I687" s="7" t="s">
        <v>16</v>
      </c>
      <c r="J687" s="7">
        <v>54555605</v>
      </c>
      <c r="K687" s="7" t="s">
        <v>1821</v>
      </c>
      <c r="L687" s="27" t="s">
        <v>1824</v>
      </c>
      <c r="M687" s="9">
        <v>119900</v>
      </c>
      <c r="N687" s="18">
        <f t="shared" si="84"/>
        <v>0.7</v>
      </c>
      <c r="O687" s="32">
        <f t="shared" si="85"/>
        <v>35970</v>
      </c>
      <c r="P687" s="18" t="s">
        <v>19</v>
      </c>
    </row>
    <row r="688" spans="1:16" s="6" customFormat="1" x14ac:dyDescent="0.25">
      <c r="A688" s="25" t="str">
        <f t="shared" si="82"/>
        <v>2025 JAN-JUN D70</v>
      </c>
      <c r="B688" s="8">
        <f t="shared" si="83"/>
        <v>46104</v>
      </c>
      <c r="C688" s="8">
        <f t="shared" si="88"/>
        <v>46113</v>
      </c>
      <c r="D688" s="7">
        <v>3272</v>
      </c>
      <c r="E688" s="7">
        <v>336</v>
      </c>
      <c r="F688" s="7">
        <v>4</v>
      </c>
      <c r="G688" s="7">
        <v>1</v>
      </c>
      <c r="H688" s="7">
        <v>4953</v>
      </c>
      <c r="I688" s="7" t="s">
        <v>16</v>
      </c>
      <c r="J688" s="7">
        <v>54555614</v>
      </c>
      <c r="K688" s="7" t="s">
        <v>1821</v>
      </c>
      <c r="L688" s="27" t="s">
        <v>1825</v>
      </c>
      <c r="M688" s="9">
        <v>119900</v>
      </c>
      <c r="N688" s="18">
        <f t="shared" si="84"/>
        <v>0.7</v>
      </c>
      <c r="O688" s="32">
        <f t="shared" si="85"/>
        <v>35970</v>
      </c>
      <c r="P688" s="18" t="s">
        <v>19</v>
      </c>
    </row>
    <row r="689" spans="1:16" s="6" customFormat="1" x14ac:dyDescent="0.25">
      <c r="A689" s="25" t="str">
        <f t="shared" si="82"/>
        <v>2025 JAN-JUN D70</v>
      </c>
      <c r="B689" s="8">
        <f t="shared" si="83"/>
        <v>46104</v>
      </c>
      <c r="C689" s="8">
        <f t="shared" si="88"/>
        <v>46113</v>
      </c>
      <c r="D689" s="7">
        <v>3272</v>
      </c>
      <c r="E689" s="7">
        <v>336</v>
      </c>
      <c r="F689" s="7">
        <v>4</v>
      </c>
      <c r="G689" s="7">
        <v>1</v>
      </c>
      <c r="H689" s="7">
        <v>4953</v>
      </c>
      <c r="I689" s="7" t="s">
        <v>16</v>
      </c>
      <c r="J689" s="7">
        <v>54555623</v>
      </c>
      <c r="K689" s="7" t="s">
        <v>1821</v>
      </c>
      <c r="L689" s="27" t="s">
        <v>1826</v>
      </c>
      <c r="M689" s="9">
        <v>119900</v>
      </c>
      <c r="N689" s="18">
        <f t="shared" si="84"/>
        <v>0.7</v>
      </c>
      <c r="O689" s="32">
        <f t="shared" si="85"/>
        <v>35970</v>
      </c>
      <c r="P689" s="18" t="s">
        <v>19</v>
      </c>
    </row>
    <row r="690" spans="1:16" s="6" customFormat="1" x14ac:dyDescent="0.25">
      <c r="A690" s="25" t="str">
        <f t="shared" si="82"/>
        <v>2025 JAN-JUN D70</v>
      </c>
      <c r="B690" s="8">
        <f t="shared" si="83"/>
        <v>46104</v>
      </c>
      <c r="C690" s="8">
        <f t="shared" si="88"/>
        <v>46113</v>
      </c>
      <c r="D690" s="7">
        <v>3272</v>
      </c>
      <c r="E690" s="7">
        <v>336</v>
      </c>
      <c r="F690" s="7">
        <v>4</v>
      </c>
      <c r="G690" s="7">
        <v>1</v>
      </c>
      <c r="H690" s="7">
        <v>4953</v>
      </c>
      <c r="I690" s="7" t="s">
        <v>16</v>
      </c>
      <c r="J690" s="7">
        <v>54555632</v>
      </c>
      <c r="K690" s="7" t="s">
        <v>1821</v>
      </c>
      <c r="L690" s="27" t="s">
        <v>1827</v>
      </c>
      <c r="M690" s="9">
        <v>119900</v>
      </c>
      <c r="N690" s="18">
        <f t="shared" si="84"/>
        <v>0.7</v>
      </c>
      <c r="O690" s="32">
        <f t="shared" si="85"/>
        <v>35970</v>
      </c>
      <c r="P690" s="18" t="s">
        <v>19</v>
      </c>
    </row>
    <row r="691" spans="1:16" s="6" customFormat="1" x14ac:dyDescent="0.25">
      <c r="A691" s="25" t="str">
        <f t="shared" si="82"/>
        <v>2025 JAN-JUN D70</v>
      </c>
      <c r="B691" s="8">
        <f t="shared" si="83"/>
        <v>46104</v>
      </c>
      <c r="C691" s="8">
        <f t="shared" si="88"/>
        <v>46113</v>
      </c>
      <c r="D691" s="7">
        <v>3272</v>
      </c>
      <c r="E691" s="7">
        <v>336</v>
      </c>
      <c r="F691" s="7">
        <v>4</v>
      </c>
      <c r="G691" s="7">
        <v>1</v>
      </c>
      <c r="H691" s="7">
        <v>4953</v>
      </c>
      <c r="I691" s="7" t="s">
        <v>16</v>
      </c>
      <c r="J691" s="7">
        <v>54555641</v>
      </c>
      <c r="K691" s="7" t="s">
        <v>1821</v>
      </c>
      <c r="L691" s="27" t="s">
        <v>1828</v>
      </c>
      <c r="M691" s="9">
        <v>119900</v>
      </c>
      <c r="N691" s="18">
        <f t="shared" si="84"/>
        <v>0.7</v>
      </c>
      <c r="O691" s="32">
        <f t="shared" si="85"/>
        <v>35970</v>
      </c>
      <c r="P691" s="18" t="s">
        <v>19</v>
      </c>
    </row>
    <row r="692" spans="1:16" s="6" customFormat="1" x14ac:dyDescent="0.25">
      <c r="A692" s="25" t="str">
        <f t="shared" si="82"/>
        <v>2025 JAN-JUN D70</v>
      </c>
      <c r="B692" s="8">
        <f t="shared" si="83"/>
        <v>46104</v>
      </c>
      <c r="C692" s="8">
        <f t="shared" si="88"/>
        <v>46113</v>
      </c>
      <c r="D692" s="7">
        <v>3272</v>
      </c>
      <c r="E692" s="7">
        <v>336</v>
      </c>
      <c r="F692" s="7">
        <v>4</v>
      </c>
      <c r="G692" s="7">
        <v>1</v>
      </c>
      <c r="H692" s="7">
        <v>81379</v>
      </c>
      <c r="I692" s="7" t="s">
        <v>16</v>
      </c>
      <c r="J692" s="7">
        <v>45647229</v>
      </c>
      <c r="K692" s="7" t="s">
        <v>1829</v>
      </c>
      <c r="L692" s="27" t="s">
        <v>1830</v>
      </c>
      <c r="M692" s="9">
        <v>149900</v>
      </c>
      <c r="N692" s="18">
        <f t="shared" si="84"/>
        <v>0.7</v>
      </c>
      <c r="O692" s="32">
        <f t="shared" si="85"/>
        <v>44970</v>
      </c>
      <c r="P692" s="18" t="s">
        <v>19</v>
      </c>
    </row>
    <row r="693" spans="1:16" s="6" customFormat="1" x14ac:dyDescent="0.25">
      <c r="A693" s="25" t="str">
        <f t="shared" si="82"/>
        <v>2025 JAN-JUN D70</v>
      </c>
      <c r="B693" s="8">
        <f t="shared" si="83"/>
        <v>46104</v>
      </c>
      <c r="C693" s="8">
        <f t="shared" si="88"/>
        <v>46113</v>
      </c>
      <c r="D693" s="7">
        <v>3272</v>
      </c>
      <c r="E693" s="7">
        <v>336</v>
      </c>
      <c r="F693" s="7">
        <v>4</v>
      </c>
      <c r="G693" s="7">
        <v>1</v>
      </c>
      <c r="H693" s="7">
        <v>81379</v>
      </c>
      <c r="I693" s="7" t="s">
        <v>16</v>
      </c>
      <c r="J693" s="7">
        <v>45647238</v>
      </c>
      <c r="K693" s="7" t="s">
        <v>1829</v>
      </c>
      <c r="L693" s="27" t="s">
        <v>1831</v>
      </c>
      <c r="M693" s="9">
        <v>149900</v>
      </c>
      <c r="N693" s="18">
        <f t="shared" si="84"/>
        <v>0.7</v>
      </c>
      <c r="O693" s="32">
        <f t="shared" si="85"/>
        <v>44970</v>
      </c>
      <c r="P693" s="18" t="s">
        <v>19</v>
      </c>
    </row>
    <row r="694" spans="1:16" s="6" customFormat="1" x14ac:dyDescent="0.25">
      <c r="A694" s="25" t="str">
        <f t="shared" si="82"/>
        <v>2025 JAN-JUN D70</v>
      </c>
      <c r="B694" s="8">
        <f t="shared" si="83"/>
        <v>46104</v>
      </c>
      <c r="C694" s="8">
        <f t="shared" si="88"/>
        <v>46113</v>
      </c>
      <c r="D694" s="7">
        <v>3272</v>
      </c>
      <c r="E694" s="7">
        <v>336</v>
      </c>
      <c r="F694" s="7">
        <v>4</v>
      </c>
      <c r="G694" s="7">
        <v>1</v>
      </c>
      <c r="H694" s="7">
        <v>81379</v>
      </c>
      <c r="I694" s="7" t="s">
        <v>16</v>
      </c>
      <c r="J694" s="7">
        <v>45647247</v>
      </c>
      <c r="K694" s="7" t="s">
        <v>1829</v>
      </c>
      <c r="L694" s="27" t="s">
        <v>1832</v>
      </c>
      <c r="M694" s="9">
        <v>149900</v>
      </c>
      <c r="N694" s="18">
        <f t="shared" si="84"/>
        <v>0.7</v>
      </c>
      <c r="O694" s="32">
        <f t="shared" si="85"/>
        <v>44970</v>
      </c>
      <c r="P694" s="18" t="s">
        <v>19</v>
      </c>
    </row>
    <row r="695" spans="1:16" s="6" customFormat="1" x14ac:dyDescent="0.25">
      <c r="A695" s="25" t="str">
        <f t="shared" si="82"/>
        <v>2025 JAN-JUN D70</v>
      </c>
      <c r="B695" s="8">
        <f t="shared" si="83"/>
        <v>46104</v>
      </c>
      <c r="C695" s="8">
        <f t="shared" si="88"/>
        <v>46113</v>
      </c>
      <c r="D695" s="7">
        <v>3272</v>
      </c>
      <c r="E695" s="7">
        <v>336</v>
      </c>
      <c r="F695" s="7">
        <v>4</v>
      </c>
      <c r="G695" s="7">
        <v>1</v>
      </c>
      <c r="H695" s="7">
        <v>81379</v>
      </c>
      <c r="I695" s="7" t="s">
        <v>16</v>
      </c>
      <c r="J695" s="7">
        <v>45647256</v>
      </c>
      <c r="K695" s="7" t="s">
        <v>1829</v>
      </c>
      <c r="L695" s="27" t="s">
        <v>1833</v>
      </c>
      <c r="M695" s="9">
        <v>149900</v>
      </c>
      <c r="N695" s="18">
        <f t="shared" si="84"/>
        <v>0.7</v>
      </c>
      <c r="O695" s="32">
        <f t="shared" si="85"/>
        <v>44970</v>
      </c>
      <c r="P695" s="18" t="s">
        <v>19</v>
      </c>
    </row>
    <row r="696" spans="1:16" s="6" customFormat="1" x14ac:dyDescent="0.25">
      <c r="A696" s="25" t="str">
        <f t="shared" si="82"/>
        <v>2025 JAN-JUN D70</v>
      </c>
      <c r="B696" s="8">
        <f t="shared" si="83"/>
        <v>46104</v>
      </c>
      <c r="C696" s="8">
        <f t="shared" si="88"/>
        <v>46113</v>
      </c>
      <c r="D696" s="7">
        <v>3272</v>
      </c>
      <c r="E696" s="7">
        <v>336</v>
      </c>
      <c r="F696" s="7">
        <v>4</v>
      </c>
      <c r="G696" s="7">
        <v>1</v>
      </c>
      <c r="H696" s="7">
        <v>81379</v>
      </c>
      <c r="I696" s="7" t="s">
        <v>16</v>
      </c>
      <c r="J696" s="7">
        <v>45647265</v>
      </c>
      <c r="K696" s="7" t="s">
        <v>1829</v>
      </c>
      <c r="L696" s="27" t="s">
        <v>1834</v>
      </c>
      <c r="M696" s="9">
        <v>149900</v>
      </c>
      <c r="N696" s="18">
        <f t="shared" si="84"/>
        <v>0.7</v>
      </c>
      <c r="O696" s="32">
        <f t="shared" si="85"/>
        <v>44970</v>
      </c>
      <c r="P696" s="18" t="s">
        <v>19</v>
      </c>
    </row>
    <row r="697" spans="1:16" s="6" customFormat="1" x14ac:dyDescent="0.25">
      <c r="A697" s="25" t="str">
        <f t="shared" si="82"/>
        <v>2025 JAN-JUN D70</v>
      </c>
      <c r="B697" s="8">
        <f t="shared" si="83"/>
        <v>46104</v>
      </c>
      <c r="C697" s="8">
        <f t="shared" si="88"/>
        <v>46113</v>
      </c>
      <c r="D697" s="7">
        <v>3272</v>
      </c>
      <c r="E697" s="7">
        <v>336</v>
      </c>
      <c r="F697" s="7">
        <v>4</v>
      </c>
      <c r="G697" s="7">
        <v>1</v>
      </c>
      <c r="H697" s="7">
        <v>81379</v>
      </c>
      <c r="I697" s="7" t="s">
        <v>16</v>
      </c>
      <c r="J697" s="7">
        <v>45647274</v>
      </c>
      <c r="K697" s="7" t="s">
        <v>1829</v>
      </c>
      <c r="L697" s="27" t="s">
        <v>1835</v>
      </c>
      <c r="M697" s="9">
        <v>149900</v>
      </c>
      <c r="N697" s="18">
        <f t="shared" si="84"/>
        <v>0.7</v>
      </c>
      <c r="O697" s="32">
        <f t="shared" si="85"/>
        <v>44970</v>
      </c>
      <c r="P697" s="18" t="s">
        <v>19</v>
      </c>
    </row>
    <row r="698" spans="1:16" s="6" customFormat="1" x14ac:dyDescent="0.25">
      <c r="A698" s="25" t="str">
        <f t="shared" si="82"/>
        <v>2025 JAN-JUN D70</v>
      </c>
      <c r="B698" s="8">
        <f t="shared" si="83"/>
        <v>46104</v>
      </c>
      <c r="C698" s="8">
        <f t="shared" si="88"/>
        <v>46113</v>
      </c>
      <c r="D698" s="7">
        <v>3272</v>
      </c>
      <c r="E698" s="7">
        <v>336</v>
      </c>
      <c r="F698" s="7">
        <v>4</v>
      </c>
      <c r="G698" s="7">
        <v>1</v>
      </c>
      <c r="H698" s="7">
        <v>81379</v>
      </c>
      <c r="I698" s="7" t="s">
        <v>16</v>
      </c>
      <c r="J698" s="7">
        <v>45647283</v>
      </c>
      <c r="K698" s="7" t="s">
        <v>1829</v>
      </c>
      <c r="L698" s="27" t="s">
        <v>1836</v>
      </c>
      <c r="M698" s="9">
        <v>149900</v>
      </c>
      <c r="N698" s="18">
        <f t="shared" si="84"/>
        <v>0.7</v>
      </c>
      <c r="O698" s="32">
        <f t="shared" si="85"/>
        <v>44970</v>
      </c>
      <c r="P698" s="18" t="s">
        <v>19</v>
      </c>
    </row>
    <row r="699" spans="1:16" s="6" customFormat="1" x14ac:dyDescent="0.25">
      <c r="A699" s="25" t="str">
        <f t="shared" si="82"/>
        <v>2025 JAN-JUN D70</v>
      </c>
      <c r="B699" s="8">
        <f t="shared" si="83"/>
        <v>46104</v>
      </c>
      <c r="C699" s="8">
        <f t="shared" si="88"/>
        <v>46113</v>
      </c>
      <c r="D699" s="7">
        <v>3272</v>
      </c>
      <c r="E699" s="7">
        <v>336</v>
      </c>
      <c r="F699" s="7">
        <v>4</v>
      </c>
      <c r="G699" s="7">
        <v>1</v>
      </c>
      <c r="H699" s="7">
        <v>81379</v>
      </c>
      <c r="I699" s="7" t="s">
        <v>16</v>
      </c>
      <c r="J699" s="7">
        <v>45647292</v>
      </c>
      <c r="K699" s="7" t="s">
        <v>1829</v>
      </c>
      <c r="L699" s="27" t="s">
        <v>1837</v>
      </c>
      <c r="M699" s="9">
        <v>149900</v>
      </c>
      <c r="N699" s="18">
        <f t="shared" si="84"/>
        <v>0.7</v>
      </c>
      <c r="O699" s="32">
        <f t="shared" si="85"/>
        <v>44970</v>
      </c>
      <c r="P699" s="18" t="s">
        <v>19</v>
      </c>
    </row>
    <row r="700" spans="1:16" s="6" customFormat="1" x14ac:dyDescent="0.25">
      <c r="A700" s="25" t="str">
        <f t="shared" si="82"/>
        <v>2025 JAN-JUN D70</v>
      </c>
      <c r="B700" s="8">
        <f t="shared" si="83"/>
        <v>46104</v>
      </c>
      <c r="C700" s="8">
        <f t="shared" si="88"/>
        <v>46113</v>
      </c>
      <c r="D700" s="7">
        <v>3272</v>
      </c>
      <c r="E700" s="7">
        <v>336</v>
      </c>
      <c r="F700" s="7">
        <v>4</v>
      </c>
      <c r="G700" s="7">
        <v>1</v>
      </c>
      <c r="H700" s="7">
        <v>81379</v>
      </c>
      <c r="I700" s="7" t="s">
        <v>16</v>
      </c>
      <c r="J700" s="7">
        <v>51510855</v>
      </c>
      <c r="K700" s="7" t="s">
        <v>1838</v>
      </c>
      <c r="L700" s="27" t="s">
        <v>1839</v>
      </c>
      <c r="M700" s="9">
        <v>149900</v>
      </c>
      <c r="N700" s="18">
        <f t="shared" si="84"/>
        <v>0.7</v>
      </c>
      <c r="O700" s="32">
        <f t="shared" si="85"/>
        <v>44970</v>
      </c>
      <c r="P700" s="18" t="s">
        <v>19</v>
      </c>
    </row>
    <row r="701" spans="1:16" s="6" customFormat="1" x14ac:dyDescent="0.25">
      <c r="A701" s="25" t="str">
        <f t="shared" si="82"/>
        <v>2025 JAN-JUN D70</v>
      </c>
      <c r="B701" s="8">
        <f t="shared" si="83"/>
        <v>46104</v>
      </c>
      <c r="C701" s="8">
        <f t="shared" si="88"/>
        <v>46113</v>
      </c>
      <c r="D701" s="7">
        <v>3272</v>
      </c>
      <c r="E701" s="7">
        <v>336</v>
      </c>
      <c r="F701" s="7">
        <v>4</v>
      </c>
      <c r="G701" s="7">
        <v>1</v>
      </c>
      <c r="H701" s="7">
        <v>81379</v>
      </c>
      <c r="I701" s="7" t="s">
        <v>16</v>
      </c>
      <c r="J701" s="7">
        <v>51510864</v>
      </c>
      <c r="K701" s="7" t="s">
        <v>1838</v>
      </c>
      <c r="L701" s="27" t="s">
        <v>1840</v>
      </c>
      <c r="M701" s="9">
        <v>149900</v>
      </c>
      <c r="N701" s="18">
        <f t="shared" si="84"/>
        <v>0.7</v>
      </c>
      <c r="O701" s="32">
        <f t="shared" si="85"/>
        <v>44970</v>
      </c>
      <c r="P701" s="18" t="s">
        <v>19</v>
      </c>
    </row>
    <row r="702" spans="1:16" s="6" customFormat="1" x14ac:dyDescent="0.25">
      <c r="A702" s="25" t="str">
        <f t="shared" si="82"/>
        <v>2025 JAN-JUN D70</v>
      </c>
      <c r="B702" s="8">
        <f t="shared" si="83"/>
        <v>46104</v>
      </c>
      <c r="C702" s="8">
        <f t="shared" si="88"/>
        <v>46113</v>
      </c>
      <c r="D702" s="7">
        <v>3272</v>
      </c>
      <c r="E702" s="7">
        <v>336</v>
      </c>
      <c r="F702" s="7">
        <v>4</v>
      </c>
      <c r="G702" s="7">
        <v>1</v>
      </c>
      <c r="H702" s="7">
        <v>81379</v>
      </c>
      <c r="I702" s="7" t="s">
        <v>16</v>
      </c>
      <c r="J702" s="7">
        <v>51510873</v>
      </c>
      <c r="K702" s="7" t="s">
        <v>1838</v>
      </c>
      <c r="L702" s="27" t="s">
        <v>1841</v>
      </c>
      <c r="M702" s="9">
        <v>149900</v>
      </c>
      <c r="N702" s="18">
        <f t="shared" si="84"/>
        <v>0.7</v>
      </c>
      <c r="O702" s="32">
        <f t="shared" si="85"/>
        <v>44970</v>
      </c>
      <c r="P702" s="18" t="s">
        <v>19</v>
      </c>
    </row>
    <row r="703" spans="1:16" s="6" customFormat="1" x14ac:dyDescent="0.25">
      <c r="A703" s="25" t="str">
        <f t="shared" si="82"/>
        <v>2025 JAN-JUN D70</v>
      </c>
      <c r="B703" s="8">
        <f t="shared" si="83"/>
        <v>46104</v>
      </c>
      <c r="C703" s="8">
        <f t="shared" si="88"/>
        <v>46113</v>
      </c>
      <c r="D703" s="7">
        <v>3272</v>
      </c>
      <c r="E703" s="7">
        <v>336</v>
      </c>
      <c r="F703" s="7">
        <v>4</v>
      </c>
      <c r="G703" s="7">
        <v>1</v>
      </c>
      <c r="H703" s="7">
        <v>81379</v>
      </c>
      <c r="I703" s="7" t="s">
        <v>16</v>
      </c>
      <c r="J703" s="7">
        <v>51510882</v>
      </c>
      <c r="K703" s="7" t="s">
        <v>1838</v>
      </c>
      <c r="L703" s="27" t="s">
        <v>1842</v>
      </c>
      <c r="M703" s="9">
        <v>149900</v>
      </c>
      <c r="N703" s="18">
        <f t="shared" si="84"/>
        <v>0.7</v>
      </c>
      <c r="O703" s="32">
        <f t="shared" si="85"/>
        <v>44970</v>
      </c>
      <c r="P703" s="18" t="s">
        <v>19</v>
      </c>
    </row>
    <row r="704" spans="1:16" s="6" customFormat="1" x14ac:dyDescent="0.25">
      <c r="A704" s="25" t="str">
        <f t="shared" si="82"/>
        <v>2025 JAN-JUN D70</v>
      </c>
      <c r="B704" s="8">
        <f t="shared" si="83"/>
        <v>46104</v>
      </c>
      <c r="C704" s="8">
        <f t="shared" si="88"/>
        <v>46113</v>
      </c>
      <c r="D704" s="7">
        <v>3272</v>
      </c>
      <c r="E704" s="7">
        <v>336</v>
      </c>
      <c r="F704" s="7">
        <v>4</v>
      </c>
      <c r="G704" s="7">
        <v>1</v>
      </c>
      <c r="H704" s="7">
        <v>81379</v>
      </c>
      <c r="I704" s="7" t="s">
        <v>16</v>
      </c>
      <c r="J704" s="7">
        <v>51510891</v>
      </c>
      <c r="K704" s="7" t="s">
        <v>1838</v>
      </c>
      <c r="L704" s="27" t="s">
        <v>1843</v>
      </c>
      <c r="M704" s="9">
        <v>149900</v>
      </c>
      <c r="N704" s="18">
        <f t="shared" si="84"/>
        <v>0.7</v>
      </c>
      <c r="O704" s="32">
        <f t="shared" si="85"/>
        <v>44970</v>
      </c>
      <c r="P704" s="18" t="s">
        <v>19</v>
      </c>
    </row>
    <row r="705" spans="1:16" s="6" customFormat="1" x14ac:dyDescent="0.25">
      <c r="A705" s="25" t="str">
        <f t="shared" si="82"/>
        <v>2025 JAN-JUN D70</v>
      </c>
      <c r="B705" s="8">
        <f t="shared" si="83"/>
        <v>46104</v>
      </c>
      <c r="C705" s="8">
        <f t="shared" si="88"/>
        <v>46113</v>
      </c>
      <c r="D705" s="7">
        <v>3272</v>
      </c>
      <c r="E705" s="7">
        <v>336</v>
      </c>
      <c r="F705" s="7">
        <v>4</v>
      </c>
      <c r="G705" s="7">
        <v>1</v>
      </c>
      <c r="H705" s="7">
        <v>81379</v>
      </c>
      <c r="I705" s="7" t="s">
        <v>16</v>
      </c>
      <c r="J705" s="7">
        <v>51511069</v>
      </c>
      <c r="K705" s="7" t="s">
        <v>1844</v>
      </c>
      <c r="L705" s="27" t="s">
        <v>1845</v>
      </c>
      <c r="M705" s="9">
        <v>149900</v>
      </c>
      <c r="N705" s="18">
        <f t="shared" si="84"/>
        <v>0.7</v>
      </c>
      <c r="O705" s="32">
        <f t="shared" si="85"/>
        <v>44970</v>
      </c>
      <c r="P705" s="18" t="s">
        <v>19</v>
      </c>
    </row>
    <row r="706" spans="1:16" s="6" customFormat="1" x14ac:dyDescent="0.25">
      <c r="A706" s="25" t="str">
        <f t="shared" si="82"/>
        <v>2025 JAN-JUN D70</v>
      </c>
      <c r="B706" s="8">
        <f t="shared" si="83"/>
        <v>46104</v>
      </c>
      <c r="C706" s="8">
        <f t="shared" si="88"/>
        <v>46113</v>
      </c>
      <c r="D706" s="7">
        <v>3272</v>
      </c>
      <c r="E706" s="7">
        <v>336</v>
      </c>
      <c r="F706" s="7">
        <v>4</v>
      </c>
      <c r="G706" s="7">
        <v>1</v>
      </c>
      <c r="H706" s="7">
        <v>81379</v>
      </c>
      <c r="I706" s="7" t="s">
        <v>16</v>
      </c>
      <c r="J706" s="7">
        <v>51511078</v>
      </c>
      <c r="K706" s="7" t="s">
        <v>1844</v>
      </c>
      <c r="L706" s="27" t="s">
        <v>1846</v>
      </c>
      <c r="M706" s="9">
        <v>149900</v>
      </c>
      <c r="N706" s="18">
        <f t="shared" si="84"/>
        <v>0.7</v>
      </c>
      <c r="O706" s="32">
        <f t="shared" si="85"/>
        <v>44970</v>
      </c>
      <c r="P706" s="18" t="s">
        <v>19</v>
      </c>
    </row>
    <row r="707" spans="1:16" s="6" customFormat="1" x14ac:dyDescent="0.25">
      <c r="A707" s="25" t="str">
        <f t="shared" si="82"/>
        <v>2025 JAN-JUN D70</v>
      </c>
      <c r="B707" s="8">
        <f t="shared" si="83"/>
        <v>46104</v>
      </c>
      <c r="C707" s="8">
        <f t="shared" si="88"/>
        <v>46113</v>
      </c>
      <c r="D707" s="7">
        <v>3272</v>
      </c>
      <c r="E707" s="7">
        <v>336</v>
      </c>
      <c r="F707" s="7">
        <v>4</v>
      </c>
      <c r="G707" s="7">
        <v>1</v>
      </c>
      <c r="H707" s="7">
        <v>81379</v>
      </c>
      <c r="I707" s="7" t="s">
        <v>16</v>
      </c>
      <c r="J707" s="7">
        <v>51511087</v>
      </c>
      <c r="K707" s="7" t="s">
        <v>1844</v>
      </c>
      <c r="L707" s="27" t="s">
        <v>1847</v>
      </c>
      <c r="M707" s="9">
        <v>149900</v>
      </c>
      <c r="N707" s="18">
        <f t="shared" si="84"/>
        <v>0.7</v>
      </c>
      <c r="O707" s="32">
        <f t="shared" si="85"/>
        <v>44970</v>
      </c>
      <c r="P707" s="18" t="s">
        <v>19</v>
      </c>
    </row>
    <row r="708" spans="1:16" s="6" customFormat="1" x14ac:dyDescent="0.25">
      <c r="A708" s="25" t="str">
        <f t="shared" ref="A708:A771" si="89">A707</f>
        <v>2025 JAN-JUN D70</v>
      </c>
      <c r="B708" s="8">
        <f t="shared" ref="B708:B771" si="90">B707</f>
        <v>46104</v>
      </c>
      <c r="C708" s="8">
        <f t="shared" si="88"/>
        <v>46113</v>
      </c>
      <c r="D708" s="7">
        <v>3272</v>
      </c>
      <c r="E708" s="7">
        <v>336</v>
      </c>
      <c r="F708" s="7">
        <v>4</v>
      </c>
      <c r="G708" s="7">
        <v>1</v>
      </c>
      <c r="H708" s="7">
        <v>81379</v>
      </c>
      <c r="I708" s="7" t="s">
        <v>16</v>
      </c>
      <c r="J708" s="7">
        <v>51511096</v>
      </c>
      <c r="K708" s="7" t="s">
        <v>1844</v>
      </c>
      <c r="L708" s="27" t="s">
        <v>1848</v>
      </c>
      <c r="M708" s="9">
        <v>149900</v>
      </c>
      <c r="N708" s="18">
        <f t="shared" ref="N708:N771" si="91">N707</f>
        <v>0.7</v>
      </c>
      <c r="O708" s="32">
        <f t="shared" ref="O708:O771" si="92">M708-((70*M708)/100)</f>
        <v>44970</v>
      </c>
      <c r="P708" s="18" t="s">
        <v>19</v>
      </c>
    </row>
    <row r="709" spans="1:16" s="6" customFormat="1" x14ac:dyDescent="0.25">
      <c r="A709" s="25" t="str">
        <f t="shared" si="89"/>
        <v>2025 JAN-JUN D70</v>
      </c>
      <c r="B709" s="8">
        <f t="shared" si="90"/>
        <v>46104</v>
      </c>
      <c r="C709" s="8">
        <f t="shared" si="88"/>
        <v>46113</v>
      </c>
      <c r="D709" s="7">
        <v>3272</v>
      </c>
      <c r="E709" s="7">
        <v>336</v>
      </c>
      <c r="F709" s="7">
        <v>4</v>
      </c>
      <c r="G709" s="7">
        <v>1</v>
      </c>
      <c r="H709" s="7">
        <v>81379</v>
      </c>
      <c r="I709" s="7" t="s">
        <v>16</v>
      </c>
      <c r="J709" s="7">
        <v>51511103</v>
      </c>
      <c r="K709" s="7" t="s">
        <v>1844</v>
      </c>
      <c r="L709" s="27" t="s">
        <v>1849</v>
      </c>
      <c r="M709" s="9">
        <v>149900</v>
      </c>
      <c r="N709" s="18">
        <f t="shared" si="91"/>
        <v>0.7</v>
      </c>
      <c r="O709" s="32">
        <f t="shared" si="92"/>
        <v>44970</v>
      </c>
      <c r="P709" s="18" t="s">
        <v>19</v>
      </c>
    </row>
    <row r="710" spans="1:16" s="6" customFormat="1" x14ac:dyDescent="0.25">
      <c r="A710" s="25" t="str">
        <f t="shared" si="89"/>
        <v>2025 JAN-JUN D70</v>
      </c>
      <c r="B710" s="8">
        <f t="shared" si="90"/>
        <v>46104</v>
      </c>
      <c r="C710" s="8">
        <f t="shared" si="88"/>
        <v>46113</v>
      </c>
      <c r="D710" s="7">
        <v>3272</v>
      </c>
      <c r="E710" s="7">
        <v>336</v>
      </c>
      <c r="F710" s="7">
        <v>4</v>
      </c>
      <c r="G710" s="7">
        <v>1</v>
      </c>
      <c r="H710" s="7">
        <v>81379</v>
      </c>
      <c r="I710" s="7" t="s">
        <v>16</v>
      </c>
      <c r="J710" s="7">
        <v>51511112</v>
      </c>
      <c r="K710" s="7" t="s">
        <v>1844</v>
      </c>
      <c r="L710" s="27" t="s">
        <v>1850</v>
      </c>
      <c r="M710" s="9">
        <v>149900</v>
      </c>
      <c r="N710" s="18">
        <f t="shared" si="91"/>
        <v>0.7</v>
      </c>
      <c r="O710" s="32">
        <f t="shared" si="92"/>
        <v>44970</v>
      </c>
      <c r="P710" s="18" t="s">
        <v>19</v>
      </c>
    </row>
    <row r="711" spans="1:16" s="6" customFormat="1" x14ac:dyDescent="0.25">
      <c r="A711" s="25" t="str">
        <f t="shared" si="89"/>
        <v>2025 JAN-JUN D70</v>
      </c>
      <c r="B711" s="8">
        <f t="shared" si="90"/>
        <v>46104</v>
      </c>
      <c r="C711" s="8">
        <f t="shared" si="88"/>
        <v>46113</v>
      </c>
      <c r="D711" s="7">
        <v>3272</v>
      </c>
      <c r="E711" s="7">
        <v>336</v>
      </c>
      <c r="F711" s="7">
        <v>4</v>
      </c>
      <c r="G711" s="7">
        <v>1</v>
      </c>
      <c r="H711" s="7">
        <v>81379</v>
      </c>
      <c r="I711" s="7" t="s">
        <v>16</v>
      </c>
      <c r="J711" s="7">
        <v>51511121</v>
      </c>
      <c r="K711" s="7" t="s">
        <v>1844</v>
      </c>
      <c r="L711" s="27" t="s">
        <v>1851</v>
      </c>
      <c r="M711" s="9">
        <v>149900</v>
      </c>
      <c r="N711" s="18">
        <f t="shared" si="91"/>
        <v>0.7</v>
      </c>
      <c r="O711" s="32">
        <f t="shared" si="92"/>
        <v>44970</v>
      </c>
      <c r="P711" s="18" t="s">
        <v>19</v>
      </c>
    </row>
    <row r="712" spans="1:16" s="6" customFormat="1" x14ac:dyDescent="0.25">
      <c r="A712" s="25" t="str">
        <f t="shared" si="89"/>
        <v>2025 JAN-JUN D70</v>
      </c>
      <c r="B712" s="8">
        <f t="shared" si="90"/>
        <v>46104</v>
      </c>
      <c r="C712" s="8">
        <f t="shared" si="88"/>
        <v>46113</v>
      </c>
      <c r="D712" s="7">
        <v>3272</v>
      </c>
      <c r="E712" s="7">
        <v>336</v>
      </c>
      <c r="F712" s="7">
        <v>4</v>
      </c>
      <c r="G712" s="7">
        <v>1</v>
      </c>
      <c r="H712" s="7">
        <v>81379</v>
      </c>
      <c r="I712" s="7" t="s">
        <v>16</v>
      </c>
      <c r="J712" s="7">
        <v>51511130</v>
      </c>
      <c r="K712" s="7" t="s">
        <v>1844</v>
      </c>
      <c r="L712" s="27" t="s">
        <v>1852</v>
      </c>
      <c r="M712" s="9">
        <v>149900</v>
      </c>
      <c r="N712" s="18">
        <f t="shared" si="91"/>
        <v>0.7</v>
      </c>
      <c r="O712" s="32">
        <f t="shared" si="92"/>
        <v>44970</v>
      </c>
      <c r="P712" s="18" t="s">
        <v>19</v>
      </c>
    </row>
    <row r="713" spans="1:16" s="6" customFormat="1" x14ac:dyDescent="0.25">
      <c r="A713" s="25" t="str">
        <f t="shared" si="89"/>
        <v>2025 JAN-JUN D70</v>
      </c>
      <c r="B713" s="8">
        <f t="shared" si="90"/>
        <v>46104</v>
      </c>
      <c r="C713" s="8">
        <f t="shared" si="88"/>
        <v>46113</v>
      </c>
      <c r="D713" s="7">
        <v>3272</v>
      </c>
      <c r="E713" s="7">
        <v>336</v>
      </c>
      <c r="F713" s="7">
        <v>4</v>
      </c>
      <c r="G713" s="7">
        <v>1</v>
      </c>
      <c r="H713" s="7">
        <v>81379</v>
      </c>
      <c r="I713" s="7" t="s">
        <v>16</v>
      </c>
      <c r="J713" s="7">
        <v>54954415</v>
      </c>
      <c r="K713" s="7" t="s">
        <v>1853</v>
      </c>
      <c r="L713" s="27" t="s">
        <v>1854</v>
      </c>
      <c r="M713" s="9">
        <v>149900</v>
      </c>
      <c r="N713" s="18">
        <f t="shared" si="91"/>
        <v>0.7</v>
      </c>
      <c r="O713" s="32">
        <f t="shared" si="92"/>
        <v>44970</v>
      </c>
      <c r="P713" s="18" t="s">
        <v>19</v>
      </c>
    </row>
    <row r="714" spans="1:16" s="6" customFormat="1" x14ac:dyDescent="0.25">
      <c r="A714" s="25" t="str">
        <f t="shared" si="89"/>
        <v>2025 JAN-JUN D70</v>
      </c>
      <c r="B714" s="8">
        <f t="shared" si="90"/>
        <v>46104</v>
      </c>
      <c r="C714" s="8">
        <f t="shared" si="88"/>
        <v>46113</v>
      </c>
      <c r="D714" s="7">
        <v>3272</v>
      </c>
      <c r="E714" s="7">
        <v>336</v>
      </c>
      <c r="F714" s="7">
        <v>4</v>
      </c>
      <c r="G714" s="7">
        <v>1</v>
      </c>
      <c r="H714" s="7">
        <v>81379</v>
      </c>
      <c r="I714" s="7" t="s">
        <v>16</v>
      </c>
      <c r="J714" s="7">
        <v>54954424</v>
      </c>
      <c r="K714" s="7" t="s">
        <v>1853</v>
      </c>
      <c r="L714" s="27" t="s">
        <v>1855</v>
      </c>
      <c r="M714" s="9">
        <v>149900</v>
      </c>
      <c r="N714" s="18">
        <f t="shared" si="91"/>
        <v>0.7</v>
      </c>
      <c r="O714" s="32">
        <f t="shared" si="92"/>
        <v>44970</v>
      </c>
      <c r="P714" s="18" t="s">
        <v>19</v>
      </c>
    </row>
    <row r="715" spans="1:16" s="6" customFormat="1" x14ac:dyDescent="0.25">
      <c r="A715" s="25" t="str">
        <f t="shared" si="89"/>
        <v>2025 JAN-JUN D70</v>
      </c>
      <c r="B715" s="8">
        <f t="shared" si="90"/>
        <v>46104</v>
      </c>
      <c r="C715" s="8">
        <f t="shared" si="88"/>
        <v>46113</v>
      </c>
      <c r="D715" s="7">
        <v>3272</v>
      </c>
      <c r="E715" s="7">
        <v>336</v>
      </c>
      <c r="F715" s="7">
        <v>4</v>
      </c>
      <c r="G715" s="7">
        <v>1</v>
      </c>
      <c r="H715" s="7">
        <v>81379</v>
      </c>
      <c r="I715" s="7" t="s">
        <v>16</v>
      </c>
      <c r="J715" s="7">
        <v>54954433</v>
      </c>
      <c r="K715" s="7" t="s">
        <v>1853</v>
      </c>
      <c r="L715" s="27" t="s">
        <v>1856</v>
      </c>
      <c r="M715" s="9">
        <v>149900</v>
      </c>
      <c r="N715" s="18">
        <f t="shared" si="91"/>
        <v>0.7</v>
      </c>
      <c r="O715" s="32">
        <f t="shared" si="92"/>
        <v>44970</v>
      </c>
      <c r="P715" s="18" t="s">
        <v>19</v>
      </c>
    </row>
    <row r="716" spans="1:16" s="6" customFormat="1" x14ac:dyDescent="0.25">
      <c r="A716" s="25" t="str">
        <f t="shared" si="89"/>
        <v>2025 JAN-JUN D70</v>
      </c>
      <c r="B716" s="8">
        <f t="shared" si="90"/>
        <v>46104</v>
      </c>
      <c r="C716" s="8">
        <f t="shared" si="88"/>
        <v>46113</v>
      </c>
      <c r="D716" s="7">
        <v>3272</v>
      </c>
      <c r="E716" s="7">
        <v>336</v>
      </c>
      <c r="F716" s="7">
        <v>4</v>
      </c>
      <c r="G716" s="7">
        <v>1</v>
      </c>
      <c r="H716" s="7">
        <v>81379</v>
      </c>
      <c r="I716" s="7" t="s">
        <v>16</v>
      </c>
      <c r="J716" s="7">
        <v>54954442</v>
      </c>
      <c r="K716" s="7" t="s">
        <v>1853</v>
      </c>
      <c r="L716" s="27" t="s">
        <v>1857</v>
      </c>
      <c r="M716" s="9">
        <v>149900</v>
      </c>
      <c r="N716" s="18">
        <f t="shared" si="91"/>
        <v>0.7</v>
      </c>
      <c r="O716" s="32">
        <f t="shared" si="92"/>
        <v>44970</v>
      </c>
      <c r="P716" s="18" t="s">
        <v>19</v>
      </c>
    </row>
    <row r="717" spans="1:16" s="6" customFormat="1" x14ac:dyDescent="0.25">
      <c r="A717" s="25" t="str">
        <f t="shared" si="89"/>
        <v>2025 JAN-JUN D70</v>
      </c>
      <c r="B717" s="8">
        <f t="shared" si="90"/>
        <v>46104</v>
      </c>
      <c r="C717" s="8">
        <f t="shared" si="88"/>
        <v>46113</v>
      </c>
      <c r="D717" s="7">
        <v>3272</v>
      </c>
      <c r="E717" s="7">
        <v>336</v>
      </c>
      <c r="F717" s="7">
        <v>4</v>
      </c>
      <c r="G717" s="7">
        <v>1</v>
      </c>
      <c r="H717" s="7">
        <v>81379</v>
      </c>
      <c r="I717" s="7" t="s">
        <v>16</v>
      </c>
      <c r="J717" s="7">
        <v>54954451</v>
      </c>
      <c r="K717" s="7" t="s">
        <v>1853</v>
      </c>
      <c r="L717" s="27" t="s">
        <v>1858</v>
      </c>
      <c r="M717" s="9">
        <v>149900</v>
      </c>
      <c r="N717" s="18">
        <f t="shared" si="91"/>
        <v>0.7</v>
      </c>
      <c r="O717" s="32">
        <f t="shared" si="92"/>
        <v>44970</v>
      </c>
      <c r="P717" s="18" t="s">
        <v>19</v>
      </c>
    </row>
    <row r="718" spans="1:16" s="6" customFormat="1" x14ac:dyDescent="0.25">
      <c r="A718" s="25" t="str">
        <f t="shared" si="89"/>
        <v>2025 JAN-JUN D70</v>
      </c>
      <c r="B718" s="8">
        <f t="shared" si="90"/>
        <v>46104</v>
      </c>
      <c r="C718" s="8">
        <f t="shared" ref="C718:C749" si="93">C717</f>
        <v>46113</v>
      </c>
      <c r="D718" s="7">
        <v>3272</v>
      </c>
      <c r="E718" s="7">
        <v>336</v>
      </c>
      <c r="F718" s="7">
        <v>4</v>
      </c>
      <c r="G718" s="7">
        <v>1</v>
      </c>
      <c r="H718" s="7">
        <v>81379</v>
      </c>
      <c r="I718" s="7" t="s">
        <v>16</v>
      </c>
      <c r="J718" s="7">
        <v>54954460</v>
      </c>
      <c r="K718" s="7" t="s">
        <v>1853</v>
      </c>
      <c r="L718" s="27" t="s">
        <v>1859</v>
      </c>
      <c r="M718" s="9">
        <v>149900</v>
      </c>
      <c r="N718" s="18">
        <f t="shared" si="91"/>
        <v>0.7</v>
      </c>
      <c r="O718" s="32">
        <f t="shared" si="92"/>
        <v>44970</v>
      </c>
      <c r="P718" s="18" t="s">
        <v>19</v>
      </c>
    </row>
    <row r="719" spans="1:16" s="6" customFormat="1" x14ac:dyDescent="0.25">
      <c r="A719" s="25" t="str">
        <f t="shared" si="89"/>
        <v>2025 JAN-JUN D70</v>
      </c>
      <c r="B719" s="8">
        <f t="shared" si="90"/>
        <v>46104</v>
      </c>
      <c r="C719" s="8">
        <f t="shared" si="93"/>
        <v>46113</v>
      </c>
      <c r="D719" s="7">
        <v>3272</v>
      </c>
      <c r="E719" s="7">
        <v>336</v>
      </c>
      <c r="F719" s="7">
        <v>4</v>
      </c>
      <c r="G719" s="7">
        <v>1</v>
      </c>
      <c r="H719" s="7">
        <v>81379</v>
      </c>
      <c r="I719" s="7" t="s">
        <v>16</v>
      </c>
      <c r="J719" s="7">
        <v>54954479</v>
      </c>
      <c r="K719" s="7" t="s">
        <v>1853</v>
      </c>
      <c r="L719" s="27" t="s">
        <v>1860</v>
      </c>
      <c r="M719" s="9">
        <v>149900</v>
      </c>
      <c r="N719" s="18">
        <f t="shared" si="91"/>
        <v>0.7</v>
      </c>
      <c r="O719" s="32">
        <f t="shared" si="92"/>
        <v>44970</v>
      </c>
      <c r="P719" s="18" t="s">
        <v>19</v>
      </c>
    </row>
    <row r="720" spans="1:16" s="6" customFormat="1" x14ac:dyDescent="0.25">
      <c r="A720" s="25" t="str">
        <f t="shared" si="89"/>
        <v>2025 JAN-JUN D70</v>
      </c>
      <c r="B720" s="8">
        <f t="shared" si="90"/>
        <v>46104</v>
      </c>
      <c r="C720" s="8">
        <f t="shared" si="93"/>
        <v>46113</v>
      </c>
      <c r="D720" s="7">
        <v>3272</v>
      </c>
      <c r="E720" s="7">
        <v>336</v>
      </c>
      <c r="F720" s="7">
        <v>4</v>
      </c>
      <c r="G720" s="7">
        <v>1</v>
      </c>
      <c r="H720" s="7">
        <v>81379</v>
      </c>
      <c r="I720" s="7" t="s">
        <v>16</v>
      </c>
      <c r="J720" s="7">
        <v>54954488</v>
      </c>
      <c r="K720" s="7" t="s">
        <v>1861</v>
      </c>
      <c r="L720" s="27" t="s">
        <v>1862</v>
      </c>
      <c r="M720" s="9">
        <v>149900</v>
      </c>
      <c r="N720" s="18">
        <f t="shared" si="91"/>
        <v>0.7</v>
      </c>
      <c r="O720" s="32">
        <f t="shared" si="92"/>
        <v>44970</v>
      </c>
      <c r="P720" s="18" t="s">
        <v>19</v>
      </c>
    </row>
    <row r="721" spans="1:16" s="6" customFormat="1" x14ac:dyDescent="0.25">
      <c r="A721" s="25" t="str">
        <f t="shared" si="89"/>
        <v>2025 JAN-JUN D70</v>
      </c>
      <c r="B721" s="8">
        <f t="shared" si="90"/>
        <v>46104</v>
      </c>
      <c r="C721" s="8">
        <f t="shared" si="93"/>
        <v>46113</v>
      </c>
      <c r="D721" s="7">
        <v>3272</v>
      </c>
      <c r="E721" s="7">
        <v>336</v>
      </c>
      <c r="F721" s="7">
        <v>4</v>
      </c>
      <c r="G721" s="7">
        <v>1</v>
      </c>
      <c r="H721" s="7">
        <v>81379</v>
      </c>
      <c r="I721" s="7" t="s">
        <v>16</v>
      </c>
      <c r="J721" s="7">
        <v>54954497</v>
      </c>
      <c r="K721" s="7" t="s">
        <v>1861</v>
      </c>
      <c r="L721" s="27" t="s">
        <v>1863</v>
      </c>
      <c r="M721" s="9">
        <v>149900</v>
      </c>
      <c r="N721" s="18">
        <f t="shared" si="91"/>
        <v>0.7</v>
      </c>
      <c r="O721" s="32">
        <f t="shared" si="92"/>
        <v>44970</v>
      </c>
      <c r="P721" s="18" t="s">
        <v>19</v>
      </c>
    </row>
    <row r="722" spans="1:16" s="6" customFormat="1" x14ac:dyDescent="0.25">
      <c r="A722" s="25" t="str">
        <f t="shared" si="89"/>
        <v>2025 JAN-JUN D70</v>
      </c>
      <c r="B722" s="8">
        <f t="shared" si="90"/>
        <v>46104</v>
      </c>
      <c r="C722" s="8">
        <f t="shared" si="93"/>
        <v>46113</v>
      </c>
      <c r="D722" s="7">
        <v>3272</v>
      </c>
      <c r="E722" s="7">
        <v>336</v>
      </c>
      <c r="F722" s="7">
        <v>4</v>
      </c>
      <c r="G722" s="7">
        <v>1</v>
      </c>
      <c r="H722" s="7">
        <v>81379</v>
      </c>
      <c r="I722" s="7" t="s">
        <v>16</v>
      </c>
      <c r="J722" s="7">
        <v>54954504</v>
      </c>
      <c r="K722" s="7" t="s">
        <v>1861</v>
      </c>
      <c r="L722" s="27" t="s">
        <v>1864</v>
      </c>
      <c r="M722" s="9">
        <v>149900</v>
      </c>
      <c r="N722" s="18">
        <f t="shared" si="91"/>
        <v>0.7</v>
      </c>
      <c r="O722" s="32">
        <f t="shared" si="92"/>
        <v>44970</v>
      </c>
      <c r="P722" s="18" t="s">
        <v>19</v>
      </c>
    </row>
    <row r="723" spans="1:16" s="6" customFormat="1" x14ac:dyDescent="0.25">
      <c r="A723" s="25" t="str">
        <f t="shared" si="89"/>
        <v>2025 JAN-JUN D70</v>
      </c>
      <c r="B723" s="8">
        <f t="shared" si="90"/>
        <v>46104</v>
      </c>
      <c r="C723" s="8">
        <f t="shared" si="93"/>
        <v>46113</v>
      </c>
      <c r="D723" s="7">
        <v>3272</v>
      </c>
      <c r="E723" s="7">
        <v>336</v>
      </c>
      <c r="F723" s="7">
        <v>4</v>
      </c>
      <c r="G723" s="7">
        <v>1</v>
      </c>
      <c r="H723" s="7">
        <v>81379</v>
      </c>
      <c r="I723" s="7" t="s">
        <v>16</v>
      </c>
      <c r="J723" s="7">
        <v>54954513</v>
      </c>
      <c r="K723" s="7" t="s">
        <v>1861</v>
      </c>
      <c r="L723" s="27" t="s">
        <v>1865</v>
      </c>
      <c r="M723" s="9">
        <v>149900</v>
      </c>
      <c r="N723" s="18">
        <f t="shared" si="91"/>
        <v>0.7</v>
      </c>
      <c r="O723" s="32">
        <f t="shared" si="92"/>
        <v>44970</v>
      </c>
      <c r="P723" s="18" t="s">
        <v>19</v>
      </c>
    </row>
    <row r="724" spans="1:16" s="6" customFormat="1" x14ac:dyDescent="0.25">
      <c r="A724" s="25" t="str">
        <f t="shared" si="89"/>
        <v>2025 JAN-JUN D70</v>
      </c>
      <c r="B724" s="8">
        <f t="shared" si="90"/>
        <v>46104</v>
      </c>
      <c r="C724" s="8">
        <f t="shared" si="93"/>
        <v>46113</v>
      </c>
      <c r="D724" s="7">
        <v>3272</v>
      </c>
      <c r="E724" s="7">
        <v>336</v>
      </c>
      <c r="F724" s="7">
        <v>4</v>
      </c>
      <c r="G724" s="7">
        <v>1</v>
      </c>
      <c r="H724" s="7">
        <v>81379</v>
      </c>
      <c r="I724" s="7" t="s">
        <v>16</v>
      </c>
      <c r="J724" s="7">
        <v>54954522</v>
      </c>
      <c r="K724" s="7" t="s">
        <v>1861</v>
      </c>
      <c r="L724" s="27" t="s">
        <v>1866</v>
      </c>
      <c r="M724" s="9">
        <v>149900</v>
      </c>
      <c r="N724" s="18">
        <f t="shared" si="91"/>
        <v>0.7</v>
      </c>
      <c r="O724" s="32">
        <f t="shared" si="92"/>
        <v>44970</v>
      </c>
      <c r="P724" s="18" t="s">
        <v>19</v>
      </c>
    </row>
    <row r="725" spans="1:16" s="6" customFormat="1" x14ac:dyDescent="0.25">
      <c r="A725" s="25" t="str">
        <f t="shared" si="89"/>
        <v>2025 JAN-JUN D70</v>
      </c>
      <c r="B725" s="8">
        <f t="shared" si="90"/>
        <v>46104</v>
      </c>
      <c r="C725" s="8">
        <f t="shared" si="93"/>
        <v>46113</v>
      </c>
      <c r="D725" s="7">
        <v>3272</v>
      </c>
      <c r="E725" s="7">
        <v>336</v>
      </c>
      <c r="F725" s="7">
        <v>4</v>
      </c>
      <c r="G725" s="7">
        <v>1</v>
      </c>
      <c r="H725" s="7">
        <v>81379</v>
      </c>
      <c r="I725" s="7" t="s">
        <v>16</v>
      </c>
      <c r="J725" s="7">
        <v>54954531</v>
      </c>
      <c r="K725" s="7" t="s">
        <v>1861</v>
      </c>
      <c r="L725" s="27" t="s">
        <v>1867</v>
      </c>
      <c r="M725" s="9">
        <v>149900</v>
      </c>
      <c r="N725" s="18">
        <f t="shared" si="91"/>
        <v>0.7</v>
      </c>
      <c r="O725" s="32">
        <f t="shared" si="92"/>
        <v>44970</v>
      </c>
      <c r="P725" s="18" t="s">
        <v>19</v>
      </c>
    </row>
    <row r="726" spans="1:16" s="6" customFormat="1" x14ac:dyDescent="0.25">
      <c r="A726" s="25" t="str">
        <f t="shared" si="89"/>
        <v>2025 JAN-JUN D70</v>
      </c>
      <c r="B726" s="8">
        <f t="shared" si="90"/>
        <v>46104</v>
      </c>
      <c r="C726" s="8">
        <f t="shared" si="93"/>
        <v>46113</v>
      </c>
      <c r="D726" s="7">
        <v>3272</v>
      </c>
      <c r="E726" s="7">
        <v>336</v>
      </c>
      <c r="F726" s="7">
        <v>4</v>
      </c>
      <c r="G726" s="7">
        <v>1</v>
      </c>
      <c r="H726" s="7">
        <v>81379</v>
      </c>
      <c r="I726" s="7" t="s">
        <v>16</v>
      </c>
      <c r="J726" s="7">
        <v>54954540</v>
      </c>
      <c r="K726" s="7" t="s">
        <v>1861</v>
      </c>
      <c r="L726" s="27" t="s">
        <v>1868</v>
      </c>
      <c r="M726" s="9">
        <v>149900</v>
      </c>
      <c r="N726" s="18">
        <f t="shared" si="91"/>
        <v>0.7</v>
      </c>
      <c r="O726" s="32">
        <f t="shared" si="92"/>
        <v>44970</v>
      </c>
      <c r="P726" s="18" t="s">
        <v>19</v>
      </c>
    </row>
    <row r="727" spans="1:16" s="6" customFormat="1" x14ac:dyDescent="0.25">
      <c r="A727" s="25" t="str">
        <f t="shared" si="89"/>
        <v>2025 JAN-JUN D70</v>
      </c>
      <c r="B727" s="8">
        <f t="shared" si="90"/>
        <v>46104</v>
      </c>
      <c r="C727" s="8">
        <f t="shared" si="93"/>
        <v>46113</v>
      </c>
      <c r="D727" s="7">
        <v>3272</v>
      </c>
      <c r="E727" s="7">
        <v>336</v>
      </c>
      <c r="F727" s="7">
        <v>4</v>
      </c>
      <c r="G727" s="7">
        <v>1</v>
      </c>
      <c r="H727" s="7">
        <v>81588</v>
      </c>
      <c r="I727" s="7" t="s">
        <v>16</v>
      </c>
      <c r="J727" s="7">
        <v>51522842</v>
      </c>
      <c r="K727" s="7" t="s">
        <v>1869</v>
      </c>
      <c r="L727" s="27" t="s">
        <v>1870</v>
      </c>
      <c r="M727" s="9">
        <v>139900</v>
      </c>
      <c r="N727" s="18">
        <f t="shared" si="91"/>
        <v>0.7</v>
      </c>
      <c r="O727" s="32">
        <f t="shared" si="92"/>
        <v>41970</v>
      </c>
      <c r="P727" s="18" t="s">
        <v>19</v>
      </c>
    </row>
    <row r="728" spans="1:16" s="6" customFormat="1" x14ac:dyDescent="0.25">
      <c r="A728" s="25" t="str">
        <f t="shared" si="89"/>
        <v>2025 JAN-JUN D70</v>
      </c>
      <c r="B728" s="8">
        <f t="shared" si="90"/>
        <v>46104</v>
      </c>
      <c r="C728" s="8">
        <f t="shared" si="93"/>
        <v>46113</v>
      </c>
      <c r="D728" s="7">
        <v>3272</v>
      </c>
      <c r="E728" s="7">
        <v>336</v>
      </c>
      <c r="F728" s="7">
        <v>4</v>
      </c>
      <c r="G728" s="7">
        <v>1</v>
      </c>
      <c r="H728" s="7">
        <v>81588</v>
      </c>
      <c r="I728" s="7" t="s">
        <v>16</v>
      </c>
      <c r="J728" s="7">
        <v>51522851</v>
      </c>
      <c r="K728" s="7" t="s">
        <v>1869</v>
      </c>
      <c r="L728" s="27" t="s">
        <v>1871</v>
      </c>
      <c r="M728" s="9">
        <v>139900</v>
      </c>
      <c r="N728" s="18">
        <f t="shared" si="91"/>
        <v>0.7</v>
      </c>
      <c r="O728" s="32">
        <f t="shared" si="92"/>
        <v>41970</v>
      </c>
      <c r="P728" s="18" t="s">
        <v>19</v>
      </c>
    </row>
    <row r="729" spans="1:16" s="6" customFormat="1" x14ac:dyDescent="0.25">
      <c r="A729" s="25" t="str">
        <f t="shared" si="89"/>
        <v>2025 JAN-JUN D70</v>
      </c>
      <c r="B729" s="8">
        <f t="shared" si="90"/>
        <v>46104</v>
      </c>
      <c r="C729" s="8">
        <f t="shared" si="93"/>
        <v>46113</v>
      </c>
      <c r="D729" s="7">
        <v>3272</v>
      </c>
      <c r="E729" s="7">
        <v>336</v>
      </c>
      <c r="F729" s="7">
        <v>4</v>
      </c>
      <c r="G729" s="7">
        <v>1</v>
      </c>
      <c r="H729" s="7">
        <v>81588</v>
      </c>
      <c r="I729" s="7" t="s">
        <v>16</v>
      </c>
      <c r="J729" s="7">
        <v>51522860</v>
      </c>
      <c r="K729" s="7" t="s">
        <v>1869</v>
      </c>
      <c r="L729" s="27" t="s">
        <v>1872</v>
      </c>
      <c r="M729" s="9">
        <v>139900</v>
      </c>
      <c r="N729" s="18">
        <f t="shared" si="91"/>
        <v>0.7</v>
      </c>
      <c r="O729" s="32">
        <f t="shared" si="92"/>
        <v>41970</v>
      </c>
      <c r="P729" s="18" t="s">
        <v>19</v>
      </c>
    </row>
    <row r="730" spans="1:16" s="6" customFormat="1" x14ac:dyDescent="0.25">
      <c r="A730" s="25" t="str">
        <f t="shared" si="89"/>
        <v>2025 JAN-JUN D70</v>
      </c>
      <c r="B730" s="8">
        <f t="shared" si="90"/>
        <v>46104</v>
      </c>
      <c r="C730" s="8">
        <f t="shared" si="93"/>
        <v>46113</v>
      </c>
      <c r="D730" s="7">
        <v>3272</v>
      </c>
      <c r="E730" s="7">
        <v>336</v>
      </c>
      <c r="F730" s="7">
        <v>4</v>
      </c>
      <c r="G730" s="7">
        <v>1</v>
      </c>
      <c r="H730" s="7">
        <v>81588</v>
      </c>
      <c r="I730" s="7" t="s">
        <v>16</v>
      </c>
      <c r="J730" s="7">
        <v>51522879</v>
      </c>
      <c r="K730" s="7" t="s">
        <v>1869</v>
      </c>
      <c r="L730" s="27" t="s">
        <v>1873</v>
      </c>
      <c r="M730" s="9">
        <v>139900</v>
      </c>
      <c r="N730" s="18">
        <f t="shared" si="91"/>
        <v>0.7</v>
      </c>
      <c r="O730" s="32">
        <f t="shared" si="92"/>
        <v>41970</v>
      </c>
      <c r="P730" s="18" t="s">
        <v>19</v>
      </c>
    </row>
    <row r="731" spans="1:16" s="6" customFormat="1" x14ac:dyDescent="0.25">
      <c r="A731" s="25" t="str">
        <f t="shared" si="89"/>
        <v>2025 JAN-JUN D70</v>
      </c>
      <c r="B731" s="8">
        <f t="shared" si="90"/>
        <v>46104</v>
      </c>
      <c r="C731" s="8">
        <f t="shared" si="93"/>
        <v>46113</v>
      </c>
      <c r="D731" s="7">
        <v>3272</v>
      </c>
      <c r="E731" s="7">
        <v>336</v>
      </c>
      <c r="F731" s="7">
        <v>4</v>
      </c>
      <c r="G731" s="7">
        <v>1</v>
      </c>
      <c r="H731" s="7">
        <v>81588</v>
      </c>
      <c r="I731" s="7" t="s">
        <v>16</v>
      </c>
      <c r="J731" s="7">
        <v>51522888</v>
      </c>
      <c r="K731" s="7" t="s">
        <v>1869</v>
      </c>
      <c r="L731" s="27" t="s">
        <v>1874</v>
      </c>
      <c r="M731" s="9">
        <v>139900</v>
      </c>
      <c r="N731" s="18">
        <f t="shared" si="91"/>
        <v>0.7</v>
      </c>
      <c r="O731" s="32">
        <f t="shared" si="92"/>
        <v>41970</v>
      </c>
      <c r="P731" s="18" t="s">
        <v>19</v>
      </c>
    </row>
    <row r="732" spans="1:16" s="6" customFormat="1" x14ac:dyDescent="0.25">
      <c r="A732" s="25" t="str">
        <f t="shared" si="89"/>
        <v>2025 JAN-JUN D70</v>
      </c>
      <c r="B732" s="8">
        <f t="shared" si="90"/>
        <v>46104</v>
      </c>
      <c r="C732" s="8">
        <f t="shared" si="93"/>
        <v>46113</v>
      </c>
      <c r="D732" s="7">
        <v>3272</v>
      </c>
      <c r="E732" s="7">
        <v>336</v>
      </c>
      <c r="F732" s="7">
        <v>4</v>
      </c>
      <c r="G732" s="7">
        <v>1</v>
      </c>
      <c r="H732" s="7">
        <v>81588</v>
      </c>
      <c r="I732" s="7" t="s">
        <v>16</v>
      </c>
      <c r="J732" s="7">
        <v>51522897</v>
      </c>
      <c r="K732" s="7" t="s">
        <v>1869</v>
      </c>
      <c r="L732" s="27" t="s">
        <v>1875</v>
      </c>
      <c r="M732" s="9">
        <v>139900</v>
      </c>
      <c r="N732" s="18">
        <f t="shared" si="91"/>
        <v>0.7</v>
      </c>
      <c r="O732" s="32">
        <f t="shared" si="92"/>
        <v>41970</v>
      </c>
      <c r="P732" s="18" t="s">
        <v>19</v>
      </c>
    </row>
    <row r="733" spans="1:16" s="6" customFormat="1" x14ac:dyDescent="0.25">
      <c r="A733" s="25" t="str">
        <f t="shared" si="89"/>
        <v>2025 JAN-JUN D70</v>
      </c>
      <c r="B733" s="8">
        <f t="shared" si="90"/>
        <v>46104</v>
      </c>
      <c r="C733" s="8">
        <f t="shared" si="93"/>
        <v>46113</v>
      </c>
      <c r="D733" s="7">
        <v>3272</v>
      </c>
      <c r="E733" s="7">
        <v>336</v>
      </c>
      <c r="F733" s="7">
        <v>4</v>
      </c>
      <c r="G733" s="7">
        <v>1</v>
      </c>
      <c r="H733" s="7">
        <v>81588</v>
      </c>
      <c r="I733" s="7" t="s">
        <v>16</v>
      </c>
      <c r="J733" s="7">
        <v>51522904</v>
      </c>
      <c r="K733" s="7" t="s">
        <v>1869</v>
      </c>
      <c r="L733" s="27" t="s">
        <v>1876</v>
      </c>
      <c r="M733" s="9">
        <v>139900</v>
      </c>
      <c r="N733" s="18">
        <f t="shared" si="91"/>
        <v>0.7</v>
      </c>
      <c r="O733" s="32">
        <f t="shared" si="92"/>
        <v>41970</v>
      </c>
      <c r="P733" s="18" t="s">
        <v>19</v>
      </c>
    </row>
    <row r="734" spans="1:16" s="6" customFormat="1" x14ac:dyDescent="0.25">
      <c r="A734" s="25" t="str">
        <f t="shared" si="89"/>
        <v>2025 JAN-JUN D70</v>
      </c>
      <c r="B734" s="8">
        <f t="shared" si="90"/>
        <v>46104</v>
      </c>
      <c r="C734" s="8">
        <f t="shared" si="93"/>
        <v>46113</v>
      </c>
      <c r="D734" s="7">
        <v>3272</v>
      </c>
      <c r="E734" s="7">
        <v>336</v>
      </c>
      <c r="F734" s="7">
        <v>4</v>
      </c>
      <c r="G734" s="7">
        <v>1</v>
      </c>
      <c r="H734" s="7">
        <v>81588</v>
      </c>
      <c r="I734" s="7" t="s">
        <v>16</v>
      </c>
      <c r="J734" s="7">
        <v>51522913</v>
      </c>
      <c r="K734" s="7" t="s">
        <v>1869</v>
      </c>
      <c r="L734" s="27" t="s">
        <v>1877</v>
      </c>
      <c r="M734" s="9">
        <v>139900</v>
      </c>
      <c r="N734" s="18">
        <f t="shared" si="91"/>
        <v>0.7</v>
      </c>
      <c r="O734" s="32">
        <f t="shared" si="92"/>
        <v>41970</v>
      </c>
      <c r="P734" s="18" t="s">
        <v>19</v>
      </c>
    </row>
    <row r="735" spans="1:16" s="6" customFormat="1" x14ac:dyDescent="0.25">
      <c r="A735" s="25" t="str">
        <f t="shared" si="89"/>
        <v>2025 JAN-JUN D70</v>
      </c>
      <c r="B735" s="8">
        <f t="shared" si="90"/>
        <v>46104</v>
      </c>
      <c r="C735" s="8">
        <f t="shared" si="93"/>
        <v>46113</v>
      </c>
      <c r="D735" s="7">
        <v>3272</v>
      </c>
      <c r="E735" s="7">
        <v>336</v>
      </c>
      <c r="F735" s="7">
        <v>4</v>
      </c>
      <c r="G735" s="7">
        <v>1</v>
      </c>
      <c r="H735" s="7">
        <v>81588</v>
      </c>
      <c r="I735" s="7" t="s">
        <v>16</v>
      </c>
      <c r="J735" s="7">
        <v>51523001</v>
      </c>
      <c r="K735" s="7" t="s">
        <v>1878</v>
      </c>
      <c r="L735" s="27" t="s">
        <v>1879</v>
      </c>
      <c r="M735" s="9">
        <v>149900</v>
      </c>
      <c r="N735" s="18">
        <f t="shared" si="91"/>
        <v>0.7</v>
      </c>
      <c r="O735" s="32">
        <f t="shared" si="92"/>
        <v>44970</v>
      </c>
      <c r="P735" s="18" t="s">
        <v>19</v>
      </c>
    </row>
    <row r="736" spans="1:16" s="6" customFormat="1" x14ac:dyDescent="0.25">
      <c r="A736" s="25" t="str">
        <f t="shared" si="89"/>
        <v>2025 JAN-JUN D70</v>
      </c>
      <c r="B736" s="8">
        <f t="shared" si="90"/>
        <v>46104</v>
      </c>
      <c r="C736" s="8">
        <f t="shared" si="93"/>
        <v>46113</v>
      </c>
      <c r="D736" s="7">
        <v>3272</v>
      </c>
      <c r="E736" s="7">
        <v>336</v>
      </c>
      <c r="F736" s="7">
        <v>4</v>
      </c>
      <c r="G736" s="7">
        <v>1</v>
      </c>
      <c r="H736" s="7">
        <v>81588</v>
      </c>
      <c r="I736" s="7" t="s">
        <v>16</v>
      </c>
      <c r="J736" s="7">
        <v>51523010</v>
      </c>
      <c r="K736" s="7" t="s">
        <v>1878</v>
      </c>
      <c r="L736" s="27" t="s">
        <v>1880</v>
      </c>
      <c r="M736" s="9">
        <v>149900</v>
      </c>
      <c r="N736" s="18">
        <f t="shared" si="91"/>
        <v>0.7</v>
      </c>
      <c r="O736" s="32">
        <f t="shared" si="92"/>
        <v>44970</v>
      </c>
      <c r="P736" s="18" t="s">
        <v>19</v>
      </c>
    </row>
    <row r="737" spans="1:16" s="6" customFormat="1" x14ac:dyDescent="0.25">
      <c r="A737" s="25" t="str">
        <f t="shared" si="89"/>
        <v>2025 JAN-JUN D70</v>
      </c>
      <c r="B737" s="8">
        <f t="shared" si="90"/>
        <v>46104</v>
      </c>
      <c r="C737" s="8">
        <f t="shared" si="93"/>
        <v>46113</v>
      </c>
      <c r="D737" s="7">
        <v>3272</v>
      </c>
      <c r="E737" s="7">
        <v>336</v>
      </c>
      <c r="F737" s="7">
        <v>4</v>
      </c>
      <c r="G737" s="7">
        <v>1</v>
      </c>
      <c r="H737" s="7">
        <v>81588</v>
      </c>
      <c r="I737" s="7" t="s">
        <v>16</v>
      </c>
      <c r="J737" s="7">
        <v>51523029</v>
      </c>
      <c r="K737" s="7" t="s">
        <v>1878</v>
      </c>
      <c r="L737" s="27" t="s">
        <v>1881</v>
      </c>
      <c r="M737" s="9">
        <v>149900</v>
      </c>
      <c r="N737" s="18">
        <f t="shared" si="91"/>
        <v>0.7</v>
      </c>
      <c r="O737" s="32">
        <f t="shared" si="92"/>
        <v>44970</v>
      </c>
      <c r="P737" s="18" t="s">
        <v>19</v>
      </c>
    </row>
    <row r="738" spans="1:16" s="6" customFormat="1" x14ac:dyDescent="0.25">
      <c r="A738" s="25" t="str">
        <f t="shared" si="89"/>
        <v>2025 JAN-JUN D70</v>
      </c>
      <c r="B738" s="8">
        <f t="shared" si="90"/>
        <v>46104</v>
      </c>
      <c r="C738" s="8">
        <f t="shared" si="93"/>
        <v>46113</v>
      </c>
      <c r="D738" s="7">
        <v>3272</v>
      </c>
      <c r="E738" s="7">
        <v>336</v>
      </c>
      <c r="F738" s="7">
        <v>4</v>
      </c>
      <c r="G738" s="7">
        <v>1</v>
      </c>
      <c r="H738" s="7">
        <v>81588</v>
      </c>
      <c r="I738" s="7" t="s">
        <v>16</v>
      </c>
      <c r="J738" s="7">
        <v>51523038</v>
      </c>
      <c r="K738" s="7" t="s">
        <v>1878</v>
      </c>
      <c r="L738" s="27" t="s">
        <v>1882</v>
      </c>
      <c r="M738" s="9">
        <v>149900</v>
      </c>
      <c r="N738" s="18">
        <f t="shared" si="91"/>
        <v>0.7</v>
      </c>
      <c r="O738" s="32">
        <f t="shared" si="92"/>
        <v>44970</v>
      </c>
      <c r="P738" s="18" t="s">
        <v>19</v>
      </c>
    </row>
    <row r="739" spans="1:16" s="6" customFormat="1" x14ac:dyDescent="0.25">
      <c r="A739" s="25" t="str">
        <f t="shared" si="89"/>
        <v>2025 JAN-JUN D70</v>
      </c>
      <c r="B739" s="8">
        <f t="shared" si="90"/>
        <v>46104</v>
      </c>
      <c r="C739" s="8">
        <f t="shared" si="93"/>
        <v>46113</v>
      </c>
      <c r="D739" s="7">
        <v>3272</v>
      </c>
      <c r="E739" s="7">
        <v>336</v>
      </c>
      <c r="F739" s="7">
        <v>4</v>
      </c>
      <c r="G739" s="7">
        <v>1</v>
      </c>
      <c r="H739" s="7">
        <v>81588</v>
      </c>
      <c r="I739" s="7" t="s">
        <v>16</v>
      </c>
      <c r="J739" s="7">
        <v>51523047</v>
      </c>
      <c r="K739" s="7" t="s">
        <v>1878</v>
      </c>
      <c r="L739" s="27" t="s">
        <v>1883</v>
      </c>
      <c r="M739" s="9">
        <v>149900</v>
      </c>
      <c r="N739" s="18">
        <f t="shared" si="91"/>
        <v>0.7</v>
      </c>
      <c r="O739" s="32">
        <f t="shared" si="92"/>
        <v>44970</v>
      </c>
      <c r="P739" s="18" t="s">
        <v>19</v>
      </c>
    </row>
    <row r="740" spans="1:16" s="6" customFormat="1" x14ac:dyDescent="0.25">
      <c r="A740" s="25" t="str">
        <f t="shared" si="89"/>
        <v>2025 JAN-JUN D70</v>
      </c>
      <c r="B740" s="8">
        <f t="shared" si="90"/>
        <v>46104</v>
      </c>
      <c r="C740" s="8">
        <f t="shared" si="93"/>
        <v>46113</v>
      </c>
      <c r="D740" s="7">
        <v>3272</v>
      </c>
      <c r="E740" s="7">
        <v>336</v>
      </c>
      <c r="F740" s="7">
        <v>4</v>
      </c>
      <c r="G740" s="7">
        <v>1</v>
      </c>
      <c r="H740" s="7">
        <v>81588</v>
      </c>
      <c r="I740" s="7" t="s">
        <v>16</v>
      </c>
      <c r="J740" s="7">
        <v>51523056</v>
      </c>
      <c r="K740" s="7" t="s">
        <v>1878</v>
      </c>
      <c r="L740" s="27" t="s">
        <v>1884</v>
      </c>
      <c r="M740" s="9">
        <v>149900</v>
      </c>
      <c r="N740" s="18">
        <f t="shared" si="91"/>
        <v>0.7</v>
      </c>
      <c r="O740" s="32">
        <f t="shared" si="92"/>
        <v>44970</v>
      </c>
      <c r="P740" s="18" t="s">
        <v>19</v>
      </c>
    </row>
    <row r="741" spans="1:16" s="6" customFormat="1" x14ac:dyDescent="0.25">
      <c r="A741" s="25" t="str">
        <f t="shared" si="89"/>
        <v>2025 JAN-JUN D70</v>
      </c>
      <c r="B741" s="8">
        <f t="shared" si="90"/>
        <v>46104</v>
      </c>
      <c r="C741" s="8">
        <f t="shared" si="93"/>
        <v>46113</v>
      </c>
      <c r="D741" s="7">
        <v>3272</v>
      </c>
      <c r="E741" s="7">
        <v>336</v>
      </c>
      <c r="F741" s="7">
        <v>4</v>
      </c>
      <c r="G741" s="7">
        <v>1</v>
      </c>
      <c r="H741" s="7">
        <v>81588</v>
      </c>
      <c r="I741" s="7" t="s">
        <v>16</v>
      </c>
      <c r="J741" s="7">
        <v>51523065</v>
      </c>
      <c r="K741" s="7" t="s">
        <v>1878</v>
      </c>
      <c r="L741" s="27" t="s">
        <v>1885</v>
      </c>
      <c r="M741" s="9">
        <v>149900</v>
      </c>
      <c r="N741" s="18">
        <f t="shared" si="91"/>
        <v>0.7</v>
      </c>
      <c r="O741" s="32">
        <f t="shared" si="92"/>
        <v>44970</v>
      </c>
      <c r="P741" s="18" t="s">
        <v>19</v>
      </c>
    </row>
    <row r="742" spans="1:16" s="6" customFormat="1" x14ac:dyDescent="0.25">
      <c r="A742" s="25" t="str">
        <f t="shared" si="89"/>
        <v>2025 JAN-JUN D70</v>
      </c>
      <c r="B742" s="8">
        <f t="shared" si="90"/>
        <v>46104</v>
      </c>
      <c r="C742" s="8">
        <f t="shared" si="93"/>
        <v>46113</v>
      </c>
      <c r="D742" s="7">
        <v>3272</v>
      </c>
      <c r="E742" s="7">
        <v>336</v>
      </c>
      <c r="F742" s="7">
        <v>4</v>
      </c>
      <c r="G742" s="7">
        <v>1</v>
      </c>
      <c r="H742" s="7">
        <v>81588</v>
      </c>
      <c r="I742" s="7" t="s">
        <v>16</v>
      </c>
      <c r="J742" s="7">
        <v>51523074</v>
      </c>
      <c r="K742" s="7" t="s">
        <v>1878</v>
      </c>
      <c r="L742" s="27" t="s">
        <v>1886</v>
      </c>
      <c r="M742" s="9">
        <v>149900</v>
      </c>
      <c r="N742" s="18">
        <f t="shared" si="91"/>
        <v>0.7</v>
      </c>
      <c r="O742" s="32">
        <f t="shared" si="92"/>
        <v>44970</v>
      </c>
      <c r="P742" s="18" t="s">
        <v>19</v>
      </c>
    </row>
    <row r="743" spans="1:16" s="6" customFormat="1" x14ac:dyDescent="0.25">
      <c r="A743" s="25" t="str">
        <f t="shared" si="89"/>
        <v>2025 JAN-JUN D70</v>
      </c>
      <c r="B743" s="8">
        <f t="shared" si="90"/>
        <v>46104</v>
      </c>
      <c r="C743" s="8">
        <f t="shared" si="93"/>
        <v>46113</v>
      </c>
      <c r="D743" s="7">
        <v>3272</v>
      </c>
      <c r="E743" s="7">
        <v>336</v>
      </c>
      <c r="F743" s="7">
        <v>4</v>
      </c>
      <c r="G743" s="7">
        <v>1</v>
      </c>
      <c r="H743" s="7">
        <v>81588</v>
      </c>
      <c r="I743" s="7" t="s">
        <v>16</v>
      </c>
      <c r="J743" s="7">
        <v>51523467</v>
      </c>
      <c r="K743" s="7" t="s">
        <v>1887</v>
      </c>
      <c r="L743" s="27" t="s">
        <v>1888</v>
      </c>
      <c r="M743" s="9">
        <v>149900</v>
      </c>
      <c r="N743" s="18">
        <f t="shared" si="91"/>
        <v>0.7</v>
      </c>
      <c r="O743" s="32">
        <f t="shared" si="92"/>
        <v>44970</v>
      </c>
      <c r="P743" s="18" t="s">
        <v>19</v>
      </c>
    </row>
    <row r="744" spans="1:16" s="6" customFormat="1" x14ac:dyDescent="0.25">
      <c r="A744" s="25" t="str">
        <f t="shared" si="89"/>
        <v>2025 JAN-JUN D70</v>
      </c>
      <c r="B744" s="8">
        <f t="shared" si="90"/>
        <v>46104</v>
      </c>
      <c r="C744" s="8">
        <f t="shared" si="93"/>
        <v>46113</v>
      </c>
      <c r="D744" s="7">
        <v>3272</v>
      </c>
      <c r="E744" s="7">
        <v>336</v>
      </c>
      <c r="F744" s="7">
        <v>4</v>
      </c>
      <c r="G744" s="7">
        <v>1</v>
      </c>
      <c r="H744" s="7">
        <v>81588</v>
      </c>
      <c r="I744" s="7" t="s">
        <v>16</v>
      </c>
      <c r="J744" s="7">
        <v>51523476</v>
      </c>
      <c r="K744" s="7" t="s">
        <v>1887</v>
      </c>
      <c r="L744" s="27" t="s">
        <v>1889</v>
      </c>
      <c r="M744" s="9">
        <v>149900</v>
      </c>
      <c r="N744" s="18">
        <f t="shared" si="91"/>
        <v>0.7</v>
      </c>
      <c r="O744" s="32">
        <f t="shared" si="92"/>
        <v>44970</v>
      </c>
      <c r="P744" s="18" t="s">
        <v>19</v>
      </c>
    </row>
    <row r="745" spans="1:16" s="6" customFormat="1" x14ac:dyDescent="0.25">
      <c r="A745" s="25" t="str">
        <f t="shared" si="89"/>
        <v>2025 JAN-JUN D70</v>
      </c>
      <c r="B745" s="8">
        <f t="shared" si="90"/>
        <v>46104</v>
      </c>
      <c r="C745" s="8">
        <f t="shared" si="93"/>
        <v>46113</v>
      </c>
      <c r="D745" s="7">
        <v>3272</v>
      </c>
      <c r="E745" s="7">
        <v>336</v>
      </c>
      <c r="F745" s="7">
        <v>4</v>
      </c>
      <c r="G745" s="7">
        <v>1</v>
      </c>
      <c r="H745" s="7">
        <v>81588</v>
      </c>
      <c r="I745" s="7" t="s">
        <v>16</v>
      </c>
      <c r="J745" s="7">
        <v>51523485</v>
      </c>
      <c r="K745" s="7" t="s">
        <v>1887</v>
      </c>
      <c r="L745" s="27" t="s">
        <v>1890</v>
      </c>
      <c r="M745" s="9">
        <v>149900</v>
      </c>
      <c r="N745" s="18">
        <f t="shared" si="91"/>
        <v>0.7</v>
      </c>
      <c r="O745" s="32">
        <f t="shared" si="92"/>
        <v>44970</v>
      </c>
      <c r="P745" s="18" t="s">
        <v>19</v>
      </c>
    </row>
    <row r="746" spans="1:16" s="6" customFormat="1" x14ac:dyDescent="0.25">
      <c r="A746" s="25" t="str">
        <f t="shared" si="89"/>
        <v>2025 JAN-JUN D70</v>
      </c>
      <c r="B746" s="8">
        <f t="shared" si="90"/>
        <v>46104</v>
      </c>
      <c r="C746" s="8">
        <f t="shared" si="93"/>
        <v>46113</v>
      </c>
      <c r="D746" s="7">
        <v>3272</v>
      </c>
      <c r="E746" s="7">
        <v>336</v>
      </c>
      <c r="F746" s="7">
        <v>4</v>
      </c>
      <c r="G746" s="7">
        <v>1</v>
      </c>
      <c r="H746" s="7">
        <v>81588</v>
      </c>
      <c r="I746" s="7" t="s">
        <v>16</v>
      </c>
      <c r="J746" s="7">
        <v>51523494</v>
      </c>
      <c r="K746" s="7" t="s">
        <v>1887</v>
      </c>
      <c r="L746" s="27" t="s">
        <v>1891</v>
      </c>
      <c r="M746" s="9">
        <v>149900</v>
      </c>
      <c r="N746" s="18">
        <f t="shared" si="91"/>
        <v>0.7</v>
      </c>
      <c r="O746" s="32">
        <f t="shared" si="92"/>
        <v>44970</v>
      </c>
      <c r="P746" s="18" t="s">
        <v>19</v>
      </c>
    </row>
    <row r="747" spans="1:16" s="6" customFormat="1" x14ac:dyDescent="0.25">
      <c r="A747" s="25" t="str">
        <f t="shared" si="89"/>
        <v>2025 JAN-JUN D70</v>
      </c>
      <c r="B747" s="8">
        <f t="shared" si="90"/>
        <v>46104</v>
      </c>
      <c r="C747" s="8">
        <f t="shared" si="93"/>
        <v>46113</v>
      </c>
      <c r="D747" s="7">
        <v>3272</v>
      </c>
      <c r="E747" s="7">
        <v>336</v>
      </c>
      <c r="F747" s="7">
        <v>4</v>
      </c>
      <c r="G747" s="11">
        <v>1</v>
      </c>
      <c r="H747" s="11">
        <v>81588</v>
      </c>
      <c r="I747" s="7" t="s">
        <v>16</v>
      </c>
      <c r="J747" s="11">
        <v>51523501</v>
      </c>
      <c r="K747" s="11" t="s">
        <v>1887</v>
      </c>
      <c r="L747" s="27" t="s">
        <v>1892</v>
      </c>
      <c r="M747" s="9">
        <v>149900</v>
      </c>
      <c r="N747" s="18">
        <f t="shared" si="91"/>
        <v>0.7</v>
      </c>
      <c r="O747" s="32">
        <f t="shared" si="92"/>
        <v>44970</v>
      </c>
      <c r="P747" s="18" t="s">
        <v>19</v>
      </c>
    </row>
    <row r="748" spans="1:16" s="6" customFormat="1" x14ac:dyDescent="0.25">
      <c r="A748" s="25" t="str">
        <f t="shared" si="89"/>
        <v>2025 JAN-JUN D70</v>
      </c>
      <c r="B748" s="8">
        <f t="shared" si="90"/>
        <v>46104</v>
      </c>
      <c r="C748" s="8">
        <f t="shared" si="93"/>
        <v>46113</v>
      </c>
      <c r="D748" s="7">
        <v>3272</v>
      </c>
      <c r="E748" s="7">
        <v>336</v>
      </c>
      <c r="F748" s="7">
        <v>4</v>
      </c>
      <c r="G748" s="11">
        <v>1</v>
      </c>
      <c r="H748" s="11">
        <v>81588</v>
      </c>
      <c r="I748" s="7" t="s">
        <v>16</v>
      </c>
      <c r="J748" s="11">
        <v>51523510</v>
      </c>
      <c r="K748" s="11" t="s">
        <v>1887</v>
      </c>
      <c r="L748" s="27" t="s">
        <v>1893</v>
      </c>
      <c r="M748" s="9">
        <v>149900</v>
      </c>
      <c r="N748" s="18">
        <f t="shared" si="91"/>
        <v>0.7</v>
      </c>
      <c r="O748" s="32">
        <f t="shared" si="92"/>
        <v>44970</v>
      </c>
      <c r="P748" s="18" t="s">
        <v>19</v>
      </c>
    </row>
    <row r="749" spans="1:16" s="6" customFormat="1" x14ac:dyDescent="0.25">
      <c r="A749" s="25" t="str">
        <f t="shared" si="89"/>
        <v>2025 JAN-JUN D70</v>
      </c>
      <c r="B749" s="8">
        <f t="shared" si="90"/>
        <v>46104</v>
      </c>
      <c r="C749" s="8">
        <f t="shared" si="93"/>
        <v>46113</v>
      </c>
      <c r="D749" s="7">
        <v>3272</v>
      </c>
      <c r="E749" s="7">
        <v>336</v>
      </c>
      <c r="F749" s="7">
        <v>4</v>
      </c>
      <c r="G749" s="11">
        <v>1</v>
      </c>
      <c r="H749" s="11">
        <v>81588</v>
      </c>
      <c r="I749" s="7" t="s">
        <v>16</v>
      </c>
      <c r="J749" s="11">
        <v>51523529</v>
      </c>
      <c r="K749" s="11" t="s">
        <v>1887</v>
      </c>
      <c r="L749" s="27" t="s">
        <v>1894</v>
      </c>
      <c r="M749" s="9">
        <v>149900</v>
      </c>
      <c r="N749" s="18">
        <f t="shared" si="91"/>
        <v>0.7</v>
      </c>
      <c r="O749" s="32">
        <f t="shared" si="92"/>
        <v>44970</v>
      </c>
      <c r="P749" s="18" t="s">
        <v>19</v>
      </c>
    </row>
    <row r="750" spans="1:16" s="6" customFormat="1" x14ac:dyDescent="0.25">
      <c r="A750" s="25" t="str">
        <f t="shared" si="89"/>
        <v>2025 JAN-JUN D70</v>
      </c>
      <c r="B750" s="8">
        <f t="shared" si="90"/>
        <v>46104</v>
      </c>
      <c r="C750" s="8">
        <f t="shared" ref="C750:C781" si="94">C749</f>
        <v>46113</v>
      </c>
      <c r="D750" s="7">
        <v>3272</v>
      </c>
      <c r="E750" s="7">
        <v>336</v>
      </c>
      <c r="F750" s="7">
        <v>4</v>
      </c>
      <c r="G750" s="11">
        <v>1</v>
      </c>
      <c r="H750" s="11">
        <v>81588</v>
      </c>
      <c r="I750" s="7" t="s">
        <v>16</v>
      </c>
      <c r="J750" s="11">
        <v>51523538</v>
      </c>
      <c r="K750" s="11" t="s">
        <v>1887</v>
      </c>
      <c r="L750" s="27" t="s">
        <v>1895</v>
      </c>
      <c r="M750" s="9">
        <v>149900</v>
      </c>
      <c r="N750" s="18">
        <f t="shared" si="91"/>
        <v>0.7</v>
      </c>
      <c r="O750" s="32">
        <f t="shared" si="92"/>
        <v>44970</v>
      </c>
      <c r="P750" s="18" t="s">
        <v>19</v>
      </c>
    </row>
    <row r="751" spans="1:16" s="6" customFormat="1" x14ac:dyDescent="0.25">
      <c r="A751" s="25" t="str">
        <f t="shared" si="89"/>
        <v>2025 JAN-JUN D70</v>
      </c>
      <c r="B751" s="8">
        <f t="shared" si="90"/>
        <v>46104</v>
      </c>
      <c r="C751" s="8">
        <f t="shared" si="94"/>
        <v>46113</v>
      </c>
      <c r="D751" s="7">
        <v>3272</v>
      </c>
      <c r="E751" s="7">
        <v>336</v>
      </c>
      <c r="F751" s="7">
        <v>4</v>
      </c>
      <c r="G751" s="11">
        <v>1</v>
      </c>
      <c r="H751" s="11">
        <v>81588</v>
      </c>
      <c r="I751" s="7" t="s">
        <v>16</v>
      </c>
      <c r="J751" s="11">
        <v>51523869</v>
      </c>
      <c r="K751" s="11" t="s">
        <v>1896</v>
      </c>
      <c r="L751" s="27" t="s">
        <v>1897</v>
      </c>
      <c r="M751" s="9">
        <v>139900</v>
      </c>
      <c r="N751" s="18">
        <f t="shared" si="91"/>
        <v>0.7</v>
      </c>
      <c r="O751" s="32">
        <f t="shared" si="92"/>
        <v>41970</v>
      </c>
      <c r="P751" s="18" t="s">
        <v>19</v>
      </c>
    </row>
    <row r="752" spans="1:16" s="6" customFormat="1" x14ac:dyDescent="0.25">
      <c r="A752" s="25" t="str">
        <f t="shared" si="89"/>
        <v>2025 JAN-JUN D70</v>
      </c>
      <c r="B752" s="8">
        <f t="shared" si="90"/>
        <v>46104</v>
      </c>
      <c r="C752" s="8">
        <f t="shared" si="94"/>
        <v>46113</v>
      </c>
      <c r="D752" s="7">
        <v>3272</v>
      </c>
      <c r="E752" s="7">
        <v>336</v>
      </c>
      <c r="F752" s="7">
        <v>4</v>
      </c>
      <c r="G752" s="11">
        <v>1</v>
      </c>
      <c r="H752" s="11">
        <v>81588</v>
      </c>
      <c r="I752" s="7" t="s">
        <v>16</v>
      </c>
      <c r="J752" s="11">
        <v>51523878</v>
      </c>
      <c r="K752" s="11" t="s">
        <v>1896</v>
      </c>
      <c r="L752" s="27" t="s">
        <v>1898</v>
      </c>
      <c r="M752" s="9">
        <v>139900</v>
      </c>
      <c r="N752" s="18">
        <f t="shared" si="91"/>
        <v>0.7</v>
      </c>
      <c r="O752" s="32">
        <f t="shared" si="92"/>
        <v>41970</v>
      </c>
      <c r="P752" s="18" t="s">
        <v>19</v>
      </c>
    </row>
    <row r="753" spans="1:16" s="6" customFormat="1" x14ac:dyDescent="0.25">
      <c r="A753" s="25" t="str">
        <f t="shared" si="89"/>
        <v>2025 JAN-JUN D70</v>
      </c>
      <c r="B753" s="8">
        <f t="shared" si="90"/>
        <v>46104</v>
      </c>
      <c r="C753" s="8">
        <f t="shared" si="94"/>
        <v>46113</v>
      </c>
      <c r="D753" s="7">
        <v>3272</v>
      </c>
      <c r="E753" s="7">
        <v>336</v>
      </c>
      <c r="F753" s="7">
        <v>4</v>
      </c>
      <c r="G753" s="11">
        <v>1</v>
      </c>
      <c r="H753" s="11">
        <v>81588</v>
      </c>
      <c r="I753" s="7" t="s">
        <v>16</v>
      </c>
      <c r="J753" s="11">
        <v>51523887</v>
      </c>
      <c r="K753" s="11" t="s">
        <v>1896</v>
      </c>
      <c r="L753" s="27" t="s">
        <v>1899</v>
      </c>
      <c r="M753" s="9">
        <v>139900</v>
      </c>
      <c r="N753" s="18">
        <f t="shared" si="91"/>
        <v>0.7</v>
      </c>
      <c r="O753" s="32">
        <f t="shared" si="92"/>
        <v>41970</v>
      </c>
      <c r="P753" s="18" t="s">
        <v>19</v>
      </c>
    </row>
    <row r="754" spans="1:16" s="6" customFormat="1" x14ac:dyDescent="0.25">
      <c r="A754" s="25" t="str">
        <f t="shared" si="89"/>
        <v>2025 JAN-JUN D70</v>
      </c>
      <c r="B754" s="8">
        <f t="shared" si="90"/>
        <v>46104</v>
      </c>
      <c r="C754" s="8">
        <f t="shared" si="94"/>
        <v>46113</v>
      </c>
      <c r="D754" s="7">
        <v>3272</v>
      </c>
      <c r="E754" s="7">
        <v>336</v>
      </c>
      <c r="F754" s="7">
        <v>4</v>
      </c>
      <c r="G754" s="11">
        <v>1</v>
      </c>
      <c r="H754" s="11">
        <v>81588</v>
      </c>
      <c r="I754" s="7" t="s">
        <v>16</v>
      </c>
      <c r="J754" s="11">
        <v>51523896</v>
      </c>
      <c r="K754" s="11" t="s">
        <v>1896</v>
      </c>
      <c r="L754" s="27" t="s">
        <v>1900</v>
      </c>
      <c r="M754" s="9">
        <v>139900</v>
      </c>
      <c r="N754" s="18">
        <f t="shared" si="91"/>
        <v>0.7</v>
      </c>
      <c r="O754" s="32">
        <f t="shared" si="92"/>
        <v>41970</v>
      </c>
      <c r="P754" s="18" t="s">
        <v>19</v>
      </c>
    </row>
    <row r="755" spans="1:16" s="6" customFormat="1" x14ac:dyDescent="0.25">
      <c r="A755" s="25" t="str">
        <f t="shared" si="89"/>
        <v>2025 JAN-JUN D70</v>
      </c>
      <c r="B755" s="8">
        <f t="shared" si="90"/>
        <v>46104</v>
      </c>
      <c r="C755" s="8">
        <f t="shared" si="94"/>
        <v>46113</v>
      </c>
      <c r="D755" s="7">
        <v>3272</v>
      </c>
      <c r="E755" s="7">
        <v>336</v>
      </c>
      <c r="F755" s="7">
        <v>4</v>
      </c>
      <c r="G755" s="11">
        <v>1</v>
      </c>
      <c r="H755" s="11">
        <v>81588</v>
      </c>
      <c r="I755" s="7" t="s">
        <v>16</v>
      </c>
      <c r="J755" s="11">
        <v>51523903</v>
      </c>
      <c r="K755" s="11" t="s">
        <v>1896</v>
      </c>
      <c r="L755" s="27" t="s">
        <v>1901</v>
      </c>
      <c r="M755" s="9">
        <v>139900</v>
      </c>
      <c r="N755" s="18">
        <f t="shared" si="91"/>
        <v>0.7</v>
      </c>
      <c r="O755" s="32">
        <f t="shared" si="92"/>
        <v>41970</v>
      </c>
      <c r="P755" s="18" t="s">
        <v>19</v>
      </c>
    </row>
    <row r="756" spans="1:16" s="6" customFormat="1" x14ac:dyDescent="0.25">
      <c r="A756" s="25" t="str">
        <f t="shared" si="89"/>
        <v>2025 JAN-JUN D70</v>
      </c>
      <c r="B756" s="8">
        <f t="shared" si="90"/>
        <v>46104</v>
      </c>
      <c r="C756" s="8">
        <f t="shared" si="94"/>
        <v>46113</v>
      </c>
      <c r="D756" s="7">
        <v>3272</v>
      </c>
      <c r="E756" s="7">
        <v>336</v>
      </c>
      <c r="F756" s="7">
        <v>4</v>
      </c>
      <c r="G756" s="11">
        <v>1</v>
      </c>
      <c r="H756" s="11">
        <v>81588</v>
      </c>
      <c r="I756" s="7" t="s">
        <v>16</v>
      </c>
      <c r="J756" s="11">
        <v>51523912</v>
      </c>
      <c r="K756" s="11" t="s">
        <v>1896</v>
      </c>
      <c r="L756" s="27" t="s">
        <v>1902</v>
      </c>
      <c r="M756" s="9">
        <v>139900</v>
      </c>
      <c r="N756" s="18">
        <f t="shared" si="91"/>
        <v>0.7</v>
      </c>
      <c r="O756" s="32">
        <f t="shared" si="92"/>
        <v>41970</v>
      </c>
      <c r="P756" s="18" t="s">
        <v>19</v>
      </c>
    </row>
    <row r="757" spans="1:16" s="6" customFormat="1" x14ac:dyDescent="0.25">
      <c r="A757" s="25" t="str">
        <f t="shared" si="89"/>
        <v>2025 JAN-JUN D70</v>
      </c>
      <c r="B757" s="8">
        <f t="shared" si="90"/>
        <v>46104</v>
      </c>
      <c r="C757" s="8">
        <f t="shared" si="94"/>
        <v>46113</v>
      </c>
      <c r="D757" s="7">
        <v>3272</v>
      </c>
      <c r="E757" s="7">
        <v>336</v>
      </c>
      <c r="F757" s="7">
        <v>4</v>
      </c>
      <c r="G757" s="11">
        <v>1</v>
      </c>
      <c r="H757" s="11">
        <v>81588</v>
      </c>
      <c r="I757" s="7" t="s">
        <v>16</v>
      </c>
      <c r="J757" s="11">
        <v>51523921</v>
      </c>
      <c r="K757" s="11" t="s">
        <v>1896</v>
      </c>
      <c r="L757" s="27" t="s">
        <v>1903</v>
      </c>
      <c r="M757" s="9">
        <v>139900</v>
      </c>
      <c r="N757" s="18">
        <f t="shared" si="91"/>
        <v>0.7</v>
      </c>
      <c r="O757" s="32">
        <f t="shared" si="92"/>
        <v>41970</v>
      </c>
      <c r="P757" s="18" t="s">
        <v>19</v>
      </c>
    </row>
    <row r="758" spans="1:16" s="6" customFormat="1" x14ac:dyDescent="0.25">
      <c r="A758" s="25" t="str">
        <f t="shared" si="89"/>
        <v>2025 JAN-JUN D70</v>
      </c>
      <c r="B758" s="8">
        <f t="shared" si="90"/>
        <v>46104</v>
      </c>
      <c r="C758" s="8">
        <f t="shared" si="94"/>
        <v>46113</v>
      </c>
      <c r="D758" s="7">
        <v>3272</v>
      </c>
      <c r="E758" s="7">
        <v>336</v>
      </c>
      <c r="F758" s="7">
        <v>4</v>
      </c>
      <c r="G758" s="11">
        <v>1</v>
      </c>
      <c r="H758" s="11">
        <v>81588</v>
      </c>
      <c r="I758" s="7" t="s">
        <v>16</v>
      </c>
      <c r="J758" s="11">
        <v>51523930</v>
      </c>
      <c r="K758" s="11" t="s">
        <v>1896</v>
      </c>
      <c r="L758" s="27" t="s">
        <v>1904</v>
      </c>
      <c r="M758" s="9">
        <v>139900</v>
      </c>
      <c r="N758" s="18">
        <f t="shared" si="91"/>
        <v>0.7</v>
      </c>
      <c r="O758" s="32">
        <f t="shared" si="92"/>
        <v>41970</v>
      </c>
      <c r="P758" s="18" t="s">
        <v>19</v>
      </c>
    </row>
    <row r="759" spans="1:16" s="6" customFormat="1" x14ac:dyDescent="0.25">
      <c r="A759" s="25" t="str">
        <f t="shared" si="89"/>
        <v>2025 JAN-JUN D70</v>
      </c>
      <c r="B759" s="8">
        <f t="shared" si="90"/>
        <v>46104</v>
      </c>
      <c r="C759" s="8">
        <f t="shared" si="94"/>
        <v>46113</v>
      </c>
      <c r="D759" s="7">
        <v>3272</v>
      </c>
      <c r="E759" s="7">
        <v>336</v>
      </c>
      <c r="F759" s="7">
        <v>4</v>
      </c>
      <c r="G759" s="11">
        <v>1</v>
      </c>
      <c r="H759" s="11">
        <v>81676</v>
      </c>
      <c r="I759" s="7" t="s">
        <v>16</v>
      </c>
      <c r="J759" s="11">
        <v>51503890</v>
      </c>
      <c r="K759" s="11" t="s">
        <v>1905</v>
      </c>
      <c r="L759" s="27" t="s">
        <v>1906</v>
      </c>
      <c r="M759" s="9">
        <v>139900</v>
      </c>
      <c r="N759" s="18">
        <f t="shared" si="91"/>
        <v>0.7</v>
      </c>
      <c r="O759" s="32">
        <f t="shared" si="92"/>
        <v>41970</v>
      </c>
      <c r="P759" s="18" t="s">
        <v>19</v>
      </c>
    </row>
    <row r="760" spans="1:16" s="6" customFormat="1" x14ac:dyDescent="0.25">
      <c r="A760" s="25" t="str">
        <f t="shared" si="89"/>
        <v>2025 JAN-JUN D70</v>
      </c>
      <c r="B760" s="8">
        <f t="shared" si="90"/>
        <v>46104</v>
      </c>
      <c r="C760" s="8">
        <f t="shared" si="94"/>
        <v>46113</v>
      </c>
      <c r="D760" s="7">
        <v>3272</v>
      </c>
      <c r="E760" s="7">
        <v>336</v>
      </c>
      <c r="F760" s="7">
        <v>4</v>
      </c>
      <c r="G760" s="11">
        <v>1</v>
      </c>
      <c r="H760" s="11">
        <v>81676</v>
      </c>
      <c r="I760" s="7" t="s">
        <v>16</v>
      </c>
      <c r="J760" s="11">
        <v>51503907</v>
      </c>
      <c r="K760" s="11" t="s">
        <v>1905</v>
      </c>
      <c r="L760" s="27" t="s">
        <v>1907</v>
      </c>
      <c r="M760" s="9">
        <v>139900</v>
      </c>
      <c r="N760" s="18">
        <f t="shared" si="91"/>
        <v>0.7</v>
      </c>
      <c r="O760" s="32">
        <f t="shared" si="92"/>
        <v>41970</v>
      </c>
      <c r="P760" s="18" t="s">
        <v>19</v>
      </c>
    </row>
    <row r="761" spans="1:16" s="6" customFormat="1" x14ac:dyDescent="0.25">
      <c r="A761" s="25" t="str">
        <f t="shared" si="89"/>
        <v>2025 JAN-JUN D70</v>
      </c>
      <c r="B761" s="8">
        <f t="shared" si="90"/>
        <v>46104</v>
      </c>
      <c r="C761" s="8">
        <f t="shared" si="94"/>
        <v>46113</v>
      </c>
      <c r="D761" s="7">
        <v>3272</v>
      </c>
      <c r="E761" s="7">
        <v>336</v>
      </c>
      <c r="F761" s="7">
        <v>4</v>
      </c>
      <c r="G761" s="11">
        <v>1</v>
      </c>
      <c r="H761" s="11">
        <v>81676</v>
      </c>
      <c r="I761" s="7" t="s">
        <v>16</v>
      </c>
      <c r="J761" s="11">
        <v>51503916</v>
      </c>
      <c r="K761" s="11" t="s">
        <v>1905</v>
      </c>
      <c r="L761" s="27" t="s">
        <v>1908</v>
      </c>
      <c r="M761" s="9">
        <v>139900</v>
      </c>
      <c r="N761" s="18">
        <f t="shared" si="91"/>
        <v>0.7</v>
      </c>
      <c r="O761" s="32">
        <f t="shared" si="92"/>
        <v>41970</v>
      </c>
      <c r="P761" s="18" t="s">
        <v>19</v>
      </c>
    </row>
    <row r="762" spans="1:16" s="6" customFormat="1" x14ac:dyDescent="0.25">
      <c r="A762" s="25" t="str">
        <f t="shared" si="89"/>
        <v>2025 JAN-JUN D70</v>
      </c>
      <c r="B762" s="8">
        <f t="shared" si="90"/>
        <v>46104</v>
      </c>
      <c r="C762" s="8">
        <f t="shared" si="94"/>
        <v>46113</v>
      </c>
      <c r="D762" s="7">
        <v>3272</v>
      </c>
      <c r="E762" s="7">
        <v>336</v>
      </c>
      <c r="F762" s="7">
        <v>4</v>
      </c>
      <c r="G762" s="11">
        <v>1</v>
      </c>
      <c r="H762" s="11">
        <v>81676</v>
      </c>
      <c r="I762" s="7" t="s">
        <v>16</v>
      </c>
      <c r="J762" s="11">
        <v>51503925</v>
      </c>
      <c r="K762" s="11" t="s">
        <v>1905</v>
      </c>
      <c r="L762" s="27" t="s">
        <v>1909</v>
      </c>
      <c r="M762" s="9">
        <v>139900</v>
      </c>
      <c r="N762" s="18">
        <f t="shared" si="91"/>
        <v>0.7</v>
      </c>
      <c r="O762" s="32">
        <f t="shared" si="92"/>
        <v>41970</v>
      </c>
      <c r="P762" s="18" t="s">
        <v>19</v>
      </c>
    </row>
    <row r="763" spans="1:16" s="6" customFormat="1" x14ac:dyDescent="0.25">
      <c r="A763" s="25" t="str">
        <f t="shared" si="89"/>
        <v>2025 JAN-JUN D70</v>
      </c>
      <c r="B763" s="8">
        <f t="shared" si="90"/>
        <v>46104</v>
      </c>
      <c r="C763" s="8">
        <f t="shared" si="94"/>
        <v>46113</v>
      </c>
      <c r="D763" s="7">
        <v>3272</v>
      </c>
      <c r="E763" s="7">
        <v>336</v>
      </c>
      <c r="F763" s="7">
        <v>4</v>
      </c>
      <c r="G763" s="11">
        <v>1</v>
      </c>
      <c r="H763" s="11">
        <v>81676</v>
      </c>
      <c r="I763" s="7" t="s">
        <v>16</v>
      </c>
      <c r="J763" s="11">
        <v>51503934</v>
      </c>
      <c r="K763" s="11" t="s">
        <v>1905</v>
      </c>
      <c r="L763" s="27" t="s">
        <v>1910</v>
      </c>
      <c r="M763" s="9">
        <v>139900</v>
      </c>
      <c r="N763" s="18">
        <f t="shared" si="91"/>
        <v>0.7</v>
      </c>
      <c r="O763" s="32">
        <f t="shared" si="92"/>
        <v>41970</v>
      </c>
      <c r="P763" s="18" t="s">
        <v>19</v>
      </c>
    </row>
    <row r="764" spans="1:16" s="6" customFormat="1" x14ac:dyDescent="0.25">
      <c r="A764" s="25" t="str">
        <f t="shared" si="89"/>
        <v>2025 JAN-JUN D70</v>
      </c>
      <c r="B764" s="8">
        <f t="shared" si="90"/>
        <v>46104</v>
      </c>
      <c r="C764" s="8">
        <f t="shared" si="94"/>
        <v>46113</v>
      </c>
      <c r="D764" s="7">
        <v>3272</v>
      </c>
      <c r="E764" s="7">
        <v>336</v>
      </c>
      <c r="F764" s="7">
        <v>4</v>
      </c>
      <c r="G764" s="11">
        <v>1</v>
      </c>
      <c r="H764" s="11">
        <v>81676</v>
      </c>
      <c r="I764" s="7" t="s">
        <v>16</v>
      </c>
      <c r="J764" s="11">
        <v>51503998</v>
      </c>
      <c r="K764" s="11" t="s">
        <v>1911</v>
      </c>
      <c r="L764" s="27" t="s">
        <v>1912</v>
      </c>
      <c r="M764" s="9">
        <v>149900</v>
      </c>
      <c r="N764" s="18">
        <f t="shared" si="91"/>
        <v>0.7</v>
      </c>
      <c r="O764" s="32">
        <f t="shared" si="92"/>
        <v>44970</v>
      </c>
      <c r="P764" s="18" t="s">
        <v>19</v>
      </c>
    </row>
    <row r="765" spans="1:16" s="6" customFormat="1" x14ac:dyDescent="0.25">
      <c r="A765" s="25" t="str">
        <f t="shared" si="89"/>
        <v>2025 JAN-JUN D70</v>
      </c>
      <c r="B765" s="8">
        <f t="shared" si="90"/>
        <v>46104</v>
      </c>
      <c r="C765" s="8">
        <f t="shared" si="94"/>
        <v>46113</v>
      </c>
      <c r="D765" s="7">
        <v>3272</v>
      </c>
      <c r="E765" s="7">
        <v>336</v>
      </c>
      <c r="F765" s="7">
        <v>4</v>
      </c>
      <c r="G765" s="11">
        <v>1</v>
      </c>
      <c r="H765" s="11">
        <v>81676</v>
      </c>
      <c r="I765" s="7" t="s">
        <v>16</v>
      </c>
      <c r="J765" s="11">
        <v>51504004</v>
      </c>
      <c r="K765" s="11" t="s">
        <v>1911</v>
      </c>
      <c r="L765" s="27" t="s">
        <v>1913</v>
      </c>
      <c r="M765" s="9">
        <v>149900</v>
      </c>
      <c r="N765" s="18">
        <f t="shared" si="91"/>
        <v>0.7</v>
      </c>
      <c r="O765" s="32">
        <f t="shared" si="92"/>
        <v>44970</v>
      </c>
      <c r="P765" s="18" t="s">
        <v>19</v>
      </c>
    </row>
    <row r="766" spans="1:16" s="6" customFormat="1" x14ac:dyDescent="0.25">
      <c r="A766" s="25" t="str">
        <f t="shared" si="89"/>
        <v>2025 JAN-JUN D70</v>
      </c>
      <c r="B766" s="8">
        <f t="shared" si="90"/>
        <v>46104</v>
      </c>
      <c r="C766" s="8">
        <f t="shared" si="94"/>
        <v>46113</v>
      </c>
      <c r="D766" s="7">
        <v>3272</v>
      </c>
      <c r="E766" s="7">
        <v>336</v>
      </c>
      <c r="F766" s="7">
        <v>4</v>
      </c>
      <c r="G766" s="11">
        <v>1</v>
      </c>
      <c r="H766" s="11">
        <v>81676</v>
      </c>
      <c r="I766" s="7" t="s">
        <v>16</v>
      </c>
      <c r="J766" s="11">
        <v>51504013</v>
      </c>
      <c r="K766" s="11" t="s">
        <v>1911</v>
      </c>
      <c r="L766" s="27" t="s">
        <v>1914</v>
      </c>
      <c r="M766" s="9">
        <v>149900</v>
      </c>
      <c r="N766" s="18">
        <f t="shared" si="91"/>
        <v>0.7</v>
      </c>
      <c r="O766" s="32">
        <f t="shared" si="92"/>
        <v>44970</v>
      </c>
      <c r="P766" s="18" t="s">
        <v>19</v>
      </c>
    </row>
    <row r="767" spans="1:16" s="6" customFormat="1" x14ac:dyDescent="0.25">
      <c r="A767" s="25" t="str">
        <f t="shared" si="89"/>
        <v>2025 JAN-JUN D70</v>
      </c>
      <c r="B767" s="8">
        <f t="shared" si="90"/>
        <v>46104</v>
      </c>
      <c r="C767" s="8">
        <f t="shared" si="94"/>
        <v>46113</v>
      </c>
      <c r="D767" s="7">
        <v>3272</v>
      </c>
      <c r="E767" s="7">
        <v>336</v>
      </c>
      <c r="F767" s="7">
        <v>4</v>
      </c>
      <c r="G767" s="11">
        <v>1</v>
      </c>
      <c r="H767" s="11">
        <v>81676</v>
      </c>
      <c r="I767" s="7" t="s">
        <v>16</v>
      </c>
      <c r="J767" s="11">
        <v>51504022</v>
      </c>
      <c r="K767" s="11" t="s">
        <v>1911</v>
      </c>
      <c r="L767" s="27" t="s">
        <v>1915</v>
      </c>
      <c r="M767" s="9">
        <v>149900</v>
      </c>
      <c r="N767" s="18">
        <f t="shared" si="91"/>
        <v>0.7</v>
      </c>
      <c r="O767" s="32">
        <f t="shared" si="92"/>
        <v>44970</v>
      </c>
      <c r="P767" s="18" t="s">
        <v>19</v>
      </c>
    </row>
    <row r="768" spans="1:16" s="6" customFormat="1" x14ac:dyDescent="0.25">
      <c r="A768" s="25" t="str">
        <f t="shared" si="89"/>
        <v>2025 JAN-JUN D70</v>
      </c>
      <c r="B768" s="8">
        <f t="shared" si="90"/>
        <v>46104</v>
      </c>
      <c r="C768" s="8">
        <f t="shared" si="94"/>
        <v>46113</v>
      </c>
      <c r="D768" s="7">
        <v>3272</v>
      </c>
      <c r="E768" s="7">
        <v>336</v>
      </c>
      <c r="F768" s="7">
        <v>4</v>
      </c>
      <c r="G768" s="11">
        <v>1</v>
      </c>
      <c r="H768" s="11">
        <v>81676</v>
      </c>
      <c r="I768" s="7" t="s">
        <v>16</v>
      </c>
      <c r="J768" s="11">
        <v>51504031</v>
      </c>
      <c r="K768" s="11" t="s">
        <v>1911</v>
      </c>
      <c r="L768" s="27" t="s">
        <v>1916</v>
      </c>
      <c r="M768" s="9">
        <v>149900</v>
      </c>
      <c r="N768" s="18">
        <f t="shared" si="91"/>
        <v>0.7</v>
      </c>
      <c r="O768" s="32">
        <f t="shared" si="92"/>
        <v>44970</v>
      </c>
      <c r="P768" s="18" t="s">
        <v>19</v>
      </c>
    </row>
    <row r="769" spans="1:16" s="6" customFormat="1" x14ac:dyDescent="0.25">
      <c r="A769" s="25" t="str">
        <f t="shared" si="89"/>
        <v>2025 JAN-JUN D70</v>
      </c>
      <c r="B769" s="8">
        <f t="shared" si="90"/>
        <v>46104</v>
      </c>
      <c r="C769" s="8">
        <f t="shared" si="94"/>
        <v>46113</v>
      </c>
      <c r="D769" s="7">
        <v>3272</v>
      </c>
      <c r="E769" s="7">
        <v>336</v>
      </c>
      <c r="F769" s="7">
        <v>4</v>
      </c>
      <c r="G769" s="11">
        <v>1</v>
      </c>
      <c r="H769" s="11">
        <v>81676</v>
      </c>
      <c r="I769" s="7" t="s">
        <v>16</v>
      </c>
      <c r="J769" s="11">
        <v>53661297</v>
      </c>
      <c r="K769" s="11" t="s">
        <v>1917</v>
      </c>
      <c r="L769" s="27" t="s">
        <v>1918</v>
      </c>
      <c r="M769" s="9">
        <v>149900</v>
      </c>
      <c r="N769" s="18">
        <f t="shared" si="91"/>
        <v>0.7</v>
      </c>
      <c r="O769" s="32">
        <f t="shared" si="92"/>
        <v>44970</v>
      </c>
      <c r="P769" s="18" t="s">
        <v>19</v>
      </c>
    </row>
    <row r="770" spans="1:16" s="6" customFormat="1" x14ac:dyDescent="0.25">
      <c r="A770" s="25" t="str">
        <f t="shared" si="89"/>
        <v>2025 JAN-JUN D70</v>
      </c>
      <c r="B770" s="8">
        <f t="shared" si="90"/>
        <v>46104</v>
      </c>
      <c r="C770" s="8">
        <f t="shared" si="94"/>
        <v>46113</v>
      </c>
      <c r="D770" s="7">
        <v>3272</v>
      </c>
      <c r="E770" s="7">
        <v>336</v>
      </c>
      <c r="F770" s="7">
        <v>4</v>
      </c>
      <c r="G770" s="11">
        <v>1</v>
      </c>
      <c r="H770" s="11">
        <v>81676</v>
      </c>
      <c r="I770" s="7" t="s">
        <v>16</v>
      </c>
      <c r="J770" s="11">
        <v>53661304</v>
      </c>
      <c r="K770" s="11" t="s">
        <v>1917</v>
      </c>
      <c r="L770" s="27" t="s">
        <v>1919</v>
      </c>
      <c r="M770" s="9">
        <v>149900</v>
      </c>
      <c r="N770" s="18">
        <f t="shared" si="91"/>
        <v>0.7</v>
      </c>
      <c r="O770" s="32">
        <f t="shared" si="92"/>
        <v>44970</v>
      </c>
      <c r="P770" s="18" t="s">
        <v>19</v>
      </c>
    </row>
    <row r="771" spans="1:16" s="6" customFormat="1" x14ac:dyDescent="0.25">
      <c r="A771" s="25" t="str">
        <f t="shared" si="89"/>
        <v>2025 JAN-JUN D70</v>
      </c>
      <c r="B771" s="8">
        <f t="shared" si="90"/>
        <v>46104</v>
      </c>
      <c r="C771" s="8">
        <f t="shared" si="94"/>
        <v>46113</v>
      </c>
      <c r="D771" s="7">
        <v>3272</v>
      </c>
      <c r="E771" s="7">
        <v>336</v>
      </c>
      <c r="F771" s="7">
        <v>4</v>
      </c>
      <c r="G771" s="11">
        <v>1</v>
      </c>
      <c r="H771" s="11">
        <v>81676</v>
      </c>
      <c r="I771" s="7" t="s">
        <v>16</v>
      </c>
      <c r="J771" s="11">
        <v>53661313</v>
      </c>
      <c r="K771" s="11" t="s">
        <v>1917</v>
      </c>
      <c r="L771" s="27" t="s">
        <v>1920</v>
      </c>
      <c r="M771" s="9">
        <v>149900</v>
      </c>
      <c r="N771" s="18">
        <f t="shared" si="91"/>
        <v>0.7</v>
      </c>
      <c r="O771" s="32">
        <f t="shared" si="92"/>
        <v>44970</v>
      </c>
      <c r="P771" s="18" t="s">
        <v>19</v>
      </c>
    </row>
    <row r="772" spans="1:16" s="6" customFormat="1" x14ac:dyDescent="0.25">
      <c r="A772" s="25" t="str">
        <f t="shared" ref="A772:A806" si="95">A771</f>
        <v>2025 JAN-JUN D70</v>
      </c>
      <c r="B772" s="8">
        <f t="shared" ref="B772:B806" si="96">B771</f>
        <v>46104</v>
      </c>
      <c r="C772" s="8">
        <f t="shared" si="94"/>
        <v>46113</v>
      </c>
      <c r="D772" s="7">
        <v>3272</v>
      </c>
      <c r="E772" s="7">
        <v>336</v>
      </c>
      <c r="F772" s="7">
        <v>4</v>
      </c>
      <c r="G772" s="11">
        <v>1</v>
      </c>
      <c r="H772" s="11">
        <v>81676</v>
      </c>
      <c r="I772" s="7" t="s">
        <v>16</v>
      </c>
      <c r="J772" s="11">
        <v>53661322</v>
      </c>
      <c r="K772" s="11" t="s">
        <v>1917</v>
      </c>
      <c r="L772" s="27" t="s">
        <v>1921</v>
      </c>
      <c r="M772" s="9">
        <v>149900</v>
      </c>
      <c r="N772" s="18">
        <f t="shared" ref="N772:N806" si="97">N771</f>
        <v>0.7</v>
      </c>
      <c r="O772" s="32">
        <f t="shared" ref="O772:O806" si="98">M772-((70*M772)/100)</f>
        <v>44970</v>
      </c>
      <c r="P772" s="18" t="s">
        <v>19</v>
      </c>
    </row>
    <row r="773" spans="1:16" s="6" customFormat="1" x14ac:dyDescent="0.25">
      <c r="A773" s="25" t="str">
        <f t="shared" si="95"/>
        <v>2025 JAN-JUN D70</v>
      </c>
      <c r="B773" s="8">
        <f t="shared" si="96"/>
        <v>46104</v>
      </c>
      <c r="C773" s="8">
        <f t="shared" si="94"/>
        <v>46113</v>
      </c>
      <c r="D773" s="7">
        <v>3272</v>
      </c>
      <c r="E773" s="7">
        <v>336</v>
      </c>
      <c r="F773" s="7">
        <v>4</v>
      </c>
      <c r="G773" s="11">
        <v>1</v>
      </c>
      <c r="H773" s="11">
        <v>81676</v>
      </c>
      <c r="I773" s="7" t="s">
        <v>16</v>
      </c>
      <c r="J773" s="11">
        <v>53661331</v>
      </c>
      <c r="K773" s="11" t="s">
        <v>1917</v>
      </c>
      <c r="L773" s="27" t="s">
        <v>1922</v>
      </c>
      <c r="M773" s="9">
        <v>149900</v>
      </c>
      <c r="N773" s="18">
        <f t="shared" si="97"/>
        <v>0.7</v>
      </c>
      <c r="O773" s="32">
        <f t="shared" si="98"/>
        <v>44970</v>
      </c>
      <c r="P773" s="18" t="s">
        <v>19</v>
      </c>
    </row>
    <row r="774" spans="1:16" s="6" customFormat="1" x14ac:dyDescent="0.25">
      <c r="A774" s="25" t="str">
        <f t="shared" si="95"/>
        <v>2025 JAN-JUN D70</v>
      </c>
      <c r="B774" s="8">
        <f t="shared" si="96"/>
        <v>46104</v>
      </c>
      <c r="C774" s="8">
        <f t="shared" si="94"/>
        <v>46113</v>
      </c>
      <c r="D774" s="7">
        <v>3272</v>
      </c>
      <c r="E774" s="7">
        <v>336</v>
      </c>
      <c r="F774" s="7">
        <v>4</v>
      </c>
      <c r="G774" s="11">
        <v>1</v>
      </c>
      <c r="H774" s="11">
        <v>81676</v>
      </c>
      <c r="I774" s="7" t="s">
        <v>16</v>
      </c>
      <c r="J774" s="11">
        <v>53661340</v>
      </c>
      <c r="K774" s="11" t="s">
        <v>1917</v>
      </c>
      <c r="L774" s="27" t="s">
        <v>1923</v>
      </c>
      <c r="M774" s="9">
        <v>149900</v>
      </c>
      <c r="N774" s="18">
        <f t="shared" si="97"/>
        <v>0.7</v>
      </c>
      <c r="O774" s="32">
        <f t="shared" si="98"/>
        <v>44970</v>
      </c>
      <c r="P774" s="18" t="s">
        <v>19</v>
      </c>
    </row>
    <row r="775" spans="1:16" s="6" customFormat="1" x14ac:dyDescent="0.25">
      <c r="A775" s="25" t="str">
        <f t="shared" si="95"/>
        <v>2025 JAN-JUN D70</v>
      </c>
      <c r="B775" s="8">
        <f t="shared" si="96"/>
        <v>46104</v>
      </c>
      <c r="C775" s="8">
        <f t="shared" si="94"/>
        <v>46113</v>
      </c>
      <c r="D775" s="7">
        <v>3272</v>
      </c>
      <c r="E775" s="7">
        <v>336</v>
      </c>
      <c r="F775" s="7">
        <v>4</v>
      </c>
      <c r="G775" s="11">
        <v>1</v>
      </c>
      <c r="H775" s="11">
        <v>81676</v>
      </c>
      <c r="I775" s="7" t="s">
        <v>16</v>
      </c>
      <c r="J775" s="11">
        <v>53661359</v>
      </c>
      <c r="K775" s="11" t="s">
        <v>1917</v>
      </c>
      <c r="L775" s="27" t="s">
        <v>1924</v>
      </c>
      <c r="M775" s="9">
        <v>149900</v>
      </c>
      <c r="N775" s="18">
        <f t="shared" si="97"/>
        <v>0.7</v>
      </c>
      <c r="O775" s="32">
        <f t="shared" si="98"/>
        <v>44970</v>
      </c>
      <c r="P775" s="18" t="s">
        <v>19</v>
      </c>
    </row>
    <row r="776" spans="1:16" s="6" customFormat="1" x14ac:dyDescent="0.25">
      <c r="A776" s="25" t="str">
        <f t="shared" si="95"/>
        <v>2025 JAN-JUN D70</v>
      </c>
      <c r="B776" s="8">
        <f t="shared" si="96"/>
        <v>46104</v>
      </c>
      <c r="C776" s="8">
        <f t="shared" si="94"/>
        <v>46113</v>
      </c>
      <c r="D776" s="7">
        <v>3272</v>
      </c>
      <c r="E776" s="7">
        <v>336</v>
      </c>
      <c r="F776" s="7">
        <v>4</v>
      </c>
      <c r="G776" s="11">
        <v>1</v>
      </c>
      <c r="H776" s="11">
        <v>81676</v>
      </c>
      <c r="I776" s="7" t="s">
        <v>16</v>
      </c>
      <c r="J776" s="11">
        <v>53661368</v>
      </c>
      <c r="K776" s="11" t="s">
        <v>1917</v>
      </c>
      <c r="L776" s="27" t="s">
        <v>1925</v>
      </c>
      <c r="M776" s="9">
        <v>149900</v>
      </c>
      <c r="N776" s="18">
        <f t="shared" si="97"/>
        <v>0.7</v>
      </c>
      <c r="O776" s="32">
        <f t="shared" si="98"/>
        <v>44970</v>
      </c>
      <c r="P776" s="18" t="s">
        <v>19</v>
      </c>
    </row>
    <row r="777" spans="1:16" s="6" customFormat="1" x14ac:dyDescent="0.25">
      <c r="A777" s="25" t="str">
        <f t="shared" si="95"/>
        <v>2025 JAN-JUN D70</v>
      </c>
      <c r="B777" s="8">
        <f t="shared" si="96"/>
        <v>46104</v>
      </c>
      <c r="C777" s="8">
        <f t="shared" si="94"/>
        <v>46113</v>
      </c>
      <c r="D777" s="7">
        <v>3272</v>
      </c>
      <c r="E777" s="7">
        <v>336</v>
      </c>
      <c r="F777" s="7">
        <v>4</v>
      </c>
      <c r="G777" s="11">
        <v>3</v>
      </c>
      <c r="H777" s="11">
        <v>81379</v>
      </c>
      <c r="I777" s="7" t="s">
        <v>16</v>
      </c>
      <c r="J777" s="11">
        <v>51511229</v>
      </c>
      <c r="K777" s="11" t="s">
        <v>1926</v>
      </c>
      <c r="L777" s="27" t="s">
        <v>1927</v>
      </c>
      <c r="M777" s="9">
        <v>249900</v>
      </c>
      <c r="N777" s="18">
        <f t="shared" si="97"/>
        <v>0.7</v>
      </c>
      <c r="O777" s="32">
        <f t="shared" si="98"/>
        <v>74970</v>
      </c>
      <c r="P777" s="18" t="s">
        <v>19</v>
      </c>
    </row>
    <row r="778" spans="1:16" s="6" customFormat="1" x14ac:dyDescent="0.25">
      <c r="A778" s="25" t="str">
        <f t="shared" si="95"/>
        <v>2025 JAN-JUN D70</v>
      </c>
      <c r="B778" s="8">
        <f t="shared" si="96"/>
        <v>46104</v>
      </c>
      <c r="C778" s="8">
        <f t="shared" si="94"/>
        <v>46113</v>
      </c>
      <c r="D778" s="7">
        <v>3272</v>
      </c>
      <c r="E778" s="7">
        <v>336</v>
      </c>
      <c r="F778" s="7">
        <v>4</v>
      </c>
      <c r="G778" s="11">
        <v>3</v>
      </c>
      <c r="H778" s="11">
        <v>81379</v>
      </c>
      <c r="I778" s="7" t="s">
        <v>16</v>
      </c>
      <c r="J778" s="11">
        <v>51511238</v>
      </c>
      <c r="K778" s="11" t="s">
        <v>1926</v>
      </c>
      <c r="L778" s="27" t="s">
        <v>1928</v>
      </c>
      <c r="M778" s="9">
        <v>249900</v>
      </c>
      <c r="N778" s="18">
        <f t="shared" si="97"/>
        <v>0.7</v>
      </c>
      <c r="O778" s="32">
        <f t="shared" si="98"/>
        <v>74970</v>
      </c>
      <c r="P778" s="18" t="s">
        <v>19</v>
      </c>
    </row>
    <row r="779" spans="1:16" s="6" customFormat="1" x14ac:dyDescent="0.25">
      <c r="A779" s="25" t="str">
        <f t="shared" si="95"/>
        <v>2025 JAN-JUN D70</v>
      </c>
      <c r="B779" s="8">
        <f t="shared" si="96"/>
        <v>46104</v>
      </c>
      <c r="C779" s="8">
        <f t="shared" si="94"/>
        <v>46113</v>
      </c>
      <c r="D779" s="7">
        <v>3272</v>
      </c>
      <c r="E779" s="7">
        <v>336</v>
      </c>
      <c r="F779" s="7">
        <v>4</v>
      </c>
      <c r="G779" s="11">
        <v>3</v>
      </c>
      <c r="H779" s="11">
        <v>81379</v>
      </c>
      <c r="I779" s="7" t="s">
        <v>16</v>
      </c>
      <c r="J779" s="11">
        <v>51511247</v>
      </c>
      <c r="K779" s="11" t="s">
        <v>1926</v>
      </c>
      <c r="L779" s="27" t="s">
        <v>1929</v>
      </c>
      <c r="M779" s="9">
        <v>249900</v>
      </c>
      <c r="N779" s="18">
        <f t="shared" si="97"/>
        <v>0.7</v>
      </c>
      <c r="O779" s="32">
        <f t="shared" si="98"/>
        <v>74970</v>
      </c>
      <c r="P779" s="18" t="s">
        <v>19</v>
      </c>
    </row>
    <row r="780" spans="1:16" s="6" customFormat="1" x14ac:dyDescent="0.25">
      <c r="A780" s="25" t="str">
        <f t="shared" si="95"/>
        <v>2025 JAN-JUN D70</v>
      </c>
      <c r="B780" s="8">
        <f t="shared" si="96"/>
        <v>46104</v>
      </c>
      <c r="C780" s="8">
        <f t="shared" si="94"/>
        <v>46113</v>
      </c>
      <c r="D780" s="7">
        <v>3272</v>
      </c>
      <c r="E780" s="7">
        <v>336</v>
      </c>
      <c r="F780" s="7">
        <v>4</v>
      </c>
      <c r="G780" s="11">
        <v>3</v>
      </c>
      <c r="H780" s="11">
        <v>81379</v>
      </c>
      <c r="I780" s="7" t="s">
        <v>16</v>
      </c>
      <c r="J780" s="11">
        <v>51511256</v>
      </c>
      <c r="K780" s="11" t="s">
        <v>1926</v>
      </c>
      <c r="L780" s="27" t="s">
        <v>1930</v>
      </c>
      <c r="M780" s="9">
        <v>249900</v>
      </c>
      <c r="N780" s="18">
        <f t="shared" si="97"/>
        <v>0.7</v>
      </c>
      <c r="O780" s="32">
        <f t="shared" si="98"/>
        <v>74970</v>
      </c>
      <c r="P780" s="18" t="s">
        <v>19</v>
      </c>
    </row>
    <row r="781" spans="1:16" s="6" customFormat="1" x14ac:dyDescent="0.25">
      <c r="A781" s="25" t="str">
        <f t="shared" si="95"/>
        <v>2025 JAN-JUN D70</v>
      </c>
      <c r="B781" s="8">
        <f t="shared" si="96"/>
        <v>46104</v>
      </c>
      <c r="C781" s="8">
        <f t="shared" si="94"/>
        <v>46113</v>
      </c>
      <c r="D781" s="7">
        <v>3272</v>
      </c>
      <c r="E781" s="7">
        <v>336</v>
      </c>
      <c r="F781" s="7">
        <v>4</v>
      </c>
      <c r="G781" s="11">
        <v>3</v>
      </c>
      <c r="H781" s="11">
        <v>81379</v>
      </c>
      <c r="I781" s="7" t="s">
        <v>16</v>
      </c>
      <c r="J781" s="11">
        <v>51511265</v>
      </c>
      <c r="K781" s="11" t="s">
        <v>1926</v>
      </c>
      <c r="L781" s="27" t="s">
        <v>1931</v>
      </c>
      <c r="M781" s="9">
        <v>249900</v>
      </c>
      <c r="N781" s="18">
        <f t="shared" si="97"/>
        <v>0.7</v>
      </c>
      <c r="O781" s="32">
        <f t="shared" si="98"/>
        <v>74970</v>
      </c>
      <c r="P781" s="18" t="s">
        <v>19</v>
      </c>
    </row>
    <row r="782" spans="1:16" s="6" customFormat="1" x14ac:dyDescent="0.25">
      <c r="A782" s="25" t="str">
        <f t="shared" si="95"/>
        <v>2025 JAN-JUN D70</v>
      </c>
      <c r="B782" s="8">
        <f t="shared" si="96"/>
        <v>46104</v>
      </c>
      <c r="C782" s="8">
        <f t="shared" ref="C782:C806" si="99">C781</f>
        <v>46113</v>
      </c>
      <c r="D782" s="7">
        <v>3272</v>
      </c>
      <c r="E782" s="7">
        <v>336</v>
      </c>
      <c r="F782" s="7">
        <v>4</v>
      </c>
      <c r="G782" s="11">
        <v>3</v>
      </c>
      <c r="H782" s="11">
        <v>81379</v>
      </c>
      <c r="I782" s="7" t="s">
        <v>16</v>
      </c>
      <c r="J782" s="11">
        <v>51511274</v>
      </c>
      <c r="K782" s="11" t="s">
        <v>1926</v>
      </c>
      <c r="L782" s="27" t="s">
        <v>1932</v>
      </c>
      <c r="M782" s="9">
        <v>249900</v>
      </c>
      <c r="N782" s="18">
        <f t="shared" si="97"/>
        <v>0.7</v>
      </c>
      <c r="O782" s="32">
        <f t="shared" si="98"/>
        <v>74970</v>
      </c>
      <c r="P782" s="18" t="s">
        <v>19</v>
      </c>
    </row>
    <row r="783" spans="1:16" s="6" customFormat="1" x14ac:dyDescent="0.25">
      <c r="A783" s="25" t="str">
        <f t="shared" si="95"/>
        <v>2025 JAN-JUN D70</v>
      </c>
      <c r="B783" s="8">
        <f t="shared" si="96"/>
        <v>46104</v>
      </c>
      <c r="C783" s="8">
        <f t="shared" si="99"/>
        <v>46113</v>
      </c>
      <c r="D783" s="7">
        <v>3272</v>
      </c>
      <c r="E783" s="7">
        <v>336</v>
      </c>
      <c r="F783" s="7">
        <v>4</v>
      </c>
      <c r="G783" s="11">
        <v>3</v>
      </c>
      <c r="H783" s="11">
        <v>81379</v>
      </c>
      <c r="I783" s="7" t="s">
        <v>16</v>
      </c>
      <c r="J783" s="11">
        <v>51511283</v>
      </c>
      <c r="K783" s="11" t="s">
        <v>1926</v>
      </c>
      <c r="L783" s="27" t="s">
        <v>1933</v>
      </c>
      <c r="M783" s="9">
        <v>249900</v>
      </c>
      <c r="N783" s="18">
        <f t="shared" si="97"/>
        <v>0.7</v>
      </c>
      <c r="O783" s="32">
        <f t="shared" si="98"/>
        <v>74970</v>
      </c>
      <c r="P783" s="18" t="s">
        <v>19</v>
      </c>
    </row>
    <row r="784" spans="1:16" s="6" customFormat="1" x14ac:dyDescent="0.25">
      <c r="A784" s="25" t="str">
        <f t="shared" si="95"/>
        <v>2025 JAN-JUN D70</v>
      </c>
      <c r="B784" s="8">
        <f t="shared" si="96"/>
        <v>46104</v>
      </c>
      <c r="C784" s="8">
        <f t="shared" si="99"/>
        <v>46113</v>
      </c>
      <c r="D784" s="7">
        <v>3272</v>
      </c>
      <c r="E784" s="7">
        <v>336</v>
      </c>
      <c r="F784" s="7">
        <v>4</v>
      </c>
      <c r="G784" s="11">
        <v>3</v>
      </c>
      <c r="H784" s="11">
        <v>81379</v>
      </c>
      <c r="I784" s="7" t="s">
        <v>16</v>
      </c>
      <c r="J784" s="11">
        <v>51511292</v>
      </c>
      <c r="K784" s="11" t="s">
        <v>1926</v>
      </c>
      <c r="L784" s="27" t="s">
        <v>1934</v>
      </c>
      <c r="M784" s="9">
        <v>249900</v>
      </c>
      <c r="N784" s="18">
        <f t="shared" si="97"/>
        <v>0.7</v>
      </c>
      <c r="O784" s="32">
        <f t="shared" si="98"/>
        <v>74970</v>
      </c>
      <c r="P784" s="18" t="s">
        <v>19</v>
      </c>
    </row>
    <row r="785" spans="1:16" s="6" customFormat="1" x14ac:dyDescent="0.25">
      <c r="A785" s="25" t="str">
        <f t="shared" si="95"/>
        <v>2025 JAN-JUN D70</v>
      </c>
      <c r="B785" s="8">
        <f t="shared" si="96"/>
        <v>46104</v>
      </c>
      <c r="C785" s="8">
        <f t="shared" si="99"/>
        <v>46113</v>
      </c>
      <c r="D785" s="7">
        <v>3272</v>
      </c>
      <c r="E785" s="7">
        <v>336</v>
      </c>
      <c r="F785" s="7">
        <v>4</v>
      </c>
      <c r="G785" s="11">
        <v>4</v>
      </c>
      <c r="H785" s="11">
        <v>4953</v>
      </c>
      <c r="I785" s="7" t="s">
        <v>16</v>
      </c>
      <c r="J785" s="11">
        <v>53661215</v>
      </c>
      <c r="K785" s="11" t="s">
        <v>1935</v>
      </c>
      <c r="L785" s="27" t="s">
        <v>1936</v>
      </c>
      <c r="M785" s="9">
        <v>149900</v>
      </c>
      <c r="N785" s="18">
        <f t="shared" si="97"/>
        <v>0.7</v>
      </c>
      <c r="O785" s="32">
        <f t="shared" si="98"/>
        <v>44970</v>
      </c>
      <c r="P785" s="18" t="s">
        <v>19</v>
      </c>
    </row>
    <row r="786" spans="1:16" s="6" customFormat="1" x14ac:dyDescent="0.25">
      <c r="A786" s="25" t="str">
        <f t="shared" si="95"/>
        <v>2025 JAN-JUN D70</v>
      </c>
      <c r="B786" s="8">
        <f t="shared" si="96"/>
        <v>46104</v>
      </c>
      <c r="C786" s="8">
        <f t="shared" si="99"/>
        <v>46113</v>
      </c>
      <c r="D786" s="7">
        <v>3272</v>
      </c>
      <c r="E786" s="7">
        <v>336</v>
      </c>
      <c r="F786" s="7">
        <v>4</v>
      </c>
      <c r="G786" s="11">
        <v>4</v>
      </c>
      <c r="H786" s="11">
        <v>4953</v>
      </c>
      <c r="I786" s="7" t="s">
        <v>16</v>
      </c>
      <c r="J786" s="11">
        <v>53661224</v>
      </c>
      <c r="K786" s="11" t="s">
        <v>1935</v>
      </c>
      <c r="L786" s="27" t="s">
        <v>1937</v>
      </c>
      <c r="M786" s="9">
        <v>149900</v>
      </c>
      <c r="N786" s="18">
        <f t="shared" si="97"/>
        <v>0.7</v>
      </c>
      <c r="O786" s="32">
        <f t="shared" si="98"/>
        <v>44970</v>
      </c>
      <c r="P786" s="18" t="s">
        <v>19</v>
      </c>
    </row>
    <row r="787" spans="1:16" s="6" customFormat="1" x14ac:dyDescent="0.25">
      <c r="A787" s="25" t="str">
        <f t="shared" si="95"/>
        <v>2025 JAN-JUN D70</v>
      </c>
      <c r="B787" s="8">
        <f t="shared" si="96"/>
        <v>46104</v>
      </c>
      <c r="C787" s="8">
        <f t="shared" si="99"/>
        <v>46113</v>
      </c>
      <c r="D787" s="7">
        <v>3272</v>
      </c>
      <c r="E787" s="7">
        <v>336</v>
      </c>
      <c r="F787" s="7">
        <v>4</v>
      </c>
      <c r="G787" s="11">
        <v>4</v>
      </c>
      <c r="H787" s="11">
        <v>4953</v>
      </c>
      <c r="I787" s="7" t="s">
        <v>16</v>
      </c>
      <c r="J787" s="11">
        <v>53661233</v>
      </c>
      <c r="K787" s="11" t="s">
        <v>1935</v>
      </c>
      <c r="L787" s="27" t="s">
        <v>1938</v>
      </c>
      <c r="M787" s="9">
        <v>149900</v>
      </c>
      <c r="N787" s="18">
        <f t="shared" si="97"/>
        <v>0.7</v>
      </c>
      <c r="O787" s="32">
        <f t="shared" si="98"/>
        <v>44970</v>
      </c>
      <c r="P787" s="18" t="s">
        <v>19</v>
      </c>
    </row>
    <row r="788" spans="1:16" s="6" customFormat="1" x14ac:dyDescent="0.25">
      <c r="A788" s="25" t="str">
        <f t="shared" si="95"/>
        <v>2025 JAN-JUN D70</v>
      </c>
      <c r="B788" s="8">
        <f t="shared" si="96"/>
        <v>46104</v>
      </c>
      <c r="C788" s="8">
        <f t="shared" si="99"/>
        <v>46113</v>
      </c>
      <c r="D788" s="7">
        <v>3272</v>
      </c>
      <c r="E788" s="7">
        <v>336</v>
      </c>
      <c r="F788" s="7">
        <v>4</v>
      </c>
      <c r="G788" s="11">
        <v>4</v>
      </c>
      <c r="H788" s="11">
        <v>4953</v>
      </c>
      <c r="I788" s="7" t="s">
        <v>16</v>
      </c>
      <c r="J788" s="11">
        <v>53661242</v>
      </c>
      <c r="K788" s="11" t="s">
        <v>1935</v>
      </c>
      <c r="L788" s="27" t="s">
        <v>1939</v>
      </c>
      <c r="M788" s="9">
        <v>149900</v>
      </c>
      <c r="N788" s="18">
        <f t="shared" si="97"/>
        <v>0.7</v>
      </c>
      <c r="O788" s="32">
        <f t="shared" si="98"/>
        <v>44970</v>
      </c>
      <c r="P788" s="18" t="s">
        <v>19</v>
      </c>
    </row>
    <row r="789" spans="1:16" s="6" customFormat="1" x14ac:dyDescent="0.25">
      <c r="A789" s="25" t="str">
        <f t="shared" si="95"/>
        <v>2025 JAN-JUN D70</v>
      </c>
      <c r="B789" s="8">
        <f t="shared" si="96"/>
        <v>46104</v>
      </c>
      <c r="C789" s="8">
        <f t="shared" si="99"/>
        <v>46113</v>
      </c>
      <c r="D789" s="7">
        <v>3272</v>
      </c>
      <c r="E789" s="7">
        <v>336</v>
      </c>
      <c r="F789" s="7">
        <v>4</v>
      </c>
      <c r="G789" s="11">
        <v>4</v>
      </c>
      <c r="H789" s="11">
        <v>4953</v>
      </c>
      <c r="I789" s="7" t="s">
        <v>16</v>
      </c>
      <c r="J789" s="11">
        <v>53661251</v>
      </c>
      <c r="K789" s="11" t="s">
        <v>1935</v>
      </c>
      <c r="L789" s="27" t="s">
        <v>1940</v>
      </c>
      <c r="M789" s="9">
        <v>149900</v>
      </c>
      <c r="N789" s="18">
        <f t="shared" si="97"/>
        <v>0.7</v>
      </c>
      <c r="O789" s="32">
        <f t="shared" si="98"/>
        <v>44970</v>
      </c>
      <c r="P789" s="18" t="s">
        <v>19</v>
      </c>
    </row>
    <row r="790" spans="1:16" s="6" customFormat="1" x14ac:dyDescent="0.25">
      <c r="A790" s="25" t="str">
        <f t="shared" si="95"/>
        <v>2025 JAN-JUN D70</v>
      </c>
      <c r="B790" s="8">
        <f t="shared" si="96"/>
        <v>46104</v>
      </c>
      <c r="C790" s="8">
        <f t="shared" si="99"/>
        <v>46113</v>
      </c>
      <c r="D790" s="7">
        <v>3272</v>
      </c>
      <c r="E790" s="7">
        <v>336</v>
      </c>
      <c r="F790" s="7">
        <v>4</v>
      </c>
      <c r="G790" s="11">
        <v>4</v>
      </c>
      <c r="H790" s="11">
        <v>4953</v>
      </c>
      <c r="I790" s="7" t="s">
        <v>16</v>
      </c>
      <c r="J790" s="11">
        <v>53661260</v>
      </c>
      <c r="K790" s="11" t="s">
        <v>1935</v>
      </c>
      <c r="L790" s="27" t="s">
        <v>1941</v>
      </c>
      <c r="M790" s="9">
        <v>149900</v>
      </c>
      <c r="N790" s="18">
        <f t="shared" si="97"/>
        <v>0.7</v>
      </c>
      <c r="O790" s="32">
        <f t="shared" si="98"/>
        <v>44970</v>
      </c>
      <c r="P790" s="18" t="s">
        <v>19</v>
      </c>
    </row>
    <row r="791" spans="1:16" s="6" customFormat="1" x14ac:dyDescent="0.25">
      <c r="A791" s="25" t="str">
        <f t="shared" si="95"/>
        <v>2025 JAN-JUN D70</v>
      </c>
      <c r="B791" s="8">
        <f t="shared" si="96"/>
        <v>46104</v>
      </c>
      <c r="C791" s="8">
        <f t="shared" si="99"/>
        <v>46113</v>
      </c>
      <c r="D791" s="7">
        <v>3272</v>
      </c>
      <c r="E791" s="7">
        <v>336</v>
      </c>
      <c r="F791" s="7">
        <v>4</v>
      </c>
      <c r="G791" s="11">
        <v>4</v>
      </c>
      <c r="H791" s="11">
        <v>4953</v>
      </c>
      <c r="I791" s="7" t="s">
        <v>16</v>
      </c>
      <c r="J791" s="11">
        <v>53661279</v>
      </c>
      <c r="K791" s="11" t="s">
        <v>1935</v>
      </c>
      <c r="L791" s="27" t="s">
        <v>1942</v>
      </c>
      <c r="M791" s="9">
        <v>149900</v>
      </c>
      <c r="N791" s="18">
        <f t="shared" si="97"/>
        <v>0.7</v>
      </c>
      <c r="O791" s="32">
        <f t="shared" si="98"/>
        <v>44970</v>
      </c>
      <c r="P791" s="18" t="s">
        <v>19</v>
      </c>
    </row>
    <row r="792" spans="1:16" s="6" customFormat="1" x14ac:dyDescent="0.25">
      <c r="A792" s="25" t="str">
        <f t="shared" si="95"/>
        <v>2025 JAN-JUN D70</v>
      </c>
      <c r="B792" s="8">
        <f t="shared" si="96"/>
        <v>46104</v>
      </c>
      <c r="C792" s="8">
        <f t="shared" si="99"/>
        <v>46113</v>
      </c>
      <c r="D792" s="7">
        <v>3272</v>
      </c>
      <c r="E792" s="7">
        <v>336</v>
      </c>
      <c r="F792" s="7">
        <v>4</v>
      </c>
      <c r="G792" s="11">
        <v>4</v>
      </c>
      <c r="H792" s="11">
        <v>4953</v>
      </c>
      <c r="I792" s="7" t="s">
        <v>16</v>
      </c>
      <c r="J792" s="11">
        <v>53661288</v>
      </c>
      <c r="K792" s="11" t="s">
        <v>1935</v>
      </c>
      <c r="L792" s="27" t="s">
        <v>1943</v>
      </c>
      <c r="M792" s="9">
        <v>149900</v>
      </c>
      <c r="N792" s="18">
        <f t="shared" si="97"/>
        <v>0.7</v>
      </c>
      <c r="O792" s="32">
        <f t="shared" si="98"/>
        <v>44970</v>
      </c>
      <c r="P792" s="18" t="s">
        <v>19</v>
      </c>
    </row>
    <row r="793" spans="1:16" s="6" customFormat="1" x14ac:dyDescent="0.25">
      <c r="A793" s="25" t="str">
        <f t="shared" si="95"/>
        <v>2025 JAN-JUN D70</v>
      </c>
      <c r="B793" s="8">
        <f t="shared" si="96"/>
        <v>46104</v>
      </c>
      <c r="C793" s="8">
        <f t="shared" si="99"/>
        <v>46113</v>
      </c>
      <c r="D793" s="7">
        <v>3272</v>
      </c>
      <c r="E793" s="7">
        <v>336</v>
      </c>
      <c r="F793" s="7">
        <v>4</v>
      </c>
      <c r="G793" s="11">
        <v>4</v>
      </c>
      <c r="H793" s="11">
        <v>81379</v>
      </c>
      <c r="I793" s="7" t="s">
        <v>16</v>
      </c>
      <c r="J793" s="11">
        <v>52176386</v>
      </c>
      <c r="K793" s="11" t="s">
        <v>1944</v>
      </c>
      <c r="L793" s="27" t="s">
        <v>1945</v>
      </c>
      <c r="M793" s="9">
        <v>169900</v>
      </c>
      <c r="N793" s="18">
        <f t="shared" si="97"/>
        <v>0.7</v>
      </c>
      <c r="O793" s="32">
        <f t="shared" si="98"/>
        <v>50970</v>
      </c>
      <c r="P793" s="18" t="s">
        <v>19</v>
      </c>
    </row>
    <row r="794" spans="1:16" s="6" customFormat="1" x14ac:dyDescent="0.25">
      <c r="A794" s="25" t="str">
        <f t="shared" si="95"/>
        <v>2025 JAN-JUN D70</v>
      </c>
      <c r="B794" s="8">
        <f t="shared" si="96"/>
        <v>46104</v>
      </c>
      <c r="C794" s="8">
        <f t="shared" si="99"/>
        <v>46113</v>
      </c>
      <c r="D794" s="7">
        <v>3272</v>
      </c>
      <c r="E794" s="7">
        <v>336</v>
      </c>
      <c r="F794" s="7">
        <v>4</v>
      </c>
      <c r="G794" s="11">
        <v>4</v>
      </c>
      <c r="H794" s="11">
        <v>81379</v>
      </c>
      <c r="I794" s="7" t="s">
        <v>16</v>
      </c>
      <c r="J794" s="11">
        <v>52176395</v>
      </c>
      <c r="K794" s="11" t="s">
        <v>1944</v>
      </c>
      <c r="L794" s="27" t="s">
        <v>1946</v>
      </c>
      <c r="M794" s="9">
        <v>169900</v>
      </c>
      <c r="N794" s="18">
        <f t="shared" si="97"/>
        <v>0.7</v>
      </c>
      <c r="O794" s="32">
        <f t="shared" si="98"/>
        <v>50970</v>
      </c>
      <c r="P794" s="18" t="s">
        <v>19</v>
      </c>
    </row>
    <row r="795" spans="1:16" s="6" customFormat="1" x14ac:dyDescent="0.25">
      <c r="A795" s="25" t="str">
        <f t="shared" si="95"/>
        <v>2025 JAN-JUN D70</v>
      </c>
      <c r="B795" s="8">
        <f t="shared" si="96"/>
        <v>46104</v>
      </c>
      <c r="C795" s="8">
        <f t="shared" si="99"/>
        <v>46113</v>
      </c>
      <c r="D795" s="7">
        <v>3272</v>
      </c>
      <c r="E795" s="7">
        <v>336</v>
      </c>
      <c r="F795" s="7">
        <v>4</v>
      </c>
      <c r="G795" s="11">
        <v>4</v>
      </c>
      <c r="H795" s="11">
        <v>81379</v>
      </c>
      <c r="I795" s="7" t="s">
        <v>16</v>
      </c>
      <c r="J795" s="11">
        <v>52176402</v>
      </c>
      <c r="K795" s="11" t="s">
        <v>1944</v>
      </c>
      <c r="L795" s="27" t="s">
        <v>1947</v>
      </c>
      <c r="M795" s="9">
        <v>169900</v>
      </c>
      <c r="N795" s="18">
        <f t="shared" si="97"/>
        <v>0.7</v>
      </c>
      <c r="O795" s="32">
        <f t="shared" si="98"/>
        <v>50970</v>
      </c>
      <c r="P795" s="18" t="s">
        <v>19</v>
      </c>
    </row>
    <row r="796" spans="1:16" s="6" customFormat="1" x14ac:dyDescent="0.25">
      <c r="A796" s="25" t="str">
        <f t="shared" si="95"/>
        <v>2025 JAN-JUN D70</v>
      </c>
      <c r="B796" s="8">
        <f t="shared" si="96"/>
        <v>46104</v>
      </c>
      <c r="C796" s="8">
        <f t="shared" si="99"/>
        <v>46113</v>
      </c>
      <c r="D796" s="7">
        <v>3272</v>
      </c>
      <c r="E796" s="7">
        <v>336</v>
      </c>
      <c r="F796" s="7">
        <v>4</v>
      </c>
      <c r="G796" s="11">
        <v>4</v>
      </c>
      <c r="H796" s="11">
        <v>81379</v>
      </c>
      <c r="I796" s="7" t="s">
        <v>16</v>
      </c>
      <c r="J796" s="11">
        <v>52176411</v>
      </c>
      <c r="K796" s="11" t="s">
        <v>1944</v>
      </c>
      <c r="L796" s="27" t="s">
        <v>1948</v>
      </c>
      <c r="M796" s="9">
        <v>169900</v>
      </c>
      <c r="N796" s="18">
        <f t="shared" si="97"/>
        <v>0.7</v>
      </c>
      <c r="O796" s="32">
        <f t="shared" si="98"/>
        <v>50970</v>
      </c>
      <c r="P796" s="18" t="s">
        <v>19</v>
      </c>
    </row>
    <row r="797" spans="1:16" s="6" customFormat="1" x14ac:dyDescent="0.25">
      <c r="A797" s="25" t="str">
        <f t="shared" si="95"/>
        <v>2025 JAN-JUN D70</v>
      </c>
      <c r="B797" s="8">
        <f t="shared" si="96"/>
        <v>46104</v>
      </c>
      <c r="C797" s="8">
        <f t="shared" si="99"/>
        <v>46113</v>
      </c>
      <c r="D797" s="7">
        <v>3272</v>
      </c>
      <c r="E797" s="7">
        <v>336</v>
      </c>
      <c r="F797" s="7">
        <v>4</v>
      </c>
      <c r="G797" s="11">
        <v>4</v>
      </c>
      <c r="H797" s="11">
        <v>81379</v>
      </c>
      <c r="I797" s="7" t="s">
        <v>16</v>
      </c>
      <c r="J797" s="11">
        <v>52176420</v>
      </c>
      <c r="K797" s="11" t="s">
        <v>1944</v>
      </c>
      <c r="L797" s="27" t="s">
        <v>1949</v>
      </c>
      <c r="M797" s="9">
        <v>169900</v>
      </c>
      <c r="N797" s="18">
        <f t="shared" si="97"/>
        <v>0.7</v>
      </c>
      <c r="O797" s="32">
        <f t="shared" si="98"/>
        <v>50970</v>
      </c>
      <c r="P797" s="18" t="s">
        <v>19</v>
      </c>
    </row>
    <row r="798" spans="1:16" s="6" customFormat="1" x14ac:dyDescent="0.25">
      <c r="A798" s="25" t="str">
        <f t="shared" si="95"/>
        <v>2025 JAN-JUN D70</v>
      </c>
      <c r="B798" s="8">
        <f t="shared" si="96"/>
        <v>46104</v>
      </c>
      <c r="C798" s="8">
        <f t="shared" si="99"/>
        <v>46113</v>
      </c>
      <c r="D798" s="7">
        <v>3272</v>
      </c>
      <c r="E798" s="7">
        <v>336</v>
      </c>
      <c r="F798" s="7">
        <v>4</v>
      </c>
      <c r="G798" s="11">
        <v>4</v>
      </c>
      <c r="H798" s="11">
        <v>81379</v>
      </c>
      <c r="I798" s="7" t="s">
        <v>16</v>
      </c>
      <c r="J798" s="11">
        <v>52176439</v>
      </c>
      <c r="K798" s="11" t="s">
        <v>1944</v>
      </c>
      <c r="L798" s="27" t="s">
        <v>1950</v>
      </c>
      <c r="M798" s="9">
        <v>169900</v>
      </c>
      <c r="N798" s="18">
        <f t="shared" si="97"/>
        <v>0.7</v>
      </c>
      <c r="O798" s="32">
        <f t="shared" si="98"/>
        <v>50970</v>
      </c>
      <c r="P798" s="18" t="s">
        <v>19</v>
      </c>
    </row>
    <row r="799" spans="1:16" s="6" customFormat="1" x14ac:dyDescent="0.25">
      <c r="A799" s="25" t="str">
        <f t="shared" si="95"/>
        <v>2025 JAN-JUN D70</v>
      </c>
      <c r="B799" s="8">
        <f t="shared" si="96"/>
        <v>46104</v>
      </c>
      <c r="C799" s="8">
        <f t="shared" si="99"/>
        <v>46113</v>
      </c>
      <c r="D799" s="7">
        <v>3272</v>
      </c>
      <c r="E799" s="7">
        <v>336</v>
      </c>
      <c r="F799" s="7">
        <v>4</v>
      </c>
      <c r="G799" s="11">
        <v>4</v>
      </c>
      <c r="H799" s="11">
        <v>81379</v>
      </c>
      <c r="I799" s="7" t="s">
        <v>16</v>
      </c>
      <c r="J799" s="11">
        <v>52176448</v>
      </c>
      <c r="K799" s="11" t="s">
        <v>1944</v>
      </c>
      <c r="L799" s="27" t="s">
        <v>1951</v>
      </c>
      <c r="M799" s="9">
        <v>169900</v>
      </c>
      <c r="N799" s="18">
        <f t="shared" si="97"/>
        <v>0.7</v>
      </c>
      <c r="O799" s="32">
        <f t="shared" si="98"/>
        <v>50970</v>
      </c>
      <c r="P799" s="18" t="s">
        <v>19</v>
      </c>
    </row>
    <row r="800" spans="1:16" s="6" customFormat="1" x14ac:dyDescent="0.25">
      <c r="A800" s="25" t="str">
        <f t="shared" si="95"/>
        <v>2025 JAN-JUN D70</v>
      </c>
      <c r="B800" s="8">
        <f t="shared" si="96"/>
        <v>46104</v>
      </c>
      <c r="C800" s="8">
        <f t="shared" si="99"/>
        <v>46113</v>
      </c>
      <c r="D800" s="7">
        <v>3272</v>
      </c>
      <c r="E800" s="7">
        <v>336</v>
      </c>
      <c r="F800" s="7">
        <v>4</v>
      </c>
      <c r="G800" s="11">
        <v>4</v>
      </c>
      <c r="H800" s="11">
        <v>81379</v>
      </c>
      <c r="I800" s="7" t="s">
        <v>16</v>
      </c>
      <c r="J800" s="11">
        <v>52176457</v>
      </c>
      <c r="K800" s="11" t="s">
        <v>1944</v>
      </c>
      <c r="L800" s="27" t="s">
        <v>1952</v>
      </c>
      <c r="M800" s="9">
        <v>169900</v>
      </c>
      <c r="N800" s="18">
        <f t="shared" si="97"/>
        <v>0.7</v>
      </c>
      <c r="O800" s="32">
        <f t="shared" si="98"/>
        <v>50970</v>
      </c>
      <c r="P800" s="18" t="s">
        <v>19</v>
      </c>
    </row>
    <row r="801" spans="1:16" s="6" customFormat="1" x14ac:dyDescent="0.25">
      <c r="A801" s="25" t="str">
        <f t="shared" si="95"/>
        <v>2025 JAN-JUN D70</v>
      </c>
      <c r="B801" s="8">
        <f t="shared" si="96"/>
        <v>46104</v>
      </c>
      <c r="C801" s="8">
        <f t="shared" si="99"/>
        <v>46113</v>
      </c>
      <c r="D801" s="7">
        <v>3272</v>
      </c>
      <c r="E801" s="7">
        <v>336</v>
      </c>
      <c r="F801" s="7">
        <v>4</v>
      </c>
      <c r="G801" s="11">
        <v>4</v>
      </c>
      <c r="H801" s="11">
        <v>81588</v>
      </c>
      <c r="I801" s="7" t="s">
        <v>16</v>
      </c>
      <c r="J801" s="11">
        <v>51512068</v>
      </c>
      <c r="K801" s="11" t="s">
        <v>1953</v>
      </c>
      <c r="L801" s="27" t="s">
        <v>1954</v>
      </c>
      <c r="M801" s="9">
        <v>299900</v>
      </c>
      <c r="N801" s="18">
        <f t="shared" si="97"/>
        <v>0.7</v>
      </c>
      <c r="O801" s="32">
        <f t="shared" si="98"/>
        <v>89970</v>
      </c>
      <c r="P801" s="18" t="s">
        <v>19</v>
      </c>
    </row>
    <row r="802" spans="1:16" s="6" customFormat="1" x14ac:dyDescent="0.25">
      <c r="A802" s="25" t="str">
        <f t="shared" si="95"/>
        <v>2025 JAN-JUN D70</v>
      </c>
      <c r="B802" s="8">
        <f t="shared" si="96"/>
        <v>46104</v>
      </c>
      <c r="C802" s="8">
        <f t="shared" si="99"/>
        <v>46113</v>
      </c>
      <c r="D802" s="7">
        <v>3272</v>
      </c>
      <c r="E802" s="7">
        <v>336</v>
      </c>
      <c r="F802" s="7">
        <v>4</v>
      </c>
      <c r="G802" s="11">
        <v>4</v>
      </c>
      <c r="H802" s="11">
        <v>81588</v>
      </c>
      <c r="I802" s="7" t="s">
        <v>16</v>
      </c>
      <c r="J802" s="11">
        <v>51512077</v>
      </c>
      <c r="K802" s="11" t="s">
        <v>1953</v>
      </c>
      <c r="L802" s="27" t="s">
        <v>1955</v>
      </c>
      <c r="M802" s="9">
        <v>169900</v>
      </c>
      <c r="N802" s="18">
        <f t="shared" si="97"/>
        <v>0.7</v>
      </c>
      <c r="O802" s="32">
        <f t="shared" si="98"/>
        <v>50970</v>
      </c>
      <c r="P802" s="18" t="s">
        <v>19</v>
      </c>
    </row>
    <row r="803" spans="1:16" s="6" customFormat="1" x14ac:dyDescent="0.25">
      <c r="A803" s="25" t="str">
        <f t="shared" si="95"/>
        <v>2025 JAN-JUN D70</v>
      </c>
      <c r="B803" s="8">
        <f t="shared" si="96"/>
        <v>46104</v>
      </c>
      <c r="C803" s="8">
        <f t="shared" si="99"/>
        <v>46113</v>
      </c>
      <c r="D803" s="7">
        <v>3272</v>
      </c>
      <c r="E803" s="7">
        <v>336</v>
      </c>
      <c r="F803" s="7">
        <v>4</v>
      </c>
      <c r="G803" s="11">
        <v>4</v>
      </c>
      <c r="H803" s="11">
        <v>81588</v>
      </c>
      <c r="I803" s="7" t="s">
        <v>16</v>
      </c>
      <c r="J803" s="11">
        <v>51512086</v>
      </c>
      <c r="K803" s="11" t="s">
        <v>1953</v>
      </c>
      <c r="L803" s="27" t="s">
        <v>1956</v>
      </c>
      <c r="M803" s="9">
        <v>169900</v>
      </c>
      <c r="N803" s="18">
        <f t="shared" si="97"/>
        <v>0.7</v>
      </c>
      <c r="O803" s="32">
        <f t="shared" si="98"/>
        <v>50970</v>
      </c>
      <c r="P803" s="18" t="s">
        <v>19</v>
      </c>
    </row>
    <row r="804" spans="1:16" s="6" customFormat="1" x14ac:dyDescent="0.25">
      <c r="A804" s="25" t="str">
        <f t="shared" si="95"/>
        <v>2025 JAN-JUN D70</v>
      </c>
      <c r="B804" s="8">
        <f t="shared" si="96"/>
        <v>46104</v>
      </c>
      <c r="C804" s="8">
        <f t="shared" si="99"/>
        <v>46113</v>
      </c>
      <c r="D804" s="7">
        <v>3272</v>
      </c>
      <c r="E804" s="7">
        <v>336</v>
      </c>
      <c r="F804" s="7">
        <v>4</v>
      </c>
      <c r="G804" s="11">
        <v>4</v>
      </c>
      <c r="H804" s="11">
        <v>81588</v>
      </c>
      <c r="I804" s="7" t="s">
        <v>16</v>
      </c>
      <c r="J804" s="11">
        <v>51512095</v>
      </c>
      <c r="K804" s="11" t="s">
        <v>1953</v>
      </c>
      <c r="L804" s="27" t="s">
        <v>1957</v>
      </c>
      <c r="M804" s="9">
        <v>169900</v>
      </c>
      <c r="N804" s="18">
        <f t="shared" si="97"/>
        <v>0.7</v>
      </c>
      <c r="O804" s="32">
        <f t="shared" si="98"/>
        <v>50970</v>
      </c>
      <c r="P804" s="18" t="s">
        <v>19</v>
      </c>
    </row>
    <row r="805" spans="1:16" s="6" customFormat="1" x14ac:dyDescent="0.25">
      <c r="A805" s="25" t="str">
        <f t="shared" si="95"/>
        <v>2025 JAN-JUN D70</v>
      </c>
      <c r="B805" s="8">
        <f t="shared" si="96"/>
        <v>46104</v>
      </c>
      <c r="C805" s="8">
        <f t="shared" si="99"/>
        <v>46113</v>
      </c>
      <c r="D805" s="7">
        <v>3272</v>
      </c>
      <c r="E805" s="7">
        <v>336</v>
      </c>
      <c r="F805" s="7">
        <v>4</v>
      </c>
      <c r="G805" s="11">
        <v>4</v>
      </c>
      <c r="H805" s="11">
        <v>81588</v>
      </c>
      <c r="I805" s="7" t="s">
        <v>16</v>
      </c>
      <c r="J805" s="11">
        <v>51512102</v>
      </c>
      <c r="K805" s="11" t="s">
        <v>1953</v>
      </c>
      <c r="L805" s="27" t="s">
        <v>1958</v>
      </c>
      <c r="M805" s="9">
        <v>169900</v>
      </c>
      <c r="N805" s="18">
        <f t="shared" si="97"/>
        <v>0.7</v>
      </c>
      <c r="O805" s="32">
        <f t="shared" si="98"/>
        <v>50970</v>
      </c>
      <c r="P805" s="18" t="s">
        <v>19</v>
      </c>
    </row>
    <row r="806" spans="1:16" s="6" customFormat="1" x14ac:dyDescent="0.25">
      <c r="A806" s="25" t="str">
        <f t="shared" si="95"/>
        <v>2025 JAN-JUN D70</v>
      </c>
      <c r="B806" s="8">
        <f t="shared" si="96"/>
        <v>46104</v>
      </c>
      <c r="C806" s="8">
        <f t="shared" si="99"/>
        <v>46113</v>
      </c>
      <c r="D806" s="7">
        <v>3272</v>
      </c>
      <c r="E806" s="7">
        <v>336</v>
      </c>
      <c r="F806" s="7">
        <v>4</v>
      </c>
      <c r="G806" s="11">
        <v>4</v>
      </c>
      <c r="H806" s="11">
        <v>81588</v>
      </c>
      <c r="I806" s="7" t="s">
        <v>16</v>
      </c>
      <c r="J806" s="11">
        <v>51512111</v>
      </c>
      <c r="K806" s="11" t="s">
        <v>1953</v>
      </c>
      <c r="L806" s="27" t="s">
        <v>1959</v>
      </c>
      <c r="M806" s="9">
        <v>169900</v>
      </c>
      <c r="N806" s="18">
        <f t="shared" si="97"/>
        <v>0.7</v>
      </c>
      <c r="O806" s="32">
        <f t="shared" si="98"/>
        <v>50970</v>
      </c>
      <c r="P806" s="18" t="s">
        <v>19</v>
      </c>
    </row>
  </sheetData>
  <conditionalFormatting sqref="J532:J547">
    <cfRule type="duplicateValues" dxfId="6" priority="5"/>
  </conditionalFormatting>
  <conditionalFormatting sqref="J548:J568">
    <cfRule type="duplicateValues" dxfId="5" priority="4"/>
  </conditionalFormatting>
  <conditionalFormatting sqref="J685:J800">
    <cfRule type="duplicateValues" dxfId="4" priority="3"/>
  </conditionalFormatting>
  <conditionalFormatting sqref="J685:J806">
    <cfRule type="duplicateValues" dxfId="3" priority="2"/>
  </conditionalFormatting>
  <conditionalFormatting sqref="J801:J806">
    <cfRule type="duplicateValues" dxfId="2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3C2B-3990-4694-B58D-FE7C41863F28}">
  <dimension ref="A1:P35"/>
  <sheetViews>
    <sheetView workbookViewId="0">
      <selection activeCell="C31" sqref="C31"/>
    </sheetView>
  </sheetViews>
  <sheetFormatPr defaultRowHeight="15" x14ac:dyDescent="0.25"/>
  <cols>
    <col min="1" max="1" width="16" bestFit="1" customWidth="1"/>
    <col min="2" max="2" width="11.42578125" bestFit="1" customWidth="1"/>
    <col min="3" max="3" width="10.42578125" bestFit="1" customWidth="1"/>
    <col min="12" max="12" width="76.42578125" bestFit="1" customWidth="1"/>
    <col min="16" max="16" width="15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2" t="s">
        <v>6</v>
      </c>
      <c r="H1" s="2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23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11" t="s">
        <v>2022</v>
      </c>
      <c r="B2" s="8">
        <v>46104</v>
      </c>
      <c r="C2" s="8">
        <v>46113</v>
      </c>
      <c r="D2" s="7">
        <v>3272</v>
      </c>
      <c r="E2" s="7">
        <v>336</v>
      </c>
      <c r="F2" s="34">
        <v>4</v>
      </c>
      <c r="G2" s="24">
        <v>1</v>
      </c>
      <c r="H2" s="24">
        <v>81379</v>
      </c>
      <c r="I2" s="13" t="s">
        <v>16</v>
      </c>
      <c r="J2" s="24">
        <v>55568395</v>
      </c>
      <c r="K2" s="24" t="s">
        <v>1981</v>
      </c>
      <c r="L2" s="24" t="s">
        <v>1982</v>
      </c>
      <c r="M2" s="24">
        <v>99900</v>
      </c>
      <c r="N2" s="18" t="s">
        <v>570</v>
      </c>
      <c r="O2" s="32" t="s">
        <v>2023</v>
      </c>
      <c r="P2" s="18" t="s">
        <v>570</v>
      </c>
    </row>
    <row r="3" spans="1:16" x14ac:dyDescent="0.25">
      <c r="A3" s="11" t="str">
        <f t="shared" ref="A3:E18" si="0">A2</f>
        <v>2025 SEPT B1G1</v>
      </c>
      <c r="B3" s="20">
        <f>B2</f>
        <v>46104</v>
      </c>
      <c r="C3" s="8">
        <f>'[1]2019 ALL D95'!C3</f>
        <v>46113</v>
      </c>
      <c r="D3" s="11">
        <f t="shared" si="0"/>
        <v>3272</v>
      </c>
      <c r="E3" s="11">
        <f t="shared" si="0"/>
        <v>336</v>
      </c>
      <c r="F3" s="34">
        <v>4</v>
      </c>
      <c r="G3" s="24">
        <v>1</v>
      </c>
      <c r="H3" s="24">
        <v>81379</v>
      </c>
      <c r="I3" s="24" t="str">
        <f t="shared" ref="I3:I20" si="1">I2</f>
        <v>CHARACTER</v>
      </c>
      <c r="J3" s="24">
        <v>55568402</v>
      </c>
      <c r="K3" s="24" t="s">
        <v>1981</v>
      </c>
      <c r="L3" s="24" t="s">
        <v>1983</v>
      </c>
      <c r="M3" s="24">
        <v>99900</v>
      </c>
      <c r="N3" s="35" t="str">
        <f>N2</f>
        <v>BXGY</v>
      </c>
      <c r="O3" s="9" t="str">
        <f>O2</f>
        <v>B1G1</v>
      </c>
      <c r="P3" s="11" t="str">
        <f t="shared" ref="P3:P4" si="2">P2</f>
        <v>BXGY</v>
      </c>
    </row>
    <row r="4" spans="1:16" x14ac:dyDescent="0.25">
      <c r="A4" s="11" t="str">
        <f t="shared" si="0"/>
        <v>2025 SEPT B1G1</v>
      </c>
      <c r="B4" s="20">
        <f t="shared" si="0"/>
        <v>46104</v>
      </c>
      <c r="C4" s="8">
        <f>'[1]2019 ALL D95'!C4</f>
        <v>46113</v>
      </c>
      <c r="D4" s="11">
        <f t="shared" si="0"/>
        <v>3272</v>
      </c>
      <c r="E4" s="11">
        <f t="shared" si="0"/>
        <v>336</v>
      </c>
      <c r="F4" s="34">
        <v>4</v>
      </c>
      <c r="G4" s="24">
        <v>1</v>
      </c>
      <c r="H4" s="24">
        <v>81379</v>
      </c>
      <c r="I4" s="24" t="str">
        <f t="shared" si="1"/>
        <v>CHARACTER</v>
      </c>
      <c r="J4" s="24">
        <v>55568411</v>
      </c>
      <c r="K4" s="24" t="s">
        <v>1981</v>
      </c>
      <c r="L4" s="24" t="s">
        <v>1984</v>
      </c>
      <c r="M4" s="24">
        <v>99900</v>
      </c>
      <c r="N4" s="35" t="str">
        <f t="shared" ref="N4:P19" si="3">N3</f>
        <v>BXGY</v>
      </c>
      <c r="O4" s="9" t="str">
        <f>O3</f>
        <v>B1G1</v>
      </c>
      <c r="P4" s="11" t="str">
        <f t="shared" si="2"/>
        <v>BXGY</v>
      </c>
    </row>
    <row r="5" spans="1:16" x14ac:dyDescent="0.25">
      <c r="A5" s="11" t="str">
        <f t="shared" si="0"/>
        <v>2025 SEPT B1G1</v>
      </c>
      <c r="B5" s="20">
        <f t="shared" si="0"/>
        <v>46104</v>
      </c>
      <c r="C5" s="8">
        <f>'[1]2019 ALL D95'!C5</f>
        <v>46113</v>
      </c>
      <c r="D5" s="11">
        <f t="shared" si="0"/>
        <v>3272</v>
      </c>
      <c r="E5" s="11">
        <f t="shared" si="0"/>
        <v>336</v>
      </c>
      <c r="F5" s="34">
        <v>4</v>
      </c>
      <c r="G5" s="24">
        <v>1</v>
      </c>
      <c r="H5" s="24">
        <v>81379</v>
      </c>
      <c r="I5" s="24" t="str">
        <f t="shared" si="1"/>
        <v>CHARACTER</v>
      </c>
      <c r="J5" s="24">
        <v>55568420</v>
      </c>
      <c r="K5" s="24" t="s">
        <v>1981</v>
      </c>
      <c r="L5" s="24" t="s">
        <v>1985</v>
      </c>
      <c r="M5" s="24">
        <v>99900</v>
      </c>
      <c r="N5" s="35" t="str">
        <f t="shared" si="3"/>
        <v>BXGY</v>
      </c>
      <c r="O5" s="9" t="str">
        <f t="shared" si="3"/>
        <v>B1G1</v>
      </c>
      <c r="P5" s="11" t="str">
        <f t="shared" si="3"/>
        <v>BXGY</v>
      </c>
    </row>
    <row r="6" spans="1:16" x14ac:dyDescent="0.25">
      <c r="A6" s="11" t="str">
        <f t="shared" si="0"/>
        <v>2025 SEPT B1G1</v>
      </c>
      <c r="B6" s="20">
        <f t="shared" si="0"/>
        <v>46104</v>
      </c>
      <c r="C6" s="8">
        <f>'[1]2019 ALL D95'!C6</f>
        <v>46113</v>
      </c>
      <c r="D6" s="11">
        <f t="shared" si="0"/>
        <v>3272</v>
      </c>
      <c r="E6" s="11">
        <f t="shared" si="0"/>
        <v>336</v>
      </c>
      <c r="F6" s="34">
        <v>4</v>
      </c>
      <c r="G6" s="24">
        <v>1</v>
      </c>
      <c r="H6" s="24">
        <v>81379</v>
      </c>
      <c r="I6" s="24" t="str">
        <f t="shared" si="1"/>
        <v>CHARACTER</v>
      </c>
      <c r="J6" s="24">
        <v>55568439</v>
      </c>
      <c r="K6" s="24" t="s">
        <v>1986</v>
      </c>
      <c r="L6" s="24" t="s">
        <v>1987</v>
      </c>
      <c r="M6" s="24">
        <v>99900</v>
      </c>
      <c r="N6" s="35" t="str">
        <f t="shared" si="3"/>
        <v>BXGY</v>
      </c>
      <c r="O6" s="9" t="str">
        <f t="shared" si="3"/>
        <v>B1G1</v>
      </c>
      <c r="P6" s="11" t="str">
        <f t="shared" si="3"/>
        <v>BXGY</v>
      </c>
    </row>
    <row r="7" spans="1:16" x14ac:dyDescent="0.25">
      <c r="A7" s="11" t="str">
        <f t="shared" si="0"/>
        <v>2025 SEPT B1G1</v>
      </c>
      <c r="B7" s="20">
        <f t="shared" si="0"/>
        <v>46104</v>
      </c>
      <c r="C7" s="8">
        <f>'[1]2019 ALL D95'!C7</f>
        <v>46113</v>
      </c>
      <c r="D7" s="11">
        <f t="shared" si="0"/>
        <v>3272</v>
      </c>
      <c r="E7" s="11">
        <f t="shared" si="0"/>
        <v>336</v>
      </c>
      <c r="F7" s="34">
        <v>4</v>
      </c>
      <c r="G7" s="24">
        <v>1</v>
      </c>
      <c r="H7" s="24">
        <v>81379</v>
      </c>
      <c r="I7" s="24" t="str">
        <f t="shared" si="1"/>
        <v>CHARACTER</v>
      </c>
      <c r="J7" s="24">
        <v>55568448</v>
      </c>
      <c r="K7" s="24" t="s">
        <v>1986</v>
      </c>
      <c r="L7" s="24" t="s">
        <v>1988</v>
      </c>
      <c r="M7" s="24">
        <v>99900</v>
      </c>
      <c r="N7" s="35" t="str">
        <f t="shared" si="3"/>
        <v>BXGY</v>
      </c>
      <c r="O7" s="9" t="str">
        <f t="shared" si="3"/>
        <v>B1G1</v>
      </c>
      <c r="P7" s="11" t="str">
        <f t="shared" si="3"/>
        <v>BXGY</v>
      </c>
    </row>
    <row r="8" spans="1:16" x14ac:dyDescent="0.25">
      <c r="A8" s="11" t="str">
        <f t="shared" si="0"/>
        <v>2025 SEPT B1G1</v>
      </c>
      <c r="B8" s="20">
        <f t="shared" si="0"/>
        <v>46104</v>
      </c>
      <c r="C8" s="8">
        <f>'[1]2019 ALL D95'!C8</f>
        <v>46113</v>
      </c>
      <c r="D8" s="11">
        <f t="shared" si="0"/>
        <v>3272</v>
      </c>
      <c r="E8" s="11">
        <f t="shared" si="0"/>
        <v>336</v>
      </c>
      <c r="F8" s="34">
        <v>4</v>
      </c>
      <c r="G8" s="24">
        <v>1</v>
      </c>
      <c r="H8" s="24">
        <v>81379</v>
      </c>
      <c r="I8" s="24" t="str">
        <f t="shared" si="1"/>
        <v>CHARACTER</v>
      </c>
      <c r="J8" s="24">
        <v>55568457</v>
      </c>
      <c r="K8" s="24" t="s">
        <v>1986</v>
      </c>
      <c r="L8" s="24" t="s">
        <v>1989</v>
      </c>
      <c r="M8" s="24">
        <v>99900</v>
      </c>
      <c r="N8" s="35" t="str">
        <f t="shared" si="3"/>
        <v>BXGY</v>
      </c>
      <c r="O8" s="9" t="str">
        <f t="shared" si="3"/>
        <v>B1G1</v>
      </c>
      <c r="P8" s="11" t="str">
        <f t="shared" si="3"/>
        <v>BXGY</v>
      </c>
    </row>
    <row r="9" spans="1:16" x14ac:dyDescent="0.25">
      <c r="A9" s="11" t="str">
        <f t="shared" si="0"/>
        <v>2025 SEPT B1G1</v>
      </c>
      <c r="B9" s="20">
        <f t="shared" si="0"/>
        <v>46104</v>
      </c>
      <c r="C9" s="8">
        <f>'[1]2019 ALL D95'!C9</f>
        <v>46113</v>
      </c>
      <c r="D9" s="11">
        <f t="shared" si="0"/>
        <v>3272</v>
      </c>
      <c r="E9" s="11">
        <f t="shared" si="0"/>
        <v>336</v>
      </c>
      <c r="F9" s="34">
        <v>4</v>
      </c>
      <c r="G9" s="24">
        <v>1</v>
      </c>
      <c r="H9" s="24">
        <v>81379</v>
      </c>
      <c r="I9" s="24" t="str">
        <f t="shared" si="1"/>
        <v>CHARACTER</v>
      </c>
      <c r="J9" s="24">
        <v>55568466</v>
      </c>
      <c r="K9" s="24" t="s">
        <v>1986</v>
      </c>
      <c r="L9" s="24" t="s">
        <v>1990</v>
      </c>
      <c r="M9" s="24">
        <v>99900</v>
      </c>
      <c r="N9" s="35" t="str">
        <f t="shared" si="3"/>
        <v>BXGY</v>
      </c>
      <c r="O9" s="9" t="str">
        <f t="shared" si="3"/>
        <v>B1G1</v>
      </c>
      <c r="P9" s="11" t="str">
        <f t="shared" si="3"/>
        <v>BXGY</v>
      </c>
    </row>
    <row r="10" spans="1:16" x14ac:dyDescent="0.25">
      <c r="A10" s="11" t="str">
        <f t="shared" si="0"/>
        <v>2025 SEPT B1G1</v>
      </c>
      <c r="B10" s="20">
        <f t="shared" si="0"/>
        <v>46104</v>
      </c>
      <c r="C10" s="8">
        <f>'[1]2019 ALL D95'!C10</f>
        <v>46113</v>
      </c>
      <c r="D10" s="11">
        <f t="shared" si="0"/>
        <v>3272</v>
      </c>
      <c r="E10" s="11">
        <f t="shared" si="0"/>
        <v>336</v>
      </c>
      <c r="F10" s="34">
        <v>4</v>
      </c>
      <c r="G10" s="24">
        <v>1</v>
      </c>
      <c r="H10" s="24">
        <v>81379</v>
      </c>
      <c r="I10" s="24" t="str">
        <f t="shared" si="1"/>
        <v>CHARACTER</v>
      </c>
      <c r="J10" s="24">
        <v>55568475</v>
      </c>
      <c r="K10" s="24" t="s">
        <v>1991</v>
      </c>
      <c r="L10" s="24" t="s">
        <v>1992</v>
      </c>
      <c r="M10" s="24">
        <v>99900</v>
      </c>
      <c r="N10" s="35" t="str">
        <f t="shared" si="3"/>
        <v>BXGY</v>
      </c>
      <c r="O10" s="9" t="str">
        <f t="shared" si="3"/>
        <v>B1G1</v>
      </c>
      <c r="P10" s="11" t="str">
        <f t="shared" si="3"/>
        <v>BXGY</v>
      </c>
    </row>
    <row r="11" spans="1:16" x14ac:dyDescent="0.25">
      <c r="A11" s="11" t="str">
        <f t="shared" si="0"/>
        <v>2025 SEPT B1G1</v>
      </c>
      <c r="B11" s="20">
        <f t="shared" si="0"/>
        <v>46104</v>
      </c>
      <c r="C11" s="8">
        <f>'[1]2019 ALL D95'!C11</f>
        <v>46113</v>
      </c>
      <c r="D11" s="11">
        <f t="shared" si="0"/>
        <v>3272</v>
      </c>
      <c r="E11" s="11">
        <f t="shared" si="0"/>
        <v>336</v>
      </c>
      <c r="F11" s="34">
        <v>4</v>
      </c>
      <c r="G11" s="24">
        <v>1</v>
      </c>
      <c r="H11" s="24">
        <v>81379</v>
      </c>
      <c r="I11" s="24" t="str">
        <f t="shared" si="1"/>
        <v>CHARACTER</v>
      </c>
      <c r="J11" s="24">
        <v>55568484</v>
      </c>
      <c r="K11" s="24" t="s">
        <v>1991</v>
      </c>
      <c r="L11" s="24" t="s">
        <v>1993</v>
      </c>
      <c r="M11" s="24">
        <v>99900</v>
      </c>
      <c r="N11" s="35" t="str">
        <f t="shared" si="3"/>
        <v>BXGY</v>
      </c>
      <c r="O11" s="9" t="str">
        <f t="shared" si="3"/>
        <v>B1G1</v>
      </c>
      <c r="P11" s="11" t="str">
        <f t="shared" si="3"/>
        <v>BXGY</v>
      </c>
    </row>
    <row r="12" spans="1:16" x14ac:dyDescent="0.25">
      <c r="A12" s="11" t="str">
        <f t="shared" si="0"/>
        <v>2025 SEPT B1G1</v>
      </c>
      <c r="B12" s="20">
        <f t="shared" si="0"/>
        <v>46104</v>
      </c>
      <c r="C12" s="8">
        <f>'[1]2019 ALL D95'!C12</f>
        <v>46113</v>
      </c>
      <c r="D12" s="11">
        <f t="shared" si="0"/>
        <v>3272</v>
      </c>
      <c r="E12" s="11">
        <f t="shared" si="0"/>
        <v>336</v>
      </c>
      <c r="F12" s="34">
        <v>4</v>
      </c>
      <c r="G12" s="24">
        <v>1</v>
      </c>
      <c r="H12" s="24">
        <v>81379</v>
      </c>
      <c r="I12" s="24" t="str">
        <f t="shared" si="1"/>
        <v>CHARACTER</v>
      </c>
      <c r="J12" s="24">
        <v>55568493</v>
      </c>
      <c r="K12" s="24" t="s">
        <v>1991</v>
      </c>
      <c r="L12" s="24" t="s">
        <v>1994</v>
      </c>
      <c r="M12" s="24">
        <v>99900</v>
      </c>
      <c r="N12" s="35" t="str">
        <f t="shared" si="3"/>
        <v>BXGY</v>
      </c>
      <c r="O12" s="9" t="str">
        <f t="shared" si="3"/>
        <v>B1G1</v>
      </c>
      <c r="P12" s="11" t="str">
        <f t="shared" si="3"/>
        <v>BXGY</v>
      </c>
    </row>
    <row r="13" spans="1:16" x14ac:dyDescent="0.25">
      <c r="A13" s="11" t="str">
        <f t="shared" si="0"/>
        <v>2025 SEPT B1G1</v>
      </c>
      <c r="B13" s="20">
        <f t="shared" si="0"/>
        <v>46104</v>
      </c>
      <c r="C13" s="8">
        <f>'[1]2019 ALL D95'!C13</f>
        <v>46113</v>
      </c>
      <c r="D13" s="11">
        <f t="shared" si="0"/>
        <v>3272</v>
      </c>
      <c r="E13" s="11">
        <f t="shared" si="0"/>
        <v>336</v>
      </c>
      <c r="F13" s="34">
        <v>4</v>
      </c>
      <c r="G13" s="24">
        <v>1</v>
      </c>
      <c r="H13" s="24">
        <v>81379</v>
      </c>
      <c r="I13" s="24" t="str">
        <f t="shared" si="1"/>
        <v>CHARACTER</v>
      </c>
      <c r="J13" s="24">
        <v>55568500</v>
      </c>
      <c r="K13" s="24" t="s">
        <v>1991</v>
      </c>
      <c r="L13" s="24" t="s">
        <v>1995</v>
      </c>
      <c r="M13" s="24">
        <v>99900</v>
      </c>
      <c r="N13" s="35" t="str">
        <f t="shared" si="3"/>
        <v>BXGY</v>
      </c>
      <c r="O13" s="9" t="str">
        <f t="shared" si="3"/>
        <v>B1G1</v>
      </c>
      <c r="P13" s="11" t="str">
        <f t="shared" si="3"/>
        <v>BXGY</v>
      </c>
    </row>
    <row r="14" spans="1:16" x14ac:dyDescent="0.25">
      <c r="A14" s="11" t="str">
        <f t="shared" si="0"/>
        <v>2025 SEPT B1G1</v>
      </c>
      <c r="B14" s="20">
        <f t="shared" si="0"/>
        <v>46104</v>
      </c>
      <c r="C14" s="8">
        <f>'[1]2019 ALL D95'!C14</f>
        <v>46113</v>
      </c>
      <c r="D14" s="11">
        <f t="shared" si="0"/>
        <v>3272</v>
      </c>
      <c r="E14" s="11">
        <f t="shared" si="0"/>
        <v>336</v>
      </c>
      <c r="F14" s="34">
        <v>4</v>
      </c>
      <c r="G14" s="24">
        <v>1</v>
      </c>
      <c r="H14" s="24">
        <v>81676</v>
      </c>
      <c r="I14" s="24" t="str">
        <f t="shared" si="1"/>
        <v>CHARACTER</v>
      </c>
      <c r="J14" s="24">
        <v>55568251</v>
      </c>
      <c r="K14" s="24" t="s">
        <v>1996</v>
      </c>
      <c r="L14" s="24" t="s">
        <v>1997</v>
      </c>
      <c r="M14" s="24">
        <v>99900</v>
      </c>
      <c r="N14" s="35" t="str">
        <f t="shared" si="3"/>
        <v>BXGY</v>
      </c>
      <c r="O14" s="9" t="str">
        <f t="shared" si="3"/>
        <v>B1G1</v>
      </c>
      <c r="P14" s="11" t="str">
        <f t="shared" si="3"/>
        <v>BXGY</v>
      </c>
    </row>
    <row r="15" spans="1:16" x14ac:dyDescent="0.25">
      <c r="A15" s="11" t="str">
        <f t="shared" si="0"/>
        <v>2025 SEPT B1G1</v>
      </c>
      <c r="B15" s="20">
        <f t="shared" si="0"/>
        <v>46104</v>
      </c>
      <c r="C15" s="8">
        <f>C2</f>
        <v>46113</v>
      </c>
      <c r="D15" s="11">
        <f t="shared" si="0"/>
        <v>3272</v>
      </c>
      <c r="E15" s="11">
        <f t="shared" si="0"/>
        <v>336</v>
      </c>
      <c r="F15" s="34">
        <v>4</v>
      </c>
      <c r="G15" s="24">
        <v>1</v>
      </c>
      <c r="H15" s="24">
        <v>81676</v>
      </c>
      <c r="I15" s="24" t="str">
        <f t="shared" si="1"/>
        <v>CHARACTER</v>
      </c>
      <c r="J15" s="24">
        <v>55568260</v>
      </c>
      <c r="K15" s="24" t="s">
        <v>1996</v>
      </c>
      <c r="L15" s="24" t="s">
        <v>1998</v>
      </c>
      <c r="M15" s="24">
        <v>99900</v>
      </c>
      <c r="N15" s="35" t="str">
        <f t="shared" si="3"/>
        <v>BXGY</v>
      </c>
      <c r="O15" s="9" t="str">
        <f t="shared" si="3"/>
        <v>B1G1</v>
      </c>
      <c r="P15" s="11" t="str">
        <f t="shared" si="3"/>
        <v>BXGY</v>
      </c>
    </row>
    <row r="16" spans="1:16" x14ac:dyDescent="0.25">
      <c r="A16" s="11" t="str">
        <f t="shared" si="0"/>
        <v>2025 SEPT B1G1</v>
      </c>
      <c r="B16" s="20">
        <f t="shared" si="0"/>
        <v>46104</v>
      </c>
      <c r="C16" s="8">
        <f>C2</f>
        <v>46113</v>
      </c>
      <c r="D16" s="11">
        <f t="shared" si="0"/>
        <v>3272</v>
      </c>
      <c r="E16" s="11">
        <f t="shared" si="0"/>
        <v>336</v>
      </c>
      <c r="F16" s="34">
        <v>4</v>
      </c>
      <c r="G16" s="24">
        <v>1</v>
      </c>
      <c r="H16" s="24">
        <v>81676</v>
      </c>
      <c r="I16" s="24" t="str">
        <f t="shared" si="1"/>
        <v>CHARACTER</v>
      </c>
      <c r="J16" s="24">
        <v>55568279</v>
      </c>
      <c r="K16" s="24" t="s">
        <v>1996</v>
      </c>
      <c r="L16" s="24" t="s">
        <v>1999</v>
      </c>
      <c r="M16" s="24">
        <v>99900</v>
      </c>
      <c r="N16" s="35" t="str">
        <f t="shared" si="3"/>
        <v>BXGY</v>
      </c>
      <c r="O16" s="9" t="str">
        <f t="shared" si="3"/>
        <v>B1G1</v>
      </c>
      <c r="P16" s="11" t="str">
        <f t="shared" si="3"/>
        <v>BXGY</v>
      </c>
    </row>
    <row r="17" spans="1:16" x14ac:dyDescent="0.25">
      <c r="A17" s="11" t="str">
        <f t="shared" si="0"/>
        <v>2025 SEPT B1G1</v>
      </c>
      <c r="B17" s="20">
        <f t="shared" si="0"/>
        <v>46104</v>
      </c>
      <c r="C17" s="8">
        <f>C2</f>
        <v>46113</v>
      </c>
      <c r="D17" s="11">
        <f t="shared" si="0"/>
        <v>3272</v>
      </c>
      <c r="E17" s="11">
        <f t="shared" si="0"/>
        <v>336</v>
      </c>
      <c r="F17" s="34">
        <v>4</v>
      </c>
      <c r="G17" s="24">
        <v>1</v>
      </c>
      <c r="H17" s="24">
        <v>81676</v>
      </c>
      <c r="I17" s="24" t="str">
        <f t="shared" si="1"/>
        <v>CHARACTER</v>
      </c>
      <c r="J17" s="24">
        <v>55568288</v>
      </c>
      <c r="K17" s="24" t="s">
        <v>1996</v>
      </c>
      <c r="L17" s="24" t="s">
        <v>2000</v>
      </c>
      <c r="M17" s="24">
        <v>99900</v>
      </c>
      <c r="N17" s="35" t="str">
        <f t="shared" si="3"/>
        <v>BXGY</v>
      </c>
      <c r="O17" s="9" t="str">
        <f t="shared" si="3"/>
        <v>B1G1</v>
      </c>
      <c r="P17" s="11" t="str">
        <f t="shared" si="3"/>
        <v>BXGY</v>
      </c>
    </row>
    <row r="18" spans="1:16" x14ac:dyDescent="0.25">
      <c r="A18" s="11" t="str">
        <f t="shared" si="0"/>
        <v>2025 SEPT B1G1</v>
      </c>
      <c r="B18" s="20">
        <f t="shared" si="0"/>
        <v>46104</v>
      </c>
      <c r="C18" s="8">
        <f>'[1]2019 ALL D95'!C2</f>
        <v>46113</v>
      </c>
      <c r="D18" s="11">
        <f t="shared" si="0"/>
        <v>3272</v>
      </c>
      <c r="E18" s="11">
        <f t="shared" si="0"/>
        <v>336</v>
      </c>
      <c r="F18" s="34">
        <v>4</v>
      </c>
      <c r="G18" s="24">
        <v>1</v>
      </c>
      <c r="H18" s="24">
        <v>81676</v>
      </c>
      <c r="I18" s="24" t="str">
        <f t="shared" si="1"/>
        <v>CHARACTER</v>
      </c>
      <c r="J18" s="24">
        <v>55568297</v>
      </c>
      <c r="K18" s="24" t="s">
        <v>1996</v>
      </c>
      <c r="L18" s="24" t="s">
        <v>2001</v>
      </c>
      <c r="M18" s="24">
        <v>99900</v>
      </c>
      <c r="N18" s="35" t="str">
        <f t="shared" si="3"/>
        <v>BXGY</v>
      </c>
      <c r="O18" s="9" t="str">
        <f t="shared" si="3"/>
        <v>B1G1</v>
      </c>
      <c r="P18" s="11" t="str">
        <f t="shared" si="3"/>
        <v>BXGY</v>
      </c>
    </row>
    <row r="19" spans="1:16" x14ac:dyDescent="0.25">
      <c r="A19" s="11" t="str">
        <f t="shared" ref="A19:E34" si="4">A18</f>
        <v>2025 SEPT B1G1</v>
      </c>
      <c r="B19" s="20">
        <f t="shared" si="4"/>
        <v>46104</v>
      </c>
      <c r="C19" s="8">
        <f>'[1]2019 ALL D95'!C2</f>
        <v>46113</v>
      </c>
      <c r="D19" s="11">
        <f t="shared" si="4"/>
        <v>3272</v>
      </c>
      <c r="E19" s="11">
        <f t="shared" si="4"/>
        <v>336</v>
      </c>
      <c r="F19" s="34">
        <v>4</v>
      </c>
      <c r="G19" s="24">
        <v>1</v>
      </c>
      <c r="H19" s="24">
        <v>81676</v>
      </c>
      <c r="I19" s="24" t="str">
        <f t="shared" si="1"/>
        <v>CHARACTER</v>
      </c>
      <c r="J19" s="24">
        <v>55568304</v>
      </c>
      <c r="K19" s="24" t="s">
        <v>1996</v>
      </c>
      <c r="L19" s="24" t="s">
        <v>2002</v>
      </c>
      <c r="M19" s="24">
        <v>99900</v>
      </c>
      <c r="N19" s="35" t="str">
        <f t="shared" si="3"/>
        <v>BXGY</v>
      </c>
      <c r="O19" s="9" t="str">
        <f t="shared" si="3"/>
        <v>B1G1</v>
      </c>
      <c r="P19" s="11" t="str">
        <f t="shared" si="3"/>
        <v>BXGY</v>
      </c>
    </row>
    <row r="20" spans="1:16" x14ac:dyDescent="0.25">
      <c r="A20" s="11" t="str">
        <f t="shared" si="4"/>
        <v>2025 SEPT B1G1</v>
      </c>
      <c r="B20" s="20">
        <f t="shared" si="4"/>
        <v>46104</v>
      </c>
      <c r="C20" s="8">
        <f>C2</f>
        <v>46113</v>
      </c>
      <c r="D20" s="11">
        <f t="shared" si="4"/>
        <v>3272</v>
      </c>
      <c r="E20" s="11">
        <f t="shared" si="4"/>
        <v>336</v>
      </c>
      <c r="F20" s="34">
        <v>4</v>
      </c>
      <c r="G20" s="24">
        <v>1</v>
      </c>
      <c r="H20" s="24">
        <v>81676</v>
      </c>
      <c r="I20" s="24" t="str">
        <f t="shared" si="1"/>
        <v>CHARACTER</v>
      </c>
      <c r="J20" s="24">
        <v>55568313</v>
      </c>
      <c r="K20" s="24" t="s">
        <v>1996</v>
      </c>
      <c r="L20" s="24" t="s">
        <v>2003</v>
      </c>
      <c r="M20" s="24">
        <v>99900</v>
      </c>
      <c r="N20" s="35" t="str">
        <f t="shared" ref="N20:P35" si="5">N19</f>
        <v>BXGY</v>
      </c>
      <c r="O20" s="9" t="str">
        <f t="shared" si="5"/>
        <v>B1G1</v>
      </c>
      <c r="P20" s="11" t="str">
        <f t="shared" si="5"/>
        <v>BXGY</v>
      </c>
    </row>
    <row r="21" spans="1:16" x14ac:dyDescent="0.25">
      <c r="A21" s="11" t="s">
        <v>2022</v>
      </c>
      <c r="B21" s="20">
        <f t="shared" ref="B21:B35" si="6">B20</f>
        <v>46104</v>
      </c>
      <c r="C21" s="8">
        <f t="shared" ref="C21:C35" si="7">C3</f>
        <v>46113</v>
      </c>
      <c r="D21" s="11">
        <f t="shared" si="4"/>
        <v>3272</v>
      </c>
      <c r="E21" s="11">
        <f t="shared" si="4"/>
        <v>336</v>
      </c>
      <c r="F21" s="34">
        <v>4</v>
      </c>
      <c r="G21" s="24">
        <f>G2</f>
        <v>1</v>
      </c>
      <c r="H21" s="24">
        <v>81379</v>
      </c>
      <c r="I21" s="13" t="s">
        <v>16</v>
      </c>
      <c r="J21" s="24">
        <v>54555445</v>
      </c>
      <c r="K21" s="24" t="s">
        <v>2004</v>
      </c>
      <c r="L21" s="24" t="s">
        <v>2005</v>
      </c>
      <c r="M21" s="37">
        <v>149900</v>
      </c>
      <c r="N21" s="35" t="str">
        <f t="shared" si="5"/>
        <v>BXGY</v>
      </c>
      <c r="O21" s="9" t="str">
        <f t="shared" si="5"/>
        <v>B1G1</v>
      </c>
      <c r="P21" s="11" t="str">
        <f t="shared" si="5"/>
        <v>BXGY</v>
      </c>
    </row>
    <row r="22" spans="1:16" x14ac:dyDescent="0.25">
      <c r="A22" s="11" t="str">
        <f t="shared" ref="A22:A31" si="8">A21</f>
        <v>2025 SEPT B1G1</v>
      </c>
      <c r="B22" s="20">
        <f t="shared" si="6"/>
        <v>46104</v>
      </c>
      <c r="C22" s="8">
        <f t="shared" si="7"/>
        <v>46113</v>
      </c>
      <c r="D22" s="11">
        <f t="shared" si="4"/>
        <v>3272</v>
      </c>
      <c r="E22" s="11">
        <f t="shared" si="4"/>
        <v>336</v>
      </c>
      <c r="F22" s="34">
        <v>4</v>
      </c>
      <c r="G22" s="24">
        <f t="shared" ref="G22:G31" si="9">G21</f>
        <v>1</v>
      </c>
      <c r="H22" s="24">
        <v>81379</v>
      </c>
      <c r="I22" s="24" t="str">
        <f t="shared" ref="I22:I35" si="10">I21</f>
        <v>CHARACTER</v>
      </c>
      <c r="J22" s="24">
        <v>54555454</v>
      </c>
      <c r="K22" s="24" t="s">
        <v>2004</v>
      </c>
      <c r="L22" s="24" t="s">
        <v>2006</v>
      </c>
      <c r="M22" s="37">
        <v>149900</v>
      </c>
      <c r="N22" s="35" t="str">
        <f t="shared" si="5"/>
        <v>BXGY</v>
      </c>
      <c r="O22" s="9" t="str">
        <f t="shared" si="5"/>
        <v>B1G1</v>
      </c>
      <c r="P22" s="11" t="str">
        <f t="shared" si="5"/>
        <v>BXGY</v>
      </c>
    </row>
    <row r="23" spans="1:16" x14ac:dyDescent="0.25">
      <c r="A23" s="11" t="str">
        <f t="shared" si="8"/>
        <v>2025 SEPT B1G1</v>
      </c>
      <c r="B23" s="20">
        <f t="shared" si="6"/>
        <v>46104</v>
      </c>
      <c r="C23" s="8">
        <f t="shared" si="7"/>
        <v>46113</v>
      </c>
      <c r="D23" s="11">
        <f t="shared" si="4"/>
        <v>3272</v>
      </c>
      <c r="E23" s="11">
        <f t="shared" si="4"/>
        <v>336</v>
      </c>
      <c r="F23" s="34">
        <v>4</v>
      </c>
      <c r="G23" s="24">
        <f t="shared" si="9"/>
        <v>1</v>
      </c>
      <c r="H23" s="24">
        <v>81379</v>
      </c>
      <c r="I23" s="24" t="str">
        <f t="shared" si="10"/>
        <v>CHARACTER</v>
      </c>
      <c r="J23" s="24">
        <v>54555463</v>
      </c>
      <c r="K23" s="24" t="s">
        <v>2004</v>
      </c>
      <c r="L23" s="24" t="s">
        <v>2007</v>
      </c>
      <c r="M23" s="37">
        <v>149900</v>
      </c>
      <c r="N23" s="35" t="str">
        <f t="shared" si="5"/>
        <v>BXGY</v>
      </c>
      <c r="O23" s="9" t="str">
        <f t="shared" si="5"/>
        <v>B1G1</v>
      </c>
      <c r="P23" s="11" t="str">
        <f t="shared" si="5"/>
        <v>BXGY</v>
      </c>
    </row>
    <row r="24" spans="1:16" x14ac:dyDescent="0.25">
      <c r="A24" s="11" t="str">
        <f t="shared" si="8"/>
        <v>2025 SEPT B1G1</v>
      </c>
      <c r="B24" s="20">
        <f t="shared" si="6"/>
        <v>46104</v>
      </c>
      <c r="C24" s="8">
        <f t="shared" si="7"/>
        <v>46113</v>
      </c>
      <c r="D24" s="11">
        <f t="shared" si="4"/>
        <v>3272</v>
      </c>
      <c r="E24" s="11">
        <f t="shared" si="4"/>
        <v>336</v>
      </c>
      <c r="F24" s="34">
        <v>4</v>
      </c>
      <c r="G24" s="24">
        <f t="shared" si="9"/>
        <v>1</v>
      </c>
      <c r="H24" s="24">
        <v>81379</v>
      </c>
      <c r="I24" s="24" t="str">
        <f t="shared" si="10"/>
        <v>CHARACTER</v>
      </c>
      <c r="J24" s="24">
        <v>54555472</v>
      </c>
      <c r="K24" s="24" t="s">
        <v>2004</v>
      </c>
      <c r="L24" s="24" t="s">
        <v>2008</v>
      </c>
      <c r="M24" s="37">
        <v>149900</v>
      </c>
      <c r="N24" s="35" t="str">
        <f t="shared" si="5"/>
        <v>BXGY</v>
      </c>
      <c r="O24" s="9" t="str">
        <f t="shared" si="5"/>
        <v>B1G1</v>
      </c>
      <c r="P24" s="11" t="str">
        <f t="shared" si="5"/>
        <v>BXGY</v>
      </c>
    </row>
    <row r="25" spans="1:16" x14ac:dyDescent="0.25">
      <c r="A25" s="11" t="str">
        <f t="shared" si="8"/>
        <v>2025 SEPT B1G1</v>
      </c>
      <c r="B25" s="20">
        <f t="shared" si="6"/>
        <v>46104</v>
      </c>
      <c r="C25" s="8">
        <f t="shared" si="7"/>
        <v>46113</v>
      </c>
      <c r="D25" s="11">
        <f t="shared" si="4"/>
        <v>3272</v>
      </c>
      <c r="E25" s="11">
        <f t="shared" si="4"/>
        <v>336</v>
      </c>
      <c r="F25" s="34">
        <v>4</v>
      </c>
      <c r="G25" s="24">
        <f t="shared" si="9"/>
        <v>1</v>
      </c>
      <c r="H25" s="24">
        <v>81379</v>
      </c>
      <c r="I25" s="24" t="str">
        <f t="shared" si="10"/>
        <v>CHARACTER</v>
      </c>
      <c r="J25" s="24">
        <v>54555481</v>
      </c>
      <c r="K25" s="24" t="s">
        <v>2004</v>
      </c>
      <c r="L25" s="24" t="s">
        <v>2009</v>
      </c>
      <c r="M25" s="37">
        <v>149900</v>
      </c>
      <c r="N25" s="35" t="str">
        <f t="shared" si="5"/>
        <v>BXGY</v>
      </c>
      <c r="O25" s="9" t="str">
        <f t="shared" si="5"/>
        <v>B1G1</v>
      </c>
      <c r="P25" s="11" t="str">
        <f t="shared" si="5"/>
        <v>BXGY</v>
      </c>
    </row>
    <row r="26" spans="1:16" x14ac:dyDescent="0.25">
      <c r="A26" s="11" t="str">
        <f t="shared" si="8"/>
        <v>2025 SEPT B1G1</v>
      </c>
      <c r="B26" s="20">
        <f t="shared" si="6"/>
        <v>46104</v>
      </c>
      <c r="C26" s="8">
        <f t="shared" si="7"/>
        <v>46113</v>
      </c>
      <c r="D26" s="11">
        <f t="shared" si="4"/>
        <v>3272</v>
      </c>
      <c r="E26" s="11">
        <f t="shared" si="4"/>
        <v>336</v>
      </c>
      <c r="F26" s="34">
        <v>4</v>
      </c>
      <c r="G26" s="24">
        <f t="shared" si="9"/>
        <v>1</v>
      </c>
      <c r="H26" s="24">
        <v>81379</v>
      </c>
      <c r="I26" s="24" t="str">
        <f t="shared" si="10"/>
        <v>CHARACTER</v>
      </c>
      <c r="J26" s="24">
        <v>54555490</v>
      </c>
      <c r="K26" s="24" t="s">
        <v>2004</v>
      </c>
      <c r="L26" s="24" t="s">
        <v>2010</v>
      </c>
      <c r="M26" s="37">
        <v>149900</v>
      </c>
      <c r="N26" s="35" t="str">
        <f t="shared" si="5"/>
        <v>BXGY</v>
      </c>
      <c r="O26" s="9" t="str">
        <f t="shared" si="5"/>
        <v>B1G1</v>
      </c>
      <c r="P26" s="11" t="str">
        <f t="shared" si="5"/>
        <v>BXGY</v>
      </c>
    </row>
    <row r="27" spans="1:16" x14ac:dyDescent="0.25">
      <c r="A27" s="11" t="str">
        <f t="shared" si="8"/>
        <v>2025 SEPT B1G1</v>
      </c>
      <c r="B27" s="20">
        <f t="shared" si="6"/>
        <v>46104</v>
      </c>
      <c r="C27" s="8">
        <f t="shared" si="7"/>
        <v>46113</v>
      </c>
      <c r="D27" s="11">
        <f t="shared" si="4"/>
        <v>3272</v>
      </c>
      <c r="E27" s="11">
        <f t="shared" si="4"/>
        <v>336</v>
      </c>
      <c r="F27" s="34">
        <v>4</v>
      </c>
      <c r="G27" s="24">
        <f t="shared" si="9"/>
        <v>1</v>
      </c>
      <c r="H27" s="24">
        <v>81379</v>
      </c>
      <c r="I27" s="24" t="str">
        <f t="shared" si="10"/>
        <v>CHARACTER</v>
      </c>
      <c r="J27" s="24">
        <v>54555507</v>
      </c>
      <c r="K27" s="24" t="s">
        <v>2004</v>
      </c>
      <c r="L27" s="24" t="s">
        <v>2011</v>
      </c>
      <c r="M27" s="37">
        <v>149900</v>
      </c>
      <c r="N27" s="35" t="str">
        <f t="shared" si="5"/>
        <v>BXGY</v>
      </c>
      <c r="O27" s="9" t="str">
        <f t="shared" si="5"/>
        <v>B1G1</v>
      </c>
      <c r="P27" s="11" t="str">
        <f t="shared" si="5"/>
        <v>BXGY</v>
      </c>
    </row>
    <row r="28" spans="1:16" x14ac:dyDescent="0.25">
      <c r="A28" s="11" t="str">
        <f t="shared" si="8"/>
        <v>2025 SEPT B1G1</v>
      </c>
      <c r="B28" s="20">
        <f t="shared" si="6"/>
        <v>46104</v>
      </c>
      <c r="C28" s="8">
        <f t="shared" si="7"/>
        <v>46113</v>
      </c>
      <c r="D28" s="11">
        <f t="shared" si="4"/>
        <v>3272</v>
      </c>
      <c r="E28" s="11">
        <f t="shared" si="4"/>
        <v>336</v>
      </c>
      <c r="F28" s="34">
        <v>4</v>
      </c>
      <c r="G28" s="24">
        <f t="shared" si="9"/>
        <v>1</v>
      </c>
      <c r="H28" s="24">
        <v>81379</v>
      </c>
      <c r="I28" s="24" t="str">
        <f t="shared" si="10"/>
        <v>CHARACTER</v>
      </c>
      <c r="J28" s="24">
        <v>55568555</v>
      </c>
      <c r="K28" s="24" t="s">
        <v>2012</v>
      </c>
      <c r="L28" s="24" t="s">
        <v>2013</v>
      </c>
      <c r="M28" s="37">
        <v>149900</v>
      </c>
      <c r="N28" s="35" t="str">
        <f t="shared" si="5"/>
        <v>BXGY</v>
      </c>
      <c r="O28" s="9" t="str">
        <f t="shared" si="5"/>
        <v>B1G1</v>
      </c>
      <c r="P28" s="11" t="str">
        <f t="shared" si="5"/>
        <v>BXGY</v>
      </c>
    </row>
    <row r="29" spans="1:16" x14ac:dyDescent="0.25">
      <c r="A29" s="11" t="str">
        <f t="shared" si="8"/>
        <v>2025 SEPT B1G1</v>
      </c>
      <c r="B29" s="20">
        <f t="shared" si="6"/>
        <v>46104</v>
      </c>
      <c r="C29" s="8">
        <f t="shared" si="7"/>
        <v>46113</v>
      </c>
      <c r="D29" s="11">
        <f t="shared" si="4"/>
        <v>3272</v>
      </c>
      <c r="E29" s="11">
        <f t="shared" si="4"/>
        <v>336</v>
      </c>
      <c r="F29" s="34">
        <v>4</v>
      </c>
      <c r="G29" s="24">
        <f t="shared" si="9"/>
        <v>1</v>
      </c>
      <c r="H29" s="24">
        <v>81379</v>
      </c>
      <c r="I29" s="24" t="str">
        <f t="shared" si="10"/>
        <v>CHARACTER</v>
      </c>
      <c r="J29" s="24">
        <v>55568564</v>
      </c>
      <c r="K29" s="24" t="s">
        <v>2012</v>
      </c>
      <c r="L29" s="24" t="s">
        <v>2014</v>
      </c>
      <c r="M29" s="37">
        <v>149900</v>
      </c>
      <c r="N29" s="35" t="str">
        <f t="shared" si="5"/>
        <v>BXGY</v>
      </c>
      <c r="O29" s="9" t="str">
        <f t="shared" si="5"/>
        <v>B1G1</v>
      </c>
      <c r="P29" s="11" t="str">
        <f t="shared" si="5"/>
        <v>BXGY</v>
      </c>
    </row>
    <row r="30" spans="1:16" x14ac:dyDescent="0.25">
      <c r="A30" s="11" t="str">
        <f t="shared" si="8"/>
        <v>2025 SEPT B1G1</v>
      </c>
      <c r="B30" s="20">
        <f t="shared" si="6"/>
        <v>46104</v>
      </c>
      <c r="C30" s="8">
        <f t="shared" si="7"/>
        <v>46113</v>
      </c>
      <c r="D30" s="11">
        <f t="shared" si="4"/>
        <v>3272</v>
      </c>
      <c r="E30" s="11">
        <f t="shared" si="4"/>
        <v>336</v>
      </c>
      <c r="F30" s="34">
        <v>4</v>
      </c>
      <c r="G30" s="24">
        <f t="shared" si="9"/>
        <v>1</v>
      </c>
      <c r="H30" s="24">
        <v>81379</v>
      </c>
      <c r="I30" s="24" t="str">
        <f t="shared" si="10"/>
        <v>CHARACTER</v>
      </c>
      <c r="J30" s="24">
        <v>55568573</v>
      </c>
      <c r="K30" s="24" t="s">
        <v>2012</v>
      </c>
      <c r="L30" s="24" t="s">
        <v>2015</v>
      </c>
      <c r="M30" s="37">
        <v>149900</v>
      </c>
      <c r="N30" s="35" t="str">
        <f t="shared" si="5"/>
        <v>BXGY</v>
      </c>
      <c r="O30" s="9" t="str">
        <f t="shared" si="5"/>
        <v>B1G1</v>
      </c>
      <c r="P30" s="11" t="str">
        <f t="shared" si="5"/>
        <v>BXGY</v>
      </c>
    </row>
    <row r="31" spans="1:16" x14ac:dyDescent="0.25">
      <c r="A31" s="11" t="str">
        <f t="shared" si="8"/>
        <v>2025 SEPT B1G1</v>
      </c>
      <c r="B31" s="20">
        <f t="shared" si="6"/>
        <v>46104</v>
      </c>
      <c r="C31" s="8">
        <f t="shared" si="7"/>
        <v>46113</v>
      </c>
      <c r="D31" s="11">
        <f t="shared" si="4"/>
        <v>3272</v>
      </c>
      <c r="E31" s="11">
        <f t="shared" si="4"/>
        <v>336</v>
      </c>
      <c r="F31" s="34">
        <v>4</v>
      </c>
      <c r="G31" s="24">
        <f t="shared" si="9"/>
        <v>1</v>
      </c>
      <c r="H31" s="24">
        <v>81379</v>
      </c>
      <c r="I31" s="24" t="str">
        <f t="shared" si="10"/>
        <v>CHARACTER</v>
      </c>
      <c r="J31" s="24">
        <v>55568582</v>
      </c>
      <c r="K31" s="24" t="s">
        <v>2012</v>
      </c>
      <c r="L31" s="24" t="s">
        <v>2016</v>
      </c>
      <c r="M31" s="37">
        <v>149900</v>
      </c>
      <c r="N31" s="35" t="str">
        <f t="shared" si="5"/>
        <v>BXGY</v>
      </c>
      <c r="O31" s="9" t="str">
        <f t="shared" si="5"/>
        <v>B1G1</v>
      </c>
      <c r="P31" s="11" t="str">
        <f t="shared" si="5"/>
        <v>BXGY</v>
      </c>
    </row>
    <row r="32" spans="1:16" x14ac:dyDescent="0.25">
      <c r="A32" s="11" t="s">
        <v>2022</v>
      </c>
      <c r="B32" s="20">
        <f t="shared" si="6"/>
        <v>46104</v>
      </c>
      <c r="C32" s="8">
        <f t="shared" si="7"/>
        <v>46113</v>
      </c>
      <c r="D32" s="11">
        <f t="shared" si="4"/>
        <v>3272</v>
      </c>
      <c r="E32" s="11">
        <f t="shared" si="4"/>
        <v>336</v>
      </c>
      <c r="F32" s="34">
        <v>4</v>
      </c>
      <c r="G32" s="24">
        <v>3</v>
      </c>
      <c r="H32" s="24">
        <v>81379</v>
      </c>
      <c r="I32" s="13" t="s">
        <v>16</v>
      </c>
      <c r="J32" s="24">
        <v>55568519</v>
      </c>
      <c r="K32" s="24" t="s">
        <v>2017</v>
      </c>
      <c r="L32" s="24" t="s">
        <v>2018</v>
      </c>
      <c r="M32" s="24">
        <v>179900</v>
      </c>
      <c r="N32" s="35" t="str">
        <f t="shared" si="5"/>
        <v>BXGY</v>
      </c>
      <c r="O32" s="9" t="str">
        <f t="shared" si="5"/>
        <v>B1G1</v>
      </c>
      <c r="P32" s="11" t="str">
        <f t="shared" si="5"/>
        <v>BXGY</v>
      </c>
    </row>
    <row r="33" spans="1:16" x14ac:dyDescent="0.25">
      <c r="A33" s="11" t="str">
        <f t="shared" ref="A33:E35" si="11">A32</f>
        <v>2025 SEPT B1G1</v>
      </c>
      <c r="B33" s="20">
        <f t="shared" si="6"/>
        <v>46104</v>
      </c>
      <c r="C33" s="8">
        <f t="shared" si="7"/>
        <v>46113</v>
      </c>
      <c r="D33" s="11">
        <f t="shared" si="4"/>
        <v>3272</v>
      </c>
      <c r="E33" s="11">
        <f t="shared" si="4"/>
        <v>336</v>
      </c>
      <c r="F33" s="34">
        <v>4</v>
      </c>
      <c r="G33" s="24">
        <v>3</v>
      </c>
      <c r="H33" s="24">
        <v>81379</v>
      </c>
      <c r="I33" s="24" t="str">
        <f t="shared" si="10"/>
        <v>CHARACTER</v>
      </c>
      <c r="J33" s="24">
        <v>55568528</v>
      </c>
      <c r="K33" s="24" t="s">
        <v>2017</v>
      </c>
      <c r="L33" s="24" t="s">
        <v>2019</v>
      </c>
      <c r="M33" s="24">
        <v>179900</v>
      </c>
      <c r="N33" s="35" t="str">
        <f t="shared" si="5"/>
        <v>BXGY</v>
      </c>
      <c r="O33" s="9" t="str">
        <f t="shared" si="5"/>
        <v>B1G1</v>
      </c>
      <c r="P33" s="11" t="str">
        <f t="shared" si="5"/>
        <v>BXGY</v>
      </c>
    </row>
    <row r="34" spans="1:16" x14ac:dyDescent="0.25">
      <c r="A34" s="11" t="str">
        <f t="shared" si="11"/>
        <v>2025 SEPT B1G1</v>
      </c>
      <c r="B34" s="20">
        <f t="shared" si="6"/>
        <v>46104</v>
      </c>
      <c r="C34" s="8">
        <f>C2</f>
        <v>46113</v>
      </c>
      <c r="D34" s="11">
        <f t="shared" si="4"/>
        <v>3272</v>
      </c>
      <c r="E34" s="11">
        <f t="shared" si="4"/>
        <v>336</v>
      </c>
      <c r="F34" s="34">
        <v>4</v>
      </c>
      <c r="G34" s="24">
        <v>3</v>
      </c>
      <c r="H34" s="24">
        <v>81379</v>
      </c>
      <c r="I34" s="24" t="str">
        <f t="shared" si="10"/>
        <v>CHARACTER</v>
      </c>
      <c r="J34" s="24">
        <v>55568537</v>
      </c>
      <c r="K34" s="24" t="s">
        <v>2017</v>
      </c>
      <c r="L34" s="24" t="s">
        <v>2020</v>
      </c>
      <c r="M34" s="24">
        <v>179900</v>
      </c>
      <c r="N34" s="35" t="str">
        <f t="shared" si="5"/>
        <v>BXGY</v>
      </c>
      <c r="O34" s="9" t="str">
        <f t="shared" si="5"/>
        <v>B1G1</v>
      </c>
      <c r="P34" s="11" t="str">
        <f t="shared" si="5"/>
        <v>BXGY</v>
      </c>
    </row>
    <row r="35" spans="1:16" x14ac:dyDescent="0.25">
      <c r="A35" s="11" t="str">
        <f t="shared" si="11"/>
        <v>2025 SEPT B1G1</v>
      </c>
      <c r="B35" s="20">
        <f t="shared" si="6"/>
        <v>46104</v>
      </c>
      <c r="C35" s="8">
        <f t="shared" si="7"/>
        <v>46113</v>
      </c>
      <c r="D35" s="11">
        <f t="shared" si="11"/>
        <v>3272</v>
      </c>
      <c r="E35" s="11">
        <f t="shared" si="11"/>
        <v>336</v>
      </c>
      <c r="F35" s="34">
        <v>4</v>
      </c>
      <c r="G35" s="24">
        <v>3</v>
      </c>
      <c r="H35" s="24">
        <v>81379</v>
      </c>
      <c r="I35" s="24" t="str">
        <f t="shared" si="10"/>
        <v>CHARACTER</v>
      </c>
      <c r="J35" s="24">
        <v>55568546</v>
      </c>
      <c r="K35" s="24" t="s">
        <v>2017</v>
      </c>
      <c r="L35" s="24" t="s">
        <v>2021</v>
      </c>
      <c r="M35" s="24">
        <v>179900</v>
      </c>
      <c r="N35" s="35" t="str">
        <f t="shared" si="5"/>
        <v>BXGY</v>
      </c>
      <c r="O35" s="9" t="s">
        <v>2023</v>
      </c>
      <c r="P35" s="11" t="str">
        <f t="shared" si="5"/>
        <v>BXGY</v>
      </c>
    </row>
  </sheetData>
  <conditionalFormatting sqref="J1:J35">
    <cfRule type="duplicateValues" dxfId="1" priority="1"/>
    <cfRule type="duplicateValues" dxfId="0" priority="2"/>
  </conditionalFormatting>
  <pageMargins left="0.7" right="0.7" top="0.75" bottom="0.75" header="0.3" footer="0.3"/>
  <ignoredErrors>
    <ignoredError sqref="C3:C35" formula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DD06F-9DC4-41E9-92B1-9E5D8484E6EE}">
  <dimension ref="A1:P16"/>
  <sheetViews>
    <sheetView workbookViewId="0">
      <selection activeCell="G18" sqref="G18"/>
    </sheetView>
  </sheetViews>
  <sheetFormatPr defaultRowHeight="15" x14ac:dyDescent="0.25"/>
  <cols>
    <col min="1" max="1" width="12.7109375" bestFit="1" customWidth="1"/>
    <col min="2" max="2" width="11.42578125" bestFit="1" customWidth="1"/>
    <col min="3" max="3" width="10.42578125" bestFit="1" customWidth="1"/>
    <col min="9" max="9" width="11.140625" bestFit="1" customWidth="1"/>
    <col min="12" max="12" width="80.140625" bestFit="1" customWidth="1"/>
    <col min="13" max="13" width="15.85546875" style="6" bestFit="1" customWidth="1"/>
    <col min="14" max="14" width="9.140625" style="17"/>
    <col min="15" max="15" width="16.28515625" style="17" bestFit="1" customWidth="1"/>
    <col min="16" max="16" width="15.7109375" style="17" bestFit="1" customWidth="1"/>
  </cols>
  <sheetData>
    <row r="1" spans="1:16" s="17" customFormat="1" x14ac:dyDescent="0.25">
      <c r="A1" s="29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26" t="s">
        <v>11</v>
      </c>
      <c r="M1" s="4" t="s">
        <v>12</v>
      </c>
      <c r="N1" s="5" t="s">
        <v>13</v>
      </c>
      <c r="O1" s="31" t="s">
        <v>14</v>
      </c>
      <c r="P1" s="1" t="s">
        <v>15</v>
      </c>
    </row>
    <row r="2" spans="1:16" x14ac:dyDescent="0.25">
      <c r="A2" s="21" t="s">
        <v>1980</v>
      </c>
      <c r="B2" s="8">
        <v>46104</v>
      </c>
      <c r="C2" s="8">
        <v>46113</v>
      </c>
      <c r="D2" s="7">
        <v>3272</v>
      </c>
      <c r="E2" s="7">
        <v>336</v>
      </c>
      <c r="F2" s="7">
        <v>4</v>
      </c>
      <c r="G2" s="21">
        <v>1</v>
      </c>
      <c r="H2" s="21">
        <v>81379</v>
      </c>
      <c r="I2" s="7" t="s">
        <v>16</v>
      </c>
      <c r="J2" s="21">
        <v>61099710</v>
      </c>
      <c r="K2" s="21" t="s">
        <v>1977</v>
      </c>
      <c r="L2" s="21" t="s">
        <v>1962</v>
      </c>
      <c r="M2" s="9">
        <v>99900</v>
      </c>
      <c r="N2" s="35">
        <v>0.3</v>
      </c>
      <c r="O2" s="36">
        <f>M2-((30*M2)/100)</f>
        <v>69930</v>
      </c>
      <c r="P2" s="11" t="s">
        <v>19</v>
      </c>
    </row>
    <row r="3" spans="1:16" x14ac:dyDescent="0.25">
      <c r="A3" s="21" t="str">
        <f>A2</f>
        <v>2025 OCT D30</v>
      </c>
      <c r="B3" s="8">
        <v>46104</v>
      </c>
      <c r="C3" s="8">
        <v>46113</v>
      </c>
      <c r="D3" s="7">
        <v>3272</v>
      </c>
      <c r="E3" s="7">
        <v>336</v>
      </c>
      <c r="F3" s="7">
        <v>4</v>
      </c>
      <c r="G3" s="21">
        <v>1</v>
      </c>
      <c r="H3" s="21">
        <v>81379</v>
      </c>
      <c r="I3" s="7" t="s">
        <v>16</v>
      </c>
      <c r="J3" s="21">
        <v>61099729</v>
      </c>
      <c r="K3" s="21" t="s">
        <v>1977</v>
      </c>
      <c r="L3" s="21" t="s">
        <v>1963</v>
      </c>
      <c r="M3" s="9">
        <v>99900</v>
      </c>
      <c r="N3" s="35">
        <v>0.3</v>
      </c>
      <c r="O3" s="36">
        <f t="shared" ref="O3:O16" si="0">M3-((30*M3)/100)</f>
        <v>69930</v>
      </c>
      <c r="P3" s="11" t="s">
        <v>19</v>
      </c>
    </row>
    <row r="4" spans="1:16" x14ac:dyDescent="0.25">
      <c r="A4" s="21" t="str">
        <f t="shared" ref="A4:A16" si="1">A3</f>
        <v>2025 OCT D30</v>
      </c>
      <c r="B4" s="8">
        <v>46104</v>
      </c>
      <c r="C4" s="8">
        <v>46113</v>
      </c>
      <c r="D4" s="7">
        <v>3272</v>
      </c>
      <c r="E4" s="7">
        <v>336</v>
      </c>
      <c r="F4" s="7">
        <v>4</v>
      </c>
      <c r="G4" s="21">
        <v>1</v>
      </c>
      <c r="H4" s="21">
        <v>81379</v>
      </c>
      <c r="I4" s="7" t="s">
        <v>16</v>
      </c>
      <c r="J4" s="21">
        <v>61099738</v>
      </c>
      <c r="K4" s="21" t="s">
        <v>1977</v>
      </c>
      <c r="L4" s="21" t="s">
        <v>1964</v>
      </c>
      <c r="M4" s="9">
        <v>99900</v>
      </c>
      <c r="N4" s="35">
        <v>0.3</v>
      </c>
      <c r="O4" s="36">
        <f t="shared" si="0"/>
        <v>69930</v>
      </c>
      <c r="P4" s="11" t="s">
        <v>19</v>
      </c>
    </row>
    <row r="5" spans="1:16" x14ac:dyDescent="0.25">
      <c r="A5" s="21" t="str">
        <f t="shared" si="1"/>
        <v>2025 OCT D30</v>
      </c>
      <c r="B5" s="8">
        <v>46104</v>
      </c>
      <c r="C5" s="8">
        <v>46113</v>
      </c>
      <c r="D5" s="7">
        <v>3272</v>
      </c>
      <c r="E5" s="7">
        <v>336</v>
      </c>
      <c r="F5" s="7">
        <v>4</v>
      </c>
      <c r="G5" s="21">
        <v>1</v>
      </c>
      <c r="H5" s="21">
        <v>81379</v>
      </c>
      <c r="I5" s="7" t="s">
        <v>16</v>
      </c>
      <c r="J5" s="21">
        <v>61099747</v>
      </c>
      <c r="K5" s="21" t="s">
        <v>1977</v>
      </c>
      <c r="L5" s="21" t="s">
        <v>1965</v>
      </c>
      <c r="M5" s="9">
        <v>99900</v>
      </c>
      <c r="N5" s="35">
        <v>0.3</v>
      </c>
      <c r="O5" s="36">
        <f t="shared" si="0"/>
        <v>69930</v>
      </c>
      <c r="P5" s="11" t="s">
        <v>19</v>
      </c>
    </row>
    <row r="6" spans="1:16" x14ac:dyDescent="0.25">
      <c r="A6" s="21" t="str">
        <f t="shared" si="1"/>
        <v>2025 OCT D30</v>
      </c>
      <c r="B6" s="8">
        <v>46104</v>
      </c>
      <c r="C6" s="8">
        <v>46113</v>
      </c>
      <c r="D6" s="7">
        <v>3272</v>
      </c>
      <c r="E6" s="7">
        <v>336</v>
      </c>
      <c r="F6" s="7">
        <v>4</v>
      </c>
      <c r="G6" s="21">
        <v>1</v>
      </c>
      <c r="H6" s="21">
        <v>81379</v>
      </c>
      <c r="I6" s="7" t="s">
        <v>16</v>
      </c>
      <c r="J6" s="21">
        <v>61099756</v>
      </c>
      <c r="K6" s="21" t="s">
        <v>1978</v>
      </c>
      <c r="L6" s="21" t="s">
        <v>1966</v>
      </c>
      <c r="M6" s="9">
        <v>99900</v>
      </c>
      <c r="N6" s="35">
        <v>0.3</v>
      </c>
      <c r="O6" s="36">
        <f t="shared" si="0"/>
        <v>69930</v>
      </c>
      <c r="P6" s="11" t="s">
        <v>19</v>
      </c>
    </row>
    <row r="7" spans="1:16" x14ac:dyDescent="0.25">
      <c r="A7" s="21" t="str">
        <f t="shared" si="1"/>
        <v>2025 OCT D30</v>
      </c>
      <c r="B7" s="8">
        <v>46104</v>
      </c>
      <c r="C7" s="8">
        <v>46113</v>
      </c>
      <c r="D7" s="7">
        <v>3272</v>
      </c>
      <c r="E7" s="7">
        <v>336</v>
      </c>
      <c r="F7" s="7">
        <v>4</v>
      </c>
      <c r="G7" s="21">
        <v>1</v>
      </c>
      <c r="H7" s="21">
        <v>81379</v>
      </c>
      <c r="I7" s="7" t="s">
        <v>16</v>
      </c>
      <c r="J7" s="21">
        <v>61099765</v>
      </c>
      <c r="K7" s="21" t="s">
        <v>1978</v>
      </c>
      <c r="L7" s="21" t="s">
        <v>1967</v>
      </c>
      <c r="M7" s="9">
        <v>99900</v>
      </c>
      <c r="N7" s="35">
        <v>0.3</v>
      </c>
      <c r="O7" s="36">
        <f t="shared" si="0"/>
        <v>69930</v>
      </c>
      <c r="P7" s="11" t="s">
        <v>19</v>
      </c>
    </row>
    <row r="8" spans="1:16" x14ac:dyDescent="0.25">
      <c r="A8" s="21" t="str">
        <f t="shared" si="1"/>
        <v>2025 OCT D30</v>
      </c>
      <c r="B8" s="8">
        <v>46104</v>
      </c>
      <c r="C8" s="8">
        <v>46113</v>
      </c>
      <c r="D8" s="7">
        <v>3272</v>
      </c>
      <c r="E8" s="7">
        <v>336</v>
      </c>
      <c r="F8" s="7">
        <v>4</v>
      </c>
      <c r="G8" s="21">
        <v>1</v>
      </c>
      <c r="H8" s="21">
        <v>81379</v>
      </c>
      <c r="I8" s="7" t="s">
        <v>16</v>
      </c>
      <c r="J8" s="21">
        <v>61099774</v>
      </c>
      <c r="K8" s="21" t="s">
        <v>1978</v>
      </c>
      <c r="L8" s="21" t="s">
        <v>1968</v>
      </c>
      <c r="M8" s="9">
        <v>99900</v>
      </c>
      <c r="N8" s="35">
        <v>0.3</v>
      </c>
      <c r="O8" s="36">
        <f t="shared" si="0"/>
        <v>69930</v>
      </c>
      <c r="P8" s="11" t="s">
        <v>19</v>
      </c>
    </row>
    <row r="9" spans="1:16" x14ac:dyDescent="0.25">
      <c r="A9" s="21" t="str">
        <f t="shared" si="1"/>
        <v>2025 OCT D30</v>
      </c>
      <c r="B9" s="8">
        <v>46104</v>
      </c>
      <c r="C9" s="8">
        <v>46113</v>
      </c>
      <c r="D9" s="7">
        <v>3272</v>
      </c>
      <c r="E9" s="7">
        <v>336</v>
      </c>
      <c r="F9" s="7">
        <v>4</v>
      </c>
      <c r="G9" s="21">
        <v>1</v>
      </c>
      <c r="H9" s="21">
        <v>81379</v>
      </c>
      <c r="I9" s="7" t="s">
        <v>16</v>
      </c>
      <c r="J9" s="21">
        <v>61099783</v>
      </c>
      <c r="K9" s="21" t="s">
        <v>1978</v>
      </c>
      <c r="L9" s="21" t="s">
        <v>1969</v>
      </c>
      <c r="M9" s="9">
        <v>99900</v>
      </c>
      <c r="N9" s="35">
        <v>0.3</v>
      </c>
      <c r="O9" s="36">
        <f t="shared" si="0"/>
        <v>69930</v>
      </c>
      <c r="P9" s="11" t="s">
        <v>19</v>
      </c>
    </row>
    <row r="10" spans="1:16" x14ac:dyDescent="0.25">
      <c r="A10" s="21" t="str">
        <f t="shared" si="1"/>
        <v>2025 OCT D30</v>
      </c>
      <c r="B10" s="8">
        <v>46104</v>
      </c>
      <c r="C10" s="8">
        <v>46113</v>
      </c>
      <c r="D10" s="7">
        <v>3272</v>
      </c>
      <c r="E10" s="7">
        <v>336</v>
      </c>
      <c r="F10" s="7">
        <v>4</v>
      </c>
      <c r="G10" s="21">
        <v>4</v>
      </c>
      <c r="H10" s="21">
        <v>81676</v>
      </c>
      <c r="I10" s="7" t="s">
        <v>16</v>
      </c>
      <c r="J10" s="21">
        <v>61100047</v>
      </c>
      <c r="K10" s="21" t="s">
        <v>1979</v>
      </c>
      <c r="L10" s="21" t="s">
        <v>1970</v>
      </c>
      <c r="M10" s="9">
        <v>129900</v>
      </c>
      <c r="N10" s="35">
        <v>0.3</v>
      </c>
      <c r="O10" s="36">
        <f t="shared" si="0"/>
        <v>90930</v>
      </c>
      <c r="P10" s="11" t="s">
        <v>19</v>
      </c>
    </row>
    <row r="11" spans="1:16" x14ac:dyDescent="0.25">
      <c r="A11" s="21" t="str">
        <f t="shared" si="1"/>
        <v>2025 OCT D30</v>
      </c>
      <c r="B11" s="8">
        <v>46104</v>
      </c>
      <c r="C11" s="8">
        <v>46113</v>
      </c>
      <c r="D11" s="7">
        <v>3272</v>
      </c>
      <c r="E11" s="7">
        <v>336</v>
      </c>
      <c r="F11" s="7">
        <v>4</v>
      </c>
      <c r="G11" s="21">
        <v>4</v>
      </c>
      <c r="H11" s="21">
        <v>81676</v>
      </c>
      <c r="I11" s="7" t="s">
        <v>16</v>
      </c>
      <c r="J11" s="21">
        <v>61100056</v>
      </c>
      <c r="K11" s="21" t="s">
        <v>1979</v>
      </c>
      <c r="L11" s="21" t="s">
        <v>1971</v>
      </c>
      <c r="M11" s="9">
        <v>129900</v>
      </c>
      <c r="N11" s="35">
        <v>0.3</v>
      </c>
      <c r="O11" s="36">
        <f t="shared" si="0"/>
        <v>90930</v>
      </c>
      <c r="P11" s="11" t="s">
        <v>19</v>
      </c>
    </row>
    <row r="12" spans="1:16" x14ac:dyDescent="0.25">
      <c r="A12" s="21" t="str">
        <f t="shared" si="1"/>
        <v>2025 OCT D30</v>
      </c>
      <c r="B12" s="8">
        <v>46104</v>
      </c>
      <c r="C12" s="8">
        <v>46113</v>
      </c>
      <c r="D12" s="7">
        <v>3272</v>
      </c>
      <c r="E12" s="7">
        <v>336</v>
      </c>
      <c r="F12" s="7">
        <v>4</v>
      </c>
      <c r="G12" s="21">
        <v>4</v>
      </c>
      <c r="H12" s="21">
        <v>81676</v>
      </c>
      <c r="I12" s="7" t="s">
        <v>16</v>
      </c>
      <c r="J12" s="21">
        <v>61100065</v>
      </c>
      <c r="K12" s="21" t="s">
        <v>1979</v>
      </c>
      <c r="L12" s="21" t="s">
        <v>1972</v>
      </c>
      <c r="M12" s="9">
        <v>129900</v>
      </c>
      <c r="N12" s="35">
        <v>0.3</v>
      </c>
      <c r="O12" s="36">
        <f t="shared" si="0"/>
        <v>90930</v>
      </c>
      <c r="P12" s="11" t="s">
        <v>19</v>
      </c>
    </row>
    <row r="13" spans="1:16" x14ac:dyDescent="0.25">
      <c r="A13" s="21" t="str">
        <f t="shared" si="1"/>
        <v>2025 OCT D30</v>
      </c>
      <c r="B13" s="8">
        <v>46104</v>
      </c>
      <c r="C13" s="8">
        <v>46113</v>
      </c>
      <c r="D13" s="7">
        <v>3272</v>
      </c>
      <c r="E13" s="7">
        <v>336</v>
      </c>
      <c r="F13" s="7">
        <v>4</v>
      </c>
      <c r="G13" s="21">
        <v>4</v>
      </c>
      <c r="H13" s="21">
        <v>81676</v>
      </c>
      <c r="I13" s="7" t="s">
        <v>16</v>
      </c>
      <c r="J13" s="21">
        <v>61100074</v>
      </c>
      <c r="K13" s="21" t="s">
        <v>1979</v>
      </c>
      <c r="L13" s="21" t="s">
        <v>1973</v>
      </c>
      <c r="M13" s="9">
        <v>129900</v>
      </c>
      <c r="N13" s="35">
        <v>0.3</v>
      </c>
      <c r="O13" s="36">
        <f t="shared" si="0"/>
        <v>90930</v>
      </c>
      <c r="P13" s="11" t="s">
        <v>19</v>
      </c>
    </row>
    <row r="14" spans="1:16" x14ac:dyDescent="0.25">
      <c r="A14" s="21" t="str">
        <f t="shared" si="1"/>
        <v>2025 OCT D30</v>
      </c>
      <c r="B14" s="8">
        <v>46104</v>
      </c>
      <c r="C14" s="8">
        <v>46113</v>
      </c>
      <c r="D14" s="7">
        <v>3272</v>
      </c>
      <c r="E14" s="7">
        <v>336</v>
      </c>
      <c r="F14" s="7">
        <v>4</v>
      </c>
      <c r="G14" s="21">
        <v>4</v>
      </c>
      <c r="H14" s="21">
        <v>81676</v>
      </c>
      <c r="I14" s="7" t="s">
        <v>16</v>
      </c>
      <c r="J14" s="21">
        <v>61100083</v>
      </c>
      <c r="K14" s="21" t="s">
        <v>1979</v>
      </c>
      <c r="L14" s="21" t="s">
        <v>1974</v>
      </c>
      <c r="M14" s="9">
        <v>129900</v>
      </c>
      <c r="N14" s="35">
        <v>0.3</v>
      </c>
      <c r="O14" s="36">
        <f t="shared" si="0"/>
        <v>90930</v>
      </c>
      <c r="P14" s="11" t="s">
        <v>19</v>
      </c>
    </row>
    <row r="15" spans="1:16" x14ac:dyDescent="0.25">
      <c r="A15" s="21" t="str">
        <f t="shared" si="1"/>
        <v>2025 OCT D30</v>
      </c>
      <c r="B15" s="8">
        <v>46104</v>
      </c>
      <c r="C15" s="8">
        <v>46113</v>
      </c>
      <c r="D15" s="7">
        <v>3272</v>
      </c>
      <c r="E15" s="7">
        <v>336</v>
      </c>
      <c r="F15" s="7">
        <v>4</v>
      </c>
      <c r="G15" s="21">
        <v>4</v>
      </c>
      <c r="H15" s="21">
        <v>81676</v>
      </c>
      <c r="I15" s="7" t="s">
        <v>16</v>
      </c>
      <c r="J15" s="21">
        <v>61100092</v>
      </c>
      <c r="K15" s="21" t="s">
        <v>1979</v>
      </c>
      <c r="L15" s="21" t="s">
        <v>1975</v>
      </c>
      <c r="M15" s="9">
        <v>129900</v>
      </c>
      <c r="N15" s="35">
        <v>0.3</v>
      </c>
      <c r="O15" s="36">
        <f t="shared" si="0"/>
        <v>90930</v>
      </c>
      <c r="P15" s="11" t="s">
        <v>19</v>
      </c>
    </row>
    <row r="16" spans="1:16" x14ac:dyDescent="0.25">
      <c r="A16" s="21" t="str">
        <f t="shared" si="1"/>
        <v>2025 OCT D30</v>
      </c>
      <c r="B16" s="8">
        <v>46104</v>
      </c>
      <c r="C16" s="8">
        <v>46113</v>
      </c>
      <c r="D16" s="7">
        <v>3272</v>
      </c>
      <c r="E16" s="7">
        <v>336</v>
      </c>
      <c r="F16" s="7">
        <v>4</v>
      </c>
      <c r="G16" s="21">
        <v>4</v>
      </c>
      <c r="H16" s="21">
        <v>81676</v>
      </c>
      <c r="I16" s="7" t="s">
        <v>16</v>
      </c>
      <c r="J16" s="21">
        <v>61100109</v>
      </c>
      <c r="K16" s="21" t="s">
        <v>1979</v>
      </c>
      <c r="L16" s="21" t="s">
        <v>1976</v>
      </c>
      <c r="M16" s="9">
        <v>129900</v>
      </c>
      <c r="N16" s="35">
        <v>0.3</v>
      </c>
      <c r="O16" s="36">
        <f t="shared" si="0"/>
        <v>90930</v>
      </c>
      <c r="P16" s="11" t="s">
        <v>19</v>
      </c>
    </row>
  </sheetData>
  <phoneticPr fontId="7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8517-89E2-4745-82EC-818FB03BB1D1}">
  <sheetPr>
    <tabColor rgb="FFFFFF00"/>
  </sheetPr>
  <dimension ref="A1:P220"/>
  <sheetViews>
    <sheetView tabSelected="1" workbookViewId="0">
      <selection activeCell="A3" sqref="A3"/>
    </sheetView>
  </sheetViews>
  <sheetFormatPr defaultRowHeight="15" x14ac:dyDescent="0.25"/>
  <cols>
    <col min="1" max="1" width="17.5703125" style="47" bestFit="1" customWidth="1"/>
    <col min="2" max="2" width="11.42578125" style="47" bestFit="1" customWidth="1"/>
    <col min="3" max="3" width="10.42578125" style="47" bestFit="1" customWidth="1"/>
    <col min="4" max="7" width="9.140625" style="47"/>
    <col min="8" max="8" width="9.140625" style="46"/>
    <col min="9" max="9" width="11.140625" style="47" bestFit="1" customWidth="1"/>
    <col min="10" max="11" width="9.140625" style="47"/>
    <col min="12" max="12" width="86.42578125" style="47" bestFit="1" customWidth="1"/>
    <col min="13" max="14" width="9.140625" style="47"/>
    <col min="15" max="15" width="16.28515625" style="47" bestFit="1" customWidth="1"/>
    <col min="16" max="16" width="15.7109375" style="47" bestFit="1" customWidth="1"/>
    <col min="17" max="16384" width="9.140625" style="47"/>
  </cols>
  <sheetData>
    <row r="1" spans="1:16" s="46" customFormat="1" x14ac:dyDescent="0.25">
      <c r="A1" s="38" t="s">
        <v>0</v>
      </c>
      <c r="B1" s="39" t="s">
        <v>1</v>
      </c>
      <c r="C1" s="39" t="s">
        <v>2</v>
      </c>
      <c r="D1" s="40" t="s">
        <v>3</v>
      </c>
      <c r="E1" s="40" t="s">
        <v>4</v>
      </c>
      <c r="F1" s="40" t="s">
        <v>5</v>
      </c>
      <c r="G1" s="41" t="s">
        <v>6</v>
      </c>
      <c r="H1" s="41" t="s">
        <v>7</v>
      </c>
      <c r="I1" s="40" t="s">
        <v>8</v>
      </c>
      <c r="J1" s="40" t="s">
        <v>9</v>
      </c>
      <c r="K1" s="40" t="s">
        <v>10</v>
      </c>
      <c r="L1" s="42" t="s">
        <v>11</v>
      </c>
      <c r="M1" s="43" t="s">
        <v>12</v>
      </c>
      <c r="N1" s="44" t="s">
        <v>13</v>
      </c>
      <c r="O1" s="45" t="s">
        <v>14</v>
      </c>
      <c r="P1" s="40" t="s">
        <v>15</v>
      </c>
    </row>
    <row r="2" spans="1:16" x14ac:dyDescent="0.25">
      <c r="A2" s="47" t="s">
        <v>2280</v>
      </c>
      <c r="B2" s="48">
        <v>46107</v>
      </c>
      <c r="C2" s="48">
        <v>46113</v>
      </c>
      <c r="D2" s="49">
        <v>3272</v>
      </c>
      <c r="E2" s="49">
        <v>336</v>
      </c>
      <c r="F2" s="49">
        <v>4</v>
      </c>
      <c r="G2" s="47">
        <v>1</v>
      </c>
      <c r="H2" s="46">
        <v>4953</v>
      </c>
      <c r="I2" s="49" t="s">
        <v>16</v>
      </c>
      <c r="J2" s="47">
        <v>61967004</v>
      </c>
      <c r="K2" s="47" t="s">
        <v>2024</v>
      </c>
      <c r="L2" s="47" t="s">
        <v>2061</v>
      </c>
      <c r="M2" s="50">
        <v>99900</v>
      </c>
      <c r="N2" s="51">
        <v>0.3</v>
      </c>
      <c r="O2" s="52">
        <f t="shared" ref="O2:O65" si="0">M2-((30*M2)/100)</f>
        <v>69930</v>
      </c>
      <c r="P2" s="46" t="s">
        <v>19</v>
      </c>
    </row>
    <row r="3" spans="1:16" x14ac:dyDescent="0.25">
      <c r="A3" s="47" t="str">
        <f>A2</f>
        <v>2025 NOV DISC 30%</v>
      </c>
      <c r="B3" s="48">
        <v>46107</v>
      </c>
      <c r="C3" s="48">
        <v>46113</v>
      </c>
      <c r="D3" s="49">
        <v>3272</v>
      </c>
      <c r="E3" s="49">
        <v>336</v>
      </c>
      <c r="F3" s="49">
        <v>4</v>
      </c>
      <c r="G3" s="47">
        <v>1</v>
      </c>
      <c r="H3" s="46">
        <v>4953</v>
      </c>
      <c r="I3" s="49" t="s">
        <v>16</v>
      </c>
      <c r="J3" s="47">
        <v>61967013</v>
      </c>
      <c r="K3" s="47" t="s">
        <v>2024</v>
      </c>
      <c r="L3" s="47" t="s">
        <v>2062</v>
      </c>
      <c r="M3" s="50">
        <v>99900</v>
      </c>
      <c r="N3" s="51">
        <v>0.3</v>
      </c>
      <c r="O3" s="52">
        <f t="shared" si="0"/>
        <v>69930</v>
      </c>
      <c r="P3" s="46" t="s">
        <v>19</v>
      </c>
    </row>
    <row r="4" spans="1:16" x14ac:dyDescent="0.25">
      <c r="A4" s="47" t="str">
        <f t="shared" ref="A4:A67" si="1">A3</f>
        <v>2025 NOV DISC 30%</v>
      </c>
      <c r="B4" s="48">
        <v>46107</v>
      </c>
      <c r="C4" s="48">
        <v>46113</v>
      </c>
      <c r="D4" s="49">
        <v>3272</v>
      </c>
      <c r="E4" s="49">
        <v>336</v>
      </c>
      <c r="F4" s="49">
        <v>4</v>
      </c>
      <c r="G4" s="47">
        <v>1</v>
      </c>
      <c r="H4" s="46">
        <v>4953</v>
      </c>
      <c r="I4" s="49" t="s">
        <v>16</v>
      </c>
      <c r="J4" s="47">
        <v>61967022</v>
      </c>
      <c r="K4" s="47" t="s">
        <v>2024</v>
      </c>
      <c r="L4" s="47" t="s">
        <v>2063</v>
      </c>
      <c r="M4" s="50">
        <v>99900</v>
      </c>
      <c r="N4" s="51">
        <v>0.3</v>
      </c>
      <c r="O4" s="52">
        <f t="shared" si="0"/>
        <v>69930</v>
      </c>
      <c r="P4" s="46" t="s">
        <v>19</v>
      </c>
    </row>
    <row r="5" spans="1:16" x14ac:dyDescent="0.25">
      <c r="A5" s="47" t="str">
        <f t="shared" si="1"/>
        <v>2025 NOV DISC 30%</v>
      </c>
      <c r="B5" s="48">
        <v>46107</v>
      </c>
      <c r="C5" s="48">
        <v>46113</v>
      </c>
      <c r="D5" s="49">
        <v>3272</v>
      </c>
      <c r="E5" s="49">
        <v>336</v>
      </c>
      <c r="F5" s="49">
        <v>4</v>
      </c>
      <c r="G5" s="47">
        <v>1</v>
      </c>
      <c r="H5" s="46">
        <v>4953</v>
      </c>
      <c r="I5" s="49" t="s">
        <v>16</v>
      </c>
      <c r="J5" s="47">
        <v>61967031</v>
      </c>
      <c r="K5" s="47" t="s">
        <v>2024</v>
      </c>
      <c r="L5" s="47" t="s">
        <v>2064</v>
      </c>
      <c r="M5" s="50">
        <v>99900</v>
      </c>
      <c r="N5" s="51">
        <v>0.3</v>
      </c>
      <c r="O5" s="52">
        <f t="shared" si="0"/>
        <v>69930</v>
      </c>
      <c r="P5" s="46" t="s">
        <v>19</v>
      </c>
    </row>
    <row r="6" spans="1:16" x14ac:dyDescent="0.25">
      <c r="A6" s="47" t="str">
        <f t="shared" si="1"/>
        <v>2025 NOV DISC 30%</v>
      </c>
      <c r="B6" s="48">
        <v>46107</v>
      </c>
      <c r="C6" s="48">
        <v>46113</v>
      </c>
      <c r="D6" s="49">
        <v>3272</v>
      </c>
      <c r="E6" s="49">
        <v>336</v>
      </c>
      <c r="F6" s="49">
        <v>4</v>
      </c>
      <c r="G6" s="47">
        <v>1</v>
      </c>
      <c r="H6" s="46">
        <v>4953</v>
      </c>
      <c r="I6" s="49" t="s">
        <v>16</v>
      </c>
      <c r="J6" s="47">
        <v>61967040</v>
      </c>
      <c r="K6" s="47" t="s">
        <v>2024</v>
      </c>
      <c r="L6" s="47" t="s">
        <v>2065</v>
      </c>
      <c r="M6" s="50">
        <v>99900</v>
      </c>
      <c r="N6" s="51">
        <v>0.3</v>
      </c>
      <c r="O6" s="52">
        <f t="shared" si="0"/>
        <v>69930</v>
      </c>
      <c r="P6" s="46" t="s">
        <v>19</v>
      </c>
    </row>
    <row r="7" spans="1:16" x14ac:dyDescent="0.25">
      <c r="A7" s="47" t="str">
        <f t="shared" si="1"/>
        <v>2025 NOV DISC 30%</v>
      </c>
      <c r="B7" s="48">
        <v>46107</v>
      </c>
      <c r="C7" s="48">
        <v>46113</v>
      </c>
      <c r="D7" s="49">
        <v>3272</v>
      </c>
      <c r="E7" s="49">
        <v>336</v>
      </c>
      <c r="F7" s="49">
        <v>4</v>
      </c>
      <c r="G7" s="47">
        <v>1</v>
      </c>
      <c r="H7" s="46">
        <v>4953</v>
      </c>
      <c r="I7" s="49" t="s">
        <v>16</v>
      </c>
      <c r="J7" s="47">
        <v>61967059</v>
      </c>
      <c r="K7" s="47" t="s">
        <v>2024</v>
      </c>
      <c r="L7" s="47" t="s">
        <v>2066</v>
      </c>
      <c r="M7" s="50">
        <v>99900</v>
      </c>
      <c r="N7" s="51">
        <v>0.3</v>
      </c>
      <c r="O7" s="52">
        <f t="shared" si="0"/>
        <v>69930</v>
      </c>
      <c r="P7" s="46" t="s">
        <v>19</v>
      </c>
    </row>
    <row r="8" spans="1:16" x14ac:dyDescent="0.25">
      <c r="A8" s="47" t="str">
        <f t="shared" si="1"/>
        <v>2025 NOV DISC 30%</v>
      </c>
      <c r="B8" s="48">
        <v>46107</v>
      </c>
      <c r="C8" s="48">
        <v>46113</v>
      </c>
      <c r="D8" s="49">
        <v>3272</v>
      </c>
      <c r="E8" s="49">
        <v>336</v>
      </c>
      <c r="F8" s="49">
        <v>4</v>
      </c>
      <c r="G8" s="47">
        <v>1</v>
      </c>
      <c r="H8" s="46">
        <v>4953</v>
      </c>
      <c r="I8" s="49" t="s">
        <v>16</v>
      </c>
      <c r="J8" s="47">
        <v>61967068</v>
      </c>
      <c r="K8" s="47" t="s">
        <v>2024</v>
      </c>
      <c r="L8" s="47" t="s">
        <v>2067</v>
      </c>
      <c r="M8" s="50">
        <v>99900</v>
      </c>
      <c r="N8" s="51">
        <v>0.3</v>
      </c>
      <c r="O8" s="52">
        <f t="shared" si="0"/>
        <v>69930</v>
      </c>
      <c r="P8" s="46" t="s">
        <v>19</v>
      </c>
    </row>
    <row r="9" spans="1:16" x14ac:dyDescent="0.25">
      <c r="A9" s="47" t="str">
        <f t="shared" si="1"/>
        <v>2025 NOV DISC 30%</v>
      </c>
      <c r="B9" s="48">
        <v>46107</v>
      </c>
      <c r="C9" s="48">
        <v>46113</v>
      </c>
      <c r="D9" s="49">
        <v>3272</v>
      </c>
      <c r="E9" s="49">
        <v>336</v>
      </c>
      <c r="F9" s="49">
        <v>4</v>
      </c>
      <c r="G9" s="47">
        <v>1</v>
      </c>
      <c r="H9" s="46">
        <v>4953</v>
      </c>
      <c r="I9" s="49" t="s">
        <v>16</v>
      </c>
      <c r="J9" s="47">
        <v>61967077</v>
      </c>
      <c r="K9" s="47" t="s">
        <v>2025</v>
      </c>
      <c r="L9" s="47" t="s">
        <v>2068</v>
      </c>
      <c r="M9" s="50">
        <v>99900</v>
      </c>
      <c r="N9" s="51">
        <v>0.3</v>
      </c>
      <c r="O9" s="52">
        <f t="shared" si="0"/>
        <v>69930</v>
      </c>
      <c r="P9" s="46" t="s">
        <v>19</v>
      </c>
    </row>
    <row r="10" spans="1:16" x14ac:dyDescent="0.25">
      <c r="A10" s="47" t="str">
        <f t="shared" si="1"/>
        <v>2025 NOV DISC 30%</v>
      </c>
      <c r="B10" s="48">
        <v>46107</v>
      </c>
      <c r="C10" s="48">
        <v>46113</v>
      </c>
      <c r="D10" s="49">
        <v>3272</v>
      </c>
      <c r="E10" s="49">
        <v>336</v>
      </c>
      <c r="F10" s="49">
        <v>4</v>
      </c>
      <c r="G10" s="47">
        <v>1</v>
      </c>
      <c r="H10" s="46">
        <v>4953</v>
      </c>
      <c r="I10" s="49" t="s">
        <v>16</v>
      </c>
      <c r="J10" s="47">
        <v>61967086</v>
      </c>
      <c r="K10" s="47" t="s">
        <v>2025</v>
      </c>
      <c r="L10" s="47" t="s">
        <v>2069</v>
      </c>
      <c r="M10" s="50">
        <v>99900</v>
      </c>
      <c r="N10" s="51">
        <v>0.3</v>
      </c>
      <c r="O10" s="52">
        <f t="shared" si="0"/>
        <v>69930</v>
      </c>
      <c r="P10" s="46" t="s">
        <v>19</v>
      </c>
    </row>
    <row r="11" spans="1:16" x14ac:dyDescent="0.25">
      <c r="A11" s="47" t="str">
        <f t="shared" si="1"/>
        <v>2025 NOV DISC 30%</v>
      </c>
      <c r="B11" s="48">
        <v>46107</v>
      </c>
      <c r="C11" s="48">
        <v>46113</v>
      </c>
      <c r="D11" s="49">
        <v>3272</v>
      </c>
      <c r="E11" s="49">
        <v>336</v>
      </c>
      <c r="F11" s="49">
        <v>4</v>
      </c>
      <c r="G11" s="47">
        <v>1</v>
      </c>
      <c r="H11" s="46">
        <v>4953</v>
      </c>
      <c r="I11" s="49" t="s">
        <v>16</v>
      </c>
      <c r="J11" s="47">
        <v>61967095</v>
      </c>
      <c r="K11" s="47" t="s">
        <v>2025</v>
      </c>
      <c r="L11" s="47" t="s">
        <v>2070</v>
      </c>
      <c r="M11" s="50">
        <v>99900</v>
      </c>
      <c r="N11" s="51">
        <v>0.3</v>
      </c>
      <c r="O11" s="52">
        <f t="shared" si="0"/>
        <v>69930</v>
      </c>
      <c r="P11" s="46" t="s">
        <v>19</v>
      </c>
    </row>
    <row r="12" spans="1:16" x14ac:dyDescent="0.25">
      <c r="A12" s="47" t="str">
        <f t="shared" si="1"/>
        <v>2025 NOV DISC 30%</v>
      </c>
      <c r="B12" s="48">
        <v>46107</v>
      </c>
      <c r="C12" s="48">
        <v>46113</v>
      </c>
      <c r="D12" s="49">
        <v>3272</v>
      </c>
      <c r="E12" s="49">
        <v>336</v>
      </c>
      <c r="F12" s="49">
        <v>4</v>
      </c>
      <c r="G12" s="47">
        <v>1</v>
      </c>
      <c r="H12" s="46">
        <v>4953</v>
      </c>
      <c r="I12" s="49" t="s">
        <v>16</v>
      </c>
      <c r="J12" s="47">
        <v>61967102</v>
      </c>
      <c r="K12" s="47" t="s">
        <v>2025</v>
      </c>
      <c r="L12" s="47" t="s">
        <v>2071</v>
      </c>
      <c r="M12" s="50">
        <v>99900</v>
      </c>
      <c r="N12" s="51">
        <v>0.3</v>
      </c>
      <c r="O12" s="52">
        <f t="shared" si="0"/>
        <v>69930</v>
      </c>
      <c r="P12" s="46" t="s">
        <v>19</v>
      </c>
    </row>
    <row r="13" spans="1:16" x14ac:dyDescent="0.25">
      <c r="A13" s="47" t="str">
        <f t="shared" si="1"/>
        <v>2025 NOV DISC 30%</v>
      </c>
      <c r="B13" s="48">
        <v>46107</v>
      </c>
      <c r="C13" s="48">
        <v>46113</v>
      </c>
      <c r="D13" s="49">
        <v>3272</v>
      </c>
      <c r="E13" s="49">
        <v>336</v>
      </c>
      <c r="F13" s="49">
        <v>4</v>
      </c>
      <c r="G13" s="47">
        <v>1</v>
      </c>
      <c r="H13" s="46">
        <v>4953</v>
      </c>
      <c r="I13" s="49" t="s">
        <v>16</v>
      </c>
      <c r="J13" s="47">
        <v>61967111</v>
      </c>
      <c r="K13" s="47" t="s">
        <v>2025</v>
      </c>
      <c r="L13" s="47" t="s">
        <v>2072</v>
      </c>
      <c r="M13" s="50">
        <v>99900</v>
      </c>
      <c r="N13" s="51">
        <v>0.3</v>
      </c>
      <c r="O13" s="52">
        <f t="shared" si="0"/>
        <v>69930</v>
      </c>
      <c r="P13" s="46" t="s">
        <v>19</v>
      </c>
    </row>
    <row r="14" spans="1:16" x14ac:dyDescent="0.25">
      <c r="A14" s="47" t="str">
        <f t="shared" si="1"/>
        <v>2025 NOV DISC 30%</v>
      </c>
      <c r="B14" s="48">
        <v>46107</v>
      </c>
      <c r="C14" s="48">
        <v>46113</v>
      </c>
      <c r="D14" s="49">
        <v>3272</v>
      </c>
      <c r="E14" s="49">
        <v>336</v>
      </c>
      <c r="F14" s="49">
        <v>4</v>
      </c>
      <c r="G14" s="47">
        <v>1</v>
      </c>
      <c r="H14" s="46">
        <v>4953</v>
      </c>
      <c r="I14" s="49" t="s">
        <v>16</v>
      </c>
      <c r="J14" s="47">
        <v>61967120</v>
      </c>
      <c r="K14" s="47" t="s">
        <v>2025</v>
      </c>
      <c r="L14" s="47" t="s">
        <v>2073</v>
      </c>
      <c r="M14" s="50">
        <v>99900</v>
      </c>
      <c r="N14" s="51">
        <v>0.3</v>
      </c>
      <c r="O14" s="52">
        <f t="shared" si="0"/>
        <v>69930</v>
      </c>
      <c r="P14" s="46" t="s">
        <v>19</v>
      </c>
    </row>
    <row r="15" spans="1:16" x14ac:dyDescent="0.25">
      <c r="A15" s="47" t="str">
        <f t="shared" si="1"/>
        <v>2025 NOV DISC 30%</v>
      </c>
      <c r="B15" s="48">
        <v>46107</v>
      </c>
      <c r="C15" s="48">
        <v>46113</v>
      </c>
      <c r="D15" s="49">
        <v>3272</v>
      </c>
      <c r="E15" s="49">
        <v>336</v>
      </c>
      <c r="F15" s="49">
        <v>4</v>
      </c>
      <c r="G15" s="47">
        <v>1</v>
      </c>
      <c r="H15" s="46">
        <v>4953</v>
      </c>
      <c r="I15" s="49" t="s">
        <v>16</v>
      </c>
      <c r="J15" s="47">
        <v>61967139</v>
      </c>
      <c r="K15" s="47" t="s">
        <v>2025</v>
      </c>
      <c r="L15" s="47" t="s">
        <v>2074</v>
      </c>
      <c r="M15" s="50">
        <v>99900</v>
      </c>
      <c r="N15" s="51">
        <v>0.3</v>
      </c>
      <c r="O15" s="52">
        <f t="shared" si="0"/>
        <v>69930</v>
      </c>
      <c r="P15" s="46" t="s">
        <v>19</v>
      </c>
    </row>
    <row r="16" spans="1:16" x14ac:dyDescent="0.25">
      <c r="A16" s="47" t="str">
        <f t="shared" si="1"/>
        <v>2025 NOV DISC 30%</v>
      </c>
      <c r="B16" s="48">
        <v>46107</v>
      </c>
      <c r="C16" s="48">
        <v>46113</v>
      </c>
      <c r="D16" s="49">
        <v>3272</v>
      </c>
      <c r="E16" s="49">
        <v>336</v>
      </c>
      <c r="F16" s="49">
        <v>4</v>
      </c>
      <c r="G16" s="47">
        <v>1</v>
      </c>
      <c r="H16" s="46">
        <v>4953</v>
      </c>
      <c r="I16" s="49" t="s">
        <v>16</v>
      </c>
      <c r="J16" s="47">
        <v>61967148</v>
      </c>
      <c r="K16" s="47" t="s">
        <v>2026</v>
      </c>
      <c r="L16" s="47" t="s">
        <v>2075</v>
      </c>
      <c r="M16" s="50">
        <v>99900</v>
      </c>
      <c r="N16" s="51">
        <v>0.3</v>
      </c>
      <c r="O16" s="52">
        <f t="shared" si="0"/>
        <v>69930</v>
      </c>
      <c r="P16" s="46" t="s">
        <v>19</v>
      </c>
    </row>
    <row r="17" spans="1:16" x14ac:dyDescent="0.25">
      <c r="A17" s="47" t="str">
        <f t="shared" si="1"/>
        <v>2025 NOV DISC 30%</v>
      </c>
      <c r="B17" s="48">
        <v>46107</v>
      </c>
      <c r="C17" s="48">
        <v>46113</v>
      </c>
      <c r="D17" s="49">
        <v>3272</v>
      </c>
      <c r="E17" s="49">
        <v>336</v>
      </c>
      <c r="F17" s="49">
        <v>4</v>
      </c>
      <c r="G17" s="47">
        <v>1</v>
      </c>
      <c r="H17" s="46">
        <v>4953</v>
      </c>
      <c r="I17" s="49" t="s">
        <v>16</v>
      </c>
      <c r="J17" s="47">
        <v>61967157</v>
      </c>
      <c r="K17" s="47" t="s">
        <v>2026</v>
      </c>
      <c r="L17" s="47" t="s">
        <v>2076</v>
      </c>
      <c r="M17" s="50">
        <v>99900</v>
      </c>
      <c r="N17" s="51">
        <v>0.3</v>
      </c>
      <c r="O17" s="52">
        <f t="shared" si="0"/>
        <v>69930</v>
      </c>
      <c r="P17" s="46" t="s">
        <v>19</v>
      </c>
    </row>
    <row r="18" spans="1:16" x14ac:dyDescent="0.25">
      <c r="A18" s="47" t="str">
        <f t="shared" si="1"/>
        <v>2025 NOV DISC 30%</v>
      </c>
      <c r="B18" s="48">
        <v>46107</v>
      </c>
      <c r="C18" s="48">
        <v>46113</v>
      </c>
      <c r="D18" s="49">
        <v>3272</v>
      </c>
      <c r="E18" s="49">
        <v>336</v>
      </c>
      <c r="F18" s="49">
        <v>4</v>
      </c>
      <c r="G18" s="47">
        <v>1</v>
      </c>
      <c r="H18" s="46">
        <v>4953</v>
      </c>
      <c r="I18" s="49" t="s">
        <v>16</v>
      </c>
      <c r="J18" s="47">
        <v>61967166</v>
      </c>
      <c r="K18" s="47" t="s">
        <v>2026</v>
      </c>
      <c r="L18" s="47" t="s">
        <v>2077</v>
      </c>
      <c r="M18" s="50">
        <v>99900</v>
      </c>
      <c r="N18" s="51">
        <v>0.3</v>
      </c>
      <c r="O18" s="52">
        <f t="shared" si="0"/>
        <v>69930</v>
      </c>
      <c r="P18" s="46" t="s">
        <v>19</v>
      </c>
    </row>
    <row r="19" spans="1:16" x14ac:dyDescent="0.25">
      <c r="A19" s="47" t="str">
        <f t="shared" si="1"/>
        <v>2025 NOV DISC 30%</v>
      </c>
      <c r="B19" s="48">
        <v>46107</v>
      </c>
      <c r="C19" s="48">
        <v>46113</v>
      </c>
      <c r="D19" s="49">
        <v>3272</v>
      </c>
      <c r="E19" s="49">
        <v>336</v>
      </c>
      <c r="F19" s="49">
        <v>4</v>
      </c>
      <c r="G19" s="47">
        <v>1</v>
      </c>
      <c r="H19" s="46">
        <v>4953</v>
      </c>
      <c r="I19" s="49" t="s">
        <v>16</v>
      </c>
      <c r="J19" s="47">
        <v>61967175</v>
      </c>
      <c r="K19" s="47" t="s">
        <v>2026</v>
      </c>
      <c r="L19" s="47" t="s">
        <v>2078</v>
      </c>
      <c r="M19" s="50">
        <v>99900</v>
      </c>
      <c r="N19" s="51">
        <v>0.3</v>
      </c>
      <c r="O19" s="52">
        <f t="shared" si="0"/>
        <v>69930</v>
      </c>
      <c r="P19" s="46" t="s">
        <v>19</v>
      </c>
    </row>
    <row r="20" spans="1:16" x14ac:dyDescent="0.25">
      <c r="A20" s="47" t="str">
        <f t="shared" si="1"/>
        <v>2025 NOV DISC 30%</v>
      </c>
      <c r="B20" s="48">
        <v>46107</v>
      </c>
      <c r="C20" s="48">
        <v>46113</v>
      </c>
      <c r="D20" s="49">
        <v>3272</v>
      </c>
      <c r="E20" s="49">
        <v>336</v>
      </c>
      <c r="F20" s="49">
        <v>4</v>
      </c>
      <c r="G20" s="47">
        <v>1</v>
      </c>
      <c r="H20" s="46">
        <v>4953</v>
      </c>
      <c r="I20" s="49" t="s">
        <v>16</v>
      </c>
      <c r="J20" s="47">
        <v>61967184</v>
      </c>
      <c r="K20" s="47" t="s">
        <v>2026</v>
      </c>
      <c r="L20" s="47" t="s">
        <v>2079</v>
      </c>
      <c r="M20" s="50">
        <v>99900</v>
      </c>
      <c r="N20" s="51">
        <v>0.3</v>
      </c>
      <c r="O20" s="52">
        <f t="shared" si="0"/>
        <v>69930</v>
      </c>
      <c r="P20" s="46" t="s">
        <v>19</v>
      </c>
    </row>
    <row r="21" spans="1:16" x14ac:dyDescent="0.25">
      <c r="A21" s="47" t="str">
        <f t="shared" si="1"/>
        <v>2025 NOV DISC 30%</v>
      </c>
      <c r="B21" s="48">
        <v>46107</v>
      </c>
      <c r="C21" s="48">
        <v>46113</v>
      </c>
      <c r="D21" s="49">
        <v>3272</v>
      </c>
      <c r="E21" s="49">
        <v>336</v>
      </c>
      <c r="F21" s="49">
        <v>4</v>
      </c>
      <c r="G21" s="47">
        <v>1</v>
      </c>
      <c r="H21" s="46">
        <v>4953</v>
      </c>
      <c r="I21" s="49" t="s">
        <v>16</v>
      </c>
      <c r="J21" s="47">
        <v>61967193</v>
      </c>
      <c r="K21" s="47" t="s">
        <v>2026</v>
      </c>
      <c r="L21" s="47" t="s">
        <v>2080</v>
      </c>
      <c r="M21" s="50">
        <v>99900</v>
      </c>
      <c r="N21" s="51">
        <v>0.3</v>
      </c>
      <c r="O21" s="52">
        <f t="shared" si="0"/>
        <v>69930</v>
      </c>
      <c r="P21" s="46" t="s">
        <v>19</v>
      </c>
    </row>
    <row r="22" spans="1:16" x14ac:dyDescent="0.25">
      <c r="A22" s="47" t="str">
        <f t="shared" si="1"/>
        <v>2025 NOV DISC 30%</v>
      </c>
      <c r="B22" s="48">
        <v>46107</v>
      </c>
      <c r="C22" s="48">
        <v>46113</v>
      </c>
      <c r="D22" s="49">
        <v>3272</v>
      </c>
      <c r="E22" s="49">
        <v>336</v>
      </c>
      <c r="F22" s="49">
        <v>4</v>
      </c>
      <c r="G22" s="47">
        <v>1</v>
      </c>
      <c r="H22" s="46">
        <v>4953</v>
      </c>
      <c r="I22" s="49" t="s">
        <v>16</v>
      </c>
      <c r="J22" s="47">
        <v>61967200</v>
      </c>
      <c r="K22" s="47" t="s">
        <v>2026</v>
      </c>
      <c r="L22" s="47" t="s">
        <v>2081</v>
      </c>
      <c r="M22" s="50">
        <v>99900</v>
      </c>
      <c r="N22" s="51">
        <v>0.3</v>
      </c>
      <c r="O22" s="52">
        <f t="shared" si="0"/>
        <v>69930</v>
      </c>
      <c r="P22" s="46" t="s">
        <v>19</v>
      </c>
    </row>
    <row r="23" spans="1:16" x14ac:dyDescent="0.25">
      <c r="A23" s="47" t="str">
        <f t="shared" si="1"/>
        <v>2025 NOV DISC 30%</v>
      </c>
      <c r="B23" s="48">
        <v>46107</v>
      </c>
      <c r="C23" s="48">
        <v>46113</v>
      </c>
      <c r="D23" s="49">
        <v>3272</v>
      </c>
      <c r="E23" s="49">
        <v>336</v>
      </c>
      <c r="F23" s="49">
        <v>4</v>
      </c>
      <c r="G23" s="47">
        <v>1</v>
      </c>
      <c r="H23" s="46">
        <v>81379</v>
      </c>
      <c r="I23" s="49" t="s">
        <v>16</v>
      </c>
      <c r="J23" s="47">
        <v>61099792</v>
      </c>
      <c r="K23" s="47" t="s">
        <v>2027</v>
      </c>
      <c r="L23" s="47" t="s">
        <v>2082</v>
      </c>
      <c r="M23" s="50">
        <v>99900</v>
      </c>
      <c r="N23" s="51">
        <v>0.3</v>
      </c>
      <c r="O23" s="52">
        <f t="shared" si="0"/>
        <v>69930</v>
      </c>
      <c r="P23" s="46" t="s">
        <v>19</v>
      </c>
    </row>
    <row r="24" spans="1:16" x14ac:dyDescent="0.25">
      <c r="A24" s="47" t="str">
        <f t="shared" si="1"/>
        <v>2025 NOV DISC 30%</v>
      </c>
      <c r="B24" s="48">
        <v>46107</v>
      </c>
      <c r="C24" s="48">
        <v>46113</v>
      </c>
      <c r="D24" s="49">
        <v>3272</v>
      </c>
      <c r="E24" s="49">
        <v>336</v>
      </c>
      <c r="F24" s="49">
        <v>4</v>
      </c>
      <c r="G24" s="47">
        <v>1</v>
      </c>
      <c r="H24" s="46">
        <v>81379</v>
      </c>
      <c r="I24" s="49" t="s">
        <v>16</v>
      </c>
      <c r="J24" s="47">
        <v>61099809</v>
      </c>
      <c r="K24" s="47" t="s">
        <v>2027</v>
      </c>
      <c r="L24" s="47" t="s">
        <v>2083</v>
      </c>
      <c r="M24" s="50">
        <v>99900</v>
      </c>
      <c r="N24" s="51">
        <v>0.3</v>
      </c>
      <c r="O24" s="52">
        <f t="shared" si="0"/>
        <v>69930</v>
      </c>
      <c r="P24" s="46" t="s">
        <v>19</v>
      </c>
    </row>
    <row r="25" spans="1:16" x14ac:dyDescent="0.25">
      <c r="A25" s="47" t="str">
        <f t="shared" si="1"/>
        <v>2025 NOV DISC 30%</v>
      </c>
      <c r="B25" s="48">
        <v>46107</v>
      </c>
      <c r="C25" s="48">
        <v>46113</v>
      </c>
      <c r="D25" s="49">
        <v>3272</v>
      </c>
      <c r="E25" s="49">
        <v>336</v>
      </c>
      <c r="F25" s="49">
        <v>4</v>
      </c>
      <c r="G25" s="47">
        <v>1</v>
      </c>
      <c r="H25" s="46">
        <v>81379</v>
      </c>
      <c r="I25" s="49" t="s">
        <v>16</v>
      </c>
      <c r="J25" s="47">
        <v>61099818</v>
      </c>
      <c r="K25" s="47" t="s">
        <v>2027</v>
      </c>
      <c r="L25" s="47" t="s">
        <v>2084</v>
      </c>
      <c r="M25" s="50">
        <v>99900</v>
      </c>
      <c r="N25" s="51">
        <v>0.3</v>
      </c>
      <c r="O25" s="52">
        <f t="shared" si="0"/>
        <v>69930</v>
      </c>
      <c r="P25" s="46" t="s">
        <v>19</v>
      </c>
    </row>
    <row r="26" spans="1:16" x14ac:dyDescent="0.25">
      <c r="A26" s="47" t="str">
        <f t="shared" si="1"/>
        <v>2025 NOV DISC 30%</v>
      </c>
      <c r="B26" s="48">
        <v>46107</v>
      </c>
      <c r="C26" s="48">
        <v>46113</v>
      </c>
      <c r="D26" s="49">
        <v>3272</v>
      </c>
      <c r="E26" s="49">
        <v>336</v>
      </c>
      <c r="F26" s="49">
        <v>4</v>
      </c>
      <c r="G26" s="47">
        <v>1</v>
      </c>
      <c r="H26" s="46">
        <v>81379</v>
      </c>
      <c r="I26" s="49" t="s">
        <v>16</v>
      </c>
      <c r="J26" s="47">
        <v>61099827</v>
      </c>
      <c r="K26" s="47" t="s">
        <v>2027</v>
      </c>
      <c r="L26" s="47" t="s">
        <v>2085</v>
      </c>
      <c r="M26" s="50">
        <v>99900</v>
      </c>
      <c r="N26" s="51">
        <v>0.3</v>
      </c>
      <c r="O26" s="52">
        <f t="shared" si="0"/>
        <v>69930</v>
      </c>
      <c r="P26" s="46" t="s">
        <v>19</v>
      </c>
    </row>
    <row r="27" spans="1:16" x14ac:dyDescent="0.25">
      <c r="A27" s="47" t="str">
        <f t="shared" si="1"/>
        <v>2025 NOV DISC 30%</v>
      </c>
      <c r="B27" s="48">
        <v>46107</v>
      </c>
      <c r="C27" s="48">
        <v>46113</v>
      </c>
      <c r="D27" s="49">
        <v>3272</v>
      </c>
      <c r="E27" s="49">
        <v>336</v>
      </c>
      <c r="F27" s="49">
        <v>4</v>
      </c>
      <c r="G27" s="47">
        <v>1</v>
      </c>
      <c r="H27" s="46">
        <v>81379</v>
      </c>
      <c r="I27" s="49" t="s">
        <v>16</v>
      </c>
      <c r="J27" s="47">
        <v>61099836</v>
      </c>
      <c r="K27" s="47" t="s">
        <v>2027</v>
      </c>
      <c r="L27" s="47" t="s">
        <v>2086</v>
      </c>
      <c r="M27" s="50">
        <v>99900</v>
      </c>
      <c r="N27" s="51">
        <v>0.3</v>
      </c>
      <c r="O27" s="52">
        <f t="shared" si="0"/>
        <v>69930</v>
      </c>
      <c r="P27" s="46" t="s">
        <v>19</v>
      </c>
    </row>
    <row r="28" spans="1:16" x14ac:dyDescent="0.25">
      <c r="A28" s="47" t="str">
        <f t="shared" si="1"/>
        <v>2025 NOV DISC 30%</v>
      </c>
      <c r="B28" s="48">
        <v>46107</v>
      </c>
      <c r="C28" s="48">
        <v>46113</v>
      </c>
      <c r="D28" s="49">
        <v>3272</v>
      </c>
      <c r="E28" s="49">
        <v>336</v>
      </c>
      <c r="F28" s="49">
        <v>4</v>
      </c>
      <c r="G28" s="47">
        <v>1</v>
      </c>
      <c r="H28" s="46">
        <v>81379</v>
      </c>
      <c r="I28" s="49" t="s">
        <v>16</v>
      </c>
      <c r="J28" s="47">
        <v>61099845</v>
      </c>
      <c r="K28" s="47" t="s">
        <v>2027</v>
      </c>
      <c r="L28" s="47" t="s">
        <v>2087</v>
      </c>
      <c r="M28" s="50">
        <v>99900</v>
      </c>
      <c r="N28" s="51">
        <v>0.3</v>
      </c>
      <c r="O28" s="52">
        <f t="shared" si="0"/>
        <v>69930</v>
      </c>
      <c r="P28" s="46" t="s">
        <v>19</v>
      </c>
    </row>
    <row r="29" spans="1:16" x14ac:dyDescent="0.25">
      <c r="A29" s="47" t="str">
        <f t="shared" si="1"/>
        <v>2025 NOV DISC 30%</v>
      </c>
      <c r="B29" s="48">
        <v>46107</v>
      </c>
      <c r="C29" s="48">
        <v>46113</v>
      </c>
      <c r="D29" s="49">
        <v>3272</v>
      </c>
      <c r="E29" s="49">
        <v>336</v>
      </c>
      <c r="F29" s="49">
        <v>4</v>
      </c>
      <c r="G29" s="47">
        <v>1</v>
      </c>
      <c r="H29" s="46">
        <v>81379</v>
      </c>
      <c r="I29" s="49" t="s">
        <v>16</v>
      </c>
      <c r="J29" s="47">
        <v>61099854</v>
      </c>
      <c r="K29" s="47" t="s">
        <v>2027</v>
      </c>
      <c r="L29" s="47" t="s">
        <v>2088</v>
      </c>
      <c r="M29" s="50">
        <v>99900</v>
      </c>
      <c r="N29" s="51">
        <v>0.3</v>
      </c>
      <c r="O29" s="52">
        <f t="shared" si="0"/>
        <v>69930</v>
      </c>
      <c r="P29" s="46" t="s">
        <v>19</v>
      </c>
    </row>
    <row r="30" spans="1:16" x14ac:dyDescent="0.25">
      <c r="A30" s="47" t="str">
        <f t="shared" si="1"/>
        <v>2025 NOV DISC 30%</v>
      </c>
      <c r="B30" s="48">
        <v>46107</v>
      </c>
      <c r="C30" s="48">
        <v>46113</v>
      </c>
      <c r="D30" s="49">
        <v>3272</v>
      </c>
      <c r="E30" s="49">
        <v>336</v>
      </c>
      <c r="F30" s="49">
        <v>4</v>
      </c>
      <c r="G30" s="47">
        <v>1</v>
      </c>
      <c r="H30" s="46">
        <v>81379</v>
      </c>
      <c r="I30" s="49" t="s">
        <v>16</v>
      </c>
      <c r="J30" s="47">
        <v>61099863</v>
      </c>
      <c r="K30" s="47" t="s">
        <v>2028</v>
      </c>
      <c r="L30" s="47" t="s">
        <v>2089</v>
      </c>
      <c r="M30" s="50">
        <v>99900</v>
      </c>
      <c r="N30" s="51">
        <v>0.3</v>
      </c>
      <c r="O30" s="52">
        <f t="shared" si="0"/>
        <v>69930</v>
      </c>
      <c r="P30" s="46" t="s">
        <v>19</v>
      </c>
    </row>
    <row r="31" spans="1:16" x14ac:dyDescent="0.25">
      <c r="A31" s="47" t="str">
        <f t="shared" si="1"/>
        <v>2025 NOV DISC 30%</v>
      </c>
      <c r="B31" s="48">
        <v>46107</v>
      </c>
      <c r="C31" s="48">
        <v>46113</v>
      </c>
      <c r="D31" s="49">
        <v>3272</v>
      </c>
      <c r="E31" s="49">
        <v>336</v>
      </c>
      <c r="F31" s="49">
        <v>4</v>
      </c>
      <c r="G31" s="47">
        <v>1</v>
      </c>
      <c r="H31" s="46">
        <v>81379</v>
      </c>
      <c r="I31" s="49" t="s">
        <v>16</v>
      </c>
      <c r="J31" s="47">
        <v>61099872</v>
      </c>
      <c r="K31" s="47" t="s">
        <v>2028</v>
      </c>
      <c r="L31" s="47" t="s">
        <v>2090</v>
      </c>
      <c r="M31" s="50">
        <v>99900</v>
      </c>
      <c r="N31" s="51">
        <v>0.3</v>
      </c>
      <c r="O31" s="52">
        <f t="shared" si="0"/>
        <v>69930</v>
      </c>
      <c r="P31" s="46" t="s">
        <v>19</v>
      </c>
    </row>
    <row r="32" spans="1:16" x14ac:dyDescent="0.25">
      <c r="A32" s="47" t="str">
        <f t="shared" si="1"/>
        <v>2025 NOV DISC 30%</v>
      </c>
      <c r="B32" s="48">
        <v>46107</v>
      </c>
      <c r="C32" s="48">
        <v>46113</v>
      </c>
      <c r="D32" s="49">
        <v>3272</v>
      </c>
      <c r="E32" s="49">
        <v>336</v>
      </c>
      <c r="F32" s="49">
        <v>4</v>
      </c>
      <c r="G32" s="47">
        <v>1</v>
      </c>
      <c r="H32" s="46">
        <v>81379</v>
      </c>
      <c r="I32" s="49" t="s">
        <v>16</v>
      </c>
      <c r="J32" s="47">
        <v>61099881</v>
      </c>
      <c r="K32" s="47" t="s">
        <v>2028</v>
      </c>
      <c r="L32" s="47" t="s">
        <v>2091</v>
      </c>
      <c r="M32" s="50">
        <v>99900</v>
      </c>
      <c r="N32" s="51">
        <v>0.3</v>
      </c>
      <c r="O32" s="52">
        <f t="shared" si="0"/>
        <v>69930</v>
      </c>
      <c r="P32" s="46" t="s">
        <v>19</v>
      </c>
    </row>
    <row r="33" spans="1:16" x14ac:dyDescent="0.25">
      <c r="A33" s="47" t="str">
        <f t="shared" si="1"/>
        <v>2025 NOV DISC 30%</v>
      </c>
      <c r="B33" s="48">
        <v>46107</v>
      </c>
      <c r="C33" s="48">
        <v>46113</v>
      </c>
      <c r="D33" s="49">
        <v>3272</v>
      </c>
      <c r="E33" s="49">
        <v>336</v>
      </c>
      <c r="F33" s="49">
        <v>4</v>
      </c>
      <c r="G33" s="47">
        <v>1</v>
      </c>
      <c r="H33" s="46">
        <v>81379</v>
      </c>
      <c r="I33" s="49" t="s">
        <v>16</v>
      </c>
      <c r="J33" s="47">
        <v>61099890</v>
      </c>
      <c r="K33" s="47" t="s">
        <v>2028</v>
      </c>
      <c r="L33" s="47" t="s">
        <v>2092</v>
      </c>
      <c r="M33" s="50">
        <v>99900</v>
      </c>
      <c r="N33" s="51">
        <v>0.3</v>
      </c>
      <c r="O33" s="52">
        <f t="shared" si="0"/>
        <v>69930</v>
      </c>
      <c r="P33" s="46" t="s">
        <v>19</v>
      </c>
    </row>
    <row r="34" spans="1:16" x14ac:dyDescent="0.25">
      <c r="A34" s="47" t="str">
        <f t="shared" si="1"/>
        <v>2025 NOV DISC 30%</v>
      </c>
      <c r="B34" s="48">
        <v>46107</v>
      </c>
      <c r="C34" s="48">
        <v>46113</v>
      </c>
      <c r="D34" s="49">
        <v>3272</v>
      </c>
      <c r="E34" s="49">
        <v>336</v>
      </c>
      <c r="F34" s="49">
        <v>4</v>
      </c>
      <c r="G34" s="47">
        <v>1</v>
      </c>
      <c r="H34" s="46">
        <v>81379</v>
      </c>
      <c r="I34" s="49" t="s">
        <v>16</v>
      </c>
      <c r="J34" s="47">
        <v>61099907</v>
      </c>
      <c r="K34" s="47" t="s">
        <v>2028</v>
      </c>
      <c r="L34" s="47" t="s">
        <v>2093</v>
      </c>
      <c r="M34" s="50">
        <v>99900</v>
      </c>
      <c r="N34" s="51">
        <v>0.3</v>
      </c>
      <c r="O34" s="52">
        <f t="shared" si="0"/>
        <v>69930</v>
      </c>
      <c r="P34" s="46" t="s">
        <v>19</v>
      </c>
    </row>
    <row r="35" spans="1:16" x14ac:dyDescent="0.25">
      <c r="A35" s="47" t="str">
        <f t="shared" si="1"/>
        <v>2025 NOV DISC 30%</v>
      </c>
      <c r="B35" s="48">
        <v>46107</v>
      </c>
      <c r="C35" s="48">
        <v>46113</v>
      </c>
      <c r="D35" s="49">
        <v>3272</v>
      </c>
      <c r="E35" s="49">
        <v>336</v>
      </c>
      <c r="F35" s="49">
        <v>4</v>
      </c>
      <c r="G35" s="47">
        <v>1</v>
      </c>
      <c r="H35" s="46">
        <v>81379</v>
      </c>
      <c r="I35" s="49" t="s">
        <v>16</v>
      </c>
      <c r="J35" s="47">
        <v>61099916</v>
      </c>
      <c r="K35" s="47" t="s">
        <v>2028</v>
      </c>
      <c r="L35" s="47" t="s">
        <v>2094</v>
      </c>
      <c r="M35" s="50">
        <v>99900</v>
      </c>
      <c r="N35" s="51">
        <v>0.3</v>
      </c>
      <c r="O35" s="52">
        <f t="shared" si="0"/>
        <v>69930</v>
      </c>
      <c r="P35" s="46" t="s">
        <v>19</v>
      </c>
    </row>
    <row r="36" spans="1:16" x14ac:dyDescent="0.25">
      <c r="A36" s="47" t="str">
        <f t="shared" si="1"/>
        <v>2025 NOV DISC 30%</v>
      </c>
      <c r="B36" s="48">
        <v>46107</v>
      </c>
      <c r="C36" s="48">
        <v>46113</v>
      </c>
      <c r="D36" s="49">
        <v>3272</v>
      </c>
      <c r="E36" s="49">
        <v>336</v>
      </c>
      <c r="F36" s="49">
        <v>4</v>
      </c>
      <c r="G36" s="47">
        <v>1</v>
      </c>
      <c r="H36" s="46">
        <v>81379</v>
      </c>
      <c r="I36" s="49" t="s">
        <v>16</v>
      </c>
      <c r="J36" s="47">
        <v>61099925</v>
      </c>
      <c r="K36" s="47" t="s">
        <v>2028</v>
      </c>
      <c r="L36" s="47" t="s">
        <v>2095</v>
      </c>
      <c r="M36" s="50">
        <v>99900</v>
      </c>
      <c r="N36" s="51">
        <v>0.3</v>
      </c>
      <c r="O36" s="52">
        <f t="shared" si="0"/>
        <v>69930</v>
      </c>
      <c r="P36" s="46" t="s">
        <v>19</v>
      </c>
    </row>
    <row r="37" spans="1:16" x14ac:dyDescent="0.25">
      <c r="A37" s="47" t="str">
        <f t="shared" si="1"/>
        <v>2025 NOV DISC 30%</v>
      </c>
      <c r="B37" s="48">
        <v>46107</v>
      </c>
      <c r="C37" s="48">
        <v>46113</v>
      </c>
      <c r="D37" s="49">
        <v>3272</v>
      </c>
      <c r="E37" s="49">
        <v>336</v>
      </c>
      <c r="F37" s="49">
        <v>4</v>
      </c>
      <c r="G37" s="47">
        <v>1</v>
      </c>
      <c r="H37" s="46">
        <v>81379</v>
      </c>
      <c r="I37" s="49" t="s">
        <v>16</v>
      </c>
      <c r="J37" s="47">
        <v>61099934</v>
      </c>
      <c r="K37" s="47" t="s">
        <v>2029</v>
      </c>
      <c r="L37" s="47" t="s">
        <v>2096</v>
      </c>
      <c r="M37" s="50">
        <v>99900</v>
      </c>
      <c r="N37" s="51">
        <v>0.3</v>
      </c>
      <c r="O37" s="52">
        <f t="shared" si="0"/>
        <v>69930</v>
      </c>
      <c r="P37" s="46" t="s">
        <v>19</v>
      </c>
    </row>
    <row r="38" spans="1:16" x14ac:dyDescent="0.25">
      <c r="A38" s="47" t="str">
        <f t="shared" si="1"/>
        <v>2025 NOV DISC 30%</v>
      </c>
      <c r="B38" s="48">
        <v>46107</v>
      </c>
      <c r="C38" s="48">
        <v>46113</v>
      </c>
      <c r="D38" s="49">
        <v>3272</v>
      </c>
      <c r="E38" s="49">
        <v>336</v>
      </c>
      <c r="F38" s="49">
        <v>4</v>
      </c>
      <c r="G38" s="47">
        <v>1</v>
      </c>
      <c r="H38" s="46">
        <v>81379</v>
      </c>
      <c r="I38" s="49" t="s">
        <v>16</v>
      </c>
      <c r="J38" s="47">
        <v>61099943</v>
      </c>
      <c r="K38" s="47" t="s">
        <v>2029</v>
      </c>
      <c r="L38" s="47" t="s">
        <v>2097</v>
      </c>
      <c r="M38" s="50">
        <v>99900</v>
      </c>
      <c r="N38" s="51">
        <v>0.3</v>
      </c>
      <c r="O38" s="52">
        <f t="shared" si="0"/>
        <v>69930</v>
      </c>
      <c r="P38" s="46" t="s">
        <v>19</v>
      </c>
    </row>
    <row r="39" spans="1:16" x14ac:dyDescent="0.25">
      <c r="A39" s="47" t="str">
        <f t="shared" si="1"/>
        <v>2025 NOV DISC 30%</v>
      </c>
      <c r="B39" s="48">
        <v>46107</v>
      </c>
      <c r="C39" s="48">
        <v>46113</v>
      </c>
      <c r="D39" s="49">
        <v>3272</v>
      </c>
      <c r="E39" s="49">
        <v>336</v>
      </c>
      <c r="F39" s="49">
        <v>4</v>
      </c>
      <c r="G39" s="47">
        <v>1</v>
      </c>
      <c r="H39" s="46">
        <v>81379</v>
      </c>
      <c r="I39" s="49" t="s">
        <v>16</v>
      </c>
      <c r="J39" s="47">
        <v>61099952</v>
      </c>
      <c r="K39" s="47" t="s">
        <v>2029</v>
      </c>
      <c r="L39" s="47" t="s">
        <v>2098</v>
      </c>
      <c r="M39" s="50">
        <v>99900</v>
      </c>
      <c r="N39" s="51">
        <v>0.3</v>
      </c>
      <c r="O39" s="52">
        <f t="shared" si="0"/>
        <v>69930</v>
      </c>
      <c r="P39" s="46" t="s">
        <v>19</v>
      </c>
    </row>
    <row r="40" spans="1:16" x14ac:dyDescent="0.25">
      <c r="A40" s="47" t="str">
        <f t="shared" si="1"/>
        <v>2025 NOV DISC 30%</v>
      </c>
      <c r="B40" s="48">
        <v>46107</v>
      </c>
      <c r="C40" s="48">
        <v>46113</v>
      </c>
      <c r="D40" s="49">
        <v>3272</v>
      </c>
      <c r="E40" s="49">
        <v>336</v>
      </c>
      <c r="F40" s="49">
        <v>4</v>
      </c>
      <c r="G40" s="47">
        <v>1</v>
      </c>
      <c r="H40" s="46">
        <v>81379</v>
      </c>
      <c r="I40" s="49" t="s">
        <v>16</v>
      </c>
      <c r="J40" s="47">
        <v>61099961</v>
      </c>
      <c r="K40" s="47" t="s">
        <v>2029</v>
      </c>
      <c r="L40" s="47" t="s">
        <v>2099</v>
      </c>
      <c r="M40" s="50">
        <v>99900</v>
      </c>
      <c r="N40" s="51">
        <v>0.3</v>
      </c>
      <c r="O40" s="52">
        <f t="shared" si="0"/>
        <v>69930</v>
      </c>
      <c r="P40" s="46" t="s">
        <v>19</v>
      </c>
    </row>
    <row r="41" spans="1:16" x14ac:dyDescent="0.25">
      <c r="A41" s="47" t="str">
        <f t="shared" si="1"/>
        <v>2025 NOV DISC 30%</v>
      </c>
      <c r="B41" s="48">
        <v>46107</v>
      </c>
      <c r="C41" s="48">
        <v>46113</v>
      </c>
      <c r="D41" s="49">
        <v>3272</v>
      </c>
      <c r="E41" s="49">
        <v>336</v>
      </c>
      <c r="F41" s="49">
        <v>4</v>
      </c>
      <c r="G41" s="47">
        <v>1</v>
      </c>
      <c r="H41" s="46">
        <v>81379</v>
      </c>
      <c r="I41" s="49" t="s">
        <v>16</v>
      </c>
      <c r="J41" s="47">
        <v>61099970</v>
      </c>
      <c r="K41" s="47" t="s">
        <v>2029</v>
      </c>
      <c r="L41" s="47" t="s">
        <v>2100</v>
      </c>
      <c r="M41" s="50">
        <v>99900</v>
      </c>
      <c r="N41" s="51">
        <v>0.3</v>
      </c>
      <c r="O41" s="52">
        <f t="shared" si="0"/>
        <v>69930</v>
      </c>
      <c r="P41" s="46" t="s">
        <v>19</v>
      </c>
    </row>
    <row r="42" spans="1:16" x14ac:dyDescent="0.25">
      <c r="A42" s="47" t="str">
        <f t="shared" si="1"/>
        <v>2025 NOV DISC 30%</v>
      </c>
      <c r="B42" s="48">
        <v>46107</v>
      </c>
      <c r="C42" s="48">
        <v>46113</v>
      </c>
      <c r="D42" s="49">
        <v>3272</v>
      </c>
      <c r="E42" s="49">
        <v>336</v>
      </c>
      <c r="F42" s="49">
        <v>4</v>
      </c>
      <c r="G42" s="47">
        <v>1</v>
      </c>
      <c r="H42" s="46">
        <v>81379</v>
      </c>
      <c r="I42" s="49" t="s">
        <v>16</v>
      </c>
      <c r="J42" s="47">
        <v>61099989</v>
      </c>
      <c r="K42" s="47" t="s">
        <v>2029</v>
      </c>
      <c r="L42" s="47" t="s">
        <v>2101</v>
      </c>
      <c r="M42" s="50">
        <v>99900</v>
      </c>
      <c r="N42" s="51">
        <v>0.3</v>
      </c>
      <c r="O42" s="52">
        <f t="shared" si="0"/>
        <v>69930</v>
      </c>
      <c r="P42" s="46" t="s">
        <v>19</v>
      </c>
    </row>
    <row r="43" spans="1:16" x14ac:dyDescent="0.25">
      <c r="A43" s="47" t="str">
        <f t="shared" si="1"/>
        <v>2025 NOV DISC 30%</v>
      </c>
      <c r="B43" s="48">
        <v>46107</v>
      </c>
      <c r="C43" s="48">
        <v>46113</v>
      </c>
      <c r="D43" s="49">
        <v>3272</v>
      </c>
      <c r="E43" s="49">
        <v>336</v>
      </c>
      <c r="F43" s="49">
        <v>4</v>
      </c>
      <c r="G43" s="47">
        <v>1</v>
      </c>
      <c r="H43" s="46">
        <v>81379</v>
      </c>
      <c r="I43" s="49" t="s">
        <v>16</v>
      </c>
      <c r="J43" s="47">
        <v>61099998</v>
      </c>
      <c r="K43" s="47" t="s">
        <v>2029</v>
      </c>
      <c r="L43" s="47" t="s">
        <v>2102</v>
      </c>
      <c r="M43" s="50">
        <v>99900</v>
      </c>
      <c r="N43" s="51">
        <v>0.3</v>
      </c>
      <c r="O43" s="52">
        <f t="shared" si="0"/>
        <v>69930</v>
      </c>
      <c r="P43" s="46" t="s">
        <v>19</v>
      </c>
    </row>
    <row r="44" spans="1:16" x14ac:dyDescent="0.25">
      <c r="A44" s="47" t="str">
        <f t="shared" si="1"/>
        <v>2025 NOV DISC 30%</v>
      </c>
      <c r="B44" s="48">
        <v>46107</v>
      </c>
      <c r="C44" s="48">
        <v>46113</v>
      </c>
      <c r="D44" s="49">
        <v>3272</v>
      </c>
      <c r="E44" s="49">
        <v>336</v>
      </c>
      <c r="F44" s="49">
        <v>4</v>
      </c>
      <c r="G44" s="47">
        <v>1</v>
      </c>
      <c r="H44" s="46">
        <v>81379</v>
      </c>
      <c r="I44" s="49" t="s">
        <v>16</v>
      </c>
      <c r="J44" s="47">
        <v>61967219</v>
      </c>
      <c r="K44" s="47" t="s">
        <v>2030</v>
      </c>
      <c r="L44" s="47" t="s">
        <v>2103</v>
      </c>
      <c r="M44" s="50">
        <v>99900</v>
      </c>
      <c r="N44" s="51">
        <v>0.3</v>
      </c>
      <c r="O44" s="52">
        <f t="shared" si="0"/>
        <v>69930</v>
      </c>
      <c r="P44" s="46" t="s">
        <v>19</v>
      </c>
    </row>
    <row r="45" spans="1:16" x14ac:dyDescent="0.25">
      <c r="A45" s="47" t="str">
        <f t="shared" si="1"/>
        <v>2025 NOV DISC 30%</v>
      </c>
      <c r="B45" s="48">
        <v>46107</v>
      </c>
      <c r="C45" s="48">
        <v>46113</v>
      </c>
      <c r="D45" s="49">
        <v>3272</v>
      </c>
      <c r="E45" s="49">
        <v>336</v>
      </c>
      <c r="F45" s="49">
        <v>4</v>
      </c>
      <c r="G45" s="47">
        <v>1</v>
      </c>
      <c r="H45" s="46">
        <v>81379</v>
      </c>
      <c r="I45" s="49" t="s">
        <v>16</v>
      </c>
      <c r="J45" s="47">
        <v>61967228</v>
      </c>
      <c r="K45" s="47" t="s">
        <v>2030</v>
      </c>
      <c r="L45" s="47" t="s">
        <v>2104</v>
      </c>
      <c r="M45" s="50">
        <v>99900</v>
      </c>
      <c r="N45" s="51">
        <v>0.3</v>
      </c>
      <c r="O45" s="52">
        <f t="shared" si="0"/>
        <v>69930</v>
      </c>
      <c r="P45" s="46" t="s">
        <v>19</v>
      </c>
    </row>
    <row r="46" spans="1:16" x14ac:dyDescent="0.25">
      <c r="A46" s="47" t="str">
        <f t="shared" si="1"/>
        <v>2025 NOV DISC 30%</v>
      </c>
      <c r="B46" s="48">
        <v>46107</v>
      </c>
      <c r="C46" s="48">
        <v>46113</v>
      </c>
      <c r="D46" s="49">
        <v>3272</v>
      </c>
      <c r="E46" s="49">
        <v>336</v>
      </c>
      <c r="F46" s="49">
        <v>4</v>
      </c>
      <c r="G46" s="47">
        <v>1</v>
      </c>
      <c r="H46" s="46">
        <v>81379</v>
      </c>
      <c r="I46" s="49" t="s">
        <v>16</v>
      </c>
      <c r="J46" s="47">
        <v>61967237</v>
      </c>
      <c r="K46" s="47" t="s">
        <v>2030</v>
      </c>
      <c r="L46" s="47" t="s">
        <v>2105</v>
      </c>
      <c r="M46" s="50">
        <v>99900</v>
      </c>
      <c r="N46" s="51">
        <v>0.3</v>
      </c>
      <c r="O46" s="52">
        <f t="shared" si="0"/>
        <v>69930</v>
      </c>
      <c r="P46" s="46" t="s">
        <v>19</v>
      </c>
    </row>
    <row r="47" spans="1:16" x14ac:dyDescent="0.25">
      <c r="A47" s="47" t="str">
        <f t="shared" si="1"/>
        <v>2025 NOV DISC 30%</v>
      </c>
      <c r="B47" s="48">
        <v>46107</v>
      </c>
      <c r="C47" s="48">
        <v>46113</v>
      </c>
      <c r="D47" s="49">
        <v>3272</v>
      </c>
      <c r="E47" s="49">
        <v>336</v>
      </c>
      <c r="F47" s="49">
        <v>4</v>
      </c>
      <c r="G47" s="47">
        <v>1</v>
      </c>
      <c r="H47" s="46">
        <v>81379</v>
      </c>
      <c r="I47" s="49" t="s">
        <v>16</v>
      </c>
      <c r="J47" s="47">
        <v>61967246</v>
      </c>
      <c r="K47" s="47" t="s">
        <v>2030</v>
      </c>
      <c r="L47" s="47" t="s">
        <v>2106</v>
      </c>
      <c r="M47" s="50">
        <v>99900</v>
      </c>
      <c r="N47" s="51">
        <v>0.3</v>
      </c>
      <c r="O47" s="52">
        <f t="shared" si="0"/>
        <v>69930</v>
      </c>
      <c r="P47" s="46" t="s">
        <v>19</v>
      </c>
    </row>
    <row r="48" spans="1:16" x14ac:dyDescent="0.25">
      <c r="A48" s="47" t="str">
        <f t="shared" si="1"/>
        <v>2025 NOV DISC 30%</v>
      </c>
      <c r="B48" s="48">
        <v>46107</v>
      </c>
      <c r="C48" s="48">
        <v>46113</v>
      </c>
      <c r="D48" s="49">
        <v>3272</v>
      </c>
      <c r="E48" s="49">
        <v>336</v>
      </c>
      <c r="F48" s="49">
        <v>4</v>
      </c>
      <c r="G48" s="47">
        <v>1</v>
      </c>
      <c r="H48" s="46">
        <v>81379</v>
      </c>
      <c r="I48" s="49" t="s">
        <v>16</v>
      </c>
      <c r="J48" s="47">
        <v>61967255</v>
      </c>
      <c r="K48" s="47" t="s">
        <v>2030</v>
      </c>
      <c r="L48" s="47" t="s">
        <v>2107</v>
      </c>
      <c r="M48" s="50">
        <v>99900</v>
      </c>
      <c r="N48" s="51">
        <v>0.3</v>
      </c>
      <c r="O48" s="52">
        <f t="shared" si="0"/>
        <v>69930</v>
      </c>
      <c r="P48" s="46" t="s">
        <v>19</v>
      </c>
    </row>
    <row r="49" spans="1:16" x14ac:dyDescent="0.25">
      <c r="A49" s="47" t="str">
        <f t="shared" si="1"/>
        <v>2025 NOV DISC 30%</v>
      </c>
      <c r="B49" s="48">
        <v>46107</v>
      </c>
      <c r="C49" s="48">
        <v>46113</v>
      </c>
      <c r="D49" s="49">
        <v>3272</v>
      </c>
      <c r="E49" s="49">
        <v>336</v>
      </c>
      <c r="F49" s="49">
        <v>4</v>
      </c>
      <c r="G49" s="47">
        <v>1</v>
      </c>
      <c r="H49" s="46">
        <v>81379</v>
      </c>
      <c r="I49" s="49" t="s">
        <v>16</v>
      </c>
      <c r="J49" s="47">
        <v>61967264</v>
      </c>
      <c r="K49" s="47" t="s">
        <v>2030</v>
      </c>
      <c r="L49" s="47" t="s">
        <v>2108</v>
      </c>
      <c r="M49" s="50">
        <v>99900</v>
      </c>
      <c r="N49" s="51">
        <v>0.3</v>
      </c>
      <c r="O49" s="52">
        <f t="shared" si="0"/>
        <v>69930</v>
      </c>
      <c r="P49" s="46" t="s">
        <v>19</v>
      </c>
    </row>
    <row r="50" spans="1:16" x14ac:dyDescent="0.25">
      <c r="A50" s="47" t="str">
        <f t="shared" si="1"/>
        <v>2025 NOV DISC 30%</v>
      </c>
      <c r="B50" s="48">
        <v>46107</v>
      </c>
      <c r="C50" s="48">
        <v>46113</v>
      </c>
      <c r="D50" s="49">
        <v>3272</v>
      </c>
      <c r="E50" s="49">
        <v>336</v>
      </c>
      <c r="F50" s="49">
        <v>4</v>
      </c>
      <c r="G50" s="47">
        <v>1</v>
      </c>
      <c r="H50" s="46">
        <v>81379</v>
      </c>
      <c r="I50" s="49" t="s">
        <v>16</v>
      </c>
      <c r="J50" s="47">
        <v>61967273</v>
      </c>
      <c r="K50" s="47" t="s">
        <v>2030</v>
      </c>
      <c r="L50" s="47" t="s">
        <v>2109</v>
      </c>
      <c r="M50" s="50">
        <v>99900</v>
      </c>
      <c r="N50" s="51">
        <v>0.3</v>
      </c>
      <c r="O50" s="52">
        <f t="shared" si="0"/>
        <v>69930</v>
      </c>
      <c r="P50" s="46" t="s">
        <v>19</v>
      </c>
    </row>
    <row r="51" spans="1:16" x14ac:dyDescent="0.25">
      <c r="A51" s="47" t="str">
        <f t="shared" si="1"/>
        <v>2025 NOV DISC 30%</v>
      </c>
      <c r="B51" s="48">
        <v>46107</v>
      </c>
      <c r="C51" s="48">
        <v>46113</v>
      </c>
      <c r="D51" s="49">
        <v>3272</v>
      </c>
      <c r="E51" s="49">
        <v>336</v>
      </c>
      <c r="F51" s="49">
        <v>4</v>
      </c>
      <c r="G51" s="47">
        <v>1</v>
      </c>
      <c r="H51" s="46">
        <v>81379</v>
      </c>
      <c r="I51" s="49" t="s">
        <v>16</v>
      </c>
      <c r="J51" s="47">
        <v>61967282</v>
      </c>
      <c r="K51" s="47" t="s">
        <v>2031</v>
      </c>
      <c r="L51" s="47" t="s">
        <v>2110</v>
      </c>
      <c r="M51" s="50">
        <v>99900</v>
      </c>
      <c r="N51" s="51">
        <v>0.3</v>
      </c>
      <c r="O51" s="52">
        <f t="shared" si="0"/>
        <v>69930</v>
      </c>
      <c r="P51" s="46" t="s">
        <v>19</v>
      </c>
    </row>
    <row r="52" spans="1:16" x14ac:dyDescent="0.25">
      <c r="A52" s="47" t="str">
        <f t="shared" si="1"/>
        <v>2025 NOV DISC 30%</v>
      </c>
      <c r="B52" s="48">
        <v>46107</v>
      </c>
      <c r="C52" s="48">
        <v>46113</v>
      </c>
      <c r="D52" s="49">
        <v>3272</v>
      </c>
      <c r="E52" s="49">
        <v>336</v>
      </c>
      <c r="F52" s="49">
        <v>4</v>
      </c>
      <c r="G52" s="47">
        <v>1</v>
      </c>
      <c r="H52" s="46">
        <v>81379</v>
      </c>
      <c r="I52" s="49" t="s">
        <v>16</v>
      </c>
      <c r="J52" s="47">
        <v>61967291</v>
      </c>
      <c r="K52" s="47" t="s">
        <v>2031</v>
      </c>
      <c r="L52" s="47" t="s">
        <v>2111</v>
      </c>
      <c r="M52" s="50">
        <v>99900</v>
      </c>
      <c r="N52" s="51">
        <v>0.3</v>
      </c>
      <c r="O52" s="52">
        <f t="shared" si="0"/>
        <v>69930</v>
      </c>
      <c r="P52" s="46" t="s">
        <v>19</v>
      </c>
    </row>
    <row r="53" spans="1:16" x14ac:dyDescent="0.25">
      <c r="A53" s="47" t="str">
        <f t="shared" si="1"/>
        <v>2025 NOV DISC 30%</v>
      </c>
      <c r="B53" s="48">
        <v>46107</v>
      </c>
      <c r="C53" s="48">
        <v>46113</v>
      </c>
      <c r="D53" s="49">
        <v>3272</v>
      </c>
      <c r="E53" s="49">
        <v>336</v>
      </c>
      <c r="F53" s="49">
        <v>4</v>
      </c>
      <c r="G53" s="47">
        <v>1</v>
      </c>
      <c r="H53" s="46">
        <v>81379</v>
      </c>
      <c r="I53" s="49" t="s">
        <v>16</v>
      </c>
      <c r="J53" s="47">
        <v>61967308</v>
      </c>
      <c r="K53" s="47" t="s">
        <v>2031</v>
      </c>
      <c r="L53" s="47" t="s">
        <v>2112</v>
      </c>
      <c r="M53" s="50">
        <v>99900</v>
      </c>
      <c r="N53" s="51">
        <v>0.3</v>
      </c>
      <c r="O53" s="52">
        <f t="shared" si="0"/>
        <v>69930</v>
      </c>
      <c r="P53" s="46" t="s">
        <v>19</v>
      </c>
    </row>
    <row r="54" spans="1:16" x14ac:dyDescent="0.25">
      <c r="A54" s="47" t="str">
        <f t="shared" si="1"/>
        <v>2025 NOV DISC 30%</v>
      </c>
      <c r="B54" s="48">
        <v>46107</v>
      </c>
      <c r="C54" s="48">
        <v>46113</v>
      </c>
      <c r="D54" s="49">
        <v>3272</v>
      </c>
      <c r="E54" s="49">
        <v>336</v>
      </c>
      <c r="F54" s="49">
        <v>4</v>
      </c>
      <c r="G54" s="47">
        <v>1</v>
      </c>
      <c r="H54" s="46">
        <v>81379</v>
      </c>
      <c r="I54" s="49" t="s">
        <v>16</v>
      </c>
      <c r="J54" s="47">
        <v>61967317</v>
      </c>
      <c r="K54" s="47" t="s">
        <v>2031</v>
      </c>
      <c r="L54" s="47" t="s">
        <v>2113</v>
      </c>
      <c r="M54" s="50">
        <v>99900</v>
      </c>
      <c r="N54" s="51">
        <v>0.3</v>
      </c>
      <c r="O54" s="52">
        <f t="shared" si="0"/>
        <v>69930</v>
      </c>
      <c r="P54" s="46" t="s">
        <v>19</v>
      </c>
    </row>
    <row r="55" spans="1:16" x14ac:dyDescent="0.25">
      <c r="A55" s="47" t="str">
        <f t="shared" si="1"/>
        <v>2025 NOV DISC 30%</v>
      </c>
      <c r="B55" s="48">
        <v>46107</v>
      </c>
      <c r="C55" s="48">
        <v>46113</v>
      </c>
      <c r="D55" s="49">
        <v>3272</v>
      </c>
      <c r="E55" s="49">
        <v>336</v>
      </c>
      <c r="F55" s="49">
        <v>4</v>
      </c>
      <c r="G55" s="47">
        <v>1</v>
      </c>
      <c r="H55" s="46">
        <v>81379</v>
      </c>
      <c r="I55" s="49" t="s">
        <v>16</v>
      </c>
      <c r="J55" s="47">
        <v>61967326</v>
      </c>
      <c r="K55" s="47" t="s">
        <v>2031</v>
      </c>
      <c r="L55" s="47" t="s">
        <v>2114</v>
      </c>
      <c r="M55" s="50">
        <v>99900</v>
      </c>
      <c r="N55" s="51">
        <v>0.3</v>
      </c>
      <c r="O55" s="52">
        <f t="shared" si="0"/>
        <v>69930</v>
      </c>
      <c r="P55" s="46" t="s">
        <v>19</v>
      </c>
    </row>
    <row r="56" spans="1:16" x14ac:dyDescent="0.25">
      <c r="A56" s="47" t="str">
        <f t="shared" si="1"/>
        <v>2025 NOV DISC 30%</v>
      </c>
      <c r="B56" s="48">
        <v>46107</v>
      </c>
      <c r="C56" s="48">
        <v>46113</v>
      </c>
      <c r="D56" s="49">
        <v>3272</v>
      </c>
      <c r="E56" s="49">
        <v>336</v>
      </c>
      <c r="F56" s="49">
        <v>4</v>
      </c>
      <c r="G56" s="47">
        <v>1</v>
      </c>
      <c r="H56" s="46">
        <v>81379</v>
      </c>
      <c r="I56" s="49" t="s">
        <v>16</v>
      </c>
      <c r="J56" s="47">
        <v>61967335</v>
      </c>
      <c r="K56" s="47" t="s">
        <v>2031</v>
      </c>
      <c r="L56" s="47" t="s">
        <v>2115</v>
      </c>
      <c r="M56" s="50">
        <v>99900</v>
      </c>
      <c r="N56" s="51">
        <v>0.3</v>
      </c>
      <c r="O56" s="52">
        <f t="shared" si="0"/>
        <v>69930</v>
      </c>
      <c r="P56" s="46" t="s">
        <v>19</v>
      </c>
    </row>
    <row r="57" spans="1:16" x14ac:dyDescent="0.25">
      <c r="A57" s="47" t="str">
        <f t="shared" si="1"/>
        <v>2025 NOV DISC 30%</v>
      </c>
      <c r="B57" s="48">
        <v>46107</v>
      </c>
      <c r="C57" s="48">
        <v>46113</v>
      </c>
      <c r="D57" s="49">
        <v>3272</v>
      </c>
      <c r="E57" s="49">
        <v>336</v>
      </c>
      <c r="F57" s="49">
        <v>4</v>
      </c>
      <c r="G57" s="47">
        <v>1</v>
      </c>
      <c r="H57" s="46">
        <v>81379</v>
      </c>
      <c r="I57" s="49" t="s">
        <v>16</v>
      </c>
      <c r="J57" s="47">
        <v>61967344</v>
      </c>
      <c r="K57" s="47" t="s">
        <v>2031</v>
      </c>
      <c r="L57" s="47" t="s">
        <v>2116</v>
      </c>
      <c r="M57" s="50">
        <v>99900</v>
      </c>
      <c r="N57" s="51">
        <v>0.3</v>
      </c>
      <c r="O57" s="52">
        <f t="shared" si="0"/>
        <v>69930</v>
      </c>
      <c r="P57" s="46" t="s">
        <v>19</v>
      </c>
    </row>
    <row r="58" spans="1:16" x14ac:dyDescent="0.25">
      <c r="A58" s="47" t="str">
        <f t="shared" si="1"/>
        <v>2025 NOV DISC 30%</v>
      </c>
      <c r="B58" s="48">
        <v>46107</v>
      </c>
      <c r="C58" s="48">
        <v>46113</v>
      </c>
      <c r="D58" s="49">
        <v>3272</v>
      </c>
      <c r="E58" s="49">
        <v>336</v>
      </c>
      <c r="F58" s="49">
        <v>4</v>
      </c>
      <c r="G58" s="47">
        <v>1</v>
      </c>
      <c r="H58" s="46">
        <v>81379</v>
      </c>
      <c r="I58" s="49" t="s">
        <v>16</v>
      </c>
      <c r="J58" s="47">
        <v>61967353</v>
      </c>
      <c r="K58" s="47" t="s">
        <v>2032</v>
      </c>
      <c r="L58" s="47" t="s">
        <v>2117</v>
      </c>
      <c r="M58" s="50">
        <v>99900</v>
      </c>
      <c r="N58" s="51">
        <v>0.3</v>
      </c>
      <c r="O58" s="52">
        <f t="shared" si="0"/>
        <v>69930</v>
      </c>
      <c r="P58" s="46" t="s">
        <v>19</v>
      </c>
    </row>
    <row r="59" spans="1:16" x14ac:dyDescent="0.25">
      <c r="A59" s="47" t="str">
        <f t="shared" si="1"/>
        <v>2025 NOV DISC 30%</v>
      </c>
      <c r="B59" s="48">
        <v>46107</v>
      </c>
      <c r="C59" s="48">
        <v>46113</v>
      </c>
      <c r="D59" s="49">
        <v>3272</v>
      </c>
      <c r="E59" s="49">
        <v>336</v>
      </c>
      <c r="F59" s="49">
        <v>4</v>
      </c>
      <c r="G59" s="47">
        <v>1</v>
      </c>
      <c r="H59" s="46">
        <v>81379</v>
      </c>
      <c r="I59" s="49" t="s">
        <v>16</v>
      </c>
      <c r="J59" s="47">
        <v>61967362</v>
      </c>
      <c r="K59" s="47" t="s">
        <v>2032</v>
      </c>
      <c r="L59" s="47" t="s">
        <v>2118</v>
      </c>
      <c r="M59" s="50">
        <v>99900</v>
      </c>
      <c r="N59" s="51">
        <v>0.3</v>
      </c>
      <c r="O59" s="52">
        <f t="shared" si="0"/>
        <v>69930</v>
      </c>
      <c r="P59" s="46" t="s">
        <v>19</v>
      </c>
    </row>
    <row r="60" spans="1:16" x14ac:dyDescent="0.25">
      <c r="A60" s="47" t="str">
        <f t="shared" si="1"/>
        <v>2025 NOV DISC 30%</v>
      </c>
      <c r="B60" s="48">
        <v>46107</v>
      </c>
      <c r="C60" s="48">
        <v>46113</v>
      </c>
      <c r="D60" s="49">
        <v>3272</v>
      </c>
      <c r="E60" s="49">
        <v>336</v>
      </c>
      <c r="F60" s="49">
        <v>4</v>
      </c>
      <c r="G60" s="47">
        <v>1</v>
      </c>
      <c r="H60" s="46">
        <v>81379</v>
      </c>
      <c r="I60" s="49" t="s">
        <v>16</v>
      </c>
      <c r="J60" s="47">
        <v>61967371</v>
      </c>
      <c r="K60" s="47" t="s">
        <v>2032</v>
      </c>
      <c r="L60" s="47" t="s">
        <v>2119</v>
      </c>
      <c r="M60" s="50">
        <v>99900</v>
      </c>
      <c r="N60" s="51">
        <v>0.3</v>
      </c>
      <c r="O60" s="52">
        <f t="shared" si="0"/>
        <v>69930</v>
      </c>
      <c r="P60" s="46" t="s">
        <v>19</v>
      </c>
    </row>
    <row r="61" spans="1:16" x14ac:dyDescent="0.25">
      <c r="A61" s="47" t="str">
        <f t="shared" si="1"/>
        <v>2025 NOV DISC 30%</v>
      </c>
      <c r="B61" s="48">
        <v>46107</v>
      </c>
      <c r="C61" s="48">
        <v>46113</v>
      </c>
      <c r="D61" s="49">
        <v>3272</v>
      </c>
      <c r="E61" s="49">
        <v>336</v>
      </c>
      <c r="F61" s="49">
        <v>4</v>
      </c>
      <c r="G61" s="47">
        <v>1</v>
      </c>
      <c r="H61" s="46">
        <v>81379</v>
      </c>
      <c r="I61" s="49" t="s">
        <v>16</v>
      </c>
      <c r="J61" s="47">
        <v>61967380</v>
      </c>
      <c r="K61" s="47" t="s">
        <v>2032</v>
      </c>
      <c r="L61" s="47" t="s">
        <v>2120</v>
      </c>
      <c r="M61" s="50">
        <v>99900</v>
      </c>
      <c r="N61" s="51">
        <v>0.3</v>
      </c>
      <c r="O61" s="52">
        <f t="shared" si="0"/>
        <v>69930</v>
      </c>
      <c r="P61" s="46" t="s">
        <v>19</v>
      </c>
    </row>
    <row r="62" spans="1:16" x14ac:dyDescent="0.25">
      <c r="A62" s="47" t="str">
        <f t="shared" si="1"/>
        <v>2025 NOV DISC 30%</v>
      </c>
      <c r="B62" s="48">
        <v>46107</v>
      </c>
      <c r="C62" s="48">
        <v>46113</v>
      </c>
      <c r="D62" s="49">
        <v>3272</v>
      </c>
      <c r="E62" s="49">
        <v>336</v>
      </c>
      <c r="F62" s="49">
        <v>4</v>
      </c>
      <c r="G62" s="47">
        <v>1</v>
      </c>
      <c r="H62" s="46">
        <v>81379</v>
      </c>
      <c r="I62" s="49" t="s">
        <v>16</v>
      </c>
      <c r="J62" s="47">
        <v>61967399</v>
      </c>
      <c r="K62" s="47" t="s">
        <v>2032</v>
      </c>
      <c r="L62" s="47" t="s">
        <v>2121</v>
      </c>
      <c r="M62" s="50">
        <v>99900</v>
      </c>
      <c r="N62" s="51">
        <v>0.3</v>
      </c>
      <c r="O62" s="52">
        <f t="shared" si="0"/>
        <v>69930</v>
      </c>
      <c r="P62" s="46" t="s">
        <v>19</v>
      </c>
    </row>
    <row r="63" spans="1:16" x14ac:dyDescent="0.25">
      <c r="A63" s="47" t="str">
        <f t="shared" si="1"/>
        <v>2025 NOV DISC 30%</v>
      </c>
      <c r="B63" s="48">
        <v>46107</v>
      </c>
      <c r="C63" s="48">
        <v>46113</v>
      </c>
      <c r="D63" s="49">
        <v>3272</v>
      </c>
      <c r="E63" s="49">
        <v>336</v>
      </c>
      <c r="F63" s="49">
        <v>4</v>
      </c>
      <c r="G63" s="47">
        <v>1</v>
      </c>
      <c r="H63" s="46">
        <v>81379</v>
      </c>
      <c r="I63" s="49" t="s">
        <v>16</v>
      </c>
      <c r="J63" s="47">
        <v>61967406</v>
      </c>
      <c r="K63" s="47" t="s">
        <v>2032</v>
      </c>
      <c r="L63" s="47" t="s">
        <v>2122</v>
      </c>
      <c r="M63" s="50">
        <v>99900</v>
      </c>
      <c r="N63" s="51">
        <v>0.3</v>
      </c>
      <c r="O63" s="52">
        <f t="shared" si="0"/>
        <v>69930</v>
      </c>
      <c r="P63" s="46" t="s">
        <v>19</v>
      </c>
    </row>
    <row r="64" spans="1:16" x14ac:dyDescent="0.25">
      <c r="A64" s="47" t="str">
        <f t="shared" si="1"/>
        <v>2025 NOV DISC 30%</v>
      </c>
      <c r="B64" s="48">
        <v>46107</v>
      </c>
      <c r="C64" s="48">
        <v>46113</v>
      </c>
      <c r="D64" s="49">
        <v>3272</v>
      </c>
      <c r="E64" s="49">
        <v>336</v>
      </c>
      <c r="F64" s="49">
        <v>4</v>
      </c>
      <c r="G64" s="47">
        <v>1</v>
      </c>
      <c r="H64" s="46">
        <v>81379</v>
      </c>
      <c r="I64" s="49" t="s">
        <v>16</v>
      </c>
      <c r="J64" s="47">
        <v>61967415</v>
      </c>
      <c r="K64" s="47" t="s">
        <v>2032</v>
      </c>
      <c r="L64" s="47" t="s">
        <v>2123</v>
      </c>
      <c r="M64" s="50">
        <v>99900</v>
      </c>
      <c r="N64" s="51">
        <v>0.3</v>
      </c>
      <c r="O64" s="52">
        <f t="shared" si="0"/>
        <v>69930</v>
      </c>
      <c r="P64" s="46" t="s">
        <v>19</v>
      </c>
    </row>
    <row r="65" spans="1:16" x14ac:dyDescent="0.25">
      <c r="A65" s="47" t="str">
        <f t="shared" si="1"/>
        <v>2025 NOV DISC 30%</v>
      </c>
      <c r="B65" s="48">
        <v>46107</v>
      </c>
      <c r="C65" s="48">
        <v>46113</v>
      </c>
      <c r="D65" s="49">
        <v>3272</v>
      </c>
      <c r="E65" s="49">
        <v>336</v>
      </c>
      <c r="F65" s="49">
        <v>4</v>
      </c>
      <c r="G65" s="47">
        <v>1</v>
      </c>
      <c r="H65" s="46">
        <v>81379</v>
      </c>
      <c r="I65" s="49" t="s">
        <v>16</v>
      </c>
      <c r="J65" s="47">
        <v>61967424</v>
      </c>
      <c r="K65" s="47" t="s">
        <v>2033</v>
      </c>
      <c r="L65" s="47" t="s">
        <v>2124</v>
      </c>
      <c r="M65" s="50">
        <v>99900</v>
      </c>
      <c r="N65" s="51">
        <v>0.3</v>
      </c>
      <c r="O65" s="52">
        <f t="shared" si="0"/>
        <v>69930</v>
      </c>
      <c r="P65" s="46" t="s">
        <v>19</v>
      </c>
    </row>
    <row r="66" spans="1:16" x14ac:dyDescent="0.25">
      <c r="A66" s="47" t="str">
        <f t="shared" si="1"/>
        <v>2025 NOV DISC 30%</v>
      </c>
      <c r="B66" s="48">
        <v>46107</v>
      </c>
      <c r="C66" s="48">
        <v>46113</v>
      </c>
      <c r="D66" s="49">
        <v>3272</v>
      </c>
      <c r="E66" s="49">
        <v>336</v>
      </c>
      <c r="F66" s="49">
        <v>4</v>
      </c>
      <c r="G66" s="47">
        <v>1</v>
      </c>
      <c r="H66" s="46">
        <v>81379</v>
      </c>
      <c r="I66" s="49" t="s">
        <v>16</v>
      </c>
      <c r="J66" s="47">
        <v>61967433</v>
      </c>
      <c r="K66" s="47" t="s">
        <v>2033</v>
      </c>
      <c r="L66" s="47" t="s">
        <v>2125</v>
      </c>
      <c r="M66" s="50">
        <v>99900</v>
      </c>
      <c r="N66" s="51">
        <v>0.3</v>
      </c>
      <c r="O66" s="52">
        <f t="shared" ref="O66:O129" si="2">M66-((30*M66)/100)</f>
        <v>69930</v>
      </c>
      <c r="P66" s="46" t="s">
        <v>19</v>
      </c>
    </row>
    <row r="67" spans="1:16" x14ac:dyDescent="0.25">
      <c r="A67" s="47" t="str">
        <f t="shared" si="1"/>
        <v>2025 NOV DISC 30%</v>
      </c>
      <c r="B67" s="48">
        <v>46107</v>
      </c>
      <c r="C67" s="48">
        <v>46113</v>
      </c>
      <c r="D67" s="49">
        <v>3272</v>
      </c>
      <c r="E67" s="49">
        <v>336</v>
      </c>
      <c r="F67" s="49">
        <v>4</v>
      </c>
      <c r="G67" s="47">
        <v>1</v>
      </c>
      <c r="H67" s="46">
        <v>81379</v>
      </c>
      <c r="I67" s="49" t="s">
        <v>16</v>
      </c>
      <c r="J67" s="47">
        <v>61967442</v>
      </c>
      <c r="K67" s="47" t="s">
        <v>2033</v>
      </c>
      <c r="L67" s="47" t="s">
        <v>2126</v>
      </c>
      <c r="M67" s="50">
        <v>99900</v>
      </c>
      <c r="N67" s="51">
        <v>0.3</v>
      </c>
      <c r="O67" s="52">
        <f t="shared" si="2"/>
        <v>69930</v>
      </c>
      <c r="P67" s="46" t="s">
        <v>19</v>
      </c>
    </row>
    <row r="68" spans="1:16" x14ac:dyDescent="0.25">
      <c r="A68" s="47" t="str">
        <f t="shared" ref="A68:A131" si="3">A67</f>
        <v>2025 NOV DISC 30%</v>
      </c>
      <c r="B68" s="48">
        <v>46107</v>
      </c>
      <c r="C68" s="48">
        <v>46113</v>
      </c>
      <c r="D68" s="49">
        <v>3272</v>
      </c>
      <c r="E68" s="49">
        <v>336</v>
      </c>
      <c r="F68" s="49">
        <v>4</v>
      </c>
      <c r="G68" s="47">
        <v>1</v>
      </c>
      <c r="H68" s="46">
        <v>81379</v>
      </c>
      <c r="I68" s="49" t="s">
        <v>16</v>
      </c>
      <c r="J68" s="47">
        <v>61967451</v>
      </c>
      <c r="K68" s="47" t="s">
        <v>2033</v>
      </c>
      <c r="L68" s="47" t="s">
        <v>2127</v>
      </c>
      <c r="M68" s="50">
        <v>99900</v>
      </c>
      <c r="N68" s="51">
        <v>0.3</v>
      </c>
      <c r="O68" s="52">
        <f t="shared" si="2"/>
        <v>69930</v>
      </c>
      <c r="P68" s="46" t="s">
        <v>19</v>
      </c>
    </row>
    <row r="69" spans="1:16" x14ac:dyDescent="0.25">
      <c r="A69" s="47" t="str">
        <f t="shared" si="3"/>
        <v>2025 NOV DISC 30%</v>
      </c>
      <c r="B69" s="48">
        <v>46107</v>
      </c>
      <c r="C69" s="48">
        <v>46113</v>
      </c>
      <c r="D69" s="49">
        <v>3272</v>
      </c>
      <c r="E69" s="49">
        <v>336</v>
      </c>
      <c r="F69" s="49">
        <v>4</v>
      </c>
      <c r="G69" s="47">
        <v>1</v>
      </c>
      <c r="H69" s="46">
        <v>81379</v>
      </c>
      <c r="I69" s="49" t="s">
        <v>16</v>
      </c>
      <c r="J69" s="47">
        <v>61967460</v>
      </c>
      <c r="K69" s="47" t="s">
        <v>2033</v>
      </c>
      <c r="L69" s="47" t="s">
        <v>2128</v>
      </c>
      <c r="M69" s="50">
        <v>99900</v>
      </c>
      <c r="N69" s="51">
        <v>0.3</v>
      </c>
      <c r="O69" s="52">
        <f t="shared" si="2"/>
        <v>69930</v>
      </c>
      <c r="P69" s="46" t="s">
        <v>19</v>
      </c>
    </row>
    <row r="70" spans="1:16" x14ac:dyDescent="0.25">
      <c r="A70" s="47" t="str">
        <f t="shared" si="3"/>
        <v>2025 NOV DISC 30%</v>
      </c>
      <c r="B70" s="48">
        <v>46107</v>
      </c>
      <c r="C70" s="48">
        <v>46113</v>
      </c>
      <c r="D70" s="49">
        <v>3272</v>
      </c>
      <c r="E70" s="49">
        <v>336</v>
      </c>
      <c r="F70" s="49">
        <v>4</v>
      </c>
      <c r="G70" s="47">
        <v>1</v>
      </c>
      <c r="H70" s="46">
        <v>81379</v>
      </c>
      <c r="I70" s="49" t="s">
        <v>16</v>
      </c>
      <c r="J70" s="47">
        <v>61967479</v>
      </c>
      <c r="K70" s="47" t="s">
        <v>2033</v>
      </c>
      <c r="L70" s="47" t="s">
        <v>2129</v>
      </c>
      <c r="M70" s="50">
        <v>99900</v>
      </c>
      <c r="N70" s="51">
        <v>0.3</v>
      </c>
      <c r="O70" s="52">
        <f t="shared" si="2"/>
        <v>69930</v>
      </c>
      <c r="P70" s="46" t="s">
        <v>19</v>
      </c>
    </row>
    <row r="71" spans="1:16" x14ac:dyDescent="0.25">
      <c r="A71" s="47" t="str">
        <f t="shared" si="3"/>
        <v>2025 NOV DISC 30%</v>
      </c>
      <c r="B71" s="48">
        <v>46107</v>
      </c>
      <c r="C71" s="48">
        <v>46113</v>
      </c>
      <c r="D71" s="49">
        <v>3272</v>
      </c>
      <c r="E71" s="49">
        <v>336</v>
      </c>
      <c r="F71" s="49">
        <v>4</v>
      </c>
      <c r="G71" s="47">
        <v>1</v>
      </c>
      <c r="H71" s="46">
        <v>81379</v>
      </c>
      <c r="I71" s="49" t="s">
        <v>16</v>
      </c>
      <c r="J71" s="47">
        <v>61967488</v>
      </c>
      <c r="K71" s="47" t="s">
        <v>2033</v>
      </c>
      <c r="L71" s="47" t="s">
        <v>2130</v>
      </c>
      <c r="M71" s="50">
        <v>99900</v>
      </c>
      <c r="N71" s="51">
        <v>0.3</v>
      </c>
      <c r="O71" s="52">
        <f t="shared" si="2"/>
        <v>69930</v>
      </c>
      <c r="P71" s="46" t="s">
        <v>19</v>
      </c>
    </row>
    <row r="72" spans="1:16" x14ac:dyDescent="0.25">
      <c r="A72" s="47" t="str">
        <f t="shared" si="3"/>
        <v>2025 NOV DISC 30%</v>
      </c>
      <c r="B72" s="48">
        <v>46107</v>
      </c>
      <c r="C72" s="48">
        <v>46113</v>
      </c>
      <c r="D72" s="49">
        <v>3272</v>
      </c>
      <c r="E72" s="49">
        <v>336</v>
      </c>
      <c r="F72" s="49">
        <v>4</v>
      </c>
      <c r="G72" s="47">
        <v>1</v>
      </c>
      <c r="H72" s="46">
        <v>81379</v>
      </c>
      <c r="I72" s="49" t="s">
        <v>16</v>
      </c>
      <c r="J72" s="47">
        <v>61967497</v>
      </c>
      <c r="K72" s="47" t="s">
        <v>2034</v>
      </c>
      <c r="L72" s="47" t="s">
        <v>2131</v>
      </c>
      <c r="M72" s="50">
        <v>99900</v>
      </c>
      <c r="N72" s="51">
        <v>0.3</v>
      </c>
      <c r="O72" s="52">
        <f t="shared" si="2"/>
        <v>69930</v>
      </c>
      <c r="P72" s="46" t="s">
        <v>19</v>
      </c>
    </row>
    <row r="73" spans="1:16" x14ac:dyDescent="0.25">
      <c r="A73" s="47" t="str">
        <f t="shared" si="3"/>
        <v>2025 NOV DISC 30%</v>
      </c>
      <c r="B73" s="48">
        <v>46107</v>
      </c>
      <c r="C73" s="48">
        <v>46113</v>
      </c>
      <c r="D73" s="49">
        <v>3272</v>
      </c>
      <c r="E73" s="49">
        <v>336</v>
      </c>
      <c r="F73" s="49">
        <v>4</v>
      </c>
      <c r="G73" s="47">
        <v>1</v>
      </c>
      <c r="H73" s="46">
        <v>81379</v>
      </c>
      <c r="I73" s="49" t="s">
        <v>16</v>
      </c>
      <c r="J73" s="47">
        <v>61967504</v>
      </c>
      <c r="K73" s="47" t="s">
        <v>2034</v>
      </c>
      <c r="L73" s="47" t="s">
        <v>2132</v>
      </c>
      <c r="M73" s="50">
        <v>99900</v>
      </c>
      <c r="N73" s="51">
        <v>0.3</v>
      </c>
      <c r="O73" s="52">
        <f t="shared" si="2"/>
        <v>69930</v>
      </c>
      <c r="P73" s="46" t="s">
        <v>19</v>
      </c>
    </row>
    <row r="74" spans="1:16" x14ac:dyDescent="0.25">
      <c r="A74" s="47" t="str">
        <f t="shared" si="3"/>
        <v>2025 NOV DISC 30%</v>
      </c>
      <c r="B74" s="48">
        <v>46107</v>
      </c>
      <c r="C74" s="48">
        <v>46113</v>
      </c>
      <c r="D74" s="49">
        <v>3272</v>
      </c>
      <c r="E74" s="49">
        <v>336</v>
      </c>
      <c r="F74" s="49">
        <v>4</v>
      </c>
      <c r="G74" s="47">
        <v>1</v>
      </c>
      <c r="H74" s="46">
        <v>81379</v>
      </c>
      <c r="I74" s="49" t="s">
        <v>16</v>
      </c>
      <c r="J74" s="47">
        <v>61967513</v>
      </c>
      <c r="K74" s="47" t="s">
        <v>2034</v>
      </c>
      <c r="L74" s="47" t="s">
        <v>2133</v>
      </c>
      <c r="M74" s="50">
        <v>99900</v>
      </c>
      <c r="N74" s="51">
        <v>0.3</v>
      </c>
      <c r="O74" s="52">
        <f t="shared" si="2"/>
        <v>69930</v>
      </c>
      <c r="P74" s="46" t="s">
        <v>19</v>
      </c>
    </row>
    <row r="75" spans="1:16" x14ac:dyDescent="0.25">
      <c r="A75" s="47" t="str">
        <f t="shared" si="3"/>
        <v>2025 NOV DISC 30%</v>
      </c>
      <c r="B75" s="48">
        <v>46107</v>
      </c>
      <c r="C75" s="48">
        <v>46113</v>
      </c>
      <c r="D75" s="49">
        <v>3272</v>
      </c>
      <c r="E75" s="49">
        <v>336</v>
      </c>
      <c r="F75" s="49">
        <v>4</v>
      </c>
      <c r="G75" s="47">
        <v>1</v>
      </c>
      <c r="H75" s="46">
        <v>81379</v>
      </c>
      <c r="I75" s="49" t="s">
        <v>16</v>
      </c>
      <c r="J75" s="47">
        <v>61967522</v>
      </c>
      <c r="K75" s="47" t="s">
        <v>2034</v>
      </c>
      <c r="L75" s="47" t="s">
        <v>2134</v>
      </c>
      <c r="M75" s="50">
        <v>99900</v>
      </c>
      <c r="N75" s="51">
        <v>0.3</v>
      </c>
      <c r="O75" s="52">
        <f t="shared" si="2"/>
        <v>69930</v>
      </c>
      <c r="P75" s="46" t="s">
        <v>19</v>
      </c>
    </row>
    <row r="76" spans="1:16" x14ac:dyDescent="0.25">
      <c r="A76" s="47" t="str">
        <f t="shared" si="3"/>
        <v>2025 NOV DISC 30%</v>
      </c>
      <c r="B76" s="48">
        <v>46107</v>
      </c>
      <c r="C76" s="48">
        <v>46113</v>
      </c>
      <c r="D76" s="49">
        <v>3272</v>
      </c>
      <c r="E76" s="49">
        <v>336</v>
      </c>
      <c r="F76" s="49">
        <v>4</v>
      </c>
      <c r="G76" s="47">
        <v>1</v>
      </c>
      <c r="H76" s="46">
        <v>81379</v>
      </c>
      <c r="I76" s="49" t="s">
        <v>16</v>
      </c>
      <c r="J76" s="47">
        <v>61967531</v>
      </c>
      <c r="K76" s="47" t="s">
        <v>2034</v>
      </c>
      <c r="L76" s="47" t="s">
        <v>2135</v>
      </c>
      <c r="M76" s="50">
        <v>99900</v>
      </c>
      <c r="N76" s="51">
        <v>0.3</v>
      </c>
      <c r="O76" s="52">
        <f t="shared" si="2"/>
        <v>69930</v>
      </c>
      <c r="P76" s="46" t="s">
        <v>19</v>
      </c>
    </row>
    <row r="77" spans="1:16" x14ac:dyDescent="0.25">
      <c r="A77" s="47" t="str">
        <f t="shared" si="3"/>
        <v>2025 NOV DISC 30%</v>
      </c>
      <c r="B77" s="48">
        <v>46107</v>
      </c>
      <c r="C77" s="48">
        <v>46113</v>
      </c>
      <c r="D77" s="49">
        <v>3272</v>
      </c>
      <c r="E77" s="49">
        <v>336</v>
      </c>
      <c r="F77" s="49">
        <v>4</v>
      </c>
      <c r="G77" s="47">
        <v>1</v>
      </c>
      <c r="H77" s="46">
        <v>81379</v>
      </c>
      <c r="I77" s="49" t="s">
        <v>16</v>
      </c>
      <c r="J77" s="47">
        <v>61967540</v>
      </c>
      <c r="K77" s="47" t="s">
        <v>2034</v>
      </c>
      <c r="L77" s="47" t="s">
        <v>2136</v>
      </c>
      <c r="M77" s="50">
        <v>99900</v>
      </c>
      <c r="N77" s="51">
        <v>0.3</v>
      </c>
      <c r="O77" s="52">
        <f t="shared" si="2"/>
        <v>69930</v>
      </c>
      <c r="P77" s="46" t="s">
        <v>19</v>
      </c>
    </row>
    <row r="78" spans="1:16" x14ac:dyDescent="0.25">
      <c r="A78" s="47" t="str">
        <f t="shared" si="3"/>
        <v>2025 NOV DISC 30%</v>
      </c>
      <c r="B78" s="48">
        <v>46107</v>
      </c>
      <c r="C78" s="48">
        <v>46113</v>
      </c>
      <c r="D78" s="49">
        <v>3272</v>
      </c>
      <c r="E78" s="49">
        <v>336</v>
      </c>
      <c r="F78" s="49">
        <v>4</v>
      </c>
      <c r="G78" s="47">
        <v>1</v>
      </c>
      <c r="H78" s="46">
        <v>81379</v>
      </c>
      <c r="I78" s="49" t="s">
        <v>16</v>
      </c>
      <c r="J78" s="47">
        <v>61967559</v>
      </c>
      <c r="K78" s="47" t="s">
        <v>2034</v>
      </c>
      <c r="L78" s="47" t="s">
        <v>2137</v>
      </c>
      <c r="M78" s="50">
        <v>99900</v>
      </c>
      <c r="N78" s="51">
        <v>0.3</v>
      </c>
      <c r="O78" s="52">
        <f t="shared" si="2"/>
        <v>69930</v>
      </c>
      <c r="P78" s="46" t="s">
        <v>19</v>
      </c>
    </row>
    <row r="79" spans="1:16" x14ac:dyDescent="0.25">
      <c r="A79" s="47" t="str">
        <f t="shared" si="3"/>
        <v>2025 NOV DISC 30%</v>
      </c>
      <c r="B79" s="48">
        <v>46107</v>
      </c>
      <c r="C79" s="48">
        <v>46113</v>
      </c>
      <c r="D79" s="49">
        <v>3272</v>
      </c>
      <c r="E79" s="49">
        <v>336</v>
      </c>
      <c r="F79" s="49">
        <v>4</v>
      </c>
      <c r="G79" s="47">
        <v>1</v>
      </c>
      <c r="H79" s="46">
        <v>81379</v>
      </c>
      <c r="I79" s="49" t="s">
        <v>16</v>
      </c>
      <c r="J79" s="47">
        <v>61967853</v>
      </c>
      <c r="K79" s="47" t="s">
        <v>2035</v>
      </c>
      <c r="L79" s="47" t="s">
        <v>2138</v>
      </c>
      <c r="M79" s="50">
        <v>99900</v>
      </c>
      <c r="N79" s="51">
        <v>0.3</v>
      </c>
      <c r="O79" s="52">
        <f t="shared" si="2"/>
        <v>69930</v>
      </c>
      <c r="P79" s="46" t="s">
        <v>19</v>
      </c>
    </row>
    <row r="80" spans="1:16" x14ac:dyDescent="0.25">
      <c r="A80" s="47" t="str">
        <f t="shared" si="3"/>
        <v>2025 NOV DISC 30%</v>
      </c>
      <c r="B80" s="48">
        <v>46107</v>
      </c>
      <c r="C80" s="48">
        <v>46113</v>
      </c>
      <c r="D80" s="49">
        <v>3272</v>
      </c>
      <c r="E80" s="49">
        <v>336</v>
      </c>
      <c r="F80" s="49">
        <v>4</v>
      </c>
      <c r="G80" s="47">
        <v>1</v>
      </c>
      <c r="H80" s="46">
        <v>81379</v>
      </c>
      <c r="I80" s="49" t="s">
        <v>16</v>
      </c>
      <c r="J80" s="47">
        <v>61967862</v>
      </c>
      <c r="K80" s="47" t="s">
        <v>2035</v>
      </c>
      <c r="L80" s="47" t="s">
        <v>2139</v>
      </c>
      <c r="M80" s="50">
        <v>99900</v>
      </c>
      <c r="N80" s="51">
        <v>0.3</v>
      </c>
      <c r="O80" s="52">
        <f t="shared" si="2"/>
        <v>69930</v>
      </c>
      <c r="P80" s="46" t="s">
        <v>19</v>
      </c>
    </row>
    <row r="81" spans="1:16" x14ac:dyDescent="0.25">
      <c r="A81" s="47" t="str">
        <f t="shared" si="3"/>
        <v>2025 NOV DISC 30%</v>
      </c>
      <c r="B81" s="48">
        <v>46107</v>
      </c>
      <c r="C81" s="48">
        <v>46113</v>
      </c>
      <c r="D81" s="49">
        <v>3272</v>
      </c>
      <c r="E81" s="49">
        <v>336</v>
      </c>
      <c r="F81" s="49">
        <v>4</v>
      </c>
      <c r="G81" s="47">
        <v>1</v>
      </c>
      <c r="H81" s="46">
        <v>81379</v>
      </c>
      <c r="I81" s="49" t="s">
        <v>16</v>
      </c>
      <c r="J81" s="47">
        <v>61967871</v>
      </c>
      <c r="K81" s="47" t="s">
        <v>2035</v>
      </c>
      <c r="L81" s="47" t="s">
        <v>2140</v>
      </c>
      <c r="M81" s="50">
        <v>99900</v>
      </c>
      <c r="N81" s="51">
        <v>0.3</v>
      </c>
      <c r="O81" s="52">
        <f t="shared" si="2"/>
        <v>69930</v>
      </c>
      <c r="P81" s="46" t="s">
        <v>19</v>
      </c>
    </row>
    <row r="82" spans="1:16" x14ac:dyDescent="0.25">
      <c r="A82" s="47" t="str">
        <f t="shared" si="3"/>
        <v>2025 NOV DISC 30%</v>
      </c>
      <c r="B82" s="48">
        <v>46107</v>
      </c>
      <c r="C82" s="48">
        <v>46113</v>
      </c>
      <c r="D82" s="49">
        <v>3272</v>
      </c>
      <c r="E82" s="49">
        <v>336</v>
      </c>
      <c r="F82" s="49">
        <v>4</v>
      </c>
      <c r="G82" s="47">
        <v>1</v>
      </c>
      <c r="H82" s="46">
        <v>81379</v>
      </c>
      <c r="I82" s="49" t="s">
        <v>16</v>
      </c>
      <c r="J82" s="47">
        <v>61967880</v>
      </c>
      <c r="K82" s="47" t="s">
        <v>2035</v>
      </c>
      <c r="L82" s="47" t="s">
        <v>2141</v>
      </c>
      <c r="M82" s="50">
        <v>99900</v>
      </c>
      <c r="N82" s="51">
        <v>0.3</v>
      </c>
      <c r="O82" s="52">
        <f t="shared" si="2"/>
        <v>69930</v>
      </c>
      <c r="P82" s="46" t="s">
        <v>19</v>
      </c>
    </row>
    <row r="83" spans="1:16" x14ac:dyDescent="0.25">
      <c r="A83" s="47" t="str">
        <f t="shared" si="3"/>
        <v>2025 NOV DISC 30%</v>
      </c>
      <c r="B83" s="48">
        <v>46107</v>
      </c>
      <c r="C83" s="48">
        <v>46113</v>
      </c>
      <c r="D83" s="49">
        <v>3272</v>
      </c>
      <c r="E83" s="49">
        <v>336</v>
      </c>
      <c r="F83" s="49">
        <v>4</v>
      </c>
      <c r="G83" s="47">
        <v>1</v>
      </c>
      <c r="H83" s="46">
        <v>81379</v>
      </c>
      <c r="I83" s="49" t="s">
        <v>16</v>
      </c>
      <c r="J83" s="47">
        <v>61967899</v>
      </c>
      <c r="K83" s="47" t="s">
        <v>2036</v>
      </c>
      <c r="L83" s="47" t="s">
        <v>2142</v>
      </c>
      <c r="M83" s="50">
        <v>99900</v>
      </c>
      <c r="N83" s="51">
        <v>0.3</v>
      </c>
      <c r="O83" s="52">
        <f t="shared" si="2"/>
        <v>69930</v>
      </c>
      <c r="P83" s="46" t="s">
        <v>19</v>
      </c>
    </row>
    <row r="84" spans="1:16" x14ac:dyDescent="0.25">
      <c r="A84" s="47" t="str">
        <f t="shared" si="3"/>
        <v>2025 NOV DISC 30%</v>
      </c>
      <c r="B84" s="48">
        <v>46107</v>
      </c>
      <c r="C84" s="48">
        <v>46113</v>
      </c>
      <c r="D84" s="49">
        <v>3272</v>
      </c>
      <c r="E84" s="49">
        <v>336</v>
      </c>
      <c r="F84" s="49">
        <v>4</v>
      </c>
      <c r="G84" s="47">
        <v>1</v>
      </c>
      <c r="H84" s="46">
        <v>81379</v>
      </c>
      <c r="I84" s="49" t="s">
        <v>16</v>
      </c>
      <c r="J84" s="47">
        <v>61967906</v>
      </c>
      <c r="K84" s="47" t="s">
        <v>2036</v>
      </c>
      <c r="L84" s="47" t="s">
        <v>2143</v>
      </c>
      <c r="M84" s="50">
        <v>99900</v>
      </c>
      <c r="N84" s="51">
        <v>0.3</v>
      </c>
      <c r="O84" s="52">
        <f t="shared" si="2"/>
        <v>69930</v>
      </c>
      <c r="P84" s="46" t="s">
        <v>19</v>
      </c>
    </row>
    <row r="85" spans="1:16" x14ac:dyDescent="0.25">
      <c r="A85" s="47" t="str">
        <f t="shared" si="3"/>
        <v>2025 NOV DISC 30%</v>
      </c>
      <c r="B85" s="48">
        <v>46107</v>
      </c>
      <c r="C85" s="48">
        <v>46113</v>
      </c>
      <c r="D85" s="49">
        <v>3272</v>
      </c>
      <c r="E85" s="49">
        <v>336</v>
      </c>
      <c r="F85" s="49">
        <v>4</v>
      </c>
      <c r="G85" s="47">
        <v>1</v>
      </c>
      <c r="H85" s="46">
        <v>81379</v>
      </c>
      <c r="I85" s="49" t="s">
        <v>16</v>
      </c>
      <c r="J85" s="47">
        <v>61967915</v>
      </c>
      <c r="K85" s="47" t="s">
        <v>2036</v>
      </c>
      <c r="L85" s="47" t="s">
        <v>2144</v>
      </c>
      <c r="M85" s="50">
        <v>99900</v>
      </c>
      <c r="N85" s="51">
        <v>0.3</v>
      </c>
      <c r="O85" s="52">
        <f t="shared" si="2"/>
        <v>69930</v>
      </c>
      <c r="P85" s="46" t="s">
        <v>19</v>
      </c>
    </row>
    <row r="86" spans="1:16" x14ac:dyDescent="0.25">
      <c r="A86" s="47" t="str">
        <f t="shared" si="3"/>
        <v>2025 NOV DISC 30%</v>
      </c>
      <c r="B86" s="48">
        <v>46107</v>
      </c>
      <c r="C86" s="48">
        <v>46113</v>
      </c>
      <c r="D86" s="49">
        <v>3272</v>
      </c>
      <c r="E86" s="49">
        <v>336</v>
      </c>
      <c r="F86" s="49">
        <v>4</v>
      </c>
      <c r="G86" s="47">
        <v>1</v>
      </c>
      <c r="H86" s="46">
        <v>81379</v>
      </c>
      <c r="I86" s="49" t="s">
        <v>16</v>
      </c>
      <c r="J86" s="47">
        <v>61967924</v>
      </c>
      <c r="K86" s="47" t="s">
        <v>2036</v>
      </c>
      <c r="L86" s="47" t="s">
        <v>2145</v>
      </c>
      <c r="M86" s="50">
        <v>99900</v>
      </c>
      <c r="N86" s="51">
        <v>0.3</v>
      </c>
      <c r="O86" s="52">
        <f t="shared" si="2"/>
        <v>69930</v>
      </c>
      <c r="P86" s="46" t="s">
        <v>19</v>
      </c>
    </row>
    <row r="87" spans="1:16" x14ac:dyDescent="0.25">
      <c r="A87" s="47" t="str">
        <f t="shared" si="3"/>
        <v>2025 NOV DISC 30%</v>
      </c>
      <c r="B87" s="48">
        <v>46107</v>
      </c>
      <c r="C87" s="48">
        <v>46113</v>
      </c>
      <c r="D87" s="49">
        <v>3272</v>
      </c>
      <c r="E87" s="49">
        <v>336</v>
      </c>
      <c r="F87" s="49">
        <v>4</v>
      </c>
      <c r="G87" s="47">
        <v>1</v>
      </c>
      <c r="H87" s="46">
        <v>81379</v>
      </c>
      <c r="I87" s="49" t="s">
        <v>16</v>
      </c>
      <c r="J87" s="47">
        <v>61967933</v>
      </c>
      <c r="K87" s="47" t="s">
        <v>2037</v>
      </c>
      <c r="L87" s="47" t="s">
        <v>2146</v>
      </c>
      <c r="M87" s="50">
        <v>99900</v>
      </c>
      <c r="N87" s="51">
        <v>0.3</v>
      </c>
      <c r="O87" s="52">
        <f t="shared" si="2"/>
        <v>69930</v>
      </c>
      <c r="P87" s="46" t="s">
        <v>19</v>
      </c>
    </row>
    <row r="88" spans="1:16" x14ac:dyDescent="0.25">
      <c r="A88" s="47" t="str">
        <f t="shared" si="3"/>
        <v>2025 NOV DISC 30%</v>
      </c>
      <c r="B88" s="48">
        <v>46107</v>
      </c>
      <c r="C88" s="48">
        <v>46113</v>
      </c>
      <c r="D88" s="49">
        <v>3272</v>
      </c>
      <c r="E88" s="49">
        <v>336</v>
      </c>
      <c r="F88" s="49">
        <v>4</v>
      </c>
      <c r="G88" s="47">
        <v>1</v>
      </c>
      <c r="H88" s="46">
        <v>81379</v>
      </c>
      <c r="I88" s="49" t="s">
        <v>16</v>
      </c>
      <c r="J88" s="47">
        <v>61967942</v>
      </c>
      <c r="K88" s="47" t="s">
        <v>2037</v>
      </c>
      <c r="L88" s="47" t="s">
        <v>2147</v>
      </c>
      <c r="M88" s="50">
        <v>99900</v>
      </c>
      <c r="N88" s="51">
        <v>0.3</v>
      </c>
      <c r="O88" s="52">
        <f t="shared" si="2"/>
        <v>69930</v>
      </c>
      <c r="P88" s="46" t="s">
        <v>19</v>
      </c>
    </row>
    <row r="89" spans="1:16" x14ac:dyDescent="0.25">
      <c r="A89" s="47" t="str">
        <f t="shared" si="3"/>
        <v>2025 NOV DISC 30%</v>
      </c>
      <c r="B89" s="48">
        <v>46107</v>
      </c>
      <c r="C89" s="48">
        <v>46113</v>
      </c>
      <c r="D89" s="49">
        <v>3272</v>
      </c>
      <c r="E89" s="49">
        <v>336</v>
      </c>
      <c r="F89" s="49">
        <v>4</v>
      </c>
      <c r="G89" s="47">
        <v>1</v>
      </c>
      <c r="H89" s="46">
        <v>81379</v>
      </c>
      <c r="I89" s="49" t="s">
        <v>16</v>
      </c>
      <c r="J89" s="47">
        <v>61967951</v>
      </c>
      <c r="K89" s="47" t="s">
        <v>2037</v>
      </c>
      <c r="L89" s="47" t="s">
        <v>2148</v>
      </c>
      <c r="M89" s="50">
        <v>99900</v>
      </c>
      <c r="N89" s="51">
        <v>0.3</v>
      </c>
      <c r="O89" s="52">
        <f t="shared" si="2"/>
        <v>69930</v>
      </c>
      <c r="P89" s="46" t="s">
        <v>19</v>
      </c>
    </row>
    <row r="90" spans="1:16" x14ac:dyDescent="0.25">
      <c r="A90" s="47" t="str">
        <f t="shared" si="3"/>
        <v>2025 NOV DISC 30%</v>
      </c>
      <c r="B90" s="48">
        <v>46107</v>
      </c>
      <c r="C90" s="48">
        <v>46113</v>
      </c>
      <c r="D90" s="49">
        <v>3272</v>
      </c>
      <c r="E90" s="49">
        <v>336</v>
      </c>
      <c r="F90" s="49">
        <v>4</v>
      </c>
      <c r="G90" s="47">
        <v>1</v>
      </c>
      <c r="H90" s="46">
        <v>81379</v>
      </c>
      <c r="I90" s="49" t="s">
        <v>16</v>
      </c>
      <c r="J90" s="47">
        <v>61967960</v>
      </c>
      <c r="K90" s="47" t="s">
        <v>2037</v>
      </c>
      <c r="L90" s="47" t="s">
        <v>2149</v>
      </c>
      <c r="M90" s="50">
        <v>99900</v>
      </c>
      <c r="N90" s="51">
        <v>0.3</v>
      </c>
      <c r="O90" s="52">
        <f t="shared" si="2"/>
        <v>69930</v>
      </c>
      <c r="P90" s="46" t="s">
        <v>19</v>
      </c>
    </row>
    <row r="91" spans="1:16" x14ac:dyDescent="0.25">
      <c r="A91" s="47" t="str">
        <f t="shared" si="3"/>
        <v>2025 NOV DISC 30%</v>
      </c>
      <c r="B91" s="48">
        <v>46107</v>
      </c>
      <c r="C91" s="48">
        <v>46113</v>
      </c>
      <c r="D91" s="49">
        <v>3272</v>
      </c>
      <c r="E91" s="49">
        <v>336</v>
      </c>
      <c r="F91" s="49">
        <v>4</v>
      </c>
      <c r="G91" s="47">
        <v>1</v>
      </c>
      <c r="H91" s="46">
        <v>81379</v>
      </c>
      <c r="I91" s="49" t="s">
        <v>16</v>
      </c>
      <c r="J91" s="47">
        <v>61967979</v>
      </c>
      <c r="K91" s="47" t="s">
        <v>2038</v>
      </c>
      <c r="L91" s="47" t="s">
        <v>2150</v>
      </c>
      <c r="M91" s="50">
        <v>99900</v>
      </c>
      <c r="N91" s="51">
        <v>0.3</v>
      </c>
      <c r="O91" s="52">
        <f t="shared" si="2"/>
        <v>69930</v>
      </c>
      <c r="P91" s="46" t="s">
        <v>19</v>
      </c>
    </row>
    <row r="92" spans="1:16" x14ac:dyDescent="0.25">
      <c r="A92" s="47" t="str">
        <f t="shared" si="3"/>
        <v>2025 NOV DISC 30%</v>
      </c>
      <c r="B92" s="48">
        <v>46107</v>
      </c>
      <c r="C92" s="48">
        <v>46113</v>
      </c>
      <c r="D92" s="49">
        <v>3272</v>
      </c>
      <c r="E92" s="49">
        <v>336</v>
      </c>
      <c r="F92" s="49">
        <v>4</v>
      </c>
      <c r="G92" s="47">
        <v>1</v>
      </c>
      <c r="H92" s="46">
        <v>81379</v>
      </c>
      <c r="I92" s="49" t="s">
        <v>16</v>
      </c>
      <c r="J92" s="47">
        <v>61967988</v>
      </c>
      <c r="K92" s="47" t="s">
        <v>2038</v>
      </c>
      <c r="L92" s="47" t="s">
        <v>2151</v>
      </c>
      <c r="M92" s="50">
        <v>99900</v>
      </c>
      <c r="N92" s="51">
        <v>0.3</v>
      </c>
      <c r="O92" s="52">
        <f t="shared" si="2"/>
        <v>69930</v>
      </c>
      <c r="P92" s="46" t="s">
        <v>19</v>
      </c>
    </row>
    <row r="93" spans="1:16" x14ac:dyDescent="0.25">
      <c r="A93" s="47" t="str">
        <f t="shared" si="3"/>
        <v>2025 NOV DISC 30%</v>
      </c>
      <c r="B93" s="48">
        <v>46107</v>
      </c>
      <c r="C93" s="48">
        <v>46113</v>
      </c>
      <c r="D93" s="49">
        <v>3272</v>
      </c>
      <c r="E93" s="49">
        <v>336</v>
      </c>
      <c r="F93" s="49">
        <v>4</v>
      </c>
      <c r="G93" s="47">
        <v>1</v>
      </c>
      <c r="H93" s="46">
        <v>81379</v>
      </c>
      <c r="I93" s="49" t="s">
        <v>16</v>
      </c>
      <c r="J93" s="47">
        <v>61967997</v>
      </c>
      <c r="K93" s="47" t="s">
        <v>2038</v>
      </c>
      <c r="L93" s="47" t="s">
        <v>2152</v>
      </c>
      <c r="M93" s="50">
        <v>99900</v>
      </c>
      <c r="N93" s="51">
        <v>0.3</v>
      </c>
      <c r="O93" s="52">
        <f t="shared" si="2"/>
        <v>69930</v>
      </c>
      <c r="P93" s="46" t="s">
        <v>19</v>
      </c>
    </row>
    <row r="94" spans="1:16" x14ac:dyDescent="0.25">
      <c r="A94" s="47" t="str">
        <f t="shared" si="3"/>
        <v>2025 NOV DISC 30%</v>
      </c>
      <c r="B94" s="48">
        <v>46107</v>
      </c>
      <c r="C94" s="48">
        <v>46113</v>
      </c>
      <c r="D94" s="49">
        <v>3272</v>
      </c>
      <c r="E94" s="49">
        <v>336</v>
      </c>
      <c r="F94" s="49">
        <v>4</v>
      </c>
      <c r="G94" s="47">
        <v>1</v>
      </c>
      <c r="H94" s="46">
        <v>81379</v>
      </c>
      <c r="I94" s="49" t="s">
        <v>16</v>
      </c>
      <c r="J94" s="47">
        <v>61968003</v>
      </c>
      <c r="K94" s="47" t="s">
        <v>2038</v>
      </c>
      <c r="L94" s="47" t="s">
        <v>2153</v>
      </c>
      <c r="M94" s="50">
        <v>99900</v>
      </c>
      <c r="N94" s="51">
        <v>0.3</v>
      </c>
      <c r="O94" s="52">
        <f t="shared" si="2"/>
        <v>69930</v>
      </c>
      <c r="P94" s="46" t="s">
        <v>19</v>
      </c>
    </row>
    <row r="95" spans="1:16" x14ac:dyDescent="0.25">
      <c r="A95" s="47" t="str">
        <f t="shared" si="3"/>
        <v>2025 NOV DISC 30%</v>
      </c>
      <c r="B95" s="48">
        <v>46107</v>
      </c>
      <c r="C95" s="48">
        <v>46113</v>
      </c>
      <c r="D95" s="49">
        <v>3272</v>
      </c>
      <c r="E95" s="49">
        <v>336</v>
      </c>
      <c r="F95" s="49">
        <v>4</v>
      </c>
      <c r="G95" s="47">
        <v>1</v>
      </c>
      <c r="H95" s="46">
        <v>81379</v>
      </c>
      <c r="I95" s="49" t="s">
        <v>16</v>
      </c>
      <c r="J95" s="47">
        <v>61968012</v>
      </c>
      <c r="K95" s="47" t="s">
        <v>2039</v>
      </c>
      <c r="L95" s="47" t="s">
        <v>2154</v>
      </c>
      <c r="M95" s="50">
        <v>99900</v>
      </c>
      <c r="N95" s="51">
        <v>0.3</v>
      </c>
      <c r="O95" s="52">
        <f t="shared" si="2"/>
        <v>69930</v>
      </c>
      <c r="P95" s="46" t="s">
        <v>19</v>
      </c>
    </row>
    <row r="96" spans="1:16" x14ac:dyDescent="0.25">
      <c r="A96" s="47" t="str">
        <f t="shared" si="3"/>
        <v>2025 NOV DISC 30%</v>
      </c>
      <c r="B96" s="48">
        <v>46107</v>
      </c>
      <c r="C96" s="48">
        <v>46113</v>
      </c>
      <c r="D96" s="49">
        <v>3272</v>
      </c>
      <c r="E96" s="49">
        <v>336</v>
      </c>
      <c r="F96" s="49">
        <v>4</v>
      </c>
      <c r="G96" s="47">
        <v>1</v>
      </c>
      <c r="H96" s="46">
        <v>81379</v>
      </c>
      <c r="I96" s="49" t="s">
        <v>16</v>
      </c>
      <c r="J96" s="47">
        <v>61968021</v>
      </c>
      <c r="K96" s="47" t="s">
        <v>2039</v>
      </c>
      <c r="L96" s="47" t="s">
        <v>2155</v>
      </c>
      <c r="M96" s="50">
        <v>99900</v>
      </c>
      <c r="N96" s="51">
        <v>0.3</v>
      </c>
      <c r="O96" s="52">
        <f t="shared" si="2"/>
        <v>69930</v>
      </c>
      <c r="P96" s="46" t="s">
        <v>19</v>
      </c>
    </row>
    <row r="97" spans="1:16" x14ac:dyDescent="0.25">
      <c r="A97" s="47" t="str">
        <f t="shared" si="3"/>
        <v>2025 NOV DISC 30%</v>
      </c>
      <c r="B97" s="48">
        <v>46107</v>
      </c>
      <c r="C97" s="48">
        <v>46113</v>
      </c>
      <c r="D97" s="49">
        <v>3272</v>
      </c>
      <c r="E97" s="49">
        <v>336</v>
      </c>
      <c r="F97" s="49">
        <v>4</v>
      </c>
      <c r="G97" s="47">
        <v>1</v>
      </c>
      <c r="H97" s="46">
        <v>81379</v>
      </c>
      <c r="I97" s="49" t="s">
        <v>16</v>
      </c>
      <c r="J97" s="47">
        <v>61968030</v>
      </c>
      <c r="K97" s="47" t="s">
        <v>2039</v>
      </c>
      <c r="L97" s="47" t="s">
        <v>2156</v>
      </c>
      <c r="M97" s="50">
        <v>99900</v>
      </c>
      <c r="N97" s="51">
        <v>0.3</v>
      </c>
      <c r="O97" s="52">
        <f t="shared" si="2"/>
        <v>69930</v>
      </c>
      <c r="P97" s="46" t="s">
        <v>19</v>
      </c>
    </row>
    <row r="98" spans="1:16" x14ac:dyDescent="0.25">
      <c r="A98" s="47" t="str">
        <f t="shared" si="3"/>
        <v>2025 NOV DISC 30%</v>
      </c>
      <c r="B98" s="48">
        <v>46107</v>
      </c>
      <c r="C98" s="48">
        <v>46113</v>
      </c>
      <c r="D98" s="49">
        <v>3272</v>
      </c>
      <c r="E98" s="49">
        <v>336</v>
      </c>
      <c r="F98" s="49">
        <v>4</v>
      </c>
      <c r="G98" s="47">
        <v>1</v>
      </c>
      <c r="H98" s="46">
        <v>81379</v>
      </c>
      <c r="I98" s="49" t="s">
        <v>16</v>
      </c>
      <c r="J98" s="47">
        <v>61968049</v>
      </c>
      <c r="K98" s="47" t="s">
        <v>2039</v>
      </c>
      <c r="L98" s="47" t="s">
        <v>2157</v>
      </c>
      <c r="M98" s="50">
        <v>99900</v>
      </c>
      <c r="N98" s="51">
        <v>0.3</v>
      </c>
      <c r="O98" s="52">
        <f t="shared" si="2"/>
        <v>69930</v>
      </c>
      <c r="P98" s="46" t="s">
        <v>19</v>
      </c>
    </row>
    <row r="99" spans="1:16" x14ac:dyDescent="0.25">
      <c r="A99" s="47" t="str">
        <f t="shared" si="3"/>
        <v>2025 NOV DISC 30%</v>
      </c>
      <c r="B99" s="48">
        <v>46107</v>
      </c>
      <c r="C99" s="48">
        <v>46113</v>
      </c>
      <c r="D99" s="49">
        <v>3272</v>
      </c>
      <c r="E99" s="49">
        <v>336</v>
      </c>
      <c r="F99" s="49">
        <v>4</v>
      </c>
      <c r="G99" s="47">
        <v>1</v>
      </c>
      <c r="H99" s="46">
        <v>81379</v>
      </c>
      <c r="I99" s="49" t="s">
        <v>16</v>
      </c>
      <c r="J99" s="47">
        <v>61968058</v>
      </c>
      <c r="K99" s="47" t="s">
        <v>2040</v>
      </c>
      <c r="L99" s="47" t="s">
        <v>2158</v>
      </c>
      <c r="M99" s="50">
        <v>99900</v>
      </c>
      <c r="N99" s="51">
        <v>0.3</v>
      </c>
      <c r="O99" s="52">
        <f t="shared" si="2"/>
        <v>69930</v>
      </c>
      <c r="P99" s="46" t="s">
        <v>19</v>
      </c>
    </row>
    <row r="100" spans="1:16" x14ac:dyDescent="0.25">
      <c r="A100" s="47" t="str">
        <f t="shared" si="3"/>
        <v>2025 NOV DISC 30%</v>
      </c>
      <c r="B100" s="48">
        <v>46107</v>
      </c>
      <c r="C100" s="48">
        <v>46113</v>
      </c>
      <c r="D100" s="49">
        <v>3272</v>
      </c>
      <c r="E100" s="49">
        <v>336</v>
      </c>
      <c r="F100" s="49">
        <v>4</v>
      </c>
      <c r="G100" s="47">
        <v>1</v>
      </c>
      <c r="H100" s="46">
        <v>81379</v>
      </c>
      <c r="I100" s="49" t="s">
        <v>16</v>
      </c>
      <c r="J100" s="47">
        <v>61968067</v>
      </c>
      <c r="K100" s="47" t="s">
        <v>2040</v>
      </c>
      <c r="L100" s="47" t="s">
        <v>2159</v>
      </c>
      <c r="M100" s="50">
        <v>99900</v>
      </c>
      <c r="N100" s="51">
        <v>0.3</v>
      </c>
      <c r="O100" s="52">
        <f t="shared" si="2"/>
        <v>69930</v>
      </c>
      <c r="P100" s="46" t="s">
        <v>19</v>
      </c>
    </row>
    <row r="101" spans="1:16" x14ac:dyDescent="0.25">
      <c r="A101" s="47" t="str">
        <f t="shared" si="3"/>
        <v>2025 NOV DISC 30%</v>
      </c>
      <c r="B101" s="48">
        <v>46107</v>
      </c>
      <c r="C101" s="48">
        <v>46113</v>
      </c>
      <c r="D101" s="49">
        <v>3272</v>
      </c>
      <c r="E101" s="49">
        <v>336</v>
      </c>
      <c r="F101" s="49">
        <v>4</v>
      </c>
      <c r="G101" s="47">
        <v>1</v>
      </c>
      <c r="H101" s="46">
        <v>81379</v>
      </c>
      <c r="I101" s="49" t="s">
        <v>16</v>
      </c>
      <c r="J101" s="47">
        <v>61968076</v>
      </c>
      <c r="K101" s="47" t="s">
        <v>2040</v>
      </c>
      <c r="L101" s="47" t="s">
        <v>2160</v>
      </c>
      <c r="M101" s="50">
        <v>99900</v>
      </c>
      <c r="N101" s="51">
        <v>0.3</v>
      </c>
      <c r="O101" s="52">
        <f t="shared" si="2"/>
        <v>69930</v>
      </c>
      <c r="P101" s="46" t="s">
        <v>19</v>
      </c>
    </row>
    <row r="102" spans="1:16" x14ac:dyDescent="0.25">
      <c r="A102" s="47" t="str">
        <f t="shared" si="3"/>
        <v>2025 NOV DISC 30%</v>
      </c>
      <c r="B102" s="48">
        <v>46107</v>
      </c>
      <c r="C102" s="48">
        <v>46113</v>
      </c>
      <c r="D102" s="49">
        <v>3272</v>
      </c>
      <c r="E102" s="49">
        <v>336</v>
      </c>
      <c r="F102" s="49">
        <v>4</v>
      </c>
      <c r="G102" s="47">
        <v>1</v>
      </c>
      <c r="H102" s="46">
        <v>81379</v>
      </c>
      <c r="I102" s="49" t="s">
        <v>16</v>
      </c>
      <c r="J102" s="47">
        <v>61968085</v>
      </c>
      <c r="K102" s="47" t="s">
        <v>2040</v>
      </c>
      <c r="L102" s="47" t="s">
        <v>2161</v>
      </c>
      <c r="M102" s="50">
        <v>99900</v>
      </c>
      <c r="N102" s="51">
        <v>0.3</v>
      </c>
      <c r="O102" s="52">
        <f t="shared" si="2"/>
        <v>69930</v>
      </c>
      <c r="P102" s="46" t="s">
        <v>19</v>
      </c>
    </row>
    <row r="103" spans="1:16" x14ac:dyDescent="0.25">
      <c r="A103" s="47" t="str">
        <f t="shared" si="3"/>
        <v>2025 NOV DISC 30%</v>
      </c>
      <c r="B103" s="48">
        <v>46107</v>
      </c>
      <c r="C103" s="48">
        <v>46113</v>
      </c>
      <c r="D103" s="49">
        <v>3272</v>
      </c>
      <c r="E103" s="49">
        <v>336</v>
      </c>
      <c r="F103" s="49">
        <v>4</v>
      </c>
      <c r="G103" s="47">
        <v>1</v>
      </c>
      <c r="H103" s="46">
        <v>81379</v>
      </c>
      <c r="I103" s="49" t="s">
        <v>16</v>
      </c>
      <c r="J103" s="47">
        <v>61968094</v>
      </c>
      <c r="K103" s="47" t="s">
        <v>2041</v>
      </c>
      <c r="L103" s="47" t="s">
        <v>2162</v>
      </c>
      <c r="M103" s="50">
        <v>99900</v>
      </c>
      <c r="N103" s="51">
        <v>0.3</v>
      </c>
      <c r="O103" s="52">
        <f t="shared" si="2"/>
        <v>69930</v>
      </c>
      <c r="P103" s="46" t="s">
        <v>19</v>
      </c>
    </row>
    <row r="104" spans="1:16" x14ac:dyDescent="0.25">
      <c r="A104" s="47" t="str">
        <f t="shared" si="3"/>
        <v>2025 NOV DISC 30%</v>
      </c>
      <c r="B104" s="48">
        <v>46107</v>
      </c>
      <c r="C104" s="48">
        <v>46113</v>
      </c>
      <c r="D104" s="49">
        <v>3272</v>
      </c>
      <c r="E104" s="49">
        <v>336</v>
      </c>
      <c r="F104" s="49">
        <v>4</v>
      </c>
      <c r="G104" s="47">
        <v>1</v>
      </c>
      <c r="H104" s="46">
        <v>81379</v>
      </c>
      <c r="I104" s="49" t="s">
        <v>16</v>
      </c>
      <c r="J104" s="47">
        <v>61968101</v>
      </c>
      <c r="K104" s="47" t="s">
        <v>2041</v>
      </c>
      <c r="L104" s="47" t="s">
        <v>2163</v>
      </c>
      <c r="M104" s="50">
        <v>99900</v>
      </c>
      <c r="N104" s="51">
        <v>0.3</v>
      </c>
      <c r="O104" s="52">
        <f t="shared" si="2"/>
        <v>69930</v>
      </c>
      <c r="P104" s="46" t="s">
        <v>19</v>
      </c>
    </row>
    <row r="105" spans="1:16" x14ac:dyDescent="0.25">
      <c r="A105" s="47" t="str">
        <f t="shared" si="3"/>
        <v>2025 NOV DISC 30%</v>
      </c>
      <c r="B105" s="48">
        <v>46107</v>
      </c>
      <c r="C105" s="48">
        <v>46113</v>
      </c>
      <c r="D105" s="49">
        <v>3272</v>
      </c>
      <c r="E105" s="49">
        <v>336</v>
      </c>
      <c r="F105" s="49">
        <v>4</v>
      </c>
      <c r="G105" s="47">
        <v>1</v>
      </c>
      <c r="H105" s="46">
        <v>81379</v>
      </c>
      <c r="I105" s="49" t="s">
        <v>16</v>
      </c>
      <c r="J105" s="47">
        <v>61968110</v>
      </c>
      <c r="K105" s="47" t="s">
        <v>2041</v>
      </c>
      <c r="L105" s="47" t="s">
        <v>2164</v>
      </c>
      <c r="M105" s="50">
        <v>99900</v>
      </c>
      <c r="N105" s="51">
        <v>0.3</v>
      </c>
      <c r="O105" s="52">
        <f t="shared" si="2"/>
        <v>69930</v>
      </c>
      <c r="P105" s="46" t="s">
        <v>19</v>
      </c>
    </row>
    <row r="106" spans="1:16" x14ac:dyDescent="0.25">
      <c r="A106" s="47" t="str">
        <f t="shared" si="3"/>
        <v>2025 NOV DISC 30%</v>
      </c>
      <c r="B106" s="48">
        <v>46107</v>
      </c>
      <c r="C106" s="48">
        <v>46113</v>
      </c>
      <c r="D106" s="49">
        <v>3272</v>
      </c>
      <c r="E106" s="49">
        <v>336</v>
      </c>
      <c r="F106" s="49">
        <v>4</v>
      </c>
      <c r="G106" s="47">
        <v>1</v>
      </c>
      <c r="H106" s="46">
        <v>81379</v>
      </c>
      <c r="I106" s="49" t="s">
        <v>16</v>
      </c>
      <c r="J106" s="47">
        <v>61968129</v>
      </c>
      <c r="K106" s="47" t="s">
        <v>2041</v>
      </c>
      <c r="L106" s="47" t="s">
        <v>2165</v>
      </c>
      <c r="M106" s="50">
        <v>99900</v>
      </c>
      <c r="N106" s="51">
        <v>0.3</v>
      </c>
      <c r="O106" s="52">
        <f t="shared" si="2"/>
        <v>69930</v>
      </c>
      <c r="P106" s="46" t="s">
        <v>19</v>
      </c>
    </row>
    <row r="107" spans="1:16" x14ac:dyDescent="0.25">
      <c r="A107" s="47" t="str">
        <f t="shared" si="3"/>
        <v>2025 NOV DISC 30%</v>
      </c>
      <c r="B107" s="48">
        <v>46107</v>
      </c>
      <c r="C107" s="48">
        <v>46113</v>
      </c>
      <c r="D107" s="49">
        <v>3272</v>
      </c>
      <c r="E107" s="49">
        <v>336</v>
      </c>
      <c r="F107" s="49">
        <v>4</v>
      </c>
      <c r="G107" s="47">
        <v>1</v>
      </c>
      <c r="H107" s="46">
        <v>81379</v>
      </c>
      <c r="I107" s="49" t="s">
        <v>16</v>
      </c>
      <c r="J107" s="47">
        <v>61968174</v>
      </c>
      <c r="K107" s="47" t="s">
        <v>2042</v>
      </c>
      <c r="L107" s="47" t="s">
        <v>2166</v>
      </c>
      <c r="M107" s="50">
        <v>99900</v>
      </c>
      <c r="N107" s="51">
        <v>0.3</v>
      </c>
      <c r="O107" s="52">
        <f t="shared" si="2"/>
        <v>69930</v>
      </c>
      <c r="P107" s="46" t="s">
        <v>19</v>
      </c>
    </row>
    <row r="108" spans="1:16" x14ac:dyDescent="0.25">
      <c r="A108" s="47" t="str">
        <f t="shared" si="3"/>
        <v>2025 NOV DISC 30%</v>
      </c>
      <c r="B108" s="48">
        <v>46107</v>
      </c>
      <c r="C108" s="48">
        <v>46113</v>
      </c>
      <c r="D108" s="49">
        <v>3272</v>
      </c>
      <c r="E108" s="49">
        <v>336</v>
      </c>
      <c r="F108" s="49">
        <v>4</v>
      </c>
      <c r="G108" s="47">
        <v>1</v>
      </c>
      <c r="H108" s="46">
        <v>81379</v>
      </c>
      <c r="I108" s="49" t="s">
        <v>16</v>
      </c>
      <c r="J108" s="47">
        <v>61968183</v>
      </c>
      <c r="K108" s="47" t="s">
        <v>2042</v>
      </c>
      <c r="L108" s="47" t="s">
        <v>2167</v>
      </c>
      <c r="M108" s="50">
        <v>99900</v>
      </c>
      <c r="N108" s="51">
        <v>0.3</v>
      </c>
      <c r="O108" s="52">
        <f t="shared" si="2"/>
        <v>69930</v>
      </c>
      <c r="P108" s="46" t="s">
        <v>19</v>
      </c>
    </row>
    <row r="109" spans="1:16" x14ac:dyDescent="0.25">
      <c r="A109" s="47" t="str">
        <f t="shared" si="3"/>
        <v>2025 NOV DISC 30%</v>
      </c>
      <c r="B109" s="48">
        <v>46107</v>
      </c>
      <c r="C109" s="48">
        <v>46113</v>
      </c>
      <c r="D109" s="49">
        <v>3272</v>
      </c>
      <c r="E109" s="49">
        <v>336</v>
      </c>
      <c r="F109" s="49">
        <v>4</v>
      </c>
      <c r="G109" s="47">
        <v>1</v>
      </c>
      <c r="H109" s="46">
        <v>81379</v>
      </c>
      <c r="I109" s="49" t="s">
        <v>16</v>
      </c>
      <c r="J109" s="47">
        <v>61968192</v>
      </c>
      <c r="K109" s="47" t="s">
        <v>2042</v>
      </c>
      <c r="L109" s="47" t="s">
        <v>2168</v>
      </c>
      <c r="M109" s="50">
        <v>99900</v>
      </c>
      <c r="N109" s="51">
        <v>0.3</v>
      </c>
      <c r="O109" s="52">
        <f t="shared" si="2"/>
        <v>69930</v>
      </c>
      <c r="P109" s="46" t="s">
        <v>19</v>
      </c>
    </row>
    <row r="110" spans="1:16" x14ac:dyDescent="0.25">
      <c r="A110" s="47" t="str">
        <f t="shared" si="3"/>
        <v>2025 NOV DISC 30%</v>
      </c>
      <c r="B110" s="48">
        <v>46107</v>
      </c>
      <c r="C110" s="48">
        <v>46113</v>
      </c>
      <c r="D110" s="49">
        <v>3272</v>
      </c>
      <c r="E110" s="49">
        <v>336</v>
      </c>
      <c r="F110" s="49">
        <v>4</v>
      </c>
      <c r="G110" s="47">
        <v>1</v>
      </c>
      <c r="H110" s="46">
        <v>81379</v>
      </c>
      <c r="I110" s="49" t="s">
        <v>16</v>
      </c>
      <c r="J110" s="47">
        <v>61968209</v>
      </c>
      <c r="K110" s="47" t="s">
        <v>2042</v>
      </c>
      <c r="L110" s="47" t="s">
        <v>2169</v>
      </c>
      <c r="M110" s="50">
        <v>99900</v>
      </c>
      <c r="N110" s="51">
        <v>0.3</v>
      </c>
      <c r="O110" s="52">
        <f t="shared" si="2"/>
        <v>69930</v>
      </c>
      <c r="P110" s="46" t="s">
        <v>19</v>
      </c>
    </row>
    <row r="111" spans="1:16" x14ac:dyDescent="0.25">
      <c r="A111" s="47" t="str">
        <f t="shared" si="3"/>
        <v>2025 NOV DISC 30%</v>
      </c>
      <c r="B111" s="48">
        <v>46107</v>
      </c>
      <c r="C111" s="48">
        <v>46113</v>
      </c>
      <c r="D111" s="49">
        <v>3272</v>
      </c>
      <c r="E111" s="49">
        <v>336</v>
      </c>
      <c r="F111" s="49">
        <v>4</v>
      </c>
      <c r="G111" s="47">
        <v>1</v>
      </c>
      <c r="H111" s="46">
        <v>81379</v>
      </c>
      <c r="I111" s="49" t="s">
        <v>16</v>
      </c>
      <c r="J111" s="47">
        <v>61968218</v>
      </c>
      <c r="K111" s="47" t="s">
        <v>2043</v>
      </c>
      <c r="L111" s="47" t="s">
        <v>2170</v>
      </c>
      <c r="M111" s="50">
        <v>99900</v>
      </c>
      <c r="N111" s="51">
        <v>0.3</v>
      </c>
      <c r="O111" s="52">
        <f t="shared" si="2"/>
        <v>69930</v>
      </c>
      <c r="P111" s="46" t="s">
        <v>19</v>
      </c>
    </row>
    <row r="112" spans="1:16" x14ac:dyDescent="0.25">
      <c r="A112" s="47" t="str">
        <f t="shared" si="3"/>
        <v>2025 NOV DISC 30%</v>
      </c>
      <c r="B112" s="48">
        <v>46107</v>
      </c>
      <c r="C112" s="48">
        <v>46113</v>
      </c>
      <c r="D112" s="49">
        <v>3272</v>
      </c>
      <c r="E112" s="49">
        <v>336</v>
      </c>
      <c r="F112" s="49">
        <v>4</v>
      </c>
      <c r="G112" s="47">
        <v>1</v>
      </c>
      <c r="H112" s="46">
        <v>81379</v>
      </c>
      <c r="I112" s="49" t="s">
        <v>16</v>
      </c>
      <c r="J112" s="47">
        <v>61968227</v>
      </c>
      <c r="K112" s="47" t="s">
        <v>2043</v>
      </c>
      <c r="L112" s="47" t="s">
        <v>2171</v>
      </c>
      <c r="M112" s="50">
        <v>99900</v>
      </c>
      <c r="N112" s="51">
        <v>0.3</v>
      </c>
      <c r="O112" s="52">
        <f t="shared" si="2"/>
        <v>69930</v>
      </c>
      <c r="P112" s="46" t="s">
        <v>19</v>
      </c>
    </row>
    <row r="113" spans="1:16" x14ac:dyDescent="0.25">
      <c r="A113" s="47" t="str">
        <f t="shared" si="3"/>
        <v>2025 NOV DISC 30%</v>
      </c>
      <c r="B113" s="48">
        <v>46107</v>
      </c>
      <c r="C113" s="48">
        <v>46113</v>
      </c>
      <c r="D113" s="49">
        <v>3272</v>
      </c>
      <c r="E113" s="49">
        <v>336</v>
      </c>
      <c r="F113" s="49">
        <v>4</v>
      </c>
      <c r="G113" s="47">
        <v>1</v>
      </c>
      <c r="H113" s="46">
        <v>81379</v>
      </c>
      <c r="I113" s="49" t="s">
        <v>16</v>
      </c>
      <c r="J113" s="47">
        <v>61968236</v>
      </c>
      <c r="K113" s="47" t="s">
        <v>2043</v>
      </c>
      <c r="L113" s="47" t="s">
        <v>2172</v>
      </c>
      <c r="M113" s="50">
        <v>99900</v>
      </c>
      <c r="N113" s="51">
        <v>0.3</v>
      </c>
      <c r="O113" s="52">
        <f t="shared" si="2"/>
        <v>69930</v>
      </c>
      <c r="P113" s="46" t="s">
        <v>19</v>
      </c>
    </row>
    <row r="114" spans="1:16" x14ac:dyDescent="0.25">
      <c r="A114" s="47" t="str">
        <f t="shared" si="3"/>
        <v>2025 NOV DISC 30%</v>
      </c>
      <c r="B114" s="48">
        <v>46107</v>
      </c>
      <c r="C114" s="48">
        <v>46113</v>
      </c>
      <c r="D114" s="49">
        <v>3272</v>
      </c>
      <c r="E114" s="49">
        <v>336</v>
      </c>
      <c r="F114" s="49">
        <v>4</v>
      </c>
      <c r="G114" s="47">
        <v>1</v>
      </c>
      <c r="H114" s="46">
        <v>81379</v>
      </c>
      <c r="I114" s="49" t="s">
        <v>16</v>
      </c>
      <c r="J114" s="47">
        <v>61968245</v>
      </c>
      <c r="K114" s="47" t="s">
        <v>2043</v>
      </c>
      <c r="L114" s="47" t="s">
        <v>2173</v>
      </c>
      <c r="M114" s="50">
        <v>99900</v>
      </c>
      <c r="N114" s="51">
        <v>0.3</v>
      </c>
      <c r="O114" s="52">
        <f t="shared" si="2"/>
        <v>69930</v>
      </c>
      <c r="P114" s="46" t="s">
        <v>19</v>
      </c>
    </row>
    <row r="115" spans="1:16" x14ac:dyDescent="0.25">
      <c r="A115" s="47" t="str">
        <f t="shared" si="3"/>
        <v>2025 NOV DISC 30%</v>
      </c>
      <c r="B115" s="48">
        <v>46107</v>
      </c>
      <c r="C115" s="48">
        <v>46113</v>
      </c>
      <c r="D115" s="49">
        <v>3272</v>
      </c>
      <c r="E115" s="49">
        <v>336</v>
      </c>
      <c r="F115" s="49">
        <v>4</v>
      </c>
      <c r="G115" s="47">
        <v>1</v>
      </c>
      <c r="H115" s="46">
        <v>81379</v>
      </c>
      <c r="I115" s="49" t="s">
        <v>16</v>
      </c>
      <c r="J115" s="47">
        <v>61968254</v>
      </c>
      <c r="K115" s="47" t="s">
        <v>2044</v>
      </c>
      <c r="L115" s="47" t="s">
        <v>2174</v>
      </c>
      <c r="M115" s="50">
        <v>99900</v>
      </c>
      <c r="N115" s="51">
        <v>0.3</v>
      </c>
      <c r="O115" s="52">
        <f t="shared" si="2"/>
        <v>69930</v>
      </c>
      <c r="P115" s="46" t="s">
        <v>19</v>
      </c>
    </row>
    <row r="116" spans="1:16" x14ac:dyDescent="0.25">
      <c r="A116" s="47" t="str">
        <f t="shared" si="3"/>
        <v>2025 NOV DISC 30%</v>
      </c>
      <c r="B116" s="48">
        <v>46107</v>
      </c>
      <c r="C116" s="48">
        <v>46113</v>
      </c>
      <c r="D116" s="49">
        <v>3272</v>
      </c>
      <c r="E116" s="49">
        <v>336</v>
      </c>
      <c r="F116" s="49">
        <v>4</v>
      </c>
      <c r="G116" s="47">
        <v>1</v>
      </c>
      <c r="H116" s="46">
        <v>81379</v>
      </c>
      <c r="I116" s="49" t="s">
        <v>16</v>
      </c>
      <c r="J116" s="47">
        <v>61968263</v>
      </c>
      <c r="K116" s="47" t="s">
        <v>2044</v>
      </c>
      <c r="L116" s="47" t="s">
        <v>2175</v>
      </c>
      <c r="M116" s="50">
        <v>99900</v>
      </c>
      <c r="N116" s="51">
        <v>0.3</v>
      </c>
      <c r="O116" s="52">
        <f t="shared" si="2"/>
        <v>69930</v>
      </c>
      <c r="P116" s="46" t="s">
        <v>19</v>
      </c>
    </row>
    <row r="117" spans="1:16" x14ac:dyDescent="0.25">
      <c r="A117" s="47" t="str">
        <f t="shared" si="3"/>
        <v>2025 NOV DISC 30%</v>
      </c>
      <c r="B117" s="48">
        <v>46107</v>
      </c>
      <c r="C117" s="48">
        <v>46113</v>
      </c>
      <c r="D117" s="49">
        <v>3272</v>
      </c>
      <c r="E117" s="49">
        <v>336</v>
      </c>
      <c r="F117" s="49">
        <v>4</v>
      </c>
      <c r="G117" s="47">
        <v>1</v>
      </c>
      <c r="H117" s="46">
        <v>81379</v>
      </c>
      <c r="I117" s="49" t="s">
        <v>16</v>
      </c>
      <c r="J117" s="47">
        <v>61968272</v>
      </c>
      <c r="K117" s="47" t="s">
        <v>2044</v>
      </c>
      <c r="L117" s="47" t="s">
        <v>2176</v>
      </c>
      <c r="M117" s="50">
        <v>99900</v>
      </c>
      <c r="N117" s="51">
        <v>0.3</v>
      </c>
      <c r="O117" s="52">
        <f t="shared" si="2"/>
        <v>69930</v>
      </c>
      <c r="P117" s="46" t="s">
        <v>19</v>
      </c>
    </row>
    <row r="118" spans="1:16" x14ac:dyDescent="0.25">
      <c r="A118" s="47" t="str">
        <f t="shared" si="3"/>
        <v>2025 NOV DISC 30%</v>
      </c>
      <c r="B118" s="48">
        <v>46107</v>
      </c>
      <c r="C118" s="48">
        <v>46113</v>
      </c>
      <c r="D118" s="49">
        <v>3272</v>
      </c>
      <c r="E118" s="49">
        <v>336</v>
      </c>
      <c r="F118" s="49">
        <v>4</v>
      </c>
      <c r="G118" s="47">
        <v>1</v>
      </c>
      <c r="H118" s="46">
        <v>81379</v>
      </c>
      <c r="I118" s="49" t="s">
        <v>16</v>
      </c>
      <c r="J118" s="47">
        <v>61968281</v>
      </c>
      <c r="K118" s="47" t="s">
        <v>2044</v>
      </c>
      <c r="L118" s="47" t="s">
        <v>2177</v>
      </c>
      <c r="M118" s="50">
        <v>99900</v>
      </c>
      <c r="N118" s="51">
        <v>0.3</v>
      </c>
      <c r="O118" s="52">
        <f t="shared" si="2"/>
        <v>69930</v>
      </c>
      <c r="P118" s="46" t="s">
        <v>19</v>
      </c>
    </row>
    <row r="119" spans="1:16" x14ac:dyDescent="0.25">
      <c r="A119" s="47" t="str">
        <f t="shared" si="3"/>
        <v>2025 NOV DISC 30%</v>
      </c>
      <c r="B119" s="48">
        <v>46107</v>
      </c>
      <c r="C119" s="48">
        <v>46113</v>
      </c>
      <c r="D119" s="49">
        <v>3272</v>
      </c>
      <c r="E119" s="49">
        <v>336</v>
      </c>
      <c r="F119" s="49">
        <v>4</v>
      </c>
      <c r="G119" s="47">
        <v>1</v>
      </c>
      <c r="H119" s="46">
        <v>81379</v>
      </c>
      <c r="I119" s="49" t="s">
        <v>16</v>
      </c>
      <c r="J119" s="47">
        <v>61968290</v>
      </c>
      <c r="K119" s="47" t="s">
        <v>2045</v>
      </c>
      <c r="L119" s="47" t="s">
        <v>2178</v>
      </c>
      <c r="M119" s="50">
        <v>99900</v>
      </c>
      <c r="N119" s="51">
        <v>0.3</v>
      </c>
      <c r="O119" s="52">
        <f t="shared" si="2"/>
        <v>69930</v>
      </c>
      <c r="P119" s="46" t="s">
        <v>19</v>
      </c>
    </row>
    <row r="120" spans="1:16" x14ac:dyDescent="0.25">
      <c r="A120" s="47" t="str">
        <f t="shared" si="3"/>
        <v>2025 NOV DISC 30%</v>
      </c>
      <c r="B120" s="48">
        <v>46107</v>
      </c>
      <c r="C120" s="48">
        <v>46113</v>
      </c>
      <c r="D120" s="49">
        <v>3272</v>
      </c>
      <c r="E120" s="49">
        <v>336</v>
      </c>
      <c r="F120" s="49">
        <v>4</v>
      </c>
      <c r="G120" s="47">
        <v>1</v>
      </c>
      <c r="H120" s="46">
        <v>81379</v>
      </c>
      <c r="I120" s="49" t="s">
        <v>16</v>
      </c>
      <c r="J120" s="47">
        <v>61968307</v>
      </c>
      <c r="K120" s="47" t="s">
        <v>2045</v>
      </c>
      <c r="L120" s="47" t="s">
        <v>2179</v>
      </c>
      <c r="M120" s="50">
        <v>99900</v>
      </c>
      <c r="N120" s="51">
        <v>0.3</v>
      </c>
      <c r="O120" s="52">
        <f t="shared" si="2"/>
        <v>69930</v>
      </c>
      <c r="P120" s="46" t="s">
        <v>19</v>
      </c>
    </row>
    <row r="121" spans="1:16" x14ac:dyDescent="0.25">
      <c r="A121" s="47" t="str">
        <f t="shared" si="3"/>
        <v>2025 NOV DISC 30%</v>
      </c>
      <c r="B121" s="48">
        <v>46107</v>
      </c>
      <c r="C121" s="48">
        <v>46113</v>
      </c>
      <c r="D121" s="49">
        <v>3272</v>
      </c>
      <c r="E121" s="49">
        <v>336</v>
      </c>
      <c r="F121" s="49">
        <v>4</v>
      </c>
      <c r="G121" s="47">
        <v>1</v>
      </c>
      <c r="H121" s="46">
        <v>81379</v>
      </c>
      <c r="I121" s="49" t="s">
        <v>16</v>
      </c>
      <c r="J121" s="47">
        <v>61968316</v>
      </c>
      <c r="K121" s="47" t="s">
        <v>2045</v>
      </c>
      <c r="L121" s="47" t="s">
        <v>2180</v>
      </c>
      <c r="M121" s="50">
        <v>99900</v>
      </c>
      <c r="N121" s="51">
        <v>0.3</v>
      </c>
      <c r="O121" s="52">
        <f t="shared" si="2"/>
        <v>69930</v>
      </c>
      <c r="P121" s="46" t="s">
        <v>19</v>
      </c>
    </row>
    <row r="122" spans="1:16" x14ac:dyDescent="0.25">
      <c r="A122" s="47" t="str">
        <f t="shared" si="3"/>
        <v>2025 NOV DISC 30%</v>
      </c>
      <c r="B122" s="48">
        <v>46107</v>
      </c>
      <c r="C122" s="48">
        <v>46113</v>
      </c>
      <c r="D122" s="49">
        <v>3272</v>
      </c>
      <c r="E122" s="49">
        <v>336</v>
      </c>
      <c r="F122" s="49">
        <v>4</v>
      </c>
      <c r="G122" s="47">
        <v>1</v>
      </c>
      <c r="H122" s="46">
        <v>81379</v>
      </c>
      <c r="I122" s="49" t="s">
        <v>16</v>
      </c>
      <c r="J122" s="47">
        <v>61968325</v>
      </c>
      <c r="K122" s="47" t="s">
        <v>2045</v>
      </c>
      <c r="L122" s="47" t="s">
        <v>2181</v>
      </c>
      <c r="M122" s="50">
        <v>99900</v>
      </c>
      <c r="N122" s="51">
        <v>0.3</v>
      </c>
      <c r="O122" s="52">
        <f t="shared" si="2"/>
        <v>69930</v>
      </c>
      <c r="P122" s="46" t="s">
        <v>19</v>
      </c>
    </row>
    <row r="123" spans="1:16" x14ac:dyDescent="0.25">
      <c r="A123" s="47" t="str">
        <f t="shared" si="3"/>
        <v>2025 NOV DISC 30%</v>
      </c>
      <c r="B123" s="48">
        <v>46107</v>
      </c>
      <c r="C123" s="48">
        <v>46113</v>
      </c>
      <c r="D123" s="49">
        <v>3272</v>
      </c>
      <c r="E123" s="49">
        <v>336</v>
      </c>
      <c r="F123" s="49">
        <v>4</v>
      </c>
      <c r="G123" s="47">
        <v>1</v>
      </c>
      <c r="H123" s="46">
        <v>81379</v>
      </c>
      <c r="I123" s="49" t="s">
        <v>16</v>
      </c>
      <c r="J123" s="47">
        <v>61968334</v>
      </c>
      <c r="K123" s="47" t="s">
        <v>2046</v>
      </c>
      <c r="L123" s="47" t="s">
        <v>2182</v>
      </c>
      <c r="M123" s="50">
        <v>99900</v>
      </c>
      <c r="N123" s="51">
        <v>0.3</v>
      </c>
      <c r="O123" s="52">
        <f t="shared" si="2"/>
        <v>69930</v>
      </c>
      <c r="P123" s="46" t="s">
        <v>19</v>
      </c>
    </row>
    <row r="124" spans="1:16" x14ac:dyDescent="0.25">
      <c r="A124" s="47" t="str">
        <f t="shared" si="3"/>
        <v>2025 NOV DISC 30%</v>
      </c>
      <c r="B124" s="48">
        <v>46107</v>
      </c>
      <c r="C124" s="48">
        <v>46113</v>
      </c>
      <c r="D124" s="49">
        <v>3272</v>
      </c>
      <c r="E124" s="49">
        <v>336</v>
      </c>
      <c r="F124" s="49">
        <v>4</v>
      </c>
      <c r="G124" s="47">
        <v>1</v>
      </c>
      <c r="H124" s="46">
        <v>81379</v>
      </c>
      <c r="I124" s="49" t="s">
        <v>16</v>
      </c>
      <c r="J124" s="47">
        <v>61968343</v>
      </c>
      <c r="K124" s="47" t="s">
        <v>2046</v>
      </c>
      <c r="L124" s="47" t="s">
        <v>2183</v>
      </c>
      <c r="M124" s="50">
        <v>99900</v>
      </c>
      <c r="N124" s="51">
        <v>0.3</v>
      </c>
      <c r="O124" s="52">
        <f t="shared" si="2"/>
        <v>69930</v>
      </c>
      <c r="P124" s="46" t="s">
        <v>19</v>
      </c>
    </row>
    <row r="125" spans="1:16" x14ac:dyDescent="0.25">
      <c r="A125" s="47" t="str">
        <f t="shared" si="3"/>
        <v>2025 NOV DISC 30%</v>
      </c>
      <c r="B125" s="48">
        <v>46107</v>
      </c>
      <c r="C125" s="48">
        <v>46113</v>
      </c>
      <c r="D125" s="49">
        <v>3272</v>
      </c>
      <c r="E125" s="49">
        <v>336</v>
      </c>
      <c r="F125" s="49">
        <v>4</v>
      </c>
      <c r="G125" s="47">
        <v>1</v>
      </c>
      <c r="H125" s="46">
        <v>81379</v>
      </c>
      <c r="I125" s="49" t="s">
        <v>16</v>
      </c>
      <c r="J125" s="47">
        <v>61968352</v>
      </c>
      <c r="K125" s="47" t="s">
        <v>2046</v>
      </c>
      <c r="L125" s="47" t="s">
        <v>2184</v>
      </c>
      <c r="M125" s="50">
        <v>99900</v>
      </c>
      <c r="N125" s="51">
        <v>0.3</v>
      </c>
      <c r="O125" s="52">
        <f t="shared" si="2"/>
        <v>69930</v>
      </c>
      <c r="P125" s="46" t="s">
        <v>19</v>
      </c>
    </row>
    <row r="126" spans="1:16" x14ac:dyDescent="0.25">
      <c r="A126" s="47" t="str">
        <f t="shared" si="3"/>
        <v>2025 NOV DISC 30%</v>
      </c>
      <c r="B126" s="48">
        <v>46107</v>
      </c>
      <c r="C126" s="48">
        <v>46113</v>
      </c>
      <c r="D126" s="49">
        <v>3272</v>
      </c>
      <c r="E126" s="49">
        <v>336</v>
      </c>
      <c r="F126" s="49">
        <v>4</v>
      </c>
      <c r="G126" s="47">
        <v>1</v>
      </c>
      <c r="H126" s="46">
        <v>81379</v>
      </c>
      <c r="I126" s="49" t="s">
        <v>16</v>
      </c>
      <c r="J126" s="47">
        <v>61968361</v>
      </c>
      <c r="K126" s="47" t="s">
        <v>2046</v>
      </c>
      <c r="L126" s="47" t="s">
        <v>2185</v>
      </c>
      <c r="M126" s="50">
        <v>99900</v>
      </c>
      <c r="N126" s="51">
        <v>0.3</v>
      </c>
      <c r="O126" s="52">
        <f t="shared" si="2"/>
        <v>69930</v>
      </c>
      <c r="P126" s="46" t="s">
        <v>19</v>
      </c>
    </row>
    <row r="127" spans="1:16" x14ac:dyDescent="0.25">
      <c r="A127" s="47" t="str">
        <f t="shared" si="3"/>
        <v>2025 NOV DISC 30%</v>
      </c>
      <c r="B127" s="48">
        <v>46107</v>
      </c>
      <c r="C127" s="48">
        <v>46113</v>
      </c>
      <c r="D127" s="49">
        <v>3272</v>
      </c>
      <c r="E127" s="49">
        <v>336</v>
      </c>
      <c r="F127" s="49">
        <v>4</v>
      </c>
      <c r="G127" s="47">
        <v>1</v>
      </c>
      <c r="H127" s="46">
        <v>81379</v>
      </c>
      <c r="I127" s="49" t="s">
        <v>16</v>
      </c>
      <c r="J127" s="47">
        <v>61968370</v>
      </c>
      <c r="K127" s="47" t="s">
        <v>2046</v>
      </c>
      <c r="L127" s="47" t="s">
        <v>2186</v>
      </c>
      <c r="M127" s="50">
        <v>99900</v>
      </c>
      <c r="N127" s="51">
        <v>0.3</v>
      </c>
      <c r="O127" s="52">
        <f t="shared" si="2"/>
        <v>69930</v>
      </c>
      <c r="P127" s="46" t="s">
        <v>19</v>
      </c>
    </row>
    <row r="128" spans="1:16" x14ac:dyDescent="0.25">
      <c r="A128" s="47" t="str">
        <f t="shared" si="3"/>
        <v>2025 NOV DISC 30%</v>
      </c>
      <c r="B128" s="48">
        <v>46107</v>
      </c>
      <c r="C128" s="48">
        <v>46113</v>
      </c>
      <c r="D128" s="49">
        <v>3272</v>
      </c>
      <c r="E128" s="49">
        <v>336</v>
      </c>
      <c r="F128" s="49">
        <v>4</v>
      </c>
      <c r="G128" s="47">
        <v>1</v>
      </c>
      <c r="H128" s="46">
        <v>81379</v>
      </c>
      <c r="I128" s="49" t="s">
        <v>16</v>
      </c>
      <c r="J128" s="47">
        <v>61968389</v>
      </c>
      <c r="K128" s="47" t="s">
        <v>2046</v>
      </c>
      <c r="L128" s="47" t="s">
        <v>2187</v>
      </c>
      <c r="M128" s="50">
        <v>99900</v>
      </c>
      <c r="N128" s="51">
        <v>0.3</v>
      </c>
      <c r="O128" s="52">
        <f t="shared" si="2"/>
        <v>69930</v>
      </c>
      <c r="P128" s="46" t="s">
        <v>19</v>
      </c>
    </row>
    <row r="129" spans="1:16" x14ac:dyDescent="0.25">
      <c r="A129" s="47" t="str">
        <f t="shared" si="3"/>
        <v>2025 NOV DISC 30%</v>
      </c>
      <c r="B129" s="48">
        <v>46107</v>
      </c>
      <c r="C129" s="48">
        <v>46113</v>
      </c>
      <c r="D129" s="49">
        <v>3272</v>
      </c>
      <c r="E129" s="49">
        <v>336</v>
      </c>
      <c r="F129" s="49">
        <v>4</v>
      </c>
      <c r="G129" s="47">
        <v>1</v>
      </c>
      <c r="H129" s="46">
        <v>81379</v>
      </c>
      <c r="I129" s="49" t="s">
        <v>16</v>
      </c>
      <c r="J129" s="47">
        <v>61968398</v>
      </c>
      <c r="K129" s="47" t="s">
        <v>2046</v>
      </c>
      <c r="L129" s="47" t="s">
        <v>2188</v>
      </c>
      <c r="M129" s="50">
        <v>99900</v>
      </c>
      <c r="N129" s="51">
        <v>0.3</v>
      </c>
      <c r="O129" s="52">
        <f t="shared" si="2"/>
        <v>69930</v>
      </c>
      <c r="P129" s="46" t="s">
        <v>19</v>
      </c>
    </row>
    <row r="130" spans="1:16" x14ac:dyDescent="0.25">
      <c r="A130" s="47" t="str">
        <f t="shared" si="3"/>
        <v>2025 NOV DISC 30%</v>
      </c>
      <c r="B130" s="48">
        <v>46107</v>
      </c>
      <c r="C130" s="48">
        <v>46113</v>
      </c>
      <c r="D130" s="49">
        <v>3272</v>
      </c>
      <c r="E130" s="49">
        <v>336</v>
      </c>
      <c r="F130" s="49">
        <v>4</v>
      </c>
      <c r="G130" s="47">
        <v>1</v>
      </c>
      <c r="H130" s="46">
        <v>81379</v>
      </c>
      <c r="I130" s="49" t="s">
        <v>16</v>
      </c>
      <c r="J130" s="47">
        <v>61968405</v>
      </c>
      <c r="K130" s="47" t="s">
        <v>2047</v>
      </c>
      <c r="L130" s="47" t="s">
        <v>2189</v>
      </c>
      <c r="M130" s="50">
        <v>99900</v>
      </c>
      <c r="N130" s="51">
        <v>0.3</v>
      </c>
      <c r="O130" s="52">
        <f t="shared" ref="O130:O193" si="4">M130-((30*M130)/100)</f>
        <v>69930</v>
      </c>
      <c r="P130" s="46" t="s">
        <v>19</v>
      </c>
    </row>
    <row r="131" spans="1:16" x14ac:dyDescent="0.25">
      <c r="A131" s="47" t="str">
        <f t="shared" si="3"/>
        <v>2025 NOV DISC 30%</v>
      </c>
      <c r="B131" s="48">
        <v>46107</v>
      </c>
      <c r="C131" s="48">
        <v>46113</v>
      </c>
      <c r="D131" s="49">
        <v>3272</v>
      </c>
      <c r="E131" s="49">
        <v>336</v>
      </c>
      <c r="F131" s="49">
        <v>4</v>
      </c>
      <c r="G131" s="47">
        <v>1</v>
      </c>
      <c r="H131" s="46">
        <v>81379</v>
      </c>
      <c r="I131" s="49" t="s">
        <v>16</v>
      </c>
      <c r="J131" s="47">
        <v>61968414</v>
      </c>
      <c r="K131" s="47" t="s">
        <v>2047</v>
      </c>
      <c r="L131" s="47" t="s">
        <v>2190</v>
      </c>
      <c r="M131" s="50">
        <v>99900</v>
      </c>
      <c r="N131" s="51">
        <v>0.3</v>
      </c>
      <c r="O131" s="52">
        <f t="shared" si="4"/>
        <v>69930</v>
      </c>
      <c r="P131" s="46" t="s">
        <v>19</v>
      </c>
    </row>
    <row r="132" spans="1:16" x14ac:dyDescent="0.25">
      <c r="A132" s="47" t="str">
        <f t="shared" ref="A132:A195" si="5">A131</f>
        <v>2025 NOV DISC 30%</v>
      </c>
      <c r="B132" s="48">
        <v>46107</v>
      </c>
      <c r="C132" s="48">
        <v>46113</v>
      </c>
      <c r="D132" s="49">
        <v>3272</v>
      </c>
      <c r="E132" s="49">
        <v>336</v>
      </c>
      <c r="F132" s="49">
        <v>4</v>
      </c>
      <c r="G132" s="47">
        <v>1</v>
      </c>
      <c r="H132" s="46">
        <v>81379</v>
      </c>
      <c r="I132" s="49" t="s">
        <v>16</v>
      </c>
      <c r="J132" s="47">
        <v>61968423</v>
      </c>
      <c r="K132" s="47" t="s">
        <v>2047</v>
      </c>
      <c r="L132" s="47" t="s">
        <v>2191</v>
      </c>
      <c r="M132" s="50">
        <v>99900</v>
      </c>
      <c r="N132" s="51">
        <v>0.3</v>
      </c>
      <c r="O132" s="52">
        <f t="shared" si="4"/>
        <v>69930</v>
      </c>
      <c r="P132" s="46" t="s">
        <v>19</v>
      </c>
    </row>
    <row r="133" spans="1:16" x14ac:dyDescent="0.25">
      <c r="A133" s="47" t="str">
        <f t="shared" si="5"/>
        <v>2025 NOV DISC 30%</v>
      </c>
      <c r="B133" s="48">
        <v>46107</v>
      </c>
      <c r="C133" s="48">
        <v>46113</v>
      </c>
      <c r="D133" s="49">
        <v>3272</v>
      </c>
      <c r="E133" s="49">
        <v>336</v>
      </c>
      <c r="F133" s="49">
        <v>4</v>
      </c>
      <c r="G133" s="47">
        <v>1</v>
      </c>
      <c r="H133" s="46">
        <v>81379</v>
      </c>
      <c r="I133" s="49" t="s">
        <v>16</v>
      </c>
      <c r="J133" s="47">
        <v>61968432</v>
      </c>
      <c r="K133" s="47" t="s">
        <v>2047</v>
      </c>
      <c r="L133" s="47" t="s">
        <v>2192</v>
      </c>
      <c r="M133" s="50">
        <v>99900</v>
      </c>
      <c r="N133" s="51">
        <v>0.3</v>
      </c>
      <c r="O133" s="52">
        <f t="shared" si="4"/>
        <v>69930</v>
      </c>
      <c r="P133" s="46" t="s">
        <v>19</v>
      </c>
    </row>
    <row r="134" spans="1:16" x14ac:dyDescent="0.25">
      <c r="A134" s="47" t="str">
        <f t="shared" si="5"/>
        <v>2025 NOV DISC 30%</v>
      </c>
      <c r="B134" s="48">
        <v>46107</v>
      </c>
      <c r="C134" s="48">
        <v>46113</v>
      </c>
      <c r="D134" s="49">
        <v>3272</v>
      </c>
      <c r="E134" s="49">
        <v>336</v>
      </c>
      <c r="F134" s="49">
        <v>4</v>
      </c>
      <c r="G134" s="47">
        <v>1</v>
      </c>
      <c r="H134" s="46">
        <v>81379</v>
      </c>
      <c r="I134" s="49" t="s">
        <v>16</v>
      </c>
      <c r="J134" s="47">
        <v>61968441</v>
      </c>
      <c r="K134" s="47" t="s">
        <v>2047</v>
      </c>
      <c r="L134" s="47" t="s">
        <v>2193</v>
      </c>
      <c r="M134" s="50">
        <v>99900</v>
      </c>
      <c r="N134" s="51">
        <v>0.3</v>
      </c>
      <c r="O134" s="52">
        <f t="shared" si="4"/>
        <v>69930</v>
      </c>
      <c r="P134" s="46" t="s">
        <v>19</v>
      </c>
    </row>
    <row r="135" spans="1:16" x14ac:dyDescent="0.25">
      <c r="A135" s="47" t="str">
        <f t="shared" si="5"/>
        <v>2025 NOV DISC 30%</v>
      </c>
      <c r="B135" s="48">
        <v>46107</v>
      </c>
      <c r="C135" s="48">
        <v>46113</v>
      </c>
      <c r="D135" s="49">
        <v>3272</v>
      </c>
      <c r="E135" s="49">
        <v>336</v>
      </c>
      <c r="F135" s="49">
        <v>4</v>
      </c>
      <c r="G135" s="47">
        <v>1</v>
      </c>
      <c r="H135" s="46">
        <v>81379</v>
      </c>
      <c r="I135" s="49" t="s">
        <v>16</v>
      </c>
      <c r="J135" s="47">
        <v>61968450</v>
      </c>
      <c r="K135" s="47" t="s">
        <v>2047</v>
      </c>
      <c r="L135" s="47" t="s">
        <v>2194</v>
      </c>
      <c r="M135" s="50">
        <v>99900</v>
      </c>
      <c r="N135" s="51">
        <v>0.3</v>
      </c>
      <c r="O135" s="52">
        <f t="shared" si="4"/>
        <v>69930</v>
      </c>
      <c r="P135" s="46" t="s">
        <v>19</v>
      </c>
    </row>
    <row r="136" spans="1:16" x14ac:dyDescent="0.25">
      <c r="A136" s="47" t="str">
        <f t="shared" si="5"/>
        <v>2025 NOV DISC 30%</v>
      </c>
      <c r="B136" s="48">
        <v>46107</v>
      </c>
      <c r="C136" s="48">
        <v>46113</v>
      </c>
      <c r="D136" s="49">
        <v>3272</v>
      </c>
      <c r="E136" s="49">
        <v>336</v>
      </c>
      <c r="F136" s="49">
        <v>4</v>
      </c>
      <c r="G136" s="47">
        <v>1</v>
      </c>
      <c r="H136" s="46">
        <v>81379</v>
      </c>
      <c r="I136" s="49" t="s">
        <v>16</v>
      </c>
      <c r="J136" s="47">
        <v>61968469</v>
      </c>
      <c r="K136" s="47" t="s">
        <v>2047</v>
      </c>
      <c r="L136" s="47" t="s">
        <v>2195</v>
      </c>
      <c r="M136" s="50">
        <v>99900</v>
      </c>
      <c r="N136" s="51">
        <v>0.3</v>
      </c>
      <c r="O136" s="52">
        <f t="shared" si="4"/>
        <v>69930</v>
      </c>
      <c r="P136" s="46" t="s">
        <v>19</v>
      </c>
    </row>
    <row r="137" spans="1:16" x14ac:dyDescent="0.25">
      <c r="A137" s="47" t="str">
        <f t="shared" si="5"/>
        <v>2025 NOV DISC 30%</v>
      </c>
      <c r="B137" s="48">
        <v>46107</v>
      </c>
      <c r="C137" s="48">
        <v>46113</v>
      </c>
      <c r="D137" s="49">
        <v>3272</v>
      </c>
      <c r="E137" s="49">
        <v>336</v>
      </c>
      <c r="F137" s="49">
        <v>4</v>
      </c>
      <c r="G137" s="47">
        <v>1</v>
      </c>
      <c r="H137" s="46">
        <v>81379</v>
      </c>
      <c r="I137" s="49" t="s">
        <v>16</v>
      </c>
      <c r="J137" s="47">
        <v>61968478</v>
      </c>
      <c r="K137" s="47" t="s">
        <v>2048</v>
      </c>
      <c r="L137" s="47" t="s">
        <v>2196</v>
      </c>
      <c r="M137" s="50">
        <v>99900</v>
      </c>
      <c r="N137" s="51">
        <v>0.3</v>
      </c>
      <c r="O137" s="52">
        <f t="shared" si="4"/>
        <v>69930</v>
      </c>
      <c r="P137" s="46" t="s">
        <v>19</v>
      </c>
    </row>
    <row r="138" spans="1:16" x14ac:dyDescent="0.25">
      <c r="A138" s="47" t="str">
        <f t="shared" si="5"/>
        <v>2025 NOV DISC 30%</v>
      </c>
      <c r="B138" s="48">
        <v>46107</v>
      </c>
      <c r="C138" s="48">
        <v>46113</v>
      </c>
      <c r="D138" s="49">
        <v>3272</v>
      </c>
      <c r="E138" s="49">
        <v>336</v>
      </c>
      <c r="F138" s="49">
        <v>4</v>
      </c>
      <c r="G138" s="47">
        <v>1</v>
      </c>
      <c r="H138" s="46">
        <v>81379</v>
      </c>
      <c r="I138" s="49" t="s">
        <v>16</v>
      </c>
      <c r="J138" s="47">
        <v>61968487</v>
      </c>
      <c r="K138" s="47" t="s">
        <v>2048</v>
      </c>
      <c r="L138" s="47" t="s">
        <v>2197</v>
      </c>
      <c r="M138" s="50">
        <v>99900</v>
      </c>
      <c r="N138" s="51">
        <v>0.3</v>
      </c>
      <c r="O138" s="52">
        <f t="shared" si="4"/>
        <v>69930</v>
      </c>
      <c r="P138" s="46" t="s">
        <v>19</v>
      </c>
    </row>
    <row r="139" spans="1:16" x14ac:dyDescent="0.25">
      <c r="A139" s="47" t="str">
        <f t="shared" si="5"/>
        <v>2025 NOV DISC 30%</v>
      </c>
      <c r="B139" s="48">
        <v>46107</v>
      </c>
      <c r="C139" s="48">
        <v>46113</v>
      </c>
      <c r="D139" s="49">
        <v>3272</v>
      </c>
      <c r="E139" s="49">
        <v>336</v>
      </c>
      <c r="F139" s="49">
        <v>4</v>
      </c>
      <c r="G139" s="47">
        <v>1</v>
      </c>
      <c r="H139" s="46">
        <v>81379</v>
      </c>
      <c r="I139" s="49" t="s">
        <v>16</v>
      </c>
      <c r="J139" s="47">
        <v>61968496</v>
      </c>
      <c r="K139" s="47" t="s">
        <v>2048</v>
      </c>
      <c r="L139" s="47" t="s">
        <v>2198</v>
      </c>
      <c r="M139" s="50">
        <v>99900</v>
      </c>
      <c r="N139" s="51">
        <v>0.3</v>
      </c>
      <c r="O139" s="52">
        <f t="shared" si="4"/>
        <v>69930</v>
      </c>
      <c r="P139" s="46" t="s">
        <v>19</v>
      </c>
    </row>
    <row r="140" spans="1:16" x14ac:dyDescent="0.25">
      <c r="A140" s="47" t="str">
        <f t="shared" si="5"/>
        <v>2025 NOV DISC 30%</v>
      </c>
      <c r="B140" s="48">
        <v>46107</v>
      </c>
      <c r="C140" s="48">
        <v>46113</v>
      </c>
      <c r="D140" s="49">
        <v>3272</v>
      </c>
      <c r="E140" s="49">
        <v>336</v>
      </c>
      <c r="F140" s="49">
        <v>4</v>
      </c>
      <c r="G140" s="47">
        <v>1</v>
      </c>
      <c r="H140" s="46">
        <v>81379</v>
      </c>
      <c r="I140" s="49" t="s">
        <v>16</v>
      </c>
      <c r="J140" s="47">
        <v>61968503</v>
      </c>
      <c r="K140" s="47" t="s">
        <v>2048</v>
      </c>
      <c r="L140" s="47" t="s">
        <v>2199</v>
      </c>
      <c r="M140" s="50">
        <v>99900</v>
      </c>
      <c r="N140" s="51">
        <v>0.3</v>
      </c>
      <c r="O140" s="52">
        <f t="shared" si="4"/>
        <v>69930</v>
      </c>
      <c r="P140" s="46" t="s">
        <v>19</v>
      </c>
    </row>
    <row r="141" spans="1:16" x14ac:dyDescent="0.25">
      <c r="A141" s="47" t="str">
        <f t="shared" si="5"/>
        <v>2025 NOV DISC 30%</v>
      </c>
      <c r="B141" s="48">
        <v>46107</v>
      </c>
      <c r="C141" s="48">
        <v>46113</v>
      </c>
      <c r="D141" s="49">
        <v>3272</v>
      </c>
      <c r="E141" s="49">
        <v>336</v>
      </c>
      <c r="F141" s="49">
        <v>4</v>
      </c>
      <c r="G141" s="47">
        <v>1</v>
      </c>
      <c r="H141" s="46">
        <v>81379</v>
      </c>
      <c r="I141" s="49" t="s">
        <v>16</v>
      </c>
      <c r="J141" s="47">
        <v>61968512</v>
      </c>
      <c r="K141" s="47" t="s">
        <v>2048</v>
      </c>
      <c r="L141" s="47" t="s">
        <v>2200</v>
      </c>
      <c r="M141" s="50">
        <v>99900</v>
      </c>
      <c r="N141" s="51">
        <v>0.3</v>
      </c>
      <c r="O141" s="52">
        <f t="shared" si="4"/>
        <v>69930</v>
      </c>
      <c r="P141" s="46" t="s">
        <v>19</v>
      </c>
    </row>
    <row r="142" spans="1:16" x14ac:dyDescent="0.25">
      <c r="A142" s="47" t="str">
        <f t="shared" si="5"/>
        <v>2025 NOV DISC 30%</v>
      </c>
      <c r="B142" s="48">
        <v>46107</v>
      </c>
      <c r="C142" s="48">
        <v>46113</v>
      </c>
      <c r="D142" s="49">
        <v>3272</v>
      </c>
      <c r="E142" s="49">
        <v>336</v>
      </c>
      <c r="F142" s="49">
        <v>4</v>
      </c>
      <c r="G142" s="47">
        <v>1</v>
      </c>
      <c r="H142" s="46">
        <v>81379</v>
      </c>
      <c r="I142" s="49" t="s">
        <v>16</v>
      </c>
      <c r="J142" s="47">
        <v>61968521</v>
      </c>
      <c r="K142" s="47" t="s">
        <v>2048</v>
      </c>
      <c r="L142" s="47" t="s">
        <v>2201</v>
      </c>
      <c r="M142" s="50">
        <v>99900</v>
      </c>
      <c r="N142" s="51">
        <v>0.3</v>
      </c>
      <c r="O142" s="52">
        <f t="shared" si="4"/>
        <v>69930</v>
      </c>
      <c r="P142" s="46" t="s">
        <v>19</v>
      </c>
    </row>
    <row r="143" spans="1:16" x14ac:dyDescent="0.25">
      <c r="A143" s="47" t="str">
        <f t="shared" si="5"/>
        <v>2025 NOV DISC 30%</v>
      </c>
      <c r="B143" s="48">
        <v>46107</v>
      </c>
      <c r="C143" s="48">
        <v>46113</v>
      </c>
      <c r="D143" s="49">
        <v>3272</v>
      </c>
      <c r="E143" s="49">
        <v>336</v>
      </c>
      <c r="F143" s="49">
        <v>4</v>
      </c>
      <c r="G143" s="47">
        <v>1</v>
      </c>
      <c r="H143" s="46">
        <v>81379</v>
      </c>
      <c r="I143" s="49" t="s">
        <v>16</v>
      </c>
      <c r="J143" s="47">
        <v>61968530</v>
      </c>
      <c r="K143" s="47" t="s">
        <v>2048</v>
      </c>
      <c r="L143" s="47" t="s">
        <v>2202</v>
      </c>
      <c r="M143" s="50">
        <v>99900</v>
      </c>
      <c r="N143" s="51">
        <v>0.3</v>
      </c>
      <c r="O143" s="52">
        <f t="shared" si="4"/>
        <v>69930</v>
      </c>
      <c r="P143" s="46" t="s">
        <v>19</v>
      </c>
    </row>
    <row r="144" spans="1:16" x14ac:dyDescent="0.25">
      <c r="A144" s="47" t="str">
        <f t="shared" si="5"/>
        <v>2025 NOV DISC 30%</v>
      </c>
      <c r="B144" s="48">
        <v>46107</v>
      </c>
      <c r="C144" s="48">
        <v>46113</v>
      </c>
      <c r="D144" s="49">
        <v>3272</v>
      </c>
      <c r="E144" s="49">
        <v>336</v>
      </c>
      <c r="F144" s="49">
        <v>4</v>
      </c>
      <c r="G144" s="47">
        <v>1</v>
      </c>
      <c r="H144" s="46">
        <v>81379</v>
      </c>
      <c r="I144" s="49" t="s">
        <v>16</v>
      </c>
      <c r="J144" s="47">
        <v>61968549</v>
      </c>
      <c r="K144" s="47" t="s">
        <v>2049</v>
      </c>
      <c r="L144" s="47" t="s">
        <v>2203</v>
      </c>
      <c r="M144" s="50">
        <v>99900</v>
      </c>
      <c r="N144" s="51">
        <v>0.3</v>
      </c>
      <c r="O144" s="52">
        <f t="shared" si="4"/>
        <v>69930</v>
      </c>
      <c r="P144" s="46" t="s">
        <v>19</v>
      </c>
    </row>
    <row r="145" spans="1:16" x14ac:dyDescent="0.25">
      <c r="A145" s="47" t="str">
        <f t="shared" si="5"/>
        <v>2025 NOV DISC 30%</v>
      </c>
      <c r="B145" s="48">
        <v>46107</v>
      </c>
      <c r="C145" s="48">
        <v>46113</v>
      </c>
      <c r="D145" s="49">
        <v>3272</v>
      </c>
      <c r="E145" s="49">
        <v>336</v>
      </c>
      <c r="F145" s="49">
        <v>4</v>
      </c>
      <c r="G145" s="47">
        <v>1</v>
      </c>
      <c r="H145" s="46">
        <v>81379</v>
      </c>
      <c r="I145" s="49" t="s">
        <v>16</v>
      </c>
      <c r="J145" s="47">
        <v>61968558</v>
      </c>
      <c r="K145" s="47" t="s">
        <v>2049</v>
      </c>
      <c r="L145" s="47" t="s">
        <v>2204</v>
      </c>
      <c r="M145" s="50">
        <v>99900</v>
      </c>
      <c r="N145" s="51">
        <v>0.3</v>
      </c>
      <c r="O145" s="52">
        <f t="shared" si="4"/>
        <v>69930</v>
      </c>
      <c r="P145" s="46" t="s">
        <v>19</v>
      </c>
    </row>
    <row r="146" spans="1:16" x14ac:dyDescent="0.25">
      <c r="A146" s="47" t="str">
        <f t="shared" si="5"/>
        <v>2025 NOV DISC 30%</v>
      </c>
      <c r="B146" s="48">
        <v>46107</v>
      </c>
      <c r="C146" s="48">
        <v>46113</v>
      </c>
      <c r="D146" s="49">
        <v>3272</v>
      </c>
      <c r="E146" s="49">
        <v>336</v>
      </c>
      <c r="F146" s="49">
        <v>4</v>
      </c>
      <c r="G146" s="47">
        <v>1</v>
      </c>
      <c r="H146" s="46">
        <v>81379</v>
      </c>
      <c r="I146" s="49" t="s">
        <v>16</v>
      </c>
      <c r="J146" s="47">
        <v>61968567</v>
      </c>
      <c r="K146" s="47" t="s">
        <v>2049</v>
      </c>
      <c r="L146" s="47" t="s">
        <v>2205</v>
      </c>
      <c r="M146" s="50">
        <v>99900</v>
      </c>
      <c r="N146" s="51">
        <v>0.3</v>
      </c>
      <c r="O146" s="52">
        <f t="shared" si="4"/>
        <v>69930</v>
      </c>
      <c r="P146" s="46" t="s">
        <v>19</v>
      </c>
    </row>
    <row r="147" spans="1:16" x14ac:dyDescent="0.25">
      <c r="A147" s="47" t="str">
        <f t="shared" si="5"/>
        <v>2025 NOV DISC 30%</v>
      </c>
      <c r="B147" s="48">
        <v>46107</v>
      </c>
      <c r="C147" s="48">
        <v>46113</v>
      </c>
      <c r="D147" s="49">
        <v>3272</v>
      </c>
      <c r="E147" s="49">
        <v>336</v>
      </c>
      <c r="F147" s="49">
        <v>4</v>
      </c>
      <c r="G147" s="47">
        <v>1</v>
      </c>
      <c r="H147" s="46">
        <v>81379</v>
      </c>
      <c r="I147" s="49" t="s">
        <v>16</v>
      </c>
      <c r="J147" s="47">
        <v>61968576</v>
      </c>
      <c r="K147" s="47" t="s">
        <v>2049</v>
      </c>
      <c r="L147" s="47" t="s">
        <v>2206</v>
      </c>
      <c r="M147" s="50">
        <v>99900</v>
      </c>
      <c r="N147" s="51">
        <v>0.3</v>
      </c>
      <c r="O147" s="52">
        <f t="shared" si="4"/>
        <v>69930</v>
      </c>
      <c r="P147" s="46" t="s">
        <v>19</v>
      </c>
    </row>
    <row r="148" spans="1:16" x14ac:dyDescent="0.25">
      <c r="A148" s="47" t="str">
        <f t="shared" si="5"/>
        <v>2025 NOV DISC 30%</v>
      </c>
      <c r="B148" s="48">
        <v>46107</v>
      </c>
      <c r="C148" s="48">
        <v>46113</v>
      </c>
      <c r="D148" s="49">
        <v>3272</v>
      </c>
      <c r="E148" s="49">
        <v>336</v>
      </c>
      <c r="F148" s="49">
        <v>4</v>
      </c>
      <c r="G148" s="47">
        <v>1</v>
      </c>
      <c r="H148" s="46">
        <v>81379</v>
      </c>
      <c r="I148" s="49" t="s">
        <v>16</v>
      </c>
      <c r="J148" s="47">
        <v>61968585</v>
      </c>
      <c r="K148" s="47" t="s">
        <v>2049</v>
      </c>
      <c r="L148" s="47" t="s">
        <v>2207</v>
      </c>
      <c r="M148" s="50">
        <v>99900</v>
      </c>
      <c r="N148" s="51">
        <v>0.3</v>
      </c>
      <c r="O148" s="52">
        <f t="shared" si="4"/>
        <v>69930</v>
      </c>
      <c r="P148" s="46" t="s">
        <v>19</v>
      </c>
    </row>
    <row r="149" spans="1:16" x14ac:dyDescent="0.25">
      <c r="A149" s="47" t="str">
        <f t="shared" si="5"/>
        <v>2025 NOV DISC 30%</v>
      </c>
      <c r="B149" s="48">
        <v>46107</v>
      </c>
      <c r="C149" s="48">
        <v>46113</v>
      </c>
      <c r="D149" s="49">
        <v>3272</v>
      </c>
      <c r="E149" s="49">
        <v>336</v>
      </c>
      <c r="F149" s="49">
        <v>4</v>
      </c>
      <c r="G149" s="47">
        <v>1</v>
      </c>
      <c r="H149" s="46">
        <v>81379</v>
      </c>
      <c r="I149" s="49" t="s">
        <v>16</v>
      </c>
      <c r="J149" s="47">
        <v>61968594</v>
      </c>
      <c r="K149" s="47" t="s">
        <v>2049</v>
      </c>
      <c r="L149" s="47" t="s">
        <v>2208</v>
      </c>
      <c r="M149" s="50">
        <v>99900</v>
      </c>
      <c r="N149" s="51">
        <v>0.3</v>
      </c>
      <c r="O149" s="52">
        <f t="shared" si="4"/>
        <v>69930</v>
      </c>
      <c r="P149" s="46" t="s">
        <v>19</v>
      </c>
    </row>
    <row r="150" spans="1:16" x14ac:dyDescent="0.25">
      <c r="A150" s="47" t="str">
        <f t="shared" si="5"/>
        <v>2025 NOV DISC 30%</v>
      </c>
      <c r="B150" s="48">
        <v>46107</v>
      </c>
      <c r="C150" s="48">
        <v>46113</v>
      </c>
      <c r="D150" s="49">
        <v>3272</v>
      </c>
      <c r="E150" s="49">
        <v>336</v>
      </c>
      <c r="F150" s="49">
        <v>4</v>
      </c>
      <c r="G150" s="47">
        <v>1</v>
      </c>
      <c r="H150" s="46">
        <v>81379</v>
      </c>
      <c r="I150" s="49" t="s">
        <v>16</v>
      </c>
      <c r="J150" s="47">
        <v>61968601</v>
      </c>
      <c r="K150" s="47" t="s">
        <v>2049</v>
      </c>
      <c r="L150" s="47" t="s">
        <v>2209</v>
      </c>
      <c r="M150" s="50">
        <v>99900</v>
      </c>
      <c r="N150" s="51">
        <v>0.3</v>
      </c>
      <c r="O150" s="52">
        <f t="shared" si="4"/>
        <v>69930</v>
      </c>
      <c r="P150" s="46" t="s">
        <v>19</v>
      </c>
    </row>
    <row r="151" spans="1:16" x14ac:dyDescent="0.25">
      <c r="A151" s="47" t="str">
        <f t="shared" si="5"/>
        <v>2025 NOV DISC 30%</v>
      </c>
      <c r="B151" s="48">
        <v>46107</v>
      </c>
      <c r="C151" s="48">
        <v>46113</v>
      </c>
      <c r="D151" s="49">
        <v>3272</v>
      </c>
      <c r="E151" s="49">
        <v>336</v>
      </c>
      <c r="F151" s="49">
        <v>4</v>
      </c>
      <c r="G151" s="47">
        <v>1</v>
      </c>
      <c r="H151" s="46">
        <v>81379</v>
      </c>
      <c r="I151" s="49" t="s">
        <v>16</v>
      </c>
      <c r="J151" s="47">
        <v>61968683</v>
      </c>
      <c r="K151" s="47" t="s">
        <v>2050</v>
      </c>
      <c r="L151" s="47" t="s">
        <v>2210</v>
      </c>
      <c r="M151" s="50">
        <v>99900</v>
      </c>
      <c r="N151" s="51">
        <v>0.3</v>
      </c>
      <c r="O151" s="52">
        <f t="shared" si="4"/>
        <v>69930</v>
      </c>
      <c r="P151" s="46" t="s">
        <v>19</v>
      </c>
    </row>
    <row r="152" spans="1:16" x14ac:dyDescent="0.25">
      <c r="A152" s="47" t="str">
        <f t="shared" si="5"/>
        <v>2025 NOV DISC 30%</v>
      </c>
      <c r="B152" s="48">
        <v>46107</v>
      </c>
      <c r="C152" s="48">
        <v>46113</v>
      </c>
      <c r="D152" s="49">
        <v>3272</v>
      </c>
      <c r="E152" s="49">
        <v>336</v>
      </c>
      <c r="F152" s="49">
        <v>4</v>
      </c>
      <c r="G152" s="47">
        <v>1</v>
      </c>
      <c r="H152" s="46">
        <v>81379</v>
      </c>
      <c r="I152" s="49" t="s">
        <v>16</v>
      </c>
      <c r="J152" s="47">
        <v>61968692</v>
      </c>
      <c r="K152" s="47" t="s">
        <v>2050</v>
      </c>
      <c r="L152" s="47" t="s">
        <v>2211</v>
      </c>
      <c r="M152" s="50">
        <v>99900</v>
      </c>
      <c r="N152" s="51">
        <v>0.3</v>
      </c>
      <c r="O152" s="52">
        <f t="shared" si="4"/>
        <v>69930</v>
      </c>
      <c r="P152" s="46" t="s">
        <v>19</v>
      </c>
    </row>
    <row r="153" spans="1:16" x14ac:dyDescent="0.25">
      <c r="A153" s="47" t="str">
        <f t="shared" si="5"/>
        <v>2025 NOV DISC 30%</v>
      </c>
      <c r="B153" s="48">
        <v>46107</v>
      </c>
      <c r="C153" s="48">
        <v>46113</v>
      </c>
      <c r="D153" s="49">
        <v>3272</v>
      </c>
      <c r="E153" s="49">
        <v>336</v>
      </c>
      <c r="F153" s="49">
        <v>4</v>
      </c>
      <c r="G153" s="47">
        <v>1</v>
      </c>
      <c r="H153" s="46">
        <v>81379</v>
      </c>
      <c r="I153" s="49" t="s">
        <v>16</v>
      </c>
      <c r="J153" s="47">
        <v>61968709</v>
      </c>
      <c r="K153" s="47" t="s">
        <v>2050</v>
      </c>
      <c r="L153" s="47" t="s">
        <v>2212</v>
      </c>
      <c r="M153" s="50">
        <v>99900</v>
      </c>
      <c r="N153" s="51">
        <v>0.3</v>
      </c>
      <c r="O153" s="52">
        <f t="shared" si="4"/>
        <v>69930</v>
      </c>
      <c r="P153" s="46" t="s">
        <v>19</v>
      </c>
    </row>
    <row r="154" spans="1:16" x14ac:dyDescent="0.25">
      <c r="A154" s="47" t="str">
        <f t="shared" si="5"/>
        <v>2025 NOV DISC 30%</v>
      </c>
      <c r="B154" s="48">
        <v>46107</v>
      </c>
      <c r="C154" s="48">
        <v>46113</v>
      </c>
      <c r="D154" s="49">
        <v>3272</v>
      </c>
      <c r="E154" s="49">
        <v>336</v>
      </c>
      <c r="F154" s="49">
        <v>4</v>
      </c>
      <c r="G154" s="47">
        <v>1</v>
      </c>
      <c r="H154" s="46">
        <v>81379</v>
      </c>
      <c r="I154" s="49" t="s">
        <v>16</v>
      </c>
      <c r="J154" s="47">
        <v>61968718</v>
      </c>
      <c r="K154" s="47" t="s">
        <v>2050</v>
      </c>
      <c r="L154" s="47" t="s">
        <v>2213</v>
      </c>
      <c r="M154" s="50">
        <v>99900</v>
      </c>
      <c r="N154" s="51">
        <v>0.3</v>
      </c>
      <c r="O154" s="52">
        <f t="shared" si="4"/>
        <v>69930</v>
      </c>
      <c r="P154" s="46" t="s">
        <v>19</v>
      </c>
    </row>
    <row r="155" spans="1:16" x14ac:dyDescent="0.25">
      <c r="A155" s="47" t="str">
        <f t="shared" si="5"/>
        <v>2025 NOV DISC 30%</v>
      </c>
      <c r="B155" s="48">
        <v>46107</v>
      </c>
      <c r="C155" s="48">
        <v>46113</v>
      </c>
      <c r="D155" s="49">
        <v>3272</v>
      </c>
      <c r="E155" s="49">
        <v>336</v>
      </c>
      <c r="F155" s="49">
        <v>4</v>
      </c>
      <c r="G155" s="47">
        <v>1</v>
      </c>
      <c r="H155" s="46">
        <v>81379</v>
      </c>
      <c r="I155" s="49" t="s">
        <v>16</v>
      </c>
      <c r="J155" s="47">
        <v>61968727</v>
      </c>
      <c r="K155" s="47" t="s">
        <v>2050</v>
      </c>
      <c r="L155" s="47" t="s">
        <v>2214</v>
      </c>
      <c r="M155" s="50">
        <v>99900</v>
      </c>
      <c r="N155" s="51">
        <v>0.3</v>
      </c>
      <c r="O155" s="52">
        <f t="shared" si="4"/>
        <v>69930</v>
      </c>
      <c r="P155" s="46" t="s">
        <v>19</v>
      </c>
    </row>
    <row r="156" spans="1:16" x14ac:dyDescent="0.25">
      <c r="A156" s="47" t="str">
        <f t="shared" si="5"/>
        <v>2025 NOV DISC 30%</v>
      </c>
      <c r="B156" s="48">
        <v>46107</v>
      </c>
      <c r="C156" s="48">
        <v>46113</v>
      </c>
      <c r="D156" s="49">
        <v>3272</v>
      </c>
      <c r="E156" s="49">
        <v>336</v>
      </c>
      <c r="F156" s="49">
        <v>4</v>
      </c>
      <c r="G156" s="47">
        <v>1</v>
      </c>
      <c r="H156" s="46">
        <v>81379</v>
      </c>
      <c r="I156" s="49" t="s">
        <v>16</v>
      </c>
      <c r="J156" s="47">
        <v>61968736</v>
      </c>
      <c r="K156" s="47" t="s">
        <v>2050</v>
      </c>
      <c r="L156" s="47" t="s">
        <v>2215</v>
      </c>
      <c r="M156" s="50">
        <v>99900</v>
      </c>
      <c r="N156" s="51">
        <v>0.3</v>
      </c>
      <c r="O156" s="52">
        <f t="shared" si="4"/>
        <v>69930</v>
      </c>
      <c r="P156" s="46" t="s">
        <v>19</v>
      </c>
    </row>
    <row r="157" spans="1:16" x14ac:dyDescent="0.25">
      <c r="A157" s="47" t="str">
        <f t="shared" si="5"/>
        <v>2025 NOV DISC 30%</v>
      </c>
      <c r="B157" s="48">
        <v>46107</v>
      </c>
      <c r="C157" s="48">
        <v>46113</v>
      </c>
      <c r="D157" s="49">
        <v>3272</v>
      </c>
      <c r="E157" s="49">
        <v>336</v>
      </c>
      <c r="F157" s="49">
        <v>4</v>
      </c>
      <c r="G157" s="47">
        <v>1</v>
      </c>
      <c r="H157" s="46">
        <v>81379</v>
      </c>
      <c r="I157" s="49" t="s">
        <v>16</v>
      </c>
      <c r="J157" s="47">
        <v>61968745</v>
      </c>
      <c r="K157" s="47" t="s">
        <v>2050</v>
      </c>
      <c r="L157" s="47" t="s">
        <v>2216</v>
      </c>
      <c r="M157" s="50">
        <v>99900</v>
      </c>
      <c r="N157" s="51">
        <v>0.3</v>
      </c>
      <c r="O157" s="52">
        <f t="shared" si="4"/>
        <v>69930</v>
      </c>
      <c r="P157" s="46" t="s">
        <v>19</v>
      </c>
    </row>
    <row r="158" spans="1:16" x14ac:dyDescent="0.25">
      <c r="A158" s="47" t="str">
        <f t="shared" si="5"/>
        <v>2025 NOV DISC 30%</v>
      </c>
      <c r="B158" s="48">
        <v>46107</v>
      </c>
      <c r="C158" s="48">
        <v>46113</v>
      </c>
      <c r="D158" s="49">
        <v>3272</v>
      </c>
      <c r="E158" s="49">
        <v>336</v>
      </c>
      <c r="F158" s="49">
        <v>4</v>
      </c>
      <c r="G158" s="47">
        <v>1</v>
      </c>
      <c r="H158" s="46">
        <v>81379</v>
      </c>
      <c r="I158" s="49" t="s">
        <v>16</v>
      </c>
      <c r="J158" s="47">
        <v>68613758</v>
      </c>
      <c r="K158" s="47" t="s">
        <v>2051</v>
      </c>
      <c r="L158" s="47" t="s">
        <v>2217</v>
      </c>
      <c r="M158" s="50">
        <v>99900</v>
      </c>
      <c r="N158" s="51">
        <v>0.3</v>
      </c>
      <c r="O158" s="52">
        <f t="shared" si="4"/>
        <v>69930</v>
      </c>
      <c r="P158" s="46" t="s">
        <v>19</v>
      </c>
    </row>
    <row r="159" spans="1:16" x14ac:dyDescent="0.25">
      <c r="A159" s="47" t="str">
        <f t="shared" si="5"/>
        <v>2025 NOV DISC 30%</v>
      </c>
      <c r="B159" s="48">
        <v>46107</v>
      </c>
      <c r="C159" s="48">
        <v>46113</v>
      </c>
      <c r="D159" s="49">
        <v>3272</v>
      </c>
      <c r="E159" s="49">
        <v>336</v>
      </c>
      <c r="F159" s="49">
        <v>4</v>
      </c>
      <c r="G159" s="47">
        <v>1</v>
      </c>
      <c r="H159" s="46">
        <v>81379</v>
      </c>
      <c r="I159" s="49" t="s">
        <v>16</v>
      </c>
      <c r="J159" s="47">
        <v>68613767</v>
      </c>
      <c r="K159" s="47" t="s">
        <v>2051</v>
      </c>
      <c r="L159" s="47" t="s">
        <v>2218</v>
      </c>
      <c r="M159" s="50">
        <v>99900</v>
      </c>
      <c r="N159" s="51">
        <v>0.3</v>
      </c>
      <c r="O159" s="52">
        <f t="shared" si="4"/>
        <v>69930</v>
      </c>
      <c r="P159" s="46" t="s">
        <v>19</v>
      </c>
    </row>
    <row r="160" spans="1:16" x14ac:dyDescent="0.25">
      <c r="A160" s="47" t="str">
        <f t="shared" si="5"/>
        <v>2025 NOV DISC 30%</v>
      </c>
      <c r="B160" s="48">
        <v>46107</v>
      </c>
      <c r="C160" s="48">
        <v>46113</v>
      </c>
      <c r="D160" s="49">
        <v>3272</v>
      </c>
      <c r="E160" s="49">
        <v>336</v>
      </c>
      <c r="F160" s="49">
        <v>4</v>
      </c>
      <c r="G160" s="47">
        <v>1</v>
      </c>
      <c r="H160" s="46">
        <v>81379</v>
      </c>
      <c r="I160" s="49" t="s">
        <v>16</v>
      </c>
      <c r="J160" s="47">
        <v>68613776</v>
      </c>
      <c r="K160" s="47" t="s">
        <v>2051</v>
      </c>
      <c r="L160" s="47" t="s">
        <v>2219</v>
      </c>
      <c r="M160" s="50">
        <v>99900</v>
      </c>
      <c r="N160" s="51">
        <v>0.3</v>
      </c>
      <c r="O160" s="52">
        <f t="shared" si="4"/>
        <v>69930</v>
      </c>
      <c r="P160" s="46" t="s">
        <v>19</v>
      </c>
    </row>
    <row r="161" spans="1:16" x14ac:dyDescent="0.25">
      <c r="A161" s="47" t="str">
        <f t="shared" si="5"/>
        <v>2025 NOV DISC 30%</v>
      </c>
      <c r="B161" s="48">
        <v>46107</v>
      </c>
      <c r="C161" s="48">
        <v>46113</v>
      </c>
      <c r="D161" s="49">
        <v>3272</v>
      </c>
      <c r="E161" s="49">
        <v>336</v>
      </c>
      <c r="F161" s="49">
        <v>4</v>
      </c>
      <c r="G161" s="47">
        <v>1</v>
      </c>
      <c r="H161" s="46">
        <v>81379</v>
      </c>
      <c r="I161" s="49" t="s">
        <v>16</v>
      </c>
      <c r="J161" s="47">
        <v>68613785</v>
      </c>
      <c r="K161" s="47" t="s">
        <v>2051</v>
      </c>
      <c r="L161" s="47" t="s">
        <v>2220</v>
      </c>
      <c r="M161" s="50">
        <v>99900</v>
      </c>
      <c r="N161" s="51">
        <v>0.3</v>
      </c>
      <c r="O161" s="52">
        <f t="shared" si="4"/>
        <v>69930</v>
      </c>
      <c r="P161" s="46" t="s">
        <v>19</v>
      </c>
    </row>
    <row r="162" spans="1:16" x14ac:dyDescent="0.25">
      <c r="A162" s="47" t="str">
        <f t="shared" si="5"/>
        <v>2025 NOV DISC 30%</v>
      </c>
      <c r="B162" s="48">
        <v>46107</v>
      </c>
      <c r="C162" s="48">
        <v>46113</v>
      </c>
      <c r="D162" s="49">
        <v>3272</v>
      </c>
      <c r="E162" s="49">
        <v>336</v>
      </c>
      <c r="F162" s="49">
        <v>4</v>
      </c>
      <c r="G162" s="47">
        <v>1</v>
      </c>
      <c r="H162" s="46">
        <v>81379</v>
      </c>
      <c r="I162" s="49" t="s">
        <v>16</v>
      </c>
      <c r="J162" s="47">
        <v>68613794</v>
      </c>
      <c r="K162" s="47" t="s">
        <v>2051</v>
      </c>
      <c r="L162" s="47" t="s">
        <v>2221</v>
      </c>
      <c r="M162" s="50">
        <v>99900</v>
      </c>
      <c r="N162" s="51">
        <v>0.3</v>
      </c>
      <c r="O162" s="52">
        <f t="shared" si="4"/>
        <v>69930</v>
      </c>
      <c r="P162" s="46" t="s">
        <v>19</v>
      </c>
    </row>
    <row r="163" spans="1:16" x14ac:dyDescent="0.25">
      <c r="A163" s="47" t="str">
        <f t="shared" si="5"/>
        <v>2025 NOV DISC 30%</v>
      </c>
      <c r="B163" s="48">
        <v>46107</v>
      </c>
      <c r="C163" s="48">
        <v>46113</v>
      </c>
      <c r="D163" s="49">
        <v>3272</v>
      </c>
      <c r="E163" s="49">
        <v>336</v>
      </c>
      <c r="F163" s="49">
        <v>4</v>
      </c>
      <c r="G163" s="47">
        <v>3</v>
      </c>
      <c r="H163" s="46">
        <v>81379</v>
      </c>
      <c r="I163" s="49" t="s">
        <v>16</v>
      </c>
      <c r="J163" s="47">
        <v>61100001</v>
      </c>
      <c r="K163" s="47" t="s">
        <v>2052</v>
      </c>
      <c r="L163" s="47" t="s">
        <v>2222</v>
      </c>
      <c r="M163" s="50">
        <v>199900</v>
      </c>
      <c r="N163" s="51">
        <v>0.3</v>
      </c>
      <c r="O163" s="52">
        <f t="shared" si="4"/>
        <v>139930</v>
      </c>
      <c r="P163" s="46" t="s">
        <v>19</v>
      </c>
    </row>
    <row r="164" spans="1:16" x14ac:dyDescent="0.25">
      <c r="A164" s="47" t="str">
        <f t="shared" si="5"/>
        <v>2025 NOV DISC 30%</v>
      </c>
      <c r="B164" s="48">
        <v>46107</v>
      </c>
      <c r="C164" s="48">
        <v>46113</v>
      </c>
      <c r="D164" s="49">
        <v>3272</v>
      </c>
      <c r="E164" s="49">
        <v>336</v>
      </c>
      <c r="F164" s="49">
        <v>4</v>
      </c>
      <c r="G164" s="47">
        <v>3</v>
      </c>
      <c r="H164" s="46">
        <v>81379</v>
      </c>
      <c r="I164" s="49" t="s">
        <v>16</v>
      </c>
      <c r="J164" s="47">
        <v>61100010</v>
      </c>
      <c r="K164" s="47" t="s">
        <v>2052</v>
      </c>
      <c r="L164" s="47" t="s">
        <v>2223</v>
      </c>
      <c r="M164" s="50">
        <v>199900</v>
      </c>
      <c r="N164" s="51">
        <v>0.3</v>
      </c>
      <c r="O164" s="52">
        <f t="shared" si="4"/>
        <v>139930</v>
      </c>
      <c r="P164" s="46" t="s">
        <v>19</v>
      </c>
    </row>
    <row r="165" spans="1:16" x14ac:dyDescent="0.25">
      <c r="A165" s="47" t="str">
        <f t="shared" si="5"/>
        <v>2025 NOV DISC 30%</v>
      </c>
      <c r="B165" s="48">
        <v>46107</v>
      </c>
      <c r="C165" s="48">
        <v>46113</v>
      </c>
      <c r="D165" s="49">
        <v>3272</v>
      </c>
      <c r="E165" s="49">
        <v>336</v>
      </c>
      <c r="F165" s="49">
        <v>4</v>
      </c>
      <c r="G165" s="47">
        <v>3</v>
      </c>
      <c r="H165" s="46">
        <v>81379</v>
      </c>
      <c r="I165" s="49" t="s">
        <v>16</v>
      </c>
      <c r="J165" s="47">
        <v>61100029</v>
      </c>
      <c r="K165" s="47" t="s">
        <v>2052</v>
      </c>
      <c r="L165" s="47" t="s">
        <v>2224</v>
      </c>
      <c r="M165" s="50">
        <v>199900</v>
      </c>
      <c r="N165" s="51">
        <v>0.3</v>
      </c>
      <c r="O165" s="52">
        <f t="shared" si="4"/>
        <v>139930</v>
      </c>
      <c r="P165" s="46" t="s">
        <v>19</v>
      </c>
    </row>
    <row r="166" spans="1:16" x14ac:dyDescent="0.25">
      <c r="A166" s="47" t="str">
        <f t="shared" si="5"/>
        <v>2025 NOV DISC 30%</v>
      </c>
      <c r="B166" s="48">
        <v>46107</v>
      </c>
      <c r="C166" s="48">
        <v>46113</v>
      </c>
      <c r="D166" s="49">
        <v>3272</v>
      </c>
      <c r="E166" s="49">
        <v>336</v>
      </c>
      <c r="F166" s="49">
        <v>4</v>
      </c>
      <c r="G166" s="47">
        <v>3</v>
      </c>
      <c r="H166" s="46">
        <v>81379</v>
      </c>
      <c r="I166" s="49" t="s">
        <v>16</v>
      </c>
      <c r="J166" s="47">
        <v>61100038</v>
      </c>
      <c r="K166" s="47" t="s">
        <v>2052</v>
      </c>
      <c r="L166" s="47" t="s">
        <v>2225</v>
      </c>
      <c r="M166" s="50">
        <v>199900</v>
      </c>
      <c r="N166" s="51">
        <v>0.3</v>
      </c>
      <c r="O166" s="52">
        <f t="shared" si="4"/>
        <v>139930</v>
      </c>
      <c r="P166" s="46" t="s">
        <v>19</v>
      </c>
    </row>
    <row r="167" spans="1:16" x14ac:dyDescent="0.25">
      <c r="A167" s="47" t="str">
        <f t="shared" si="5"/>
        <v>2025 NOV DISC 30%</v>
      </c>
      <c r="B167" s="48">
        <v>46107</v>
      </c>
      <c r="C167" s="48">
        <v>46113</v>
      </c>
      <c r="D167" s="49">
        <v>3272</v>
      </c>
      <c r="E167" s="49">
        <v>336</v>
      </c>
      <c r="F167" s="49">
        <v>4</v>
      </c>
      <c r="G167" s="47">
        <v>3</v>
      </c>
      <c r="H167" s="46">
        <v>81379</v>
      </c>
      <c r="I167" s="49" t="s">
        <v>16</v>
      </c>
      <c r="J167" s="47">
        <v>61967568</v>
      </c>
      <c r="K167" s="47" t="s">
        <v>2053</v>
      </c>
      <c r="L167" s="47" t="s">
        <v>2226</v>
      </c>
      <c r="M167" s="50">
        <v>179900</v>
      </c>
      <c r="N167" s="51">
        <v>0.3</v>
      </c>
      <c r="O167" s="52">
        <f t="shared" si="4"/>
        <v>125930</v>
      </c>
      <c r="P167" s="46" t="s">
        <v>19</v>
      </c>
    </row>
    <row r="168" spans="1:16" x14ac:dyDescent="0.25">
      <c r="A168" s="47" t="str">
        <f t="shared" si="5"/>
        <v>2025 NOV DISC 30%</v>
      </c>
      <c r="B168" s="48">
        <v>46107</v>
      </c>
      <c r="C168" s="48">
        <v>46113</v>
      </c>
      <c r="D168" s="49">
        <v>3272</v>
      </c>
      <c r="E168" s="49">
        <v>336</v>
      </c>
      <c r="F168" s="49">
        <v>4</v>
      </c>
      <c r="G168" s="47">
        <v>3</v>
      </c>
      <c r="H168" s="46">
        <v>81379</v>
      </c>
      <c r="I168" s="49" t="s">
        <v>16</v>
      </c>
      <c r="J168" s="47">
        <v>61967577</v>
      </c>
      <c r="K168" s="47" t="s">
        <v>2053</v>
      </c>
      <c r="L168" s="47" t="s">
        <v>2227</v>
      </c>
      <c r="M168" s="50">
        <v>179900</v>
      </c>
      <c r="N168" s="51">
        <v>0.3</v>
      </c>
      <c r="O168" s="52">
        <f t="shared" si="4"/>
        <v>125930</v>
      </c>
      <c r="P168" s="46" t="s">
        <v>19</v>
      </c>
    </row>
    <row r="169" spans="1:16" x14ac:dyDescent="0.25">
      <c r="A169" s="47" t="str">
        <f t="shared" si="5"/>
        <v>2025 NOV DISC 30%</v>
      </c>
      <c r="B169" s="48">
        <v>46107</v>
      </c>
      <c r="C169" s="48">
        <v>46113</v>
      </c>
      <c r="D169" s="49">
        <v>3272</v>
      </c>
      <c r="E169" s="49">
        <v>336</v>
      </c>
      <c r="F169" s="49">
        <v>4</v>
      </c>
      <c r="G169" s="47">
        <v>3</v>
      </c>
      <c r="H169" s="46">
        <v>81379</v>
      </c>
      <c r="I169" s="49" t="s">
        <v>16</v>
      </c>
      <c r="J169" s="47">
        <v>61967586</v>
      </c>
      <c r="K169" s="47" t="s">
        <v>2053</v>
      </c>
      <c r="L169" s="47" t="s">
        <v>2228</v>
      </c>
      <c r="M169" s="50">
        <v>179900</v>
      </c>
      <c r="N169" s="51">
        <v>0.3</v>
      </c>
      <c r="O169" s="52">
        <f t="shared" si="4"/>
        <v>125930</v>
      </c>
      <c r="P169" s="46" t="s">
        <v>19</v>
      </c>
    </row>
    <row r="170" spans="1:16" x14ac:dyDescent="0.25">
      <c r="A170" s="47" t="str">
        <f t="shared" si="5"/>
        <v>2025 NOV DISC 30%</v>
      </c>
      <c r="B170" s="48">
        <v>46107</v>
      </c>
      <c r="C170" s="48">
        <v>46113</v>
      </c>
      <c r="D170" s="49">
        <v>3272</v>
      </c>
      <c r="E170" s="49">
        <v>336</v>
      </c>
      <c r="F170" s="49">
        <v>4</v>
      </c>
      <c r="G170" s="47">
        <v>3</v>
      </c>
      <c r="H170" s="46">
        <v>81379</v>
      </c>
      <c r="I170" s="49" t="s">
        <v>16</v>
      </c>
      <c r="J170" s="47">
        <v>61967595</v>
      </c>
      <c r="K170" s="47" t="s">
        <v>2053</v>
      </c>
      <c r="L170" s="47" t="s">
        <v>2229</v>
      </c>
      <c r="M170" s="50">
        <v>179900</v>
      </c>
      <c r="N170" s="51">
        <v>0.3</v>
      </c>
      <c r="O170" s="52">
        <f t="shared" si="4"/>
        <v>125930</v>
      </c>
      <c r="P170" s="46" t="s">
        <v>19</v>
      </c>
    </row>
    <row r="171" spans="1:16" x14ac:dyDescent="0.25">
      <c r="A171" s="47" t="str">
        <f t="shared" si="5"/>
        <v>2025 NOV DISC 30%</v>
      </c>
      <c r="B171" s="48">
        <v>46107</v>
      </c>
      <c r="C171" s="48">
        <v>46113</v>
      </c>
      <c r="D171" s="49">
        <v>3272</v>
      </c>
      <c r="E171" s="49">
        <v>336</v>
      </c>
      <c r="F171" s="49">
        <v>4</v>
      </c>
      <c r="G171" s="47">
        <v>3</v>
      </c>
      <c r="H171" s="46">
        <v>81379</v>
      </c>
      <c r="I171" s="49" t="s">
        <v>16</v>
      </c>
      <c r="J171" s="47">
        <v>61967602</v>
      </c>
      <c r="K171" s="47" t="s">
        <v>2053</v>
      </c>
      <c r="L171" s="47" t="s">
        <v>2230</v>
      </c>
      <c r="M171" s="50">
        <v>179900</v>
      </c>
      <c r="N171" s="51">
        <v>0.3</v>
      </c>
      <c r="O171" s="52">
        <f t="shared" si="4"/>
        <v>125930</v>
      </c>
      <c r="P171" s="46" t="s">
        <v>19</v>
      </c>
    </row>
    <row r="172" spans="1:16" x14ac:dyDescent="0.25">
      <c r="A172" s="47" t="str">
        <f t="shared" si="5"/>
        <v>2025 NOV DISC 30%</v>
      </c>
      <c r="B172" s="48">
        <v>46107</v>
      </c>
      <c r="C172" s="48">
        <v>46113</v>
      </c>
      <c r="D172" s="49">
        <v>3272</v>
      </c>
      <c r="E172" s="49">
        <v>336</v>
      </c>
      <c r="F172" s="49">
        <v>4</v>
      </c>
      <c r="G172" s="47">
        <v>3</v>
      </c>
      <c r="H172" s="46">
        <v>81379</v>
      </c>
      <c r="I172" s="49" t="s">
        <v>16</v>
      </c>
      <c r="J172" s="47">
        <v>61967611</v>
      </c>
      <c r="K172" s="47" t="s">
        <v>2053</v>
      </c>
      <c r="L172" s="47" t="s">
        <v>2231</v>
      </c>
      <c r="M172" s="50">
        <v>179900</v>
      </c>
      <c r="N172" s="51">
        <v>0.3</v>
      </c>
      <c r="O172" s="52">
        <f t="shared" si="4"/>
        <v>125930</v>
      </c>
      <c r="P172" s="46" t="s">
        <v>19</v>
      </c>
    </row>
    <row r="173" spans="1:16" x14ac:dyDescent="0.25">
      <c r="A173" s="47" t="str">
        <f t="shared" si="5"/>
        <v>2025 NOV DISC 30%</v>
      </c>
      <c r="B173" s="48">
        <v>46107</v>
      </c>
      <c r="C173" s="48">
        <v>46113</v>
      </c>
      <c r="D173" s="49">
        <v>3272</v>
      </c>
      <c r="E173" s="49">
        <v>336</v>
      </c>
      <c r="F173" s="49">
        <v>4</v>
      </c>
      <c r="G173" s="47">
        <v>3</v>
      </c>
      <c r="H173" s="46">
        <v>81379</v>
      </c>
      <c r="I173" s="49" t="s">
        <v>16</v>
      </c>
      <c r="J173" s="47">
        <v>61967620</v>
      </c>
      <c r="K173" s="47" t="s">
        <v>2053</v>
      </c>
      <c r="L173" s="47" t="s">
        <v>2232</v>
      </c>
      <c r="M173" s="50">
        <v>179900</v>
      </c>
      <c r="N173" s="51">
        <v>0.3</v>
      </c>
      <c r="O173" s="52">
        <f t="shared" si="4"/>
        <v>125930</v>
      </c>
      <c r="P173" s="46" t="s">
        <v>19</v>
      </c>
    </row>
    <row r="174" spans="1:16" x14ac:dyDescent="0.25">
      <c r="A174" s="47" t="str">
        <f t="shared" si="5"/>
        <v>2025 NOV DISC 30%</v>
      </c>
      <c r="B174" s="48">
        <v>46107</v>
      </c>
      <c r="C174" s="48">
        <v>46113</v>
      </c>
      <c r="D174" s="49">
        <v>3272</v>
      </c>
      <c r="E174" s="49">
        <v>336</v>
      </c>
      <c r="F174" s="49">
        <v>4</v>
      </c>
      <c r="G174" s="47">
        <v>3</v>
      </c>
      <c r="H174" s="46">
        <v>81379</v>
      </c>
      <c r="I174" s="49" t="s">
        <v>16</v>
      </c>
      <c r="J174" s="47">
        <v>61967639</v>
      </c>
      <c r="K174" s="47" t="s">
        <v>2054</v>
      </c>
      <c r="L174" s="47" t="s">
        <v>2233</v>
      </c>
      <c r="M174" s="50">
        <v>199900</v>
      </c>
      <c r="N174" s="51">
        <v>0.3</v>
      </c>
      <c r="O174" s="52">
        <f t="shared" si="4"/>
        <v>139930</v>
      </c>
      <c r="P174" s="46" t="s">
        <v>19</v>
      </c>
    </row>
    <row r="175" spans="1:16" x14ac:dyDescent="0.25">
      <c r="A175" s="47" t="str">
        <f t="shared" si="5"/>
        <v>2025 NOV DISC 30%</v>
      </c>
      <c r="B175" s="48">
        <v>46107</v>
      </c>
      <c r="C175" s="48">
        <v>46113</v>
      </c>
      <c r="D175" s="49">
        <v>3272</v>
      </c>
      <c r="E175" s="49">
        <v>336</v>
      </c>
      <c r="F175" s="49">
        <v>4</v>
      </c>
      <c r="G175" s="47">
        <v>3</v>
      </c>
      <c r="H175" s="46">
        <v>81379</v>
      </c>
      <c r="I175" s="49" t="s">
        <v>16</v>
      </c>
      <c r="J175" s="47">
        <v>61967648</v>
      </c>
      <c r="K175" s="47" t="s">
        <v>2054</v>
      </c>
      <c r="L175" s="47" t="s">
        <v>2234</v>
      </c>
      <c r="M175" s="50">
        <v>199900</v>
      </c>
      <c r="N175" s="51">
        <v>0.3</v>
      </c>
      <c r="O175" s="52">
        <f t="shared" si="4"/>
        <v>139930</v>
      </c>
      <c r="P175" s="46" t="s">
        <v>19</v>
      </c>
    </row>
    <row r="176" spans="1:16" x14ac:dyDescent="0.25">
      <c r="A176" s="47" t="str">
        <f t="shared" si="5"/>
        <v>2025 NOV DISC 30%</v>
      </c>
      <c r="B176" s="48">
        <v>46107</v>
      </c>
      <c r="C176" s="48">
        <v>46113</v>
      </c>
      <c r="D176" s="49">
        <v>3272</v>
      </c>
      <c r="E176" s="49">
        <v>336</v>
      </c>
      <c r="F176" s="49">
        <v>4</v>
      </c>
      <c r="G176" s="47">
        <v>3</v>
      </c>
      <c r="H176" s="46">
        <v>81379</v>
      </c>
      <c r="I176" s="49" t="s">
        <v>16</v>
      </c>
      <c r="J176" s="47">
        <v>61967657</v>
      </c>
      <c r="K176" s="47" t="s">
        <v>2054</v>
      </c>
      <c r="L176" s="47" t="s">
        <v>2235</v>
      </c>
      <c r="M176" s="50">
        <v>199900</v>
      </c>
      <c r="N176" s="51">
        <v>0.3</v>
      </c>
      <c r="O176" s="52">
        <f t="shared" si="4"/>
        <v>139930</v>
      </c>
      <c r="P176" s="46" t="s">
        <v>19</v>
      </c>
    </row>
    <row r="177" spans="1:16" x14ac:dyDescent="0.25">
      <c r="A177" s="47" t="str">
        <f t="shared" si="5"/>
        <v>2025 NOV DISC 30%</v>
      </c>
      <c r="B177" s="48">
        <v>46107</v>
      </c>
      <c r="C177" s="48">
        <v>46113</v>
      </c>
      <c r="D177" s="49">
        <v>3272</v>
      </c>
      <c r="E177" s="49">
        <v>336</v>
      </c>
      <c r="F177" s="49">
        <v>4</v>
      </c>
      <c r="G177" s="47">
        <v>3</v>
      </c>
      <c r="H177" s="46">
        <v>81379</v>
      </c>
      <c r="I177" s="49" t="s">
        <v>16</v>
      </c>
      <c r="J177" s="47">
        <v>61967666</v>
      </c>
      <c r="K177" s="47" t="s">
        <v>2054</v>
      </c>
      <c r="L177" s="47" t="s">
        <v>2236</v>
      </c>
      <c r="M177" s="50">
        <v>199900</v>
      </c>
      <c r="N177" s="51">
        <v>0.3</v>
      </c>
      <c r="O177" s="52">
        <f t="shared" si="4"/>
        <v>139930</v>
      </c>
      <c r="P177" s="46" t="s">
        <v>19</v>
      </c>
    </row>
    <row r="178" spans="1:16" x14ac:dyDescent="0.25">
      <c r="A178" s="47" t="str">
        <f t="shared" si="5"/>
        <v>2025 NOV DISC 30%</v>
      </c>
      <c r="B178" s="48">
        <v>46107</v>
      </c>
      <c r="C178" s="48">
        <v>46113</v>
      </c>
      <c r="D178" s="49">
        <v>3272</v>
      </c>
      <c r="E178" s="49">
        <v>336</v>
      </c>
      <c r="F178" s="49">
        <v>4</v>
      </c>
      <c r="G178" s="47">
        <v>3</v>
      </c>
      <c r="H178" s="46">
        <v>81379</v>
      </c>
      <c r="I178" s="49" t="s">
        <v>16</v>
      </c>
      <c r="J178" s="47">
        <v>61967675</v>
      </c>
      <c r="K178" s="47" t="s">
        <v>2054</v>
      </c>
      <c r="L178" s="47" t="s">
        <v>2237</v>
      </c>
      <c r="M178" s="50">
        <v>199900</v>
      </c>
      <c r="N178" s="51">
        <v>0.3</v>
      </c>
      <c r="O178" s="52">
        <f t="shared" si="4"/>
        <v>139930</v>
      </c>
      <c r="P178" s="46" t="s">
        <v>19</v>
      </c>
    </row>
    <row r="179" spans="1:16" x14ac:dyDescent="0.25">
      <c r="A179" s="47" t="str">
        <f t="shared" si="5"/>
        <v>2025 NOV DISC 30%</v>
      </c>
      <c r="B179" s="48">
        <v>46107</v>
      </c>
      <c r="C179" s="48">
        <v>46113</v>
      </c>
      <c r="D179" s="49">
        <v>3272</v>
      </c>
      <c r="E179" s="49">
        <v>336</v>
      </c>
      <c r="F179" s="49">
        <v>4</v>
      </c>
      <c r="G179" s="47">
        <v>3</v>
      </c>
      <c r="H179" s="46">
        <v>81379</v>
      </c>
      <c r="I179" s="49" t="s">
        <v>16</v>
      </c>
      <c r="J179" s="47">
        <v>61967684</v>
      </c>
      <c r="K179" s="47" t="s">
        <v>2054</v>
      </c>
      <c r="L179" s="47" t="s">
        <v>2238</v>
      </c>
      <c r="M179" s="50">
        <v>199900</v>
      </c>
      <c r="N179" s="51">
        <v>0.3</v>
      </c>
      <c r="O179" s="52">
        <f t="shared" si="4"/>
        <v>139930</v>
      </c>
      <c r="P179" s="46" t="s">
        <v>19</v>
      </c>
    </row>
    <row r="180" spans="1:16" x14ac:dyDescent="0.25">
      <c r="A180" s="47" t="str">
        <f t="shared" si="5"/>
        <v>2025 NOV DISC 30%</v>
      </c>
      <c r="B180" s="48">
        <v>46107</v>
      </c>
      <c r="C180" s="48">
        <v>46113</v>
      </c>
      <c r="D180" s="49">
        <v>3272</v>
      </c>
      <c r="E180" s="49">
        <v>336</v>
      </c>
      <c r="F180" s="49">
        <v>4</v>
      </c>
      <c r="G180" s="47">
        <v>3</v>
      </c>
      <c r="H180" s="46">
        <v>81379</v>
      </c>
      <c r="I180" s="49" t="s">
        <v>16</v>
      </c>
      <c r="J180" s="47">
        <v>61967693</v>
      </c>
      <c r="K180" s="47" t="s">
        <v>2054</v>
      </c>
      <c r="L180" s="47" t="s">
        <v>2239</v>
      </c>
      <c r="M180" s="50">
        <v>199900</v>
      </c>
      <c r="N180" s="51">
        <v>0.3</v>
      </c>
      <c r="O180" s="52">
        <f t="shared" si="4"/>
        <v>139930</v>
      </c>
      <c r="P180" s="46" t="s">
        <v>19</v>
      </c>
    </row>
    <row r="181" spans="1:16" x14ac:dyDescent="0.25">
      <c r="A181" s="47" t="str">
        <f t="shared" si="5"/>
        <v>2025 NOV DISC 30%</v>
      </c>
      <c r="B181" s="48">
        <v>46107</v>
      </c>
      <c r="C181" s="48">
        <v>46113</v>
      </c>
      <c r="D181" s="49">
        <v>3272</v>
      </c>
      <c r="E181" s="49">
        <v>336</v>
      </c>
      <c r="F181" s="49">
        <v>4</v>
      </c>
      <c r="G181" s="47">
        <v>3</v>
      </c>
      <c r="H181" s="46">
        <v>81379</v>
      </c>
      <c r="I181" s="49" t="s">
        <v>16</v>
      </c>
      <c r="J181" s="47">
        <v>61968754</v>
      </c>
      <c r="K181" s="47" t="s">
        <v>2055</v>
      </c>
      <c r="L181" s="47" t="s">
        <v>2240</v>
      </c>
      <c r="M181" s="50">
        <v>199900</v>
      </c>
      <c r="N181" s="51">
        <v>0.3</v>
      </c>
      <c r="O181" s="52">
        <f t="shared" si="4"/>
        <v>139930</v>
      </c>
      <c r="P181" s="46" t="s">
        <v>19</v>
      </c>
    </row>
    <row r="182" spans="1:16" x14ac:dyDescent="0.25">
      <c r="A182" s="47" t="str">
        <f t="shared" si="5"/>
        <v>2025 NOV DISC 30%</v>
      </c>
      <c r="B182" s="48">
        <v>46107</v>
      </c>
      <c r="C182" s="48">
        <v>46113</v>
      </c>
      <c r="D182" s="49">
        <v>3272</v>
      </c>
      <c r="E182" s="49">
        <v>336</v>
      </c>
      <c r="F182" s="49">
        <v>4</v>
      </c>
      <c r="G182" s="47">
        <v>3</v>
      </c>
      <c r="H182" s="46">
        <v>81379</v>
      </c>
      <c r="I182" s="49" t="s">
        <v>16</v>
      </c>
      <c r="J182" s="47">
        <v>61968763</v>
      </c>
      <c r="K182" s="47" t="s">
        <v>2055</v>
      </c>
      <c r="L182" s="47" t="s">
        <v>2241</v>
      </c>
      <c r="M182" s="50">
        <v>199900</v>
      </c>
      <c r="N182" s="51">
        <v>0.3</v>
      </c>
      <c r="O182" s="52">
        <f t="shared" si="4"/>
        <v>139930</v>
      </c>
      <c r="P182" s="46" t="s">
        <v>19</v>
      </c>
    </row>
    <row r="183" spans="1:16" x14ac:dyDescent="0.25">
      <c r="A183" s="47" t="str">
        <f t="shared" si="5"/>
        <v>2025 NOV DISC 30%</v>
      </c>
      <c r="B183" s="48">
        <v>46107</v>
      </c>
      <c r="C183" s="48">
        <v>46113</v>
      </c>
      <c r="D183" s="49">
        <v>3272</v>
      </c>
      <c r="E183" s="49">
        <v>336</v>
      </c>
      <c r="F183" s="49">
        <v>4</v>
      </c>
      <c r="G183" s="47">
        <v>3</v>
      </c>
      <c r="H183" s="46">
        <v>81379</v>
      </c>
      <c r="I183" s="49" t="s">
        <v>16</v>
      </c>
      <c r="J183" s="47">
        <v>61968772</v>
      </c>
      <c r="K183" s="47" t="s">
        <v>2055</v>
      </c>
      <c r="L183" s="47" t="s">
        <v>2242</v>
      </c>
      <c r="M183" s="50">
        <v>199900</v>
      </c>
      <c r="N183" s="51">
        <v>0.3</v>
      </c>
      <c r="O183" s="52">
        <f t="shared" si="4"/>
        <v>139930</v>
      </c>
      <c r="P183" s="46" t="s">
        <v>19</v>
      </c>
    </row>
    <row r="184" spans="1:16" x14ac:dyDescent="0.25">
      <c r="A184" s="47" t="str">
        <f t="shared" si="5"/>
        <v>2025 NOV DISC 30%</v>
      </c>
      <c r="B184" s="48">
        <v>46107</v>
      </c>
      <c r="C184" s="48">
        <v>46113</v>
      </c>
      <c r="D184" s="49">
        <v>3272</v>
      </c>
      <c r="E184" s="49">
        <v>336</v>
      </c>
      <c r="F184" s="49">
        <v>4</v>
      </c>
      <c r="G184" s="47">
        <v>3</v>
      </c>
      <c r="H184" s="46">
        <v>81379</v>
      </c>
      <c r="I184" s="49" t="s">
        <v>16</v>
      </c>
      <c r="J184" s="47">
        <v>61968781</v>
      </c>
      <c r="K184" s="47" t="s">
        <v>2055</v>
      </c>
      <c r="L184" s="47" t="s">
        <v>2243</v>
      </c>
      <c r="M184" s="50">
        <v>199900</v>
      </c>
      <c r="N184" s="51">
        <v>0.3</v>
      </c>
      <c r="O184" s="52">
        <f t="shared" si="4"/>
        <v>139930</v>
      </c>
      <c r="P184" s="46" t="s">
        <v>19</v>
      </c>
    </row>
    <row r="185" spans="1:16" x14ac:dyDescent="0.25">
      <c r="A185" s="47" t="str">
        <f t="shared" si="5"/>
        <v>2025 NOV DISC 30%</v>
      </c>
      <c r="B185" s="48">
        <v>46107</v>
      </c>
      <c r="C185" s="48">
        <v>46113</v>
      </c>
      <c r="D185" s="49">
        <v>3272</v>
      </c>
      <c r="E185" s="49">
        <v>336</v>
      </c>
      <c r="F185" s="49">
        <v>4</v>
      </c>
      <c r="G185" s="47">
        <v>3</v>
      </c>
      <c r="H185" s="46">
        <v>81379</v>
      </c>
      <c r="I185" s="49" t="s">
        <v>16</v>
      </c>
      <c r="J185" s="47">
        <v>61968790</v>
      </c>
      <c r="K185" s="47" t="s">
        <v>2055</v>
      </c>
      <c r="L185" s="47" t="s">
        <v>2244</v>
      </c>
      <c r="M185" s="50">
        <v>199900</v>
      </c>
      <c r="N185" s="51">
        <v>0.3</v>
      </c>
      <c r="O185" s="52">
        <f t="shared" si="4"/>
        <v>139930</v>
      </c>
      <c r="P185" s="46" t="s">
        <v>19</v>
      </c>
    </row>
    <row r="186" spans="1:16" x14ac:dyDescent="0.25">
      <c r="A186" s="47" t="str">
        <f t="shared" si="5"/>
        <v>2025 NOV DISC 30%</v>
      </c>
      <c r="B186" s="48">
        <v>46107</v>
      </c>
      <c r="C186" s="48">
        <v>46113</v>
      </c>
      <c r="D186" s="49">
        <v>3272</v>
      </c>
      <c r="E186" s="49">
        <v>336</v>
      </c>
      <c r="F186" s="49">
        <v>4</v>
      </c>
      <c r="G186" s="47">
        <v>3</v>
      </c>
      <c r="H186" s="46">
        <v>81379</v>
      </c>
      <c r="I186" s="49" t="s">
        <v>16</v>
      </c>
      <c r="J186" s="47">
        <v>61968807</v>
      </c>
      <c r="K186" s="47" t="s">
        <v>2055</v>
      </c>
      <c r="L186" s="47" t="s">
        <v>2245</v>
      </c>
      <c r="M186" s="50">
        <v>199900</v>
      </c>
      <c r="N186" s="51">
        <v>0.3</v>
      </c>
      <c r="O186" s="52">
        <f t="shared" si="4"/>
        <v>139930</v>
      </c>
      <c r="P186" s="46" t="s">
        <v>19</v>
      </c>
    </row>
    <row r="187" spans="1:16" x14ac:dyDescent="0.25">
      <c r="A187" s="47" t="str">
        <f t="shared" si="5"/>
        <v>2025 NOV DISC 30%</v>
      </c>
      <c r="B187" s="48">
        <v>46107</v>
      </c>
      <c r="C187" s="48">
        <v>46113</v>
      </c>
      <c r="D187" s="49">
        <v>3272</v>
      </c>
      <c r="E187" s="49">
        <v>336</v>
      </c>
      <c r="F187" s="49">
        <v>4</v>
      </c>
      <c r="G187" s="47">
        <v>3</v>
      </c>
      <c r="H187" s="46">
        <v>81379</v>
      </c>
      <c r="I187" s="49" t="s">
        <v>16</v>
      </c>
      <c r="J187" s="47">
        <v>61968816</v>
      </c>
      <c r="K187" s="47" t="s">
        <v>2055</v>
      </c>
      <c r="L187" s="47" t="s">
        <v>2246</v>
      </c>
      <c r="M187" s="50">
        <v>199900</v>
      </c>
      <c r="N187" s="51">
        <v>0.3</v>
      </c>
      <c r="O187" s="52">
        <f t="shared" si="4"/>
        <v>139930</v>
      </c>
      <c r="P187" s="46" t="s">
        <v>19</v>
      </c>
    </row>
    <row r="188" spans="1:16" x14ac:dyDescent="0.25">
      <c r="A188" s="47" t="str">
        <f t="shared" si="5"/>
        <v>2025 NOV DISC 30%</v>
      </c>
      <c r="B188" s="48">
        <v>46107</v>
      </c>
      <c r="C188" s="48">
        <v>46113</v>
      </c>
      <c r="D188" s="49">
        <v>3272</v>
      </c>
      <c r="E188" s="49">
        <v>336</v>
      </c>
      <c r="F188" s="49">
        <v>4</v>
      </c>
      <c r="G188" s="47">
        <v>4</v>
      </c>
      <c r="H188" s="46">
        <v>81379</v>
      </c>
      <c r="I188" s="49" t="s">
        <v>16</v>
      </c>
      <c r="J188" s="47">
        <v>61967700</v>
      </c>
      <c r="K188" s="47" t="s">
        <v>2056</v>
      </c>
      <c r="L188" s="47" t="s">
        <v>2247</v>
      </c>
      <c r="M188" s="50">
        <v>99900</v>
      </c>
      <c r="N188" s="51">
        <v>0.3</v>
      </c>
      <c r="O188" s="52">
        <f t="shared" si="4"/>
        <v>69930</v>
      </c>
      <c r="P188" s="46" t="s">
        <v>19</v>
      </c>
    </row>
    <row r="189" spans="1:16" x14ac:dyDescent="0.25">
      <c r="A189" s="47" t="str">
        <f t="shared" si="5"/>
        <v>2025 NOV DISC 30%</v>
      </c>
      <c r="B189" s="48">
        <v>46107</v>
      </c>
      <c r="C189" s="48">
        <v>46113</v>
      </c>
      <c r="D189" s="49">
        <v>3272</v>
      </c>
      <c r="E189" s="49">
        <v>336</v>
      </c>
      <c r="F189" s="49">
        <v>4</v>
      </c>
      <c r="G189" s="47">
        <v>4</v>
      </c>
      <c r="H189" s="46">
        <v>81379</v>
      </c>
      <c r="I189" s="49" t="s">
        <v>16</v>
      </c>
      <c r="J189" s="47">
        <v>61967719</v>
      </c>
      <c r="K189" s="47" t="s">
        <v>2056</v>
      </c>
      <c r="L189" s="47" t="s">
        <v>2248</v>
      </c>
      <c r="M189" s="50">
        <v>99900</v>
      </c>
      <c r="N189" s="51">
        <v>0.3</v>
      </c>
      <c r="O189" s="52">
        <f t="shared" si="4"/>
        <v>69930</v>
      </c>
      <c r="P189" s="46" t="s">
        <v>19</v>
      </c>
    </row>
    <row r="190" spans="1:16" x14ac:dyDescent="0.25">
      <c r="A190" s="47" t="str">
        <f t="shared" si="5"/>
        <v>2025 NOV DISC 30%</v>
      </c>
      <c r="B190" s="48">
        <v>46107</v>
      </c>
      <c r="C190" s="48">
        <v>46113</v>
      </c>
      <c r="D190" s="49">
        <v>3272</v>
      </c>
      <c r="E190" s="49">
        <v>336</v>
      </c>
      <c r="F190" s="49">
        <v>4</v>
      </c>
      <c r="G190" s="47">
        <v>4</v>
      </c>
      <c r="H190" s="46">
        <v>81379</v>
      </c>
      <c r="I190" s="49" t="s">
        <v>16</v>
      </c>
      <c r="J190" s="47">
        <v>61967728</v>
      </c>
      <c r="K190" s="47" t="s">
        <v>2056</v>
      </c>
      <c r="L190" s="47" t="s">
        <v>2249</v>
      </c>
      <c r="M190" s="50">
        <v>99900</v>
      </c>
      <c r="N190" s="51">
        <v>0.3</v>
      </c>
      <c r="O190" s="52">
        <f t="shared" si="4"/>
        <v>69930</v>
      </c>
      <c r="P190" s="46" t="s">
        <v>19</v>
      </c>
    </row>
    <row r="191" spans="1:16" x14ac:dyDescent="0.25">
      <c r="A191" s="47" t="str">
        <f t="shared" si="5"/>
        <v>2025 NOV DISC 30%</v>
      </c>
      <c r="B191" s="48">
        <v>46107</v>
      </c>
      <c r="C191" s="48">
        <v>46113</v>
      </c>
      <c r="D191" s="49">
        <v>3272</v>
      </c>
      <c r="E191" s="49">
        <v>336</v>
      </c>
      <c r="F191" s="49">
        <v>4</v>
      </c>
      <c r="G191" s="47">
        <v>4</v>
      </c>
      <c r="H191" s="46">
        <v>81379</v>
      </c>
      <c r="I191" s="49" t="s">
        <v>16</v>
      </c>
      <c r="J191" s="47">
        <v>61967737</v>
      </c>
      <c r="K191" s="47" t="s">
        <v>2056</v>
      </c>
      <c r="L191" s="47" t="s">
        <v>2250</v>
      </c>
      <c r="M191" s="50">
        <v>99900</v>
      </c>
      <c r="N191" s="51">
        <v>0.3</v>
      </c>
      <c r="O191" s="52">
        <f t="shared" si="4"/>
        <v>69930</v>
      </c>
      <c r="P191" s="46" t="s">
        <v>19</v>
      </c>
    </row>
    <row r="192" spans="1:16" x14ac:dyDescent="0.25">
      <c r="A192" s="47" t="str">
        <f t="shared" si="5"/>
        <v>2025 NOV DISC 30%</v>
      </c>
      <c r="B192" s="48">
        <v>46107</v>
      </c>
      <c r="C192" s="48">
        <v>46113</v>
      </c>
      <c r="D192" s="49">
        <v>3272</v>
      </c>
      <c r="E192" s="49">
        <v>336</v>
      </c>
      <c r="F192" s="49">
        <v>4</v>
      </c>
      <c r="G192" s="47">
        <v>4</v>
      </c>
      <c r="H192" s="46">
        <v>81379</v>
      </c>
      <c r="I192" s="49" t="s">
        <v>16</v>
      </c>
      <c r="J192" s="47">
        <v>61967746</v>
      </c>
      <c r="K192" s="47" t="s">
        <v>2056</v>
      </c>
      <c r="L192" s="47" t="s">
        <v>2251</v>
      </c>
      <c r="M192" s="50">
        <v>99900</v>
      </c>
      <c r="N192" s="51">
        <v>0.3</v>
      </c>
      <c r="O192" s="52">
        <f t="shared" si="4"/>
        <v>69930</v>
      </c>
      <c r="P192" s="46" t="s">
        <v>19</v>
      </c>
    </row>
    <row r="193" spans="1:16" x14ac:dyDescent="0.25">
      <c r="A193" s="47" t="str">
        <f t="shared" si="5"/>
        <v>2025 NOV DISC 30%</v>
      </c>
      <c r="B193" s="48">
        <v>46107</v>
      </c>
      <c r="C193" s="48">
        <v>46113</v>
      </c>
      <c r="D193" s="49">
        <v>3272</v>
      </c>
      <c r="E193" s="49">
        <v>336</v>
      </c>
      <c r="F193" s="49">
        <v>4</v>
      </c>
      <c r="G193" s="47">
        <v>4</v>
      </c>
      <c r="H193" s="46">
        <v>81379</v>
      </c>
      <c r="I193" s="49" t="s">
        <v>16</v>
      </c>
      <c r="J193" s="47">
        <v>61967755</v>
      </c>
      <c r="K193" s="47" t="s">
        <v>2056</v>
      </c>
      <c r="L193" s="47" t="s">
        <v>2252</v>
      </c>
      <c r="M193" s="50">
        <v>99900</v>
      </c>
      <c r="N193" s="51">
        <v>0.3</v>
      </c>
      <c r="O193" s="52">
        <f t="shared" si="4"/>
        <v>69930</v>
      </c>
      <c r="P193" s="46" t="s">
        <v>19</v>
      </c>
    </row>
    <row r="194" spans="1:16" x14ac:dyDescent="0.25">
      <c r="A194" s="47" t="str">
        <f t="shared" si="5"/>
        <v>2025 NOV DISC 30%</v>
      </c>
      <c r="B194" s="48">
        <v>46107</v>
      </c>
      <c r="C194" s="48">
        <v>46113</v>
      </c>
      <c r="D194" s="49">
        <v>3272</v>
      </c>
      <c r="E194" s="49">
        <v>336</v>
      </c>
      <c r="F194" s="49">
        <v>4</v>
      </c>
      <c r="G194" s="47">
        <v>4</v>
      </c>
      <c r="H194" s="46">
        <v>81379</v>
      </c>
      <c r="I194" s="49" t="s">
        <v>16</v>
      </c>
      <c r="J194" s="47">
        <v>61967764</v>
      </c>
      <c r="K194" s="47" t="s">
        <v>2056</v>
      </c>
      <c r="L194" s="47" t="s">
        <v>2253</v>
      </c>
      <c r="M194" s="50">
        <v>99900</v>
      </c>
      <c r="N194" s="51">
        <v>0.3</v>
      </c>
      <c r="O194" s="52">
        <f t="shared" ref="O194:O220" si="6">M194-((30*M194)/100)</f>
        <v>69930</v>
      </c>
      <c r="P194" s="46" t="s">
        <v>19</v>
      </c>
    </row>
    <row r="195" spans="1:16" x14ac:dyDescent="0.25">
      <c r="A195" s="47" t="str">
        <f t="shared" si="5"/>
        <v>2025 NOV DISC 30%</v>
      </c>
      <c r="B195" s="48">
        <v>46107</v>
      </c>
      <c r="C195" s="48">
        <v>46113</v>
      </c>
      <c r="D195" s="49">
        <v>3272</v>
      </c>
      <c r="E195" s="49">
        <v>336</v>
      </c>
      <c r="F195" s="49">
        <v>4</v>
      </c>
      <c r="G195" s="47">
        <v>4</v>
      </c>
      <c r="H195" s="46">
        <v>81379</v>
      </c>
      <c r="I195" s="49" t="s">
        <v>16</v>
      </c>
      <c r="J195" s="47">
        <v>61968898</v>
      </c>
      <c r="K195" s="47" t="s">
        <v>2057</v>
      </c>
      <c r="L195" s="47" t="s">
        <v>2254</v>
      </c>
      <c r="M195" s="50">
        <v>99900</v>
      </c>
      <c r="N195" s="51">
        <v>0.3</v>
      </c>
      <c r="O195" s="52">
        <f t="shared" si="6"/>
        <v>69930</v>
      </c>
      <c r="P195" s="46" t="s">
        <v>19</v>
      </c>
    </row>
    <row r="196" spans="1:16" x14ac:dyDescent="0.25">
      <c r="A196" s="47" t="str">
        <f t="shared" ref="A196:A220" si="7">A195</f>
        <v>2025 NOV DISC 30%</v>
      </c>
      <c r="B196" s="48">
        <v>46107</v>
      </c>
      <c r="C196" s="48">
        <v>46113</v>
      </c>
      <c r="D196" s="49">
        <v>3272</v>
      </c>
      <c r="E196" s="49">
        <v>336</v>
      </c>
      <c r="F196" s="49">
        <v>4</v>
      </c>
      <c r="G196" s="47">
        <v>4</v>
      </c>
      <c r="H196" s="46">
        <v>81379</v>
      </c>
      <c r="I196" s="49" t="s">
        <v>16</v>
      </c>
      <c r="J196" s="47">
        <v>61968905</v>
      </c>
      <c r="K196" s="47" t="s">
        <v>2057</v>
      </c>
      <c r="L196" s="47" t="s">
        <v>2255</v>
      </c>
      <c r="M196" s="50">
        <v>99900</v>
      </c>
      <c r="N196" s="51">
        <v>0.3</v>
      </c>
      <c r="O196" s="52">
        <f t="shared" si="6"/>
        <v>69930</v>
      </c>
      <c r="P196" s="46" t="s">
        <v>19</v>
      </c>
    </row>
    <row r="197" spans="1:16" x14ac:dyDescent="0.25">
      <c r="A197" s="47" t="str">
        <f t="shared" si="7"/>
        <v>2025 NOV DISC 30%</v>
      </c>
      <c r="B197" s="48">
        <v>46107</v>
      </c>
      <c r="C197" s="48">
        <v>46113</v>
      </c>
      <c r="D197" s="49">
        <v>3272</v>
      </c>
      <c r="E197" s="49">
        <v>336</v>
      </c>
      <c r="F197" s="49">
        <v>4</v>
      </c>
      <c r="G197" s="47">
        <v>4</v>
      </c>
      <c r="H197" s="46">
        <v>81379</v>
      </c>
      <c r="I197" s="49" t="s">
        <v>16</v>
      </c>
      <c r="J197" s="47">
        <v>61968914</v>
      </c>
      <c r="K197" s="47" t="s">
        <v>2057</v>
      </c>
      <c r="L197" s="47" t="s">
        <v>2256</v>
      </c>
      <c r="M197" s="50">
        <v>99900</v>
      </c>
      <c r="N197" s="51">
        <v>0.3</v>
      </c>
      <c r="O197" s="52">
        <f t="shared" si="6"/>
        <v>69930</v>
      </c>
      <c r="P197" s="46" t="s">
        <v>19</v>
      </c>
    </row>
    <row r="198" spans="1:16" x14ac:dyDescent="0.25">
      <c r="A198" s="47" t="str">
        <f t="shared" si="7"/>
        <v>2025 NOV DISC 30%</v>
      </c>
      <c r="B198" s="48">
        <v>46107</v>
      </c>
      <c r="C198" s="48">
        <v>46113</v>
      </c>
      <c r="D198" s="49">
        <v>3272</v>
      </c>
      <c r="E198" s="49">
        <v>336</v>
      </c>
      <c r="F198" s="49">
        <v>4</v>
      </c>
      <c r="G198" s="47">
        <v>4</v>
      </c>
      <c r="H198" s="46">
        <v>81379</v>
      </c>
      <c r="I198" s="49" t="s">
        <v>16</v>
      </c>
      <c r="J198" s="47">
        <v>61968923</v>
      </c>
      <c r="K198" s="47" t="s">
        <v>2057</v>
      </c>
      <c r="L198" s="47" t="s">
        <v>2257</v>
      </c>
      <c r="M198" s="50">
        <v>99900</v>
      </c>
      <c r="N198" s="51">
        <v>0.3</v>
      </c>
      <c r="O198" s="52">
        <f t="shared" si="6"/>
        <v>69930</v>
      </c>
      <c r="P198" s="46" t="s">
        <v>19</v>
      </c>
    </row>
    <row r="199" spans="1:16" x14ac:dyDescent="0.25">
      <c r="A199" s="47" t="str">
        <f t="shared" si="7"/>
        <v>2025 NOV DISC 30%</v>
      </c>
      <c r="B199" s="48">
        <v>46107</v>
      </c>
      <c r="C199" s="48">
        <v>46113</v>
      </c>
      <c r="D199" s="49">
        <v>3272</v>
      </c>
      <c r="E199" s="49">
        <v>336</v>
      </c>
      <c r="F199" s="49">
        <v>4</v>
      </c>
      <c r="G199" s="47">
        <v>4</v>
      </c>
      <c r="H199" s="46">
        <v>81379</v>
      </c>
      <c r="I199" s="49" t="s">
        <v>16</v>
      </c>
      <c r="J199" s="47">
        <v>61968932</v>
      </c>
      <c r="K199" s="47" t="s">
        <v>2057</v>
      </c>
      <c r="L199" s="47" t="s">
        <v>2258</v>
      </c>
      <c r="M199" s="50">
        <v>99900</v>
      </c>
      <c r="N199" s="51">
        <v>0.3</v>
      </c>
      <c r="O199" s="52">
        <f t="shared" si="6"/>
        <v>69930</v>
      </c>
      <c r="P199" s="46" t="s">
        <v>19</v>
      </c>
    </row>
    <row r="200" spans="1:16" x14ac:dyDescent="0.25">
      <c r="A200" s="47" t="str">
        <f t="shared" si="7"/>
        <v>2025 NOV DISC 30%</v>
      </c>
      <c r="B200" s="48">
        <v>46107</v>
      </c>
      <c r="C200" s="48">
        <v>46113</v>
      </c>
      <c r="D200" s="49">
        <v>3272</v>
      </c>
      <c r="E200" s="49">
        <v>336</v>
      </c>
      <c r="F200" s="49">
        <v>4</v>
      </c>
      <c r="G200" s="47">
        <v>4</v>
      </c>
      <c r="H200" s="46">
        <v>81379</v>
      </c>
      <c r="I200" s="49" t="s">
        <v>16</v>
      </c>
      <c r="J200" s="47">
        <v>61968941</v>
      </c>
      <c r="K200" s="47" t="s">
        <v>2057</v>
      </c>
      <c r="L200" s="47" t="s">
        <v>2259</v>
      </c>
      <c r="M200" s="50">
        <v>99900</v>
      </c>
      <c r="N200" s="51">
        <v>0.3</v>
      </c>
      <c r="O200" s="52">
        <f t="shared" si="6"/>
        <v>69930</v>
      </c>
      <c r="P200" s="46" t="s">
        <v>19</v>
      </c>
    </row>
    <row r="201" spans="1:16" x14ac:dyDescent="0.25">
      <c r="A201" s="47" t="str">
        <f t="shared" si="7"/>
        <v>2025 NOV DISC 30%</v>
      </c>
      <c r="B201" s="48">
        <v>46107</v>
      </c>
      <c r="C201" s="48">
        <v>46113</v>
      </c>
      <c r="D201" s="49">
        <v>3272</v>
      </c>
      <c r="E201" s="49">
        <v>336</v>
      </c>
      <c r="F201" s="49">
        <v>4</v>
      </c>
      <c r="G201" s="47">
        <v>4</v>
      </c>
      <c r="H201" s="46">
        <v>81379</v>
      </c>
      <c r="I201" s="49" t="s">
        <v>16</v>
      </c>
      <c r="J201" s="47">
        <v>61968950</v>
      </c>
      <c r="K201" s="47" t="s">
        <v>2057</v>
      </c>
      <c r="L201" s="47" t="s">
        <v>2260</v>
      </c>
      <c r="M201" s="50">
        <v>99900</v>
      </c>
      <c r="N201" s="51">
        <v>0.3</v>
      </c>
      <c r="O201" s="52">
        <f t="shared" si="6"/>
        <v>69930</v>
      </c>
      <c r="P201" s="46" t="s">
        <v>19</v>
      </c>
    </row>
    <row r="202" spans="1:16" x14ac:dyDescent="0.25">
      <c r="A202" s="47" t="str">
        <f t="shared" si="7"/>
        <v>2025 NOV DISC 30%</v>
      </c>
      <c r="B202" s="48">
        <v>46107</v>
      </c>
      <c r="C202" s="48">
        <v>46113</v>
      </c>
      <c r="D202" s="49">
        <v>3272</v>
      </c>
      <c r="E202" s="49">
        <v>336</v>
      </c>
      <c r="F202" s="49">
        <v>4</v>
      </c>
      <c r="G202" s="47">
        <v>5</v>
      </c>
      <c r="H202" s="46">
        <v>81379</v>
      </c>
      <c r="I202" s="49" t="s">
        <v>16</v>
      </c>
      <c r="J202" s="47">
        <v>61967773</v>
      </c>
      <c r="K202" s="47" t="s">
        <v>2058</v>
      </c>
      <c r="L202" s="47" t="s">
        <v>2261</v>
      </c>
      <c r="M202" s="50">
        <v>149900</v>
      </c>
      <c r="N202" s="51">
        <v>0.3</v>
      </c>
      <c r="O202" s="52">
        <f t="shared" si="6"/>
        <v>104930</v>
      </c>
      <c r="P202" s="46" t="s">
        <v>19</v>
      </c>
    </row>
    <row r="203" spans="1:16" x14ac:dyDescent="0.25">
      <c r="A203" s="47" t="str">
        <f t="shared" si="7"/>
        <v>2025 NOV DISC 30%</v>
      </c>
      <c r="B203" s="48">
        <v>46107</v>
      </c>
      <c r="C203" s="48">
        <v>46113</v>
      </c>
      <c r="D203" s="49">
        <v>3272</v>
      </c>
      <c r="E203" s="49">
        <v>336</v>
      </c>
      <c r="F203" s="49">
        <v>4</v>
      </c>
      <c r="G203" s="47">
        <v>5</v>
      </c>
      <c r="H203" s="46">
        <v>81379</v>
      </c>
      <c r="I203" s="49" t="s">
        <v>16</v>
      </c>
      <c r="J203" s="47">
        <v>61967782</v>
      </c>
      <c r="K203" s="47" t="s">
        <v>2058</v>
      </c>
      <c r="L203" s="47" t="s">
        <v>2262</v>
      </c>
      <c r="M203" s="50">
        <v>149900</v>
      </c>
      <c r="N203" s="51">
        <v>0.3</v>
      </c>
      <c r="O203" s="52">
        <f t="shared" si="6"/>
        <v>104930</v>
      </c>
      <c r="P203" s="46" t="s">
        <v>19</v>
      </c>
    </row>
    <row r="204" spans="1:16" x14ac:dyDescent="0.25">
      <c r="A204" s="47" t="str">
        <f t="shared" si="7"/>
        <v>2025 NOV DISC 30%</v>
      </c>
      <c r="B204" s="48">
        <v>46107</v>
      </c>
      <c r="C204" s="48">
        <v>46113</v>
      </c>
      <c r="D204" s="49">
        <v>3272</v>
      </c>
      <c r="E204" s="49">
        <v>336</v>
      </c>
      <c r="F204" s="49">
        <v>4</v>
      </c>
      <c r="G204" s="47">
        <v>5</v>
      </c>
      <c r="H204" s="46">
        <v>81379</v>
      </c>
      <c r="I204" s="49" t="s">
        <v>16</v>
      </c>
      <c r="J204" s="47">
        <v>61967791</v>
      </c>
      <c r="K204" s="47" t="s">
        <v>2058</v>
      </c>
      <c r="L204" s="47" t="s">
        <v>2263</v>
      </c>
      <c r="M204" s="50">
        <v>149900</v>
      </c>
      <c r="N204" s="51">
        <v>0.3</v>
      </c>
      <c r="O204" s="52">
        <f t="shared" si="6"/>
        <v>104930</v>
      </c>
      <c r="P204" s="46" t="s">
        <v>19</v>
      </c>
    </row>
    <row r="205" spans="1:16" x14ac:dyDescent="0.25">
      <c r="A205" s="47" t="str">
        <f t="shared" si="7"/>
        <v>2025 NOV DISC 30%</v>
      </c>
      <c r="B205" s="48">
        <v>46107</v>
      </c>
      <c r="C205" s="48">
        <v>46113</v>
      </c>
      <c r="D205" s="49">
        <v>3272</v>
      </c>
      <c r="E205" s="49">
        <v>336</v>
      </c>
      <c r="F205" s="49">
        <v>4</v>
      </c>
      <c r="G205" s="47">
        <v>5</v>
      </c>
      <c r="H205" s="46">
        <v>81379</v>
      </c>
      <c r="I205" s="49" t="s">
        <v>16</v>
      </c>
      <c r="J205" s="47">
        <v>61967808</v>
      </c>
      <c r="K205" s="47" t="s">
        <v>2058</v>
      </c>
      <c r="L205" s="47" t="s">
        <v>2264</v>
      </c>
      <c r="M205" s="50">
        <v>149900</v>
      </c>
      <c r="N205" s="51">
        <v>0.3</v>
      </c>
      <c r="O205" s="52">
        <f t="shared" si="6"/>
        <v>104930</v>
      </c>
      <c r="P205" s="46" t="s">
        <v>19</v>
      </c>
    </row>
    <row r="206" spans="1:16" x14ac:dyDescent="0.25">
      <c r="A206" s="47" t="str">
        <f t="shared" si="7"/>
        <v>2025 NOV DISC 30%</v>
      </c>
      <c r="B206" s="48">
        <v>46107</v>
      </c>
      <c r="C206" s="48">
        <v>46113</v>
      </c>
      <c r="D206" s="49">
        <v>3272</v>
      </c>
      <c r="E206" s="49">
        <v>336</v>
      </c>
      <c r="F206" s="49">
        <v>4</v>
      </c>
      <c r="G206" s="47">
        <v>5</v>
      </c>
      <c r="H206" s="46">
        <v>81379</v>
      </c>
      <c r="I206" s="49" t="s">
        <v>16</v>
      </c>
      <c r="J206" s="47">
        <v>61967817</v>
      </c>
      <c r="K206" s="47" t="s">
        <v>2058</v>
      </c>
      <c r="L206" s="47" t="s">
        <v>2265</v>
      </c>
      <c r="M206" s="50">
        <v>149900</v>
      </c>
      <c r="N206" s="51">
        <v>0.3</v>
      </c>
      <c r="O206" s="52">
        <f t="shared" si="6"/>
        <v>104930</v>
      </c>
      <c r="P206" s="46" t="s">
        <v>19</v>
      </c>
    </row>
    <row r="207" spans="1:16" x14ac:dyDescent="0.25">
      <c r="A207" s="47" t="str">
        <f t="shared" si="7"/>
        <v>2025 NOV DISC 30%</v>
      </c>
      <c r="B207" s="48">
        <v>46107</v>
      </c>
      <c r="C207" s="48">
        <v>46113</v>
      </c>
      <c r="D207" s="49">
        <v>3272</v>
      </c>
      <c r="E207" s="49">
        <v>336</v>
      </c>
      <c r="F207" s="49">
        <v>4</v>
      </c>
      <c r="G207" s="47">
        <v>5</v>
      </c>
      <c r="H207" s="46">
        <v>81379</v>
      </c>
      <c r="I207" s="49" t="s">
        <v>16</v>
      </c>
      <c r="J207" s="47">
        <v>61967826</v>
      </c>
      <c r="K207" s="47" t="s">
        <v>2058</v>
      </c>
      <c r="L207" s="47" t="s">
        <v>2266</v>
      </c>
      <c r="M207" s="50">
        <v>149900</v>
      </c>
      <c r="N207" s="51">
        <v>0.3</v>
      </c>
      <c r="O207" s="52">
        <f t="shared" si="6"/>
        <v>104930</v>
      </c>
      <c r="P207" s="46" t="s">
        <v>19</v>
      </c>
    </row>
    <row r="208" spans="1:16" x14ac:dyDescent="0.25">
      <c r="A208" s="47" t="str">
        <f t="shared" si="7"/>
        <v>2025 NOV DISC 30%</v>
      </c>
      <c r="B208" s="48">
        <v>46107</v>
      </c>
      <c r="C208" s="48">
        <v>46113</v>
      </c>
      <c r="D208" s="49">
        <v>3272</v>
      </c>
      <c r="E208" s="49">
        <v>336</v>
      </c>
      <c r="F208" s="49">
        <v>4</v>
      </c>
      <c r="G208" s="47">
        <v>5</v>
      </c>
      <c r="H208" s="46">
        <v>81379</v>
      </c>
      <c r="I208" s="49" t="s">
        <v>16</v>
      </c>
      <c r="J208" s="47">
        <v>61967835</v>
      </c>
      <c r="K208" s="47" t="s">
        <v>2058</v>
      </c>
      <c r="L208" s="47" t="s">
        <v>2267</v>
      </c>
      <c r="M208" s="50">
        <v>149900</v>
      </c>
      <c r="N208" s="51">
        <v>0.3</v>
      </c>
      <c r="O208" s="52">
        <f t="shared" si="6"/>
        <v>104930</v>
      </c>
      <c r="P208" s="46" t="s">
        <v>19</v>
      </c>
    </row>
    <row r="209" spans="1:16" x14ac:dyDescent="0.25">
      <c r="A209" s="47" t="str">
        <f t="shared" si="7"/>
        <v>2025 NOV DISC 30%</v>
      </c>
      <c r="B209" s="48">
        <v>46107</v>
      </c>
      <c r="C209" s="48">
        <v>46113</v>
      </c>
      <c r="D209" s="49">
        <v>3272</v>
      </c>
      <c r="E209" s="49">
        <v>336</v>
      </c>
      <c r="F209" s="49">
        <v>4</v>
      </c>
      <c r="G209" s="47">
        <v>5</v>
      </c>
      <c r="H209" s="46">
        <v>81379</v>
      </c>
      <c r="I209" s="49" t="s">
        <v>16</v>
      </c>
      <c r="J209" s="47">
        <v>61967844</v>
      </c>
      <c r="K209" s="47" t="s">
        <v>2058</v>
      </c>
      <c r="L209" s="47" t="s">
        <v>2268</v>
      </c>
      <c r="M209" s="50">
        <v>149900</v>
      </c>
      <c r="N209" s="51">
        <v>0.3</v>
      </c>
      <c r="O209" s="52">
        <f t="shared" si="6"/>
        <v>104930</v>
      </c>
      <c r="P209" s="46" t="s">
        <v>19</v>
      </c>
    </row>
    <row r="210" spans="1:16" x14ac:dyDescent="0.25">
      <c r="A210" s="47" t="str">
        <f t="shared" si="7"/>
        <v>2025 NOV DISC 30%</v>
      </c>
      <c r="B210" s="48">
        <v>46107</v>
      </c>
      <c r="C210" s="48">
        <v>46113</v>
      </c>
      <c r="D210" s="49">
        <v>3272</v>
      </c>
      <c r="E210" s="49">
        <v>336</v>
      </c>
      <c r="F210" s="49">
        <v>4</v>
      </c>
      <c r="G210" s="47">
        <v>5</v>
      </c>
      <c r="H210" s="46">
        <v>81379</v>
      </c>
      <c r="I210" s="49" t="s">
        <v>16</v>
      </c>
      <c r="J210" s="47">
        <v>61968138</v>
      </c>
      <c r="K210" s="47" t="s">
        <v>2059</v>
      </c>
      <c r="L210" s="47" t="s">
        <v>2269</v>
      </c>
      <c r="M210" s="50">
        <v>149900</v>
      </c>
      <c r="N210" s="51">
        <v>0.3</v>
      </c>
      <c r="O210" s="52">
        <f t="shared" si="6"/>
        <v>104930</v>
      </c>
      <c r="P210" s="46" t="s">
        <v>19</v>
      </c>
    </row>
    <row r="211" spans="1:16" x14ac:dyDescent="0.25">
      <c r="A211" s="47" t="str">
        <f t="shared" si="7"/>
        <v>2025 NOV DISC 30%</v>
      </c>
      <c r="B211" s="48">
        <v>46107</v>
      </c>
      <c r="C211" s="48">
        <v>46113</v>
      </c>
      <c r="D211" s="49">
        <v>3272</v>
      </c>
      <c r="E211" s="49">
        <v>336</v>
      </c>
      <c r="F211" s="49">
        <v>4</v>
      </c>
      <c r="G211" s="47">
        <v>5</v>
      </c>
      <c r="H211" s="46">
        <v>81379</v>
      </c>
      <c r="I211" s="49" t="s">
        <v>16</v>
      </c>
      <c r="J211" s="47">
        <v>61968147</v>
      </c>
      <c r="K211" s="47" t="s">
        <v>2059</v>
      </c>
      <c r="L211" s="47" t="s">
        <v>2270</v>
      </c>
      <c r="M211" s="50">
        <v>149900</v>
      </c>
      <c r="N211" s="51">
        <v>0.3</v>
      </c>
      <c r="O211" s="52">
        <f t="shared" si="6"/>
        <v>104930</v>
      </c>
      <c r="P211" s="46" t="s">
        <v>19</v>
      </c>
    </row>
    <row r="212" spans="1:16" x14ac:dyDescent="0.25">
      <c r="A212" s="47" t="str">
        <f t="shared" si="7"/>
        <v>2025 NOV DISC 30%</v>
      </c>
      <c r="B212" s="48">
        <v>46107</v>
      </c>
      <c r="C212" s="48">
        <v>46113</v>
      </c>
      <c r="D212" s="49">
        <v>3272</v>
      </c>
      <c r="E212" s="49">
        <v>336</v>
      </c>
      <c r="F212" s="49">
        <v>4</v>
      </c>
      <c r="G212" s="47">
        <v>5</v>
      </c>
      <c r="H212" s="46">
        <v>81379</v>
      </c>
      <c r="I212" s="49" t="s">
        <v>16</v>
      </c>
      <c r="J212" s="47">
        <v>61968156</v>
      </c>
      <c r="K212" s="47" t="s">
        <v>2059</v>
      </c>
      <c r="L212" s="47" t="s">
        <v>2271</v>
      </c>
      <c r="M212" s="50">
        <v>149900</v>
      </c>
      <c r="N212" s="51">
        <v>0.3</v>
      </c>
      <c r="O212" s="52">
        <f t="shared" si="6"/>
        <v>104930</v>
      </c>
      <c r="P212" s="46" t="s">
        <v>19</v>
      </c>
    </row>
    <row r="213" spans="1:16" x14ac:dyDescent="0.25">
      <c r="A213" s="47" t="str">
        <f t="shared" si="7"/>
        <v>2025 NOV DISC 30%</v>
      </c>
      <c r="B213" s="48">
        <v>46107</v>
      </c>
      <c r="C213" s="48">
        <v>46113</v>
      </c>
      <c r="D213" s="49">
        <v>3272</v>
      </c>
      <c r="E213" s="49">
        <v>336</v>
      </c>
      <c r="F213" s="49">
        <v>4</v>
      </c>
      <c r="G213" s="47">
        <v>5</v>
      </c>
      <c r="H213" s="46">
        <v>81379</v>
      </c>
      <c r="I213" s="49" t="s">
        <v>16</v>
      </c>
      <c r="J213" s="47">
        <v>61968165</v>
      </c>
      <c r="K213" s="47" t="s">
        <v>2059</v>
      </c>
      <c r="L213" s="47" t="s">
        <v>2272</v>
      </c>
      <c r="M213" s="50">
        <v>149900</v>
      </c>
      <c r="N213" s="51">
        <v>0.3</v>
      </c>
      <c r="O213" s="52">
        <f t="shared" si="6"/>
        <v>104930</v>
      </c>
      <c r="P213" s="46" t="s">
        <v>19</v>
      </c>
    </row>
    <row r="214" spans="1:16" x14ac:dyDescent="0.25">
      <c r="A214" s="47" t="str">
        <f t="shared" si="7"/>
        <v>2025 NOV DISC 30%</v>
      </c>
      <c r="B214" s="48">
        <v>46107</v>
      </c>
      <c r="C214" s="48">
        <v>46113</v>
      </c>
      <c r="D214" s="49">
        <v>3272</v>
      </c>
      <c r="E214" s="49">
        <v>336</v>
      </c>
      <c r="F214" s="49">
        <v>4</v>
      </c>
      <c r="G214" s="47">
        <v>5</v>
      </c>
      <c r="H214" s="46">
        <v>81379</v>
      </c>
      <c r="I214" s="49" t="s">
        <v>16</v>
      </c>
      <c r="J214" s="47">
        <v>61968825</v>
      </c>
      <c r="K214" s="47" t="s">
        <v>2060</v>
      </c>
      <c r="L214" s="47" t="s">
        <v>2273</v>
      </c>
      <c r="M214" s="50">
        <v>149900</v>
      </c>
      <c r="N214" s="51">
        <v>0.3</v>
      </c>
      <c r="O214" s="52">
        <f t="shared" si="6"/>
        <v>104930</v>
      </c>
      <c r="P214" s="46" t="s">
        <v>19</v>
      </c>
    </row>
    <row r="215" spans="1:16" x14ac:dyDescent="0.25">
      <c r="A215" s="47" t="str">
        <f t="shared" si="7"/>
        <v>2025 NOV DISC 30%</v>
      </c>
      <c r="B215" s="48">
        <v>46107</v>
      </c>
      <c r="C215" s="48">
        <v>46113</v>
      </c>
      <c r="D215" s="49">
        <v>3272</v>
      </c>
      <c r="E215" s="49">
        <v>336</v>
      </c>
      <c r="F215" s="49">
        <v>4</v>
      </c>
      <c r="G215" s="47">
        <v>5</v>
      </c>
      <c r="H215" s="46">
        <v>81379</v>
      </c>
      <c r="I215" s="49" t="s">
        <v>16</v>
      </c>
      <c r="J215" s="47">
        <v>61968834</v>
      </c>
      <c r="K215" s="47" t="s">
        <v>2060</v>
      </c>
      <c r="L215" s="47" t="s">
        <v>2274</v>
      </c>
      <c r="M215" s="50">
        <v>149900</v>
      </c>
      <c r="N215" s="51">
        <v>0.3</v>
      </c>
      <c r="O215" s="52">
        <f t="shared" si="6"/>
        <v>104930</v>
      </c>
      <c r="P215" s="46" t="s">
        <v>19</v>
      </c>
    </row>
    <row r="216" spans="1:16" x14ac:dyDescent="0.25">
      <c r="A216" s="47" t="str">
        <f t="shared" si="7"/>
        <v>2025 NOV DISC 30%</v>
      </c>
      <c r="B216" s="48">
        <v>46107</v>
      </c>
      <c r="C216" s="48">
        <v>46113</v>
      </c>
      <c r="D216" s="49">
        <v>3272</v>
      </c>
      <c r="E216" s="49">
        <v>336</v>
      </c>
      <c r="F216" s="49">
        <v>4</v>
      </c>
      <c r="G216" s="47">
        <v>5</v>
      </c>
      <c r="H216" s="46">
        <v>81379</v>
      </c>
      <c r="I216" s="49" t="s">
        <v>16</v>
      </c>
      <c r="J216" s="47">
        <v>61968843</v>
      </c>
      <c r="K216" s="47" t="s">
        <v>2060</v>
      </c>
      <c r="L216" s="47" t="s">
        <v>2275</v>
      </c>
      <c r="M216" s="50">
        <v>149900</v>
      </c>
      <c r="N216" s="51">
        <v>0.3</v>
      </c>
      <c r="O216" s="52">
        <f t="shared" si="6"/>
        <v>104930</v>
      </c>
      <c r="P216" s="46" t="s">
        <v>19</v>
      </c>
    </row>
    <row r="217" spans="1:16" x14ac:dyDescent="0.25">
      <c r="A217" s="47" t="str">
        <f t="shared" si="7"/>
        <v>2025 NOV DISC 30%</v>
      </c>
      <c r="B217" s="48">
        <v>46107</v>
      </c>
      <c r="C217" s="48">
        <v>46113</v>
      </c>
      <c r="D217" s="49">
        <v>3272</v>
      </c>
      <c r="E217" s="49">
        <v>336</v>
      </c>
      <c r="F217" s="49">
        <v>4</v>
      </c>
      <c r="G217" s="47">
        <v>5</v>
      </c>
      <c r="H217" s="46">
        <v>81379</v>
      </c>
      <c r="I217" s="49" t="s">
        <v>16</v>
      </c>
      <c r="J217" s="47">
        <v>61968852</v>
      </c>
      <c r="K217" s="47" t="s">
        <v>2060</v>
      </c>
      <c r="L217" s="47" t="s">
        <v>2276</v>
      </c>
      <c r="M217" s="50">
        <v>149900</v>
      </c>
      <c r="N217" s="51">
        <v>0.3</v>
      </c>
      <c r="O217" s="52">
        <f t="shared" si="6"/>
        <v>104930</v>
      </c>
      <c r="P217" s="46" t="s">
        <v>19</v>
      </c>
    </row>
    <row r="218" spans="1:16" x14ac:dyDescent="0.25">
      <c r="A218" s="47" t="str">
        <f t="shared" si="7"/>
        <v>2025 NOV DISC 30%</v>
      </c>
      <c r="B218" s="48">
        <v>46107</v>
      </c>
      <c r="C218" s="48">
        <v>46113</v>
      </c>
      <c r="D218" s="49">
        <v>3272</v>
      </c>
      <c r="E218" s="49">
        <v>336</v>
      </c>
      <c r="F218" s="49">
        <v>4</v>
      </c>
      <c r="G218" s="47">
        <v>5</v>
      </c>
      <c r="H218" s="46">
        <v>81379</v>
      </c>
      <c r="I218" s="49" t="s">
        <v>16</v>
      </c>
      <c r="J218" s="47">
        <v>61968861</v>
      </c>
      <c r="K218" s="47" t="s">
        <v>2060</v>
      </c>
      <c r="L218" s="47" t="s">
        <v>2277</v>
      </c>
      <c r="M218" s="50">
        <v>149900</v>
      </c>
      <c r="N218" s="51">
        <v>0.3</v>
      </c>
      <c r="O218" s="52">
        <f t="shared" si="6"/>
        <v>104930</v>
      </c>
      <c r="P218" s="46" t="s">
        <v>19</v>
      </c>
    </row>
    <row r="219" spans="1:16" x14ac:dyDescent="0.25">
      <c r="A219" s="47" t="str">
        <f t="shared" si="7"/>
        <v>2025 NOV DISC 30%</v>
      </c>
      <c r="B219" s="48">
        <v>46107</v>
      </c>
      <c r="C219" s="48">
        <v>46113</v>
      </c>
      <c r="D219" s="49">
        <v>3272</v>
      </c>
      <c r="E219" s="49">
        <v>336</v>
      </c>
      <c r="F219" s="49">
        <v>4</v>
      </c>
      <c r="G219" s="47">
        <v>5</v>
      </c>
      <c r="H219" s="46">
        <v>81379</v>
      </c>
      <c r="I219" s="49" t="s">
        <v>16</v>
      </c>
      <c r="J219" s="47">
        <v>61968870</v>
      </c>
      <c r="K219" s="47" t="s">
        <v>2060</v>
      </c>
      <c r="L219" s="47" t="s">
        <v>2278</v>
      </c>
      <c r="M219" s="50">
        <v>149900</v>
      </c>
      <c r="N219" s="51">
        <v>0.3</v>
      </c>
      <c r="O219" s="52">
        <f t="shared" si="6"/>
        <v>104930</v>
      </c>
      <c r="P219" s="46" t="s">
        <v>19</v>
      </c>
    </row>
    <row r="220" spans="1:16" x14ac:dyDescent="0.25">
      <c r="A220" s="47" t="str">
        <f t="shared" si="7"/>
        <v>2025 NOV DISC 30%</v>
      </c>
      <c r="B220" s="48">
        <v>46107</v>
      </c>
      <c r="C220" s="48">
        <v>46113</v>
      </c>
      <c r="D220" s="49">
        <v>3272</v>
      </c>
      <c r="E220" s="49">
        <v>336</v>
      </c>
      <c r="F220" s="49">
        <v>4</v>
      </c>
      <c r="G220" s="47">
        <v>5</v>
      </c>
      <c r="H220" s="46">
        <v>81379</v>
      </c>
      <c r="I220" s="49" t="s">
        <v>16</v>
      </c>
      <c r="J220" s="47">
        <v>61968889</v>
      </c>
      <c r="K220" s="47" t="s">
        <v>2060</v>
      </c>
      <c r="L220" s="47" t="s">
        <v>2279</v>
      </c>
      <c r="M220" s="50">
        <v>149900</v>
      </c>
      <c r="N220" s="51">
        <v>0.3</v>
      </c>
      <c r="O220" s="52">
        <f t="shared" si="6"/>
        <v>104930</v>
      </c>
      <c r="P220" s="46" t="s">
        <v>19</v>
      </c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 ALL D75</vt:lpstr>
      <vt:lpstr>2025 JAN-JUN D70</vt:lpstr>
      <vt:lpstr>2025 SEPT B1G1</vt:lpstr>
      <vt:lpstr>2025 OCT D30</vt:lpstr>
      <vt:lpstr>2025 NOV D30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Maydelline Pui</dc:creator>
  <cp:lastModifiedBy>Maydelline Pui</cp:lastModifiedBy>
  <dcterms:created xsi:type="dcterms:W3CDTF">2026-03-17T01:16:26Z</dcterms:created>
  <dcterms:modified xsi:type="dcterms:W3CDTF">2026-03-25T03:10:57Z</dcterms:modified>
</cp:coreProperties>
</file>