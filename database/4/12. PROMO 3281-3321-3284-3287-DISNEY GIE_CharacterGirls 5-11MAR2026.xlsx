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3F63F4C4-D78A-4922-AC42-3BF4BB2E6DA8}" xr6:coauthVersionLast="47" xr6:coauthVersionMax="47" xr10:uidLastSave="{00000000-0000-0000-0000-000000000000}"/>
  <bookViews>
    <workbookView xWindow="-110" yWindow="-110" windowWidth="19420" windowHeight="10300" tabRatio="899" firstSheet="10" activeTab="11" xr2:uid="{00000000-000D-0000-FFFF-FFFF00000000}"/>
  </bookViews>
  <sheets>
    <sheet name="2025 NOV-FEB B3 D10 -3321" sheetId="144" r:id="rId1"/>
    <sheet name="2025 OCT SHARP PRICE - 3321" sheetId="135" r:id="rId2"/>
    <sheet name="2025 SEPT B1 D30 - 3321" sheetId="120" r:id="rId3"/>
    <sheet name="2025 AUG B1G1-3321" sheetId="131" r:id="rId4"/>
    <sheet name="2025 JUL B1G1 - 3321" sheetId="124" r:id="rId5"/>
    <sheet name="2025 HILITE D80 - 3321" sheetId="80" r:id="rId6"/>
    <sheet name="2024 JULY-SEP B1G2 - 3321" sheetId="138" r:id="rId7"/>
    <sheet name="2024 JAN-JUN D70 - 3321" sheetId="139" r:id="rId8"/>
    <sheet name="2025 JUN B1G1 - 3321" sheetId="117" r:id="rId9"/>
    <sheet name="2025 JAN-MEI B1G2 - 3321" sheetId="94" r:id="rId10"/>
    <sheet name="2023 JUN-DEC D90 - 3321" sheetId="74" r:id="rId11"/>
    <sheet name="2025 NOV-FEB B3 D10 -3281" sheetId="145" r:id="rId12"/>
    <sheet name="2025 OCT SHARP PRICE - 3281" sheetId="136" r:id="rId13"/>
    <sheet name="2025 SEPT B1 D30 - 3281" sheetId="132" r:id="rId14"/>
    <sheet name="2025 AUG B1G1-3281" sheetId="107" r:id="rId15"/>
    <sheet name="2025 JUL B1G1 - 3281" sheetId="125" r:id="rId16"/>
    <sheet name="2025 HILITE D80 - 3281" sheetId="81" r:id="rId17"/>
    <sheet name="2025 JAN-MEI B1G2 - 3281" sheetId="56" r:id="rId18"/>
    <sheet name="2024 JULY-SEP B1G2 - 3281" sheetId="141" r:id="rId19"/>
    <sheet name="2024 JAN-JUN D70 - 3281" sheetId="142" r:id="rId20"/>
    <sheet name="2023 JAN-DEC D90 - 3281" sheetId="75" r:id="rId21"/>
    <sheet name="2022 ALL D90 - 3281" sheetId="10" r:id="rId22"/>
    <sheet name="2021 2020 ALL D90 - 3281" sheetId="11" r:id="rId23"/>
    <sheet name="2019 ALL D95 - 3281" sheetId="12" r:id="rId24"/>
    <sheet name="2025 NOV-FEB B3 D10 -3284" sheetId="146" r:id="rId25"/>
    <sheet name="2025 SEPT B1 D30 -3284" sheetId="133" r:id="rId26"/>
    <sheet name="2025 AUG B1G1 -3284" sheetId="98" r:id="rId27"/>
    <sheet name="2025 JULY B1G1 - 3284" sheetId="126" r:id="rId28"/>
    <sheet name="2025 JUNI B1G1-3284" sheetId="110" r:id="rId29"/>
    <sheet name="2025 JAN-MEI B1G2-3284" sheetId="100" r:id="rId30"/>
    <sheet name="2024 JUL-DEC B1G2-3284 LC BABY" sheetId="143" r:id="rId31"/>
    <sheet name="2024 JAN-JUN D70-3284 LC  BABY" sheetId="90" r:id="rId32"/>
    <sheet name="2023 JAN-NOV D90-3284 LC BABY" sheetId="76" r:id="rId33"/>
    <sheet name="2022 ALL D90 - 3284 LC BABY" sheetId="17" r:id="rId34"/>
    <sheet name="2021 2020 ALL D90-3284 LC BABY" sheetId="18" r:id="rId35"/>
    <sheet name="2019 ALL D95 - 3284" sheetId="19" r:id="rId36"/>
    <sheet name="2025 NOV-FEB B3 D10 -3287" sheetId="147" r:id="rId37"/>
    <sheet name="2025 OCT SHARP PRICE- 3287" sheetId="127" r:id="rId38"/>
    <sheet name="2025 SEPT B1 D30 - 3287 LC" sheetId="134" r:id="rId39"/>
    <sheet name="2025 AUG B1G1 - 3287 LC" sheetId="128" r:id="rId40"/>
    <sheet name="2025 JAN-MAR B1G2 - 3287 LC ESS" sheetId="93" r:id="rId41"/>
    <sheet name="2025 APR-JUN B1G1 - 3287 LC ESS" sheetId="108" r:id="rId42"/>
    <sheet name="2025 JULI B1G1 -3287" sheetId="99" r:id="rId43"/>
    <sheet name="2024 JUL-DEC B1G2- 3287 LC ESS" sheetId="91" r:id="rId44"/>
    <sheet name="2024 JAN-JUN D70-3287 LC ESS" sheetId="77" r:id="rId45"/>
    <sheet name="2022 ALL D90 - 3287 LC ESS" sheetId="24" r:id="rId46"/>
    <sheet name="2021 2020 ALL D90 - 3287 LC ESS" sheetId="25" r:id="rId47"/>
    <sheet name="2019 ALL D95 - 3287 LC ESS" sheetId="26" r:id="rId48"/>
  </sheets>
  <definedNames>
    <definedName name="_xlnm._FilterDatabase" localSheetId="23" hidden="1">'2019 ALL D95 - 3281'!$A$1:$P$1</definedName>
    <definedName name="_xlnm._FilterDatabase" localSheetId="35" hidden="1">'2019 ALL D95 - 3284'!$A$1:$P$1</definedName>
    <definedName name="_xlnm._FilterDatabase" localSheetId="47" hidden="1">'2019 ALL D95 - 3287 LC ESS'!$A$1:$P$211</definedName>
    <definedName name="_xlnm._FilterDatabase" localSheetId="22" hidden="1">'2021 2020 ALL D90 - 3281'!$A$1:$P$1</definedName>
    <definedName name="_xlnm._FilterDatabase" localSheetId="46" hidden="1">'2021 2020 ALL D90 - 3287 LC ESS'!$A$1:$P$266</definedName>
    <definedName name="_xlnm._FilterDatabase" localSheetId="34" hidden="1">'2021 2020 ALL D90-3284 LC BABY'!$A$1:$P$1</definedName>
    <definedName name="_xlnm._FilterDatabase" localSheetId="21" hidden="1">'2022 ALL D90 - 3281'!$A$1:$P$1</definedName>
    <definedName name="_xlnm._FilterDatabase" localSheetId="33" hidden="1">'2022 ALL D90 - 3284 LC BABY'!$A$1:$P$1</definedName>
    <definedName name="_xlnm._FilterDatabase" localSheetId="45" hidden="1">'2022 ALL D90 - 3287 LC ESS'!$A$1:$P$1</definedName>
    <definedName name="_xlnm._FilterDatabase" localSheetId="20" hidden="1">'2023 JAN-DEC D90 - 3281'!$A$1:$P$1</definedName>
    <definedName name="_xlnm._FilterDatabase" localSheetId="32" hidden="1">'2023 JAN-NOV D90-3284 LC BABY'!$A$1:$P$1</definedName>
    <definedName name="_xlnm._FilterDatabase" localSheetId="10" hidden="1">'2023 JUN-DEC D90 - 3321'!$A$1:$P$1</definedName>
    <definedName name="_xlnm._FilterDatabase" localSheetId="19" hidden="1">'2024 JAN-JUN D70 - 3281'!$A$1:$P$1</definedName>
    <definedName name="_xlnm._FilterDatabase" localSheetId="7" hidden="1">'2024 JAN-JUN D70 - 3321'!$A$1:$P$1</definedName>
    <definedName name="_xlnm._FilterDatabase" localSheetId="31" hidden="1">'2024 JAN-JUN D70-3284 LC  BABY'!$A$1:$P$1</definedName>
    <definedName name="_xlnm._FilterDatabase" localSheetId="44" hidden="1">'2024 JAN-JUN D70-3287 LC ESS'!$A$1:$P$117</definedName>
    <definedName name="_xlnm._FilterDatabase" localSheetId="43" hidden="1">'2024 JUL-DEC B1G2- 3287 LC ESS'!$A$1:$P$1</definedName>
    <definedName name="_xlnm._FilterDatabase" localSheetId="30" hidden="1">'2024 JUL-DEC B1G2-3284 LC BABY'!$A$1:$P$1</definedName>
    <definedName name="_xlnm._FilterDatabase" localSheetId="18" hidden="1">'2024 JULY-SEP B1G2 - 3281'!$A$1:$P$1</definedName>
    <definedName name="_xlnm._FilterDatabase" localSheetId="6" hidden="1">'2024 JULY-SEP B1G2 - 3321'!$A$1:$P$1</definedName>
    <definedName name="_xlnm._FilterDatabase" localSheetId="41" hidden="1">'2025 APR-JUN B1G1 - 3287 LC ESS'!$A$1:$P$1</definedName>
    <definedName name="_xlnm._FilterDatabase" localSheetId="39" hidden="1">'2025 AUG B1G1 - 3287 LC'!$A$1:$P$1</definedName>
    <definedName name="_xlnm._FilterDatabase" localSheetId="26" hidden="1">'2025 AUG B1G1 -3284'!$A$1:$P$1</definedName>
    <definedName name="_xlnm._FilterDatabase" localSheetId="14" hidden="1">'2025 AUG B1G1-3281'!$A$1:$P$1</definedName>
    <definedName name="_xlnm._FilterDatabase" localSheetId="3" hidden="1">'2025 AUG B1G1-3321'!$A$1:$P$1</definedName>
    <definedName name="_xlnm._FilterDatabase" localSheetId="16" hidden="1">'2025 HILITE D80 - 3281'!$A$1:$P$1</definedName>
    <definedName name="_xlnm._FilterDatabase" localSheetId="5" hidden="1">'2025 HILITE D80 - 3321'!$A$1:$P$1</definedName>
    <definedName name="_xlnm._FilterDatabase" localSheetId="40" hidden="1">'2025 JAN-MAR B1G2 - 3287 LC ESS'!$A$1:$P$1</definedName>
    <definedName name="_xlnm._FilterDatabase" localSheetId="17" hidden="1">'2025 JAN-MEI B1G2 - 3281'!$A$1:$P$1</definedName>
    <definedName name="_xlnm._FilterDatabase" localSheetId="9" hidden="1">'2025 JAN-MEI B1G2 - 3321'!$A$1:$P$1</definedName>
    <definedName name="_xlnm._FilterDatabase" localSheetId="29" hidden="1">'2025 JAN-MEI B1G2-3284'!$A$1:$P$1</definedName>
    <definedName name="_xlnm._FilterDatabase" localSheetId="15" hidden="1">'2025 JUL B1G1 - 3281'!$A$1:$P$1</definedName>
    <definedName name="_xlnm._FilterDatabase" localSheetId="4" hidden="1">'2025 JUL B1G1 - 3321'!$A$1:$P$1</definedName>
    <definedName name="_xlnm._FilterDatabase" localSheetId="42" hidden="1">'2025 JULI B1G1 -3287'!$A$1:$P$1</definedName>
    <definedName name="_xlnm._FilterDatabase" localSheetId="27" hidden="1">'2025 JULY B1G1 - 3284'!$A$1:$P$1</definedName>
    <definedName name="_xlnm._FilterDatabase" localSheetId="8" hidden="1">'2025 JUN B1G1 - 3321'!$A$1:$P$1</definedName>
    <definedName name="_xlnm._FilterDatabase" localSheetId="11" hidden="1">'2025 NOV-FEB B3 D10 -3281'!$A$1:$P$1</definedName>
    <definedName name="_xlnm._FilterDatabase" localSheetId="24" hidden="1">'2025 NOV-FEB B3 D10 -3284'!$A$1:$P$1</definedName>
    <definedName name="_xlnm._FilterDatabase" localSheetId="36" hidden="1">'2025 NOV-FEB B3 D10 -3287'!$A$1:$P$1</definedName>
    <definedName name="_xlnm._FilterDatabase" localSheetId="0" hidden="1">'2025 NOV-FEB B3 D10 -3321'!$A$1:$P$1</definedName>
    <definedName name="_xlnm._FilterDatabase" localSheetId="37" hidden="1">'2025 OCT SHARP PRICE- 3287'!$A$1:$P$1</definedName>
    <definedName name="_xlnm._FilterDatabase" localSheetId="13" hidden="1">'2025 SEPT B1 D30 - 3281'!$A$1:$P$1</definedName>
    <definedName name="_xlnm._FilterDatabase" localSheetId="38" hidden="1">'2025 SEPT B1 D30 - 3287 LC'!$A$1:$P$1</definedName>
    <definedName name="_xlnm._FilterDatabase" localSheetId="2" hidden="1">'2025 SEPT B1 D30 - 3321'!$A$1:$P$1</definedName>
    <definedName name="_xlnm._FilterDatabase" localSheetId="25" hidden="1">'2025 SEPT B1 D30 -3284'!$A$1:$P$1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" i="145" l="1"/>
  <c r="B22" i="145"/>
  <c r="C22" i="145"/>
  <c r="A23" i="145"/>
  <c r="B23" i="145"/>
  <c r="C23" i="145"/>
  <c r="A24" i="145"/>
  <c r="B24" i="145"/>
  <c r="C24" i="145"/>
  <c r="A25" i="145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72" i="145" s="1"/>
  <c r="A73" i="145" s="1"/>
  <c r="A74" i="145" s="1"/>
  <c r="A75" i="145" s="1"/>
  <c r="A76" i="145" s="1"/>
  <c r="A77" i="145" s="1"/>
  <c r="A78" i="145" s="1"/>
  <c r="A79" i="145" s="1"/>
  <c r="B25" i="145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38" i="145" s="1"/>
  <c r="B39" i="145" s="1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56" i="145" s="1"/>
  <c r="B57" i="145" s="1"/>
  <c r="B58" i="145" s="1"/>
  <c r="B59" i="145" s="1"/>
  <c r="B60" i="145" s="1"/>
  <c r="B61" i="145" s="1"/>
  <c r="B62" i="145" s="1"/>
  <c r="B63" i="145" s="1"/>
  <c r="B64" i="145" s="1"/>
  <c r="B65" i="145" s="1"/>
  <c r="B66" i="145" s="1"/>
  <c r="B67" i="145" s="1"/>
  <c r="B68" i="145" s="1"/>
  <c r="B69" i="145" s="1"/>
  <c r="B70" i="145" s="1"/>
  <c r="B71" i="145" s="1"/>
  <c r="B72" i="145" s="1"/>
  <c r="B73" i="145" s="1"/>
  <c r="B74" i="145" s="1"/>
  <c r="B75" i="145" s="1"/>
  <c r="B76" i="145" s="1"/>
  <c r="B77" i="145" s="1"/>
  <c r="B78" i="145" s="1"/>
  <c r="B79" i="145" s="1"/>
  <c r="C25" i="145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C59" i="145" s="1"/>
  <c r="C60" i="145" s="1"/>
  <c r="C61" i="145" s="1"/>
  <c r="C62" i="145" s="1"/>
  <c r="C63" i="145" s="1"/>
  <c r="C64" i="145" s="1"/>
  <c r="C65" i="145" s="1"/>
  <c r="C66" i="145" s="1"/>
  <c r="C67" i="145" s="1"/>
  <c r="C68" i="145" s="1"/>
  <c r="C69" i="145" s="1"/>
  <c r="C70" i="145" s="1"/>
  <c r="C71" i="145" s="1"/>
  <c r="C72" i="145" s="1"/>
  <c r="C73" i="145" s="1"/>
  <c r="C74" i="145" s="1"/>
  <c r="C75" i="145" s="1"/>
  <c r="C76" i="145" s="1"/>
  <c r="C77" i="145" s="1"/>
  <c r="C78" i="145" s="1"/>
  <c r="C79" i="145" s="1"/>
  <c r="A164" i="144"/>
  <c r="B164" i="144"/>
  <c r="C164" i="144"/>
  <c r="A165" i="144"/>
  <c r="B165" i="144"/>
  <c r="C165" i="144"/>
  <c r="A166" i="144"/>
  <c r="B166" i="144"/>
  <c r="C166" i="144"/>
  <c r="A167" i="144"/>
  <c r="A168" i="144" s="1"/>
  <c r="A169" i="144" s="1"/>
  <c r="A170" i="144" s="1"/>
  <c r="A171" i="144" s="1"/>
  <c r="A172" i="144" s="1"/>
  <c r="A173" i="144" s="1"/>
  <c r="A174" i="144" s="1"/>
  <c r="A175" i="144" s="1"/>
  <c r="A176" i="144" s="1"/>
  <c r="A177" i="144" s="1"/>
  <c r="A178" i="144" s="1"/>
  <c r="A179" i="144" s="1"/>
  <c r="A180" i="144" s="1"/>
  <c r="A181" i="144" s="1"/>
  <c r="A182" i="144" s="1"/>
  <c r="A183" i="144" s="1"/>
  <c r="A184" i="144" s="1"/>
  <c r="A185" i="144" s="1"/>
  <c r="A186" i="144" s="1"/>
  <c r="A187" i="144" s="1"/>
  <c r="A188" i="144" s="1"/>
  <c r="A189" i="144" s="1"/>
  <c r="A190" i="144" s="1"/>
  <c r="A191" i="144" s="1"/>
  <c r="A192" i="144" s="1"/>
  <c r="A193" i="144" s="1"/>
  <c r="A194" i="144" s="1"/>
  <c r="A195" i="144" s="1"/>
  <c r="A196" i="144" s="1"/>
  <c r="A197" i="144" s="1"/>
  <c r="A198" i="144" s="1"/>
  <c r="A199" i="144" s="1"/>
  <c r="A200" i="144" s="1"/>
  <c r="A201" i="144" s="1"/>
  <c r="A202" i="144" s="1"/>
  <c r="A203" i="144" s="1"/>
  <c r="A204" i="144" s="1"/>
  <c r="A205" i="144" s="1"/>
  <c r="A206" i="144" s="1"/>
  <c r="A207" i="144" s="1"/>
  <c r="A208" i="144" s="1"/>
  <c r="A209" i="144" s="1"/>
  <c r="A210" i="144" s="1"/>
  <c r="A211" i="144" s="1"/>
  <c r="A212" i="144" s="1"/>
  <c r="A213" i="144" s="1"/>
  <c r="A214" i="144" s="1"/>
  <c r="A215" i="144" s="1"/>
  <c r="A216" i="144" s="1"/>
  <c r="A217" i="144" s="1"/>
  <c r="A218" i="144" s="1"/>
  <c r="A219" i="144" s="1"/>
  <c r="A220" i="144" s="1"/>
  <c r="A221" i="144" s="1"/>
  <c r="A222" i="144" s="1"/>
  <c r="A223" i="144" s="1"/>
  <c r="A224" i="144" s="1"/>
  <c r="A225" i="144" s="1"/>
  <c r="A226" i="144" s="1"/>
  <c r="A227" i="144" s="1"/>
  <c r="A228" i="144" s="1"/>
  <c r="A229" i="144" s="1"/>
  <c r="A230" i="144" s="1"/>
  <c r="A231" i="144" s="1"/>
  <c r="A232" i="144" s="1"/>
  <c r="A233" i="144" s="1"/>
  <c r="A234" i="144" s="1"/>
  <c r="A235" i="144" s="1"/>
  <c r="A236" i="144" s="1"/>
  <c r="A237" i="144" s="1"/>
  <c r="A238" i="144" s="1"/>
  <c r="A239" i="144" s="1"/>
  <c r="A240" i="144" s="1"/>
  <c r="A241" i="144" s="1"/>
  <c r="A242" i="144" s="1"/>
  <c r="B167" i="144"/>
  <c r="B168" i="144" s="1"/>
  <c r="B169" i="144" s="1"/>
  <c r="B170" i="144" s="1"/>
  <c r="B171" i="144" s="1"/>
  <c r="B172" i="144" s="1"/>
  <c r="B173" i="144" s="1"/>
  <c r="B174" i="144" s="1"/>
  <c r="B175" i="144" s="1"/>
  <c r="B176" i="144" s="1"/>
  <c r="B177" i="144" s="1"/>
  <c r="B178" i="144" s="1"/>
  <c r="B179" i="144" s="1"/>
  <c r="B180" i="144" s="1"/>
  <c r="B181" i="144" s="1"/>
  <c r="B182" i="144" s="1"/>
  <c r="B183" i="144" s="1"/>
  <c r="B184" i="144" s="1"/>
  <c r="B185" i="144" s="1"/>
  <c r="B186" i="144" s="1"/>
  <c r="B187" i="144" s="1"/>
  <c r="B188" i="144" s="1"/>
  <c r="B189" i="144" s="1"/>
  <c r="B190" i="144" s="1"/>
  <c r="B191" i="144" s="1"/>
  <c r="B192" i="144" s="1"/>
  <c r="B193" i="144" s="1"/>
  <c r="B194" i="144" s="1"/>
  <c r="B195" i="144" s="1"/>
  <c r="B196" i="144" s="1"/>
  <c r="B197" i="144" s="1"/>
  <c r="B198" i="144" s="1"/>
  <c r="B199" i="144" s="1"/>
  <c r="B200" i="144" s="1"/>
  <c r="B201" i="144" s="1"/>
  <c r="B202" i="144" s="1"/>
  <c r="B203" i="144" s="1"/>
  <c r="B204" i="144" s="1"/>
  <c r="B205" i="144" s="1"/>
  <c r="B206" i="144" s="1"/>
  <c r="B207" i="144" s="1"/>
  <c r="B208" i="144" s="1"/>
  <c r="B209" i="144" s="1"/>
  <c r="B210" i="144" s="1"/>
  <c r="B211" i="144" s="1"/>
  <c r="B212" i="144" s="1"/>
  <c r="B213" i="144" s="1"/>
  <c r="B214" i="144" s="1"/>
  <c r="B215" i="144" s="1"/>
  <c r="B216" i="144" s="1"/>
  <c r="B217" i="144" s="1"/>
  <c r="B218" i="144" s="1"/>
  <c r="B219" i="144" s="1"/>
  <c r="B220" i="144" s="1"/>
  <c r="B221" i="144" s="1"/>
  <c r="B222" i="144" s="1"/>
  <c r="B223" i="144" s="1"/>
  <c r="B224" i="144" s="1"/>
  <c r="B225" i="144" s="1"/>
  <c r="B226" i="144" s="1"/>
  <c r="B227" i="144" s="1"/>
  <c r="B228" i="144" s="1"/>
  <c r="B229" i="144" s="1"/>
  <c r="B230" i="144" s="1"/>
  <c r="B231" i="144" s="1"/>
  <c r="B232" i="144" s="1"/>
  <c r="B233" i="144" s="1"/>
  <c r="B234" i="144" s="1"/>
  <c r="B235" i="144" s="1"/>
  <c r="B236" i="144" s="1"/>
  <c r="B237" i="144" s="1"/>
  <c r="B238" i="144" s="1"/>
  <c r="B239" i="144" s="1"/>
  <c r="B240" i="144" s="1"/>
  <c r="B241" i="144" s="1"/>
  <c r="B242" i="144" s="1"/>
  <c r="C167" i="144"/>
  <c r="C168" i="144" s="1"/>
  <c r="C169" i="144" s="1"/>
  <c r="C170" i="144" s="1"/>
  <c r="C171" i="144" s="1"/>
  <c r="C172" i="144" s="1"/>
  <c r="C173" i="144" s="1"/>
  <c r="C174" i="144" s="1"/>
  <c r="C175" i="144" s="1"/>
  <c r="C176" i="144" s="1"/>
  <c r="C177" i="144" s="1"/>
  <c r="C178" i="144" s="1"/>
  <c r="C179" i="144" s="1"/>
  <c r="C180" i="144" s="1"/>
  <c r="C181" i="144" s="1"/>
  <c r="C182" i="144" s="1"/>
  <c r="C183" i="144" s="1"/>
  <c r="C184" i="144" s="1"/>
  <c r="C185" i="144" s="1"/>
  <c r="C186" i="144" s="1"/>
  <c r="C187" i="144" s="1"/>
  <c r="C188" i="144" s="1"/>
  <c r="C189" i="144" s="1"/>
  <c r="C190" i="144" s="1"/>
  <c r="C191" i="144" s="1"/>
  <c r="C192" i="144" s="1"/>
  <c r="C193" i="144" s="1"/>
  <c r="C194" i="144" s="1"/>
  <c r="C195" i="144" s="1"/>
  <c r="C196" i="144" s="1"/>
  <c r="C197" i="144" s="1"/>
  <c r="C198" i="144" s="1"/>
  <c r="C199" i="144" s="1"/>
  <c r="C200" i="144" s="1"/>
  <c r="C201" i="144" s="1"/>
  <c r="C202" i="144" s="1"/>
  <c r="C203" i="144" s="1"/>
  <c r="C204" i="144" s="1"/>
  <c r="C205" i="144" s="1"/>
  <c r="C206" i="144" s="1"/>
  <c r="C207" i="144" s="1"/>
  <c r="C208" i="144" s="1"/>
  <c r="C209" i="144" s="1"/>
  <c r="C210" i="144" s="1"/>
  <c r="C211" i="144" s="1"/>
  <c r="C212" i="144" s="1"/>
  <c r="C213" i="144" s="1"/>
  <c r="C214" i="144" s="1"/>
  <c r="C215" i="144" s="1"/>
  <c r="C216" i="144" s="1"/>
  <c r="C217" i="144" s="1"/>
  <c r="C218" i="144" s="1"/>
  <c r="C219" i="144" s="1"/>
  <c r="C220" i="144" s="1"/>
  <c r="C221" i="144" s="1"/>
  <c r="C222" i="144" s="1"/>
  <c r="C223" i="144" s="1"/>
  <c r="C224" i="144" s="1"/>
  <c r="C225" i="144" s="1"/>
  <c r="C226" i="144" s="1"/>
  <c r="C227" i="144" s="1"/>
  <c r="C228" i="144" s="1"/>
  <c r="C229" i="144" s="1"/>
  <c r="C230" i="144" s="1"/>
  <c r="C231" i="144" s="1"/>
  <c r="C232" i="144" s="1"/>
  <c r="C233" i="144" s="1"/>
  <c r="C234" i="144" s="1"/>
  <c r="C235" i="144" s="1"/>
  <c r="C236" i="144" s="1"/>
  <c r="C237" i="144" s="1"/>
  <c r="C238" i="144" s="1"/>
  <c r="C239" i="144" s="1"/>
  <c r="C240" i="144" s="1"/>
  <c r="C241" i="144" s="1"/>
  <c r="C242" i="144" s="1"/>
  <c r="C3" i="142"/>
  <c r="C4" i="142" s="1"/>
  <c r="C5" i="142" s="1"/>
  <c r="C6" i="142" s="1"/>
  <c r="C7" i="142" s="1"/>
  <c r="C8" i="142" s="1"/>
  <c r="C9" i="142" s="1"/>
  <c r="C10" i="142" s="1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C59" i="142" s="1"/>
  <c r="C60" i="142" s="1"/>
  <c r="C61" i="142" s="1"/>
  <c r="C62" i="142" s="1"/>
  <c r="C63" i="142" s="1"/>
  <c r="C64" i="142" s="1"/>
  <c r="C65" i="142" s="1"/>
  <c r="C66" i="142" s="1"/>
  <c r="C67" i="142" s="1"/>
  <c r="C68" i="142" s="1"/>
  <c r="C69" i="142" s="1"/>
  <c r="C70" i="142" s="1"/>
  <c r="C71" i="142" s="1"/>
  <c r="C72" i="142" s="1"/>
  <c r="C73" i="142" s="1"/>
  <c r="C74" i="142" s="1"/>
  <c r="C75" i="142" s="1"/>
  <c r="C76" i="142" s="1"/>
  <c r="C77" i="142" s="1"/>
  <c r="C78" i="142" s="1"/>
  <c r="C79" i="142" s="1"/>
  <c r="C80" i="142" s="1"/>
  <c r="C81" i="142" s="1"/>
  <c r="C82" i="142" s="1"/>
  <c r="C83" i="142" s="1"/>
  <c r="C84" i="142" s="1"/>
  <c r="C85" i="142" s="1"/>
  <c r="C86" i="142" s="1"/>
  <c r="C87" i="142" s="1"/>
  <c r="C88" i="142" s="1"/>
  <c r="C89" i="142" s="1"/>
  <c r="C90" i="142" s="1"/>
  <c r="C91" i="142" s="1"/>
  <c r="C92" i="142" s="1"/>
  <c r="C93" i="142" s="1"/>
  <c r="C94" i="142" s="1"/>
  <c r="C95" i="142" s="1"/>
  <c r="C96" i="142" s="1"/>
  <c r="C97" i="142" s="1"/>
  <c r="C98" i="142" s="1"/>
  <c r="C99" i="142" s="1"/>
  <c r="C100" i="142" s="1"/>
  <c r="C101" i="142" s="1"/>
  <c r="C102" i="142" s="1"/>
  <c r="C103" i="142" s="1"/>
  <c r="C104" i="142" s="1"/>
  <c r="C105" i="142" s="1"/>
  <c r="C106" i="142" s="1"/>
  <c r="C107" i="142" s="1"/>
  <c r="C108" i="142" s="1"/>
  <c r="C109" i="142" s="1"/>
  <c r="C110" i="142" s="1"/>
  <c r="C111" i="142" s="1"/>
  <c r="C112" i="142" s="1"/>
  <c r="C113" i="142" s="1"/>
  <c r="C114" i="142" s="1"/>
  <c r="C115" i="142" s="1"/>
  <c r="C116" i="142" s="1"/>
  <c r="C117" i="142" s="1"/>
  <c r="C118" i="142" s="1"/>
  <c r="C119" i="142" s="1"/>
  <c r="C120" i="142" s="1"/>
  <c r="C121" i="142" s="1"/>
  <c r="C122" i="142" s="1"/>
  <c r="C123" i="142" s="1"/>
  <c r="C124" i="142" s="1"/>
  <c r="C125" i="142" s="1"/>
  <c r="C126" i="142" s="1"/>
  <c r="C127" i="142" s="1"/>
  <c r="C128" i="142" s="1"/>
  <c r="C129" i="142" s="1"/>
  <c r="C130" i="142" s="1"/>
  <c r="C131" i="142" s="1"/>
  <c r="C132" i="142" s="1"/>
  <c r="C133" i="142" s="1"/>
  <c r="C134" i="142" s="1"/>
  <c r="C135" i="142" s="1"/>
  <c r="C136" i="142" s="1"/>
  <c r="C137" i="142" s="1"/>
  <c r="C138" i="142" s="1"/>
  <c r="C139" i="142" s="1"/>
  <c r="C140" i="142" s="1"/>
  <c r="C141" i="142" s="1"/>
  <c r="C142" i="142" s="1"/>
  <c r="C143" i="142" s="1"/>
  <c r="C144" i="142" s="1"/>
  <c r="C145" i="142" s="1"/>
  <c r="C146" i="142" s="1"/>
  <c r="C147" i="142" s="1"/>
  <c r="C148" i="142" s="1"/>
  <c r="C149" i="142" s="1"/>
  <c r="C150" i="142" s="1"/>
  <c r="C151" i="142" s="1"/>
  <c r="C152" i="142" s="1"/>
  <c r="C153" i="142" s="1"/>
  <c r="C154" i="142" s="1"/>
  <c r="C155" i="142" s="1"/>
  <c r="C156" i="142" s="1"/>
  <c r="C157" i="142" s="1"/>
  <c r="C158" i="142" s="1"/>
  <c r="C159" i="142" s="1"/>
  <c r="C160" i="142" s="1"/>
  <c r="C161" i="142" s="1"/>
  <c r="C162" i="142" s="1"/>
  <c r="C163" i="142" s="1"/>
  <c r="C164" i="142" s="1"/>
  <c r="C165" i="142" s="1"/>
  <c r="C166" i="142" s="1"/>
  <c r="C167" i="142" s="1"/>
  <c r="C168" i="142" s="1"/>
  <c r="C169" i="142" s="1"/>
  <c r="C170" i="142" s="1"/>
  <c r="C171" i="142" s="1"/>
  <c r="C172" i="142" s="1"/>
  <c r="C173" i="142" s="1"/>
  <c r="C174" i="142" s="1"/>
  <c r="C175" i="142" s="1"/>
  <c r="C176" i="142" s="1"/>
  <c r="C177" i="142" s="1"/>
  <c r="C178" i="142" s="1"/>
  <c r="C179" i="142" s="1"/>
  <c r="C180" i="142" s="1"/>
  <c r="C181" i="142" s="1"/>
  <c r="C182" i="142" s="1"/>
  <c r="C183" i="142" s="1"/>
  <c r="C184" i="142" s="1"/>
  <c r="C185" i="142" s="1"/>
  <c r="C186" i="142" s="1"/>
  <c r="C187" i="142" s="1"/>
  <c r="C188" i="142" s="1"/>
  <c r="C189" i="142" s="1"/>
  <c r="C190" i="142" s="1"/>
  <c r="C191" i="142" s="1"/>
  <c r="C192" i="142" s="1"/>
  <c r="C193" i="142" s="1"/>
  <c r="C194" i="142" s="1"/>
  <c r="C195" i="142" s="1"/>
  <c r="C196" i="142" s="1"/>
  <c r="C197" i="142" s="1"/>
  <c r="C198" i="142" s="1"/>
  <c r="C199" i="142" s="1"/>
  <c r="C200" i="142" s="1"/>
  <c r="C201" i="142" s="1"/>
  <c r="B3" i="142"/>
  <c r="B4" i="142" s="1"/>
  <c r="B5" i="142" s="1"/>
  <c r="B6" i="142" s="1"/>
  <c r="B7" i="142" s="1"/>
  <c r="B8" i="142" s="1"/>
  <c r="B9" i="142" s="1"/>
  <c r="B10" i="142" s="1"/>
  <c r="B11" i="142" s="1"/>
  <c r="B12" i="142" s="1"/>
  <c r="B13" i="142" s="1"/>
  <c r="B14" i="142" s="1"/>
  <c r="B15" i="142" s="1"/>
  <c r="B16" i="142" s="1"/>
  <c r="B17" i="142" s="1"/>
  <c r="B18" i="142" s="1"/>
  <c r="B19" i="142" s="1"/>
  <c r="B20" i="142" s="1"/>
  <c r="B21" i="142" s="1"/>
  <c r="B22" i="142" s="1"/>
  <c r="B23" i="142" s="1"/>
  <c r="B24" i="142" s="1"/>
  <c r="B25" i="142" s="1"/>
  <c r="B26" i="142" s="1"/>
  <c r="B27" i="142" s="1"/>
  <c r="B28" i="142" s="1"/>
  <c r="B29" i="142" s="1"/>
  <c r="B30" i="142" s="1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44" i="142" s="1"/>
  <c r="B45" i="142" s="1"/>
  <c r="B46" i="142" s="1"/>
  <c r="B47" i="142" s="1"/>
  <c r="B48" i="142" s="1"/>
  <c r="B49" i="142" s="1"/>
  <c r="B50" i="142" s="1"/>
  <c r="B51" i="142" s="1"/>
  <c r="B52" i="142" s="1"/>
  <c r="B53" i="142" s="1"/>
  <c r="B54" i="142" s="1"/>
  <c r="B55" i="142" s="1"/>
  <c r="B56" i="142" s="1"/>
  <c r="B57" i="142" s="1"/>
  <c r="B58" i="142" s="1"/>
  <c r="B59" i="142" s="1"/>
  <c r="B60" i="142" s="1"/>
  <c r="B61" i="142" s="1"/>
  <c r="B62" i="142" s="1"/>
  <c r="B63" i="142" s="1"/>
  <c r="B64" i="142" s="1"/>
  <c r="B65" i="142" s="1"/>
  <c r="B66" i="142" s="1"/>
  <c r="B67" i="142" s="1"/>
  <c r="B68" i="142" s="1"/>
  <c r="B69" i="142" s="1"/>
  <c r="B70" i="142" s="1"/>
  <c r="B71" i="142" s="1"/>
  <c r="B72" i="142" s="1"/>
  <c r="B73" i="142" s="1"/>
  <c r="B74" i="142" s="1"/>
  <c r="B75" i="142" s="1"/>
  <c r="B76" i="142" s="1"/>
  <c r="B77" i="142" s="1"/>
  <c r="B78" i="142" s="1"/>
  <c r="B79" i="142" s="1"/>
  <c r="B80" i="142" s="1"/>
  <c r="B81" i="142" s="1"/>
  <c r="B82" i="142" s="1"/>
  <c r="B83" i="142" s="1"/>
  <c r="B84" i="142" s="1"/>
  <c r="B85" i="142" s="1"/>
  <c r="B86" i="142" s="1"/>
  <c r="B87" i="142" s="1"/>
  <c r="B88" i="142" s="1"/>
  <c r="B89" i="142" s="1"/>
  <c r="B90" i="142" s="1"/>
  <c r="B91" i="142" s="1"/>
  <c r="B92" i="142" s="1"/>
  <c r="B93" i="142" s="1"/>
  <c r="B94" i="142" s="1"/>
  <c r="B95" i="142" s="1"/>
  <c r="B96" i="142" s="1"/>
  <c r="B97" i="142" s="1"/>
  <c r="B98" i="142" s="1"/>
  <c r="B99" i="142" s="1"/>
  <c r="B100" i="142" s="1"/>
  <c r="B101" i="142" s="1"/>
  <c r="B102" i="142" s="1"/>
  <c r="B103" i="142" s="1"/>
  <c r="B104" i="142" s="1"/>
  <c r="B105" i="142" s="1"/>
  <c r="B106" i="142" s="1"/>
  <c r="B107" i="142" s="1"/>
  <c r="B108" i="142" s="1"/>
  <c r="B109" i="142" s="1"/>
  <c r="B110" i="142" s="1"/>
  <c r="B111" i="142" s="1"/>
  <c r="B112" i="142" s="1"/>
  <c r="B113" i="142" s="1"/>
  <c r="B114" i="142" s="1"/>
  <c r="B115" i="142" s="1"/>
  <c r="B116" i="142" s="1"/>
  <c r="B117" i="142" s="1"/>
  <c r="B118" i="142" s="1"/>
  <c r="B119" i="142" s="1"/>
  <c r="B120" i="142" s="1"/>
  <c r="B121" i="142" s="1"/>
  <c r="B122" i="142" s="1"/>
  <c r="B123" i="142" s="1"/>
  <c r="B124" i="142" s="1"/>
  <c r="B125" i="142" s="1"/>
  <c r="B126" i="142" s="1"/>
  <c r="B127" i="142" s="1"/>
  <c r="B128" i="142" s="1"/>
  <c r="B129" i="142" s="1"/>
  <c r="B130" i="142" s="1"/>
  <c r="B131" i="142" s="1"/>
  <c r="B132" i="142" s="1"/>
  <c r="B133" i="142" s="1"/>
  <c r="B134" i="142" s="1"/>
  <c r="B135" i="142" s="1"/>
  <c r="B136" i="142" s="1"/>
  <c r="B137" i="142" s="1"/>
  <c r="B138" i="142" s="1"/>
  <c r="B139" i="142" s="1"/>
  <c r="B140" i="142" s="1"/>
  <c r="B141" i="142" s="1"/>
  <c r="B142" i="142" s="1"/>
  <c r="B143" i="142" s="1"/>
  <c r="B144" i="142" s="1"/>
  <c r="B145" i="142" s="1"/>
  <c r="B146" i="142" s="1"/>
  <c r="B147" i="142" s="1"/>
  <c r="B148" i="142" s="1"/>
  <c r="B149" i="142" s="1"/>
  <c r="B150" i="142" s="1"/>
  <c r="B151" i="142" s="1"/>
  <c r="B152" i="142" s="1"/>
  <c r="B153" i="142" s="1"/>
  <c r="B154" i="142" s="1"/>
  <c r="B155" i="142" s="1"/>
  <c r="B156" i="142" s="1"/>
  <c r="B157" i="142" s="1"/>
  <c r="B158" i="142" s="1"/>
  <c r="B159" i="142" s="1"/>
  <c r="B160" i="142" s="1"/>
  <c r="B161" i="142" s="1"/>
  <c r="B162" i="142" s="1"/>
  <c r="B163" i="142" s="1"/>
  <c r="B164" i="142" s="1"/>
  <c r="B165" i="142" s="1"/>
  <c r="B166" i="142" s="1"/>
  <c r="B167" i="142" s="1"/>
  <c r="B168" i="142" s="1"/>
  <c r="B169" i="142" s="1"/>
  <c r="B170" i="142" s="1"/>
  <c r="B171" i="142" s="1"/>
  <c r="B172" i="142" s="1"/>
  <c r="B173" i="142" s="1"/>
  <c r="B174" i="142" s="1"/>
  <c r="B175" i="142" s="1"/>
  <c r="B176" i="142" s="1"/>
  <c r="B177" i="142" s="1"/>
  <c r="B178" i="142" s="1"/>
  <c r="B179" i="142" s="1"/>
  <c r="B180" i="142" s="1"/>
  <c r="B181" i="142" s="1"/>
  <c r="B182" i="142" s="1"/>
  <c r="B183" i="142" s="1"/>
  <c r="B184" i="142" s="1"/>
  <c r="B185" i="142" s="1"/>
  <c r="B186" i="142" s="1"/>
  <c r="B187" i="142" s="1"/>
  <c r="B188" i="142" s="1"/>
  <c r="B189" i="142" s="1"/>
  <c r="B190" i="142" s="1"/>
  <c r="B191" i="142" s="1"/>
  <c r="B192" i="142" s="1"/>
  <c r="B193" i="142" s="1"/>
  <c r="B194" i="142" s="1"/>
  <c r="B195" i="142" s="1"/>
  <c r="B196" i="142" s="1"/>
  <c r="B197" i="142" s="1"/>
  <c r="B198" i="142" s="1"/>
  <c r="B199" i="142" s="1"/>
  <c r="B200" i="142" s="1"/>
  <c r="B201" i="142" s="1"/>
  <c r="C2" i="142"/>
  <c r="B2" i="142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B2" i="141"/>
  <c r="B3" i="14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N231" i="139"/>
  <c r="N232" i="139"/>
  <c r="N233" i="139"/>
  <c r="N234" i="139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47" l="1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A97" i="147" s="1"/>
  <c r="A98" i="147" s="1"/>
  <c r="A99" i="147" s="1"/>
  <c r="A100" i="147" s="1"/>
  <c r="A101" i="147" s="1"/>
  <c r="A102" i="147" s="1"/>
  <c r="A103" i="147" s="1"/>
  <c r="A104" i="147" s="1"/>
  <c r="A105" i="147" s="1"/>
  <c r="A106" i="147" s="1"/>
  <c r="A107" i="147" s="1"/>
  <c r="A108" i="147" s="1"/>
  <c r="A109" i="147" s="1"/>
  <c r="A110" i="147" s="1"/>
  <c r="A111" i="147" s="1"/>
  <c r="A112" i="147" s="1"/>
  <c r="A113" i="147" s="1"/>
  <c r="A114" i="147" s="1"/>
  <c r="A115" i="147" s="1"/>
  <c r="A116" i="147" s="1"/>
  <c r="A117" i="147" s="1"/>
  <c r="A118" i="147" s="1"/>
  <c r="A119" i="147" s="1"/>
  <c r="A120" i="147" s="1"/>
  <c r="A121" i="147" s="1"/>
  <c r="A122" i="147" s="1"/>
  <c r="A123" i="147" s="1"/>
  <c r="A124" i="147" s="1"/>
  <c r="A125" i="147" s="1"/>
  <c r="A126" i="147" s="1"/>
  <c r="A127" i="147" s="1"/>
  <c r="A128" i="147" s="1"/>
  <c r="A129" i="147" s="1"/>
  <c r="A130" i="147" s="1"/>
  <c r="A131" i="147" s="1"/>
  <c r="A132" i="147" s="1"/>
  <c r="A133" i="147" s="1"/>
  <c r="A134" i="147" s="1"/>
  <c r="A135" i="147" s="1"/>
  <c r="A136" i="147" s="1"/>
  <c r="A137" i="147" s="1"/>
  <c r="A138" i="147" s="1"/>
  <c r="A139" i="147" s="1"/>
  <c r="A140" i="147" s="1"/>
  <c r="A141" i="147" s="1"/>
  <c r="A142" i="147" s="1"/>
  <c r="A143" i="147" s="1"/>
  <c r="A144" i="147" s="1"/>
  <c r="O3" i="147"/>
  <c r="O4" i="147" s="1"/>
  <c r="O5" i="147" s="1"/>
  <c r="O6" i="147" s="1"/>
  <c r="O7" i="147" s="1"/>
  <c r="O8" i="147" s="1"/>
  <c r="O9" i="147" s="1"/>
  <c r="O10" i="147" s="1"/>
  <c r="O11" i="147" s="1"/>
  <c r="O12" i="147" s="1"/>
  <c r="O13" i="147" s="1"/>
  <c r="O14" i="147" s="1"/>
  <c r="O15" i="147" s="1"/>
  <c r="O16" i="147" s="1"/>
  <c r="O17" i="147" s="1"/>
  <c r="O18" i="147" s="1"/>
  <c r="O19" i="147" s="1"/>
  <c r="O20" i="147" s="1"/>
  <c r="O21" i="147" s="1"/>
  <c r="O22" i="147" s="1"/>
  <c r="O23" i="147" s="1"/>
  <c r="O24" i="147" s="1"/>
  <c r="O25" i="147" s="1"/>
  <c r="O26" i="147" s="1"/>
  <c r="O27" i="147" s="1"/>
  <c r="O28" i="147" s="1"/>
  <c r="O29" i="147" s="1"/>
  <c r="O30" i="147" s="1"/>
  <c r="O31" i="147" s="1"/>
  <c r="O32" i="147" s="1"/>
  <c r="O33" i="147" s="1"/>
  <c r="O34" i="147" s="1"/>
  <c r="O35" i="147" s="1"/>
  <c r="O36" i="147" s="1"/>
  <c r="O37" i="147" s="1"/>
  <c r="O38" i="147" s="1"/>
  <c r="O39" i="147" s="1"/>
  <c r="O40" i="147" s="1"/>
  <c r="O41" i="147" s="1"/>
  <c r="O42" i="147" s="1"/>
  <c r="O43" i="147" s="1"/>
  <c r="O44" i="147" s="1"/>
  <c r="O45" i="147" s="1"/>
  <c r="O46" i="147" s="1"/>
  <c r="O47" i="147" s="1"/>
  <c r="O48" i="147" s="1"/>
  <c r="O49" i="147" s="1"/>
  <c r="O50" i="147" s="1"/>
  <c r="O51" i="147" s="1"/>
  <c r="O52" i="147" s="1"/>
  <c r="O53" i="147" s="1"/>
  <c r="O54" i="147" s="1"/>
  <c r="O55" i="147" s="1"/>
  <c r="O56" i="147" s="1"/>
  <c r="O57" i="147" s="1"/>
  <c r="O58" i="147" s="1"/>
  <c r="O59" i="147" s="1"/>
  <c r="O60" i="147" s="1"/>
  <c r="O61" i="147" s="1"/>
  <c r="O62" i="147" s="1"/>
  <c r="O63" i="147" s="1"/>
  <c r="O64" i="147" s="1"/>
  <c r="O65" i="147" s="1"/>
  <c r="O66" i="147" s="1"/>
  <c r="O67" i="147" s="1"/>
  <c r="O68" i="147" s="1"/>
  <c r="O69" i="147" s="1"/>
  <c r="O70" i="147" s="1"/>
  <c r="O71" i="147" s="1"/>
  <c r="O72" i="147" s="1"/>
  <c r="O73" i="147" s="1"/>
  <c r="O74" i="147" s="1"/>
  <c r="O75" i="147" s="1"/>
  <c r="O76" i="147" s="1"/>
  <c r="O77" i="147" s="1"/>
  <c r="O78" i="147" s="1"/>
  <c r="O79" i="147" s="1"/>
  <c r="O80" i="147" s="1"/>
  <c r="O81" i="147" s="1"/>
  <c r="O82" i="147" s="1"/>
  <c r="O83" i="147" s="1"/>
  <c r="O84" i="147" s="1"/>
  <c r="O85" i="147" s="1"/>
  <c r="O86" i="147" s="1"/>
  <c r="O87" i="147" s="1"/>
  <c r="O88" i="147" s="1"/>
  <c r="O89" i="147" s="1"/>
  <c r="O90" i="147" s="1"/>
  <c r="O91" i="147" s="1"/>
  <c r="O92" i="147" s="1"/>
  <c r="O93" i="147" s="1"/>
  <c r="O94" i="147" s="1"/>
  <c r="O95" i="147" s="1"/>
  <c r="O96" i="147" s="1"/>
  <c r="O97" i="147" s="1"/>
  <c r="O98" i="147" s="1"/>
  <c r="O99" i="147" s="1"/>
  <c r="O100" i="147" s="1"/>
  <c r="O101" i="147" s="1"/>
  <c r="O102" i="147" s="1"/>
  <c r="O103" i="147" s="1"/>
  <c r="O104" i="147" s="1"/>
  <c r="O105" i="147" s="1"/>
  <c r="O106" i="147" s="1"/>
  <c r="O107" i="147" s="1"/>
  <c r="O108" i="147" s="1"/>
  <c r="O109" i="147" s="1"/>
  <c r="O110" i="147" s="1"/>
  <c r="O111" i="147" s="1"/>
  <c r="O112" i="147" s="1"/>
  <c r="O113" i="147" s="1"/>
  <c r="O114" i="147" s="1"/>
  <c r="O115" i="147" s="1"/>
  <c r="O116" i="147" s="1"/>
  <c r="O117" i="147" s="1"/>
  <c r="O118" i="147" s="1"/>
  <c r="O119" i="147" s="1"/>
  <c r="O120" i="147" s="1"/>
  <c r="O121" i="147" s="1"/>
  <c r="O122" i="147" s="1"/>
  <c r="O123" i="147" s="1"/>
  <c r="O124" i="147" s="1"/>
  <c r="O125" i="147" s="1"/>
  <c r="O126" i="147" s="1"/>
  <c r="O127" i="147" s="1"/>
  <c r="O128" i="147" s="1"/>
  <c r="O129" i="147" s="1"/>
  <c r="O130" i="147" s="1"/>
  <c r="O131" i="147" s="1"/>
  <c r="O132" i="147" s="1"/>
  <c r="O133" i="147" s="1"/>
  <c r="O134" i="147" s="1"/>
  <c r="O135" i="147" s="1"/>
  <c r="O136" i="147" s="1"/>
  <c r="O137" i="147" s="1"/>
  <c r="O138" i="147" s="1"/>
  <c r="O139" i="147" s="1"/>
  <c r="O140" i="147" s="1"/>
  <c r="O141" i="147" s="1"/>
  <c r="O142" i="147" s="1"/>
  <c r="O143" i="147" s="1"/>
  <c r="O144" i="147" s="1"/>
  <c r="A3" i="146"/>
  <c r="A4" i="146" s="1"/>
  <c r="A5" i="146" s="1"/>
  <c r="O3" i="146"/>
  <c r="O4" i="146"/>
  <c r="O5" i="146" s="1"/>
  <c r="O6" i="146" s="1"/>
  <c r="O7" i="146" s="1"/>
  <c r="A6" i="146"/>
  <c r="A7" i="146"/>
  <c r="A8" i="146" s="1"/>
  <c r="O8" i="146"/>
  <c r="O9" i="146" s="1"/>
  <c r="O10" i="146" s="1"/>
  <c r="O11" i="146" s="1"/>
  <c r="O12" i="146" s="1"/>
  <c r="O13" i="146" s="1"/>
  <c r="O14" i="146" s="1"/>
  <c r="O15" i="146" s="1"/>
  <c r="O16" i="146" s="1"/>
  <c r="O17" i="146" s="1"/>
  <c r="O18" i="146" s="1"/>
  <c r="O19" i="146" s="1"/>
  <c r="O20" i="146" s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O34" i="146" s="1"/>
  <c r="O35" i="146" s="1"/>
  <c r="O36" i="146" s="1"/>
  <c r="A9" i="146"/>
  <c r="A10" i="146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/>
  <c r="A29" i="146" s="1"/>
  <c r="A30" i="146" s="1"/>
  <c r="A31" i="146" s="1"/>
  <c r="A32" i="146" s="1"/>
  <c r="A33" i="146"/>
  <c r="A34" i="146" s="1"/>
  <c r="A35" i="146" s="1"/>
  <c r="A36" i="146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3" i="144"/>
  <c r="A4" i="144" s="1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98" i="144" s="1"/>
  <c r="A99" i="144" s="1"/>
  <c r="A100" i="144" s="1"/>
  <c r="A101" i="144" s="1"/>
  <c r="A102" i="144" s="1"/>
  <c r="A103" i="144" s="1"/>
  <c r="A104" i="144" s="1"/>
  <c r="A105" i="144" s="1"/>
  <c r="A106" i="144" s="1"/>
  <c r="A107" i="144" s="1"/>
  <c r="A108" i="144" s="1"/>
  <c r="A109" i="144" s="1"/>
  <c r="A110" i="144" s="1"/>
  <c r="A111" i="144" s="1"/>
  <c r="A112" i="144" s="1"/>
  <c r="A113" i="144" s="1"/>
  <c r="A114" i="144" s="1"/>
  <c r="A115" i="144" s="1"/>
  <c r="A116" i="144" s="1"/>
  <c r="A117" i="144" s="1"/>
  <c r="A118" i="144" s="1"/>
  <c r="A119" i="144" s="1"/>
  <c r="A120" i="144" s="1"/>
  <c r="A121" i="144" s="1"/>
  <c r="A122" i="144" s="1"/>
  <c r="A123" i="144" s="1"/>
  <c r="A124" i="144" s="1"/>
  <c r="A125" i="144" s="1"/>
  <c r="A126" i="144" s="1"/>
  <c r="A127" i="144" s="1"/>
  <c r="A128" i="144" s="1"/>
  <c r="A129" i="144" s="1"/>
  <c r="A130" i="144" s="1"/>
  <c r="A131" i="144" s="1"/>
  <c r="A132" i="144" s="1"/>
  <c r="A133" i="144" s="1"/>
  <c r="A134" i="144" s="1"/>
  <c r="A135" i="144" s="1"/>
  <c r="A136" i="144" s="1"/>
  <c r="A137" i="144" s="1"/>
  <c r="A138" i="144" s="1"/>
  <c r="A139" i="144" s="1"/>
  <c r="A140" i="144" s="1"/>
  <c r="A141" i="144" s="1"/>
  <c r="A142" i="144" s="1"/>
  <c r="A143" i="144" s="1"/>
  <c r="A144" i="144" s="1"/>
  <c r="A145" i="144" s="1"/>
  <c r="A146" i="144" s="1"/>
  <c r="A147" i="144" s="1"/>
  <c r="A148" i="144" s="1"/>
  <c r="A149" i="144" s="1"/>
  <c r="A150" i="144" s="1"/>
  <c r="A151" i="144" s="1"/>
  <c r="A152" i="144" s="1"/>
  <c r="A153" i="144" s="1"/>
  <c r="A154" i="144" s="1"/>
  <c r="A155" i="144" s="1"/>
  <c r="A156" i="144" s="1"/>
  <c r="A157" i="144" s="1"/>
  <c r="A158" i="144" s="1"/>
  <c r="A159" i="144" s="1"/>
  <c r="A160" i="144" s="1"/>
  <c r="A161" i="144" s="1"/>
  <c r="A162" i="144" s="1"/>
  <c r="A163" i="144" s="1"/>
  <c r="O4" i="144"/>
  <c r="O6" i="144"/>
  <c r="O8" i="144"/>
  <c r="O10" i="144"/>
  <c r="O12" i="144"/>
  <c r="O14" i="144"/>
  <c r="O16" i="144"/>
  <c r="O18" i="144"/>
  <c r="O20" i="144"/>
  <c r="O22" i="144"/>
  <c r="O24" i="144"/>
  <c r="O26" i="144"/>
  <c r="O28" i="144"/>
  <c r="O30" i="144"/>
  <c r="O32" i="144"/>
  <c r="O34" i="144"/>
  <c r="O36" i="144"/>
  <c r="O38" i="144"/>
  <c r="O40" i="144"/>
  <c r="O42" i="144"/>
  <c r="O44" i="144"/>
  <c r="O46" i="144"/>
  <c r="O48" i="144"/>
  <c r="O50" i="144"/>
  <c r="O52" i="144"/>
  <c r="O54" i="144"/>
  <c r="O56" i="144"/>
  <c r="O58" i="144"/>
  <c r="O60" i="144"/>
  <c r="O62" i="144"/>
  <c r="O72" i="144"/>
  <c r="O74" i="144"/>
  <c r="O76" i="144"/>
  <c r="O78" i="144"/>
  <c r="O79" i="144" s="1"/>
  <c r="O80" i="144"/>
  <c r="O81" i="144" s="1"/>
  <c r="O82" i="144" s="1"/>
  <c r="O83" i="144" s="1"/>
  <c r="O84" i="144" s="1"/>
  <c r="O85" i="144" s="1"/>
  <c r="O86" i="144" s="1"/>
  <c r="O87" i="144" s="1"/>
  <c r="O88" i="144" s="1"/>
  <c r="O89" i="144" s="1"/>
  <c r="O90" i="144" s="1"/>
  <c r="O91" i="144" s="1"/>
  <c r="O92" i="144" s="1"/>
  <c r="O93" i="144" s="1"/>
  <c r="O94" i="144" s="1"/>
  <c r="O95" i="144" s="1"/>
  <c r="O96" i="144" s="1"/>
  <c r="O97" i="144" s="1"/>
  <c r="O98" i="144" s="1"/>
  <c r="O99" i="144" s="1"/>
  <c r="O100" i="144" s="1"/>
  <c r="O101" i="144" s="1"/>
  <c r="O102" i="144" s="1"/>
  <c r="O103" i="144" s="1"/>
  <c r="O104" i="144" s="1"/>
  <c r="O105" i="144" s="1"/>
  <c r="O106" i="144" s="1"/>
  <c r="O107" i="144" s="1"/>
  <c r="O108" i="144" s="1"/>
  <c r="O109" i="144" s="1"/>
  <c r="O110" i="144" s="1"/>
  <c r="O111" i="144" s="1"/>
  <c r="O112" i="144" s="1"/>
  <c r="O113" i="144" s="1"/>
  <c r="O114" i="144" s="1"/>
  <c r="O115" i="144" s="1"/>
  <c r="O116" i="144" s="1"/>
  <c r="O117" i="144" s="1"/>
  <c r="O118" i="144" s="1"/>
  <c r="O119" i="144" s="1"/>
  <c r="O120" i="144" s="1"/>
  <c r="O121" i="144" s="1"/>
  <c r="O122" i="144" s="1"/>
  <c r="O123" i="144" s="1"/>
  <c r="O124" i="144" s="1"/>
  <c r="O125" i="144" s="1"/>
  <c r="O126" i="144" s="1"/>
  <c r="O127" i="144" s="1"/>
  <c r="O128" i="144" s="1"/>
  <c r="O129" i="144" s="1"/>
  <c r="O130" i="144" s="1"/>
  <c r="O131" i="144" s="1"/>
  <c r="O132" i="144" s="1"/>
  <c r="O133" i="144" s="1"/>
  <c r="O134" i="144" s="1"/>
  <c r="O135" i="144" s="1"/>
  <c r="O136" i="144" s="1"/>
  <c r="O137" i="144" s="1"/>
  <c r="O138" i="144" s="1"/>
  <c r="O139" i="144" s="1"/>
  <c r="O140" i="144" s="1"/>
  <c r="O141" i="144" s="1"/>
  <c r="O142" i="144" s="1"/>
  <c r="O143" i="144" s="1"/>
  <c r="O144" i="144" s="1"/>
  <c r="O145" i="144" s="1"/>
  <c r="O146" i="144" s="1"/>
  <c r="O147" i="144" s="1"/>
  <c r="O148" i="144" s="1"/>
  <c r="O149" i="144" s="1"/>
  <c r="O150" i="144" s="1"/>
  <c r="O151" i="144" s="1"/>
  <c r="O152" i="144" s="1"/>
  <c r="O153" i="144" s="1"/>
  <c r="O154" i="144" s="1"/>
  <c r="O155" i="144" s="1"/>
  <c r="O156" i="144" s="1"/>
  <c r="O157" i="144" s="1"/>
  <c r="O158" i="144" s="1"/>
  <c r="O159" i="144" s="1"/>
  <c r="O160" i="144" s="1"/>
  <c r="O161" i="144" s="1"/>
  <c r="O162" i="144" s="1"/>
  <c r="O163" i="144" s="1"/>
  <c r="O164" i="144" s="1"/>
  <c r="O165" i="144" s="1"/>
  <c r="O166" i="144" s="1"/>
  <c r="O167" i="144" s="1"/>
  <c r="O168" i="144" s="1"/>
  <c r="O169" i="144" s="1"/>
  <c r="O170" i="144" s="1"/>
  <c r="O171" i="144" s="1"/>
  <c r="O172" i="144" s="1"/>
  <c r="O173" i="144" s="1"/>
  <c r="O174" i="144" s="1"/>
  <c r="O175" i="144" s="1"/>
  <c r="O176" i="144" s="1"/>
  <c r="O177" i="144" s="1"/>
  <c r="O178" i="144" s="1"/>
  <c r="O179" i="144" s="1"/>
  <c r="O180" i="144" s="1"/>
  <c r="O181" i="144" s="1"/>
  <c r="O182" i="144" s="1"/>
  <c r="O183" i="144" s="1"/>
  <c r="O184" i="144" s="1"/>
  <c r="O185" i="144" s="1"/>
  <c r="O186" i="144" s="1"/>
  <c r="O187" i="144" s="1"/>
  <c r="O188" i="144" s="1"/>
  <c r="O189" i="144" s="1"/>
  <c r="O190" i="144" s="1"/>
  <c r="O191" i="144" s="1"/>
  <c r="O192" i="144" s="1"/>
  <c r="O193" i="144" s="1"/>
  <c r="O194" i="144" s="1"/>
  <c r="O195" i="144" s="1"/>
  <c r="O196" i="144" s="1"/>
  <c r="O197" i="144" s="1"/>
  <c r="O198" i="144" s="1"/>
  <c r="O199" i="144" s="1"/>
  <c r="O200" i="144" s="1"/>
  <c r="O201" i="144" s="1"/>
  <c r="O202" i="144" s="1"/>
  <c r="O203" i="144" s="1"/>
  <c r="O204" i="144" s="1"/>
  <c r="O205" i="144" s="1"/>
  <c r="O206" i="144" s="1"/>
  <c r="O207" i="144" s="1"/>
  <c r="O208" i="144" s="1"/>
  <c r="O209" i="144" s="1"/>
  <c r="O210" i="144" s="1"/>
  <c r="O211" i="144" s="1"/>
  <c r="O212" i="144" s="1"/>
  <c r="O213" i="144" s="1"/>
  <c r="O214" i="144" s="1"/>
  <c r="O215" i="144" s="1"/>
  <c r="O216" i="144" s="1"/>
  <c r="O217" i="144" s="1"/>
  <c r="O218" i="144" s="1"/>
  <c r="O219" i="144" s="1"/>
  <c r="O220" i="144" s="1"/>
  <c r="O221" i="144" s="1"/>
  <c r="O222" i="144" s="1"/>
  <c r="O223" i="144" s="1"/>
  <c r="O224" i="144" s="1"/>
  <c r="O225" i="144" s="1"/>
  <c r="O226" i="144" s="1"/>
  <c r="O227" i="144" s="1"/>
  <c r="O228" i="144" s="1"/>
  <c r="O229" i="144" s="1"/>
  <c r="O230" i="144" s="1"/>
  <c r="O231" i="144" s="1"/>
  <c r="O232" i="144" s="1"/>
  <c r="O233" i="144" s="1"/>
  <c r="O234" i="144" s="1"/>
  <c r="O235" i="144" s="1"/>
  <c r="O236" i="144" s="1"/>
  <c r="O237" i="144" s="1"/>
  <c r="O238" i="144" s="1"/>
  <c r="O239" i="144" s="1"/>
  <c r="O240" i="144" s="1"/>
  <c r="O241" i="144" s="1"/>
  <c r="O242" i="144" s="1"/>
  <c r="O3" i="90" l="1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O3" i="143"/>
  <c r="O4" i="143" s="1"/>
  <c r="O5" i="143" s="1"/>
  <c r="O6" i="143" s="1"/>
  <c r="O7" i="143" s="1"/>
  <c r="O8" i="143" s="1"/>
  <c r="O9" i="143" s="1"/>
  <c r="O10" i="143" s="1"/>
  <c r="O11" i="143" s="1"/>
  <c r="O12" i="143" s="1"/>
  <c r="O13" i="143" s="1"/>
  <c r="O14" i="143" s="1"/>
  <c r="O15" i="143" s="1"/>
  <c r="O16" i="143" s="1"/>
  <c r="O17" i="143" s="1"/>
  <c r="O18" i="143" s="1"/>
  <c r="O19" i="143" s="1"/>
  <c r="O20" i="143" s="1"/>
  <c r="O21" i="143" s="1"/>
  <c r="O22" i="143" s="1"/>
  <c r="O23" i="143" s="1"/>
  <c r="O24" i="143" s="1"/>
  <c r="O25" i="143" s="1"/>
  <c r="O26" i="143" s="1"/>
  <c r="O27" i="143" s="1"/>
  <c r="O28" i="143" s="1"/>
  <c r="O29" i="143" s="1"/>
  <c r="O30" i="143" s="1"/>
  <c r="O31" i="143" s="1"/>
  <c r="O32" i="143" s="1"/>
  <c r="O33" i="143" s="1"/>
  <c r="O34" i="143" s="1"/>
  <c r="O35" i="143" s="1"/>
  <c r="O36" i="143" s="1"/>
  <c r="O37" i="143" s="1"/>
  <c r="O38" i="143" s="1"/>
  <c r="O39" i="143" s="1"/>
  <c r="O40" i="143" s="1"/>
  <c r="O41" i="143" s="1"/>
  <c r="O42" i="143" s="1"/>
  <c r="O43" i="143" s="1"/>
  <c r="O44" i="143" s="1"/>
  <c r="O45" i="143" s="1"/>
  <c r="O46" i="143" s="1"/>
  <c r="O47" i="143" s="1"/>
  <c r="O48" i="143" s="1"/>
  <c r="O49" i="143" s="1"/>
  <c r="O50" i="143" s="1"/>
  <c r="O51" i="143" s="1"/>
  <c r="O52" i="143" s="1"/>
  <c r="O53" i="143" s="1"/>
  <c r="O54" i="143" s="1"/>
  <c r="O55" i="143" s="1"/>
  <c r="O56" i="143" s="1"/>
  <c r="O57" i="143" s="1"/>
  <c r="O58" i="143" s="1"/>
  <c r="O59" i="143" s="1"/>
  <c r="O60" i="143" s="1"/>
  <c r="O61" i="143" s="1"/>
  <c r="O62" i="143" s="1"/>
  <c r="O63" i="143" s="1"/>
  <c r="O64" i="143" s="1"/>
  <c r="O65" i="143" s="1"/>
  <c r="O66" i="143" s="1"/>
  <c r="O67" i="143" s="1"/>
  <c r="O68" i="143" s="1"/>
  <c r="O69" i="143" s="1"/>
  <c r="O70" i="143" s="1"/>
  <c r="O71" i="143" s="1"/>
  <c r="O72" i="143" s="1"/>
  <c r="O73" i="143" s="1"/>
  <c r="O74" i="143" s="1"/>
  <c r="O75" i="143" s="1"/>
  <c r="O76" i="143" s="1"/>
  <c r="O77" i="143" s="1"/>
  <c r="O78" i="143" s="1"/>
  <c r="O79" i="143" s="1"/>
  <c r="O80" i="143" s="1"/>
  <c r="O81" i="143" s="1"/>
  <c r="O82" i="143" s="1"/>
  <c r="O83" i="143" s="1"/>
  <c r="O84" i="143" s="1"/>
  <c r="O85" i="143" s="1"/>
  <c r="O86" i="143" s="1"/>
  <c r="O87" i="143" s="1"/>
  <c r="O88" i="143" s="1"/>
  <c r="O89" i="143" s="1"/>
  <c r="O90" i="143" s="1"/>
  <c r="O91" i="143" s="1"/>
  <c r="O92" i="143" s="1"/>
  <c r="O93" i="143" s="1"/>
  <c r="O94" i="143" s="1"/>
  <c r="O95" i="143" s="1"/>
  <c r="O96" i="143" s="1"/>
  <c r="O97" i="143" s="1"/>
  <c r="O98" i="143" s="1"/>
  <c r="O99" i="143" s="1"/>
  <c r="O100" i="143" s="1"/>
  <c r="O101" i="143" s="1"/>
  <c r="O102" i="143" s="1"/>
  <c r="O103" i="143" s="1"/>
  <c r="O104" i="143" s="1"/>
  <c r="O105" i="143" s="1"/>
  <c r="O106" i="143" s="1"/>
  <c r="O107" i="143" s="1"/>
  <c r="O108" i="143" s="1"/>
  <c r="O109" i="143" s="1"/>
  <c r="O110" i="143" s="1"/>
  <c r="O111" i="143" s="1"/>
  <c r="O112" i="143" s="1"/>
  <c r="O113" i="143" s="1"/>
  <c r="O114" i="143" s="1"/>
  <c r="O115" i="143" s="1"/>
  <c r="O116" i="143" s="1"/>
  <c r="O117" i="143" s="1"/>
  <c r="O118" i="143" s="1"/>
  <c r="O119" i="143" s="1"/>
  <c r="O120" i="143" s="1"/>
  <c r="O121" i="143" s="1"/>
  <c r="O122" i="143" s="1"/>
  <c r="O123" i="143" s="1"/>
  <c r="O124" i="143" s="1"/>
  <c r="O125" i="143" s="1"/>
  <c r="O126" i="143" s="1"/>
  <c r="O127" i="143" s="1"/>
  <c r="O128" i="143" s="1"/>
  <c r="O129" i="143" s="1"/>
  <c r="O130" i="143" s="1"/>
  <c r="O131" i="143" s="1"/>
  <c r="O132" i="143" s="1"/>
  <c r="O133" i="143" s="1"/>
  <c r="O134" i="143" s="1"/>
  <c r="O135" i="143" s="1"/>
  <c r="O136" i="143" s="1"/>
  <c r="O137" i="143" s="1"/>
  <c r="O138" i="143" s="1"/>
  <c r="O139" i="143" s="1"/>
  <c r="O140" i="143" s="1"/>
  <c r="O141" i="143" s="1"/>
  <c r="O142" i="143" s="1"/>
  <c r="O143" i="143" s="1"/>
  <c r="O144" i="143" s="1"/>
  <c r="O145" i="143" s="1"/>
  <c r="O146" i="143" s="1"/>
  <c r="O147" i="143" s="1"/>
  <c r="O2" i="133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143"/>
  <c r="A4" i="143" s="1"/>
  <c r="A5" i="143" s="1"/>
  <c r="A6" i="143" s="1"/>
  <c r="A7" i="143" s="1"/>
  <c r="A8" i="143" s="1"/>
  <c r="A9" i="143" s="1"/>
  <c r="A10" i="143" s="1"/>
  <c r="A11" i="143" s="1"/>
  <c r="A12" i="143" s="1"/>
  <c r="A13" i="143" s="1"/>
  <c r="A14" i="143" s="1"/>
  <c r="A15" i="143" s="1"/>
  <c r="A16" i="143" s="1"/>
  <c r="A17" i="143" s="1"/>
  <c r="A18" i="143" s="1"/>
  <c r="A19" i="143" s="1"/>
  <c r="A20" i="143" s="1"/>
  <c r="A21" i="143" s="1"/>
  <c r="A22" i="143" s="1"/>
  <c r="A23" i="143" s="1"/>
  <c r="A24" i="143" s="1"/>
  <c r="A25" i="143" s="1"/>
  <c r="A26" i="143" s="1"/>
  <c r="A27" i="143" s="1"/>
  <c r="A28" i="143" s="1"/>
  <c r="A29" i="143" s="1"/>
  <c r="A30" i="143" s="1"/>
  <c r="A31" i="143" s="1"/>
  <c r="A32" i="143" s="1"/>
  <c r="A33" i="143" s="1"/>
  <c r="A34" i="143" s="1"/>
  <c r="A35" i="143" s="1"/>
  <c r="A36" i="143" s="1"/>
  <c r="A37" i="143" s="1"/>
  <c r="A38" i="143" s="1"/>
  <c r="A39" i="143" s="1"/>
  <c r="A40" i="143" s="1"/>
  <c r="A41" i="143" s="1"/>
  <c r="A42" i="143" s="1"/>
  <c r="A43" i="143" s="1"/>
  <c r="A44" i="143" s="1"/>
  <c r="A45" i="143" s="1"/>
  <c r="A46" i="143" s="1"/>
  <c r="A47" i="143" s="1"/>
  <c r="A48" i="143" s="1"/>
  <c r="A49" i="143" s="1"/>
  <c r="A50" i="143" s="1"/>
  <c r="A51" i="143" s="1"/>
  <c r="A52" i="143" s="1"/>
  <c r="A53" i="143" s="1"/>
  <c r="A54" i="143" s="1"/>
  <c r="A55" i="143" s="1"/>
  <c r="A56" i="143" s="1"/>
  <c r="A57" i="143" s="1"/>
  <c r="A58" i="143" s="1"/>
  <c r="A59" i="143" s="1"/>
  <c r="A60" i="143" s="1"/>
  <c r="A61" i="143" s="1"/>
  <c r="A62" i="143" s="1"/>
  <c r="A63" i="143" s="1"/>
  <c r="A64" i="143" s="1"/>
  <c r="A65" i="143" s="1"/>
  <c r="A66" i="143" s="1"/>
  <c r="A67" i="143" s="1"/>
  <c r="A68" i="143" s="1"/>
  <c r="A69" i="143" s="1"/>
  <c r="A70" i="143" s="1"/>
  <c r="A71" i="143" s="1"/>
  <c r="A72" i="143" s="1"/>
  <c r="A73" i="143" s="1"/>
  <c r="A74" i="143" s="1"/>
  <c r="A75" i="143" s="1"/>
  <c r="A76" i="143" s="1"/>
  <c r="A77" i="143" s="1"/>
  <c r="A78" i="143" s="1"/>
  <c r="A79" i="143" s="1"/>
  <c r="A80" i="143" s="1"/>
  <c r="A81" i="143" s="1"/>
  <c r="A82" i="143" s="1"/>
  <c r="A83" i="143" s="1"/>
  <c r="A84" i="143" s="1"/>
  <c r="A85" i="143" s="1"/>
  <c r="A86" i="143" s="1"/>
  <c r="A87" i="143" s="1"/>
  <c r="A88" i="143" s="1"/>
  <c r="A89" i="143" s="1"/>
  <c r="A90" i="143" s="1"/>
  <c r="A91" i="143" s="1"/>
  <c r="A92" i="143" s="1"/>
  <c r="A93" i="143" s="1"/>
  <c r="A94" i="143" s="1"/>
  <c r="A95" i="143" s="1"/>
  <c r="A96" i="143" s="1"/>
  <c r="A97" i="143" s="1"/>
  <c r="A98" i="143" s="1"/>
  <c r="A99" i="143" s="1"/>
  <c r="A100" i="143" s="1"/>
  <c r="A101" i="143" s="1"/>
  <c r="A102" i="143" s="1"/>
  <c r="A103" i="143" s="1"/>
  <c r="A104" i="143" s="1"/>
  <c r="A105" i="143" s="1"/>
  <c r="A106" i="143" s="1"/>
  <c r="A107" i="143" s="1"/>
  <c r="A108" i="143" s="1"/>
  <c r="A109" i="143" s="1"/>
  <c r="A110" i="143" s="1"/>
  <c r="A111" i="143" s="1"/>
  <c r="A112" i="143" s="1"/>
  <c r="A113" i="143" s="1"/>
  <c r="A114" i="143" s="1"/>
  <c r="A115" i="143" s="1"/>
  <c r="A116" i="143" s="1"/>
  <c r="A117" i="143" s="1"/>
  <c r="A118" i="143" s="1"/>
  <c r="A119" i="143" s="1"/>
  <c r="A120" i="143" s="1"/>
  <c r="A121" i="143" s="1"/>
  <c r="A122" i="143" s="1"/>
  <c r="A123" i="143" s="1"/>
  <c r="A124" i="143" s="1"/>
  <c r="A125" i="143" s="1"/>
  <c r="A126" i="143" s="1"/>
  <c r="A127" i="143" s="1"/>
  <c r="A128" i="143" s="1"/>
  <c r="A129" i="143" s="1"/>
  <c r="A130" i="143" s="1"/>
  <c r="A131" i="143" s="1"/>
  <c r="A132" i="143" s="1"/>
  <c r="A133" i="143" s="1"/>
  <c r="A134" i="143" s="1"/>
  <c r="A135" i="143" s="1"/>
  <c r="A136" i="143" s="1"/>
  <c r="A137" i="143" s="1"/>
  <c r="A138" i="143" s="1"/>
  <c r="A139" i="143" s="1"/>
  <c r="A140" i="143" s="1"/>
  <c r="A141" i="143" s="1"/>
  <c r="A142" i="143" s="1"/>
  <c r="A143" i="143" s="1"/>
  <c r="A144" i="143" s="1"/>
  <c r="A145" i="143" s="1"/>
  <c r="A146" i="143" s="1"/>
  <c r="A147" i="143" s="1"/>
  <c r="A70" i="77"/>
  <c r="A71" i="77" s="1"/>
  <c r="A72" i="77" s="1"/>
  <c r="A73" i="77" s="1"/>
  <c r="A74" i="77"/>
  <c r="A75" i="77" s="1"/>
  <c r="A76" i="77" s="1"/>
  <c r="A77" i="77" s="1"/>
  <c r="A78" i="77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O146" i="77"/>
  <c r="O147" i="77"/>
  <c r="O148" i="77"/>
  <c r="O149" i="77"/>
  <c r="O150" i="77"/>
  <c r="O151" i="77"/>
  <c r="O152" i="77"/>
  <c r="O153" i="77"/>
  <c r="O154" i="77"/>
  <c r="O155" i="77"/>
  <c r="O156" i="77"/>
  <c r="O157" i="77"/>
  <c r="O158" i="77"/>
  <c r="O159" i="77"/>
  <c r="O160" i="77"/>
  <c r="O161" i="77"/>
  <c r="O162" i="77"/>
  <c r="O163" i="77"/>
  <c r="O164" i="77"/>
  <c r="O165" i="77"/>
  <c r="O166" i="77"/>
  <c r="O167" i="77"/>
  <c r="O168" i="77"/>
  <c r="O169" i="77"/>
  <c r="O170" i="77"/>
  <c r="O171" i="77"/>
  <c r="O172" i="77"/>
  <c r="O173" i="77"/>
  <c r="O174" i="77"/>
  <c r="O175" i="77"/>
  <c r="O176" i="77"/>
  <c r="O177" i="77"/>
  <c r="O178" i="77"/>
  <c r="O179" i="77"/>
  <c r="O180" i="77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O3" i="77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2" i="77"/>
  <c r="N17" i="91"/>
  <c r="O17" i="91"/>
  <c r="P17" i="91"/>
  <c r="N18" i="91"/>
  <c r="N19" i="91" s="1"/>
  <c r="N20" i="91" s="1"/>
  <c r="N21" i="91" s="1"/>
  <c r="N22" i="91" s="1"/>
  <c r="N23" i="91" s="1"/>
  <c r="N24" i="91" s="1"/>
  <c r="N25" i="91" s="1"/>
  <c r="N26" i="91" s="1"/>
  <c r="N27" i="91" s="1"/>
  <c r="N28" i="91" s="1"/>
  <c r="N29" i="91" s="1"/>
  <c r="N30" i="91" s="1"/>
  <c r="N31" i="91" s="1"/>
  <c r="N32" i="91" s="1"/>
  <c r="N33" i="91" s="1"/>
  <c r="N34" i="91" s="1"/>
  <c r="N35" i="91" s="1"/>
  <c r="N36" i="91" s="1"/>
  <c r="N37" i="91" s="1"/>
  <c r="N38" i="91" s="1"/>
  <c r="N39" i="91" s="1"/>
  <c r="N40" i="91" s="1"/>
  <c r="N41" i="91" s="1"/>
  <c r="N42" i="91" s="1"/>
  <c r="N43" i="91" s="1"/>
  <c r="N44" i="91" s="1"/>
  <c r="N45" i="91" s="1"/>
  <c r="N46" i="91" s="1"/>
  <c r="N47" i="91" s="1"/>
  <c r="N48" i="91" s="1"/>
  <c r="N49" i="91" s="1"/>
  <c r="N50" i="91" s="1"/>
  <c r="N51" i="91" s="1"/>
  <c r="N52" i="91" s="1"/>
  <c r="N53" i="91" s="1"/>
  <c r="N54" i="91" s="1"/>
  <c r="N55" i="91" s="1"/>
  <c r="N56" i="91" s="1"/>
  <c r="N57" i="91" s="1"/>
  <c r="N58" i="91" s="1"/>
  <c r="N59" i="91" s="1"/>
  <c r="N60" i="91" s="1"/>
  <c r="N61" i="91" s="1"/>
  <c r="N62" i="91" s="1"/>
  <c r="N63" i="91" s="1"/>
  <c r="N64" i="91" s="1"/>
  <c r="N65" i="91" s="1"/>
  <c r="N66" i="91" s="1"/>
  <c r="N67" i="91" s="1"/>
  <c r="N68" i="91" s="1"/>
  <c r="N69" i="91" s="1"/>
  <c r="N70" i="91" s="1"/>
  <c r="N71" i="91" s="1"/>
  <c r="N72" i="91" s="1"/>
  <c r="N73" i="91" s="1"/>
  <c r="N74" i="91" s="1"/>
  <c r="N75" i="91" s="1"/>
  <c r="N76" i="91" s="1"/>
  <c r="N77" i="91" s="1"/>
  <c r="N78" i="91" s="1"/>
  <c r="N79" i="91" s="1"/>
  <c r="N80" i="91" s="1"/>
  <c r="N81" i="91" s="1"/>
  <c r="N82" i="91" s="1"/>
  <c r="N83" i="91" s="1"/>
  <c r="N84" i="91" s="1"/>
  <c r="N85" i="91" s="1"/>
  <c r="N86" i="91" s="1"/>
  <c r="N87" i="91" s="1"/>
  <c r="N88" i="91" s="1"/>
  <c r="N89" i="91" s="1"/>
  <c r="N90" i="91" s="1"/>
  <c r="N91" i="91" s="1"/>
  <c r="N92" i="91" s="1"/>
  <c r="N93" i="91" s="1"/>
  <c r="N94" i="91" s="1"/>
  <c r="N95" i="91" s="1"/>
  <c r="N96" i="91" s="1"/>
  <c r="N97" i="91" s="1"/>
  <c r="N98" i="91" s="1"/>
  <c r="N99" i="91" s="1"/>
  <c r="N100" i="91" s="1"/>
  <c r="N101" i="91" s="1"/>
  <c r="N102" i="91" s="1"/>
  <c r="N103" i="91" s="1"/>
  <c r="N104" i="91" s="1"/>
  <c r="N105" i="91" s="1"/>
  <c r="N106" i="91" s="1"/>
  <c r="N107" i="91" s="1"/>
  <c r="N108" i="91" s="1"/>
  <c r="N109" i="91" s="1"/>
  <c r="N110" i="91" s="1"/>
  <c r="N111" i="91" s="1"/>
  <c r="N112" i="91" s="1"/>
  <c r="N113" i="91" s="1"/>
  <c r="N114" i="91" s="1"/>
  <c r="N115" i="91" s="1"/>
  <c r="N116" i="91" s="1"/>
  <c r="N117" i="91" s="1"/>
  <c r="N118" i="91" s="1"/>
  <c r="N119" i="91" s="1"/>
  <c r="N120" i="91" s="1"/>
  <c r="N121" i="91" s="1"/>
  <c r="N122" i="91" s="1"/>
  <c r="N123" i="91" s="1"/>
  <c r="N124" i="91" s="1"/>
  <c r="N125" i="91" s="1"/>
  <c r="N126" i="91" s="1"/>
  <c r="N127" i="91" s="1"/>
  <c r="N128" i="91" s="1"/>
  <c r="N129" i="91" s="1"/>
  <c r="N130" i="91" s="1"/>
  <c r="N131" i="91" s="1"/>
  <c r="N132" i="91" s="1"/>
  <c r="N133" i="91" s="1"/>
  <c r="N134" i="91" s="1"/>
  <c r="N135" i="91" s="1"/>
  <c r="N136" i="91" s="1"/>
  <c r="N137" i="91" s="1"/>
  <c r="N138" i="91" s="1"/>
  <c r="N139" i="91" s="1"/>
  <c r="N140" i="91" s="1"/>
  <c r="N141" i="91" s="1"/>
  <c r="N142" i="91" s="1"/>
  <c r="N143" i="91" s="1"/>
  <c r="N144" i="91" s="1"/>
  <c r="N145" i="91" s="1"/>
  <c r="N146" i="91" s="1"/>
  <c r="N147" i="91" s="1"/>
  <c r="N148" i="91" s="1"/>
  <c r="N149" i="91" s="1"/>
  <c r="N150" i="91" s="1"/>
  <c r="N151" i="91" s="1"/>
  <c r="N152" i="91" s="1"/>
  <c r="N153" i="91" s="1"/>
  <c r="N154" i="91" s="1"/>
  <c r="N155" i="91" s="1"/>
  <c r="N156" i="91" s="1"/>
  <c r="N157" i="91" s="1"/>
  <c r="N158" i="91" s="1"/>
  <c r="N159" i="91" s="1"/>
  <c r="N160" i="91" s="1"/>
  <c r="N161" i="91" s="1"/>
  <c r="N162" i="91" s="1"/>
  <c r="N163" i="91" s="1"/>
  <c r="N164" i="91" s="1"/>
  <c r="N165" i="91" s="1"/>
  <c r="N166" i="91" s="1"/>
  <c r="N167" i="91" s="1"/>
  <c r="N168" i="91" s="1"/>
  <c r="N169" i="91" s="1"/>
  <c r="N170" i="91" s="1"/>
  <c r="N171" i="91" s="1"/>
  <c r="N172" i="91" s="1"/>
  <c r="N173" i="91" s="1"/>
  <c r="N174" i="91" s="1"/>
  <c r="N175" i="91" s="1"/>
  <c r="N176" i="91" s="1"/>
  <c r="N177" i="91" s="1"/>
  <c r="N178" i="91" s="1"/>
  <c r="N179" i="91" s="1"/>
  <c r="N180" i="91" s="1"/>
  <c r="N181" i="91" s="1"/>
  <c r="N182" i="91" s="1"/>
  <c r="N183" i="91" s="1"/>
  <c r="N184" i="91" s="1"/>
  <c r="N185" i="91" s="1"/>
  <c r="N186" i="91" s="1"/>
  <c r="N187" i="91" s="1"/>
  <c r="N188" i="91" s="1"/>
  <c r="N189" i="91" s="1"/>
  <c r="N190" i="91" s="1"/>
  <c r="N191" i="91" s="1"/>
  <c r="N192" i="91" s="1"/>
  <c r="N193" i="91" s="1"/>
  <c r="N194" i="91" s="1"/>
  <c r="N195" i="91" s="1"/>
  <c r="N196" i="91" s="1"/>
  <c r="N197" i="91" s="1"/>
  <c r="N198" i="91" s="1"/>
  <c r="N199" i="91" s="1"/>
  <c r="N200" i="91" s="1"/>
  <c r="N201" i="91" s="1"/>
  <c r="N202" i="91" s="1"/>
  <c r="N203" i="91" s="1"/>
  <c r="N204" i="91" s="1"/>
  <c r="N205" i="91" s="1"/>
  <c r="N206" i="91" s="1"/>
  <c r="N207" i="91" s="1"/>
  <c r="O18" i="9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O38" i="91" s="1"/>
  <c r="O39" i="91" s="1"/>
  <c r="O40" i="91" s="1"/>
  <c r="O41" i="91" s="1"/>
  <c r="O42" i="91" s="1"/>
  <c r="O43" i="91" s="1"/>
  <c r="O44" i="91" s="1"/>
  <c r="O45" i="91" s="1"/>
  <c r="O46" i="91" s="1"/>
  <c r="O47" i="91" s="1"/>
  <c r="O48" i="91" s="1"/>
  <c r="O49" i="91" s="1"/>
  <c r="O50" i="91" s="1"/>
  <c r="O51" i="91" s="1"/>
  <c r="O52" i="91" s="1"/>
  <c r="O53" i="91" s="1"/>
  <c r="O54" i="91" s="1"/>
  <c r="O55" i="91" s="1"/>
  <c r="O56" i="91" s="1"/>
  <c r="O57" i="91" s="1"/>
  <c r="O58" i="91" s="1"/>
  <c r="O59" i="91" s="1"/>
  <c r="O60" i="91" s="1"/>
  <c r="O61" i="91" s="1"/>
  <c r="O62" i="91" s="1"/>
  <c r="O63" i="91" s="1"/>
  <c r="O64" i="91" s="1"/>
  <c r="O65" i="91" s="1"/>
  <c r="O66" i="91" s="1"/>
  <c r="O67" i="91" s="1"/>
  <c r="O68" i="91" s="1"/>
  <c r="O69" i="91" s="1"/>
  <c r="O70" i="91" s="1"/>
  <c r="O71" i="91" s="1"/>
  <c r="O72" i="91" s="1"/>
  <c r="O73" i="91" s="1"/>
  <c r="O74" i="91" s="1"/>
  <c r="O75" i="91" s="1"/>
  <c r="O76" i="91" s="1"/>
  <c r="O77" i="91" s="1"/>
  <c r="O78" i="91" s="1"/>
  <c r="O79" i="91" s="1"/>
  <c r="O80" i="91" s="1"/>
  <c r="O81" i="91" s="1"/>
  <c r="O82" i="91" s="1"/>
  <c r="O83" i="91" s="1"/>
  <c r="O84" i="91" s="1"/>
  <c r="O85" i="91" s="1"/>
  <c r="O86" i="91" s="1"/>
  <c r="O87" i="91" s="1"/>
  <c r="O88" i="91" s="1"/>
  <c r="O89" i="91" s="1"/>
  <c r="O90" i="91" s="1"/>
  <c r="O91" i="91" s="1"/>
  <c r="O92" i="91" s="1"/>
  <c r="O93" i="91" s="1"/>
  <c r="O94" i="91" s="1"/>
  <c r="O95" i="91" s="1"/>
  <c r="O96" i="91" s="1"/>
  <c r="O97" i="91" s="1"/>
  <c r="O98" i="91" s="1"/>
  <c r="O99" i="91" s="1"/>
  <c r="O100" i="91" s="1"/>
  <c r="O101" i="91" s="1"/>
  <c r="O102" i="91" s="1"/>
  <c r="O103" i="91" s="1"/>
  <c r="O104" i="91" s="1"/>
  <c r="O105" i="91" s="1"/>
  <c r="O106" i="91" s="1"/>
  <c r="O107" i="91" s="1"/>
  <c r="O108" i="91" s="1"/>
  <c r="O109" i="91" s="1"/>
  <c r="O110" i="91" s="1"/>
  <c r="O111" i="91" s="1"/>
  <c r="O112" i="91" s="1"/>
  <c r="O113" i="91" s="1"/>
  <c r="O114" i="91" s="1"/>
  <c r="O115" i="91" s="1"/>
  <c r="O116" i="91" s="1"/>
  <c r="O117" i="91" s="1"/>
  <c r="O118" i="91" s="1"/>
  <c r="O119" i="91" s="1"/>
  <c r="O120" i="91" s="1"/>
  <c r="O121" i="91" s="1"/>
  <c r="O122" i="91" s="1"/>
  <c r="O123" i="91" s="1"/>
  <c r="O124" i="91" s="1"/>
  <c r="O125" i="91" s="1"/>
  <c r="O126" i="91" s="1"/>
  <c r="O127" i="91" s="1"/>
  <c r="O128" i="91" s="1"/>
  <c r="O129" i="91" s="1"/>
  <c r="O130" i="91" s="1"/>
  <c r="O131" i="91" s="1"/>
  <c r="O132" i="91" s="1"/>
  <c r="O133" i="91" s="1"/>
  <c r="O134" i="91" s="1"/>
  <c r="O135" i="91" s="1"/>
  <c r="O136" i="91" s="1"/>
  <c r="O137" i="91" s="1"/>
  <c r="O138" i="91" s="1"/>
  <c r="O139" i="91" s="1"/>
  <c r="O140" i="91" s="1"/>
  <c r="O141" i="91" s="1"/>
  <c r="O142" i="91" s="1"/>
  <c r="O143" i="91" s="1"/>
  <c r="O144" i="91" s="1"/>
  <c r="O145" i="91" s="1"/>
  <c r="O146" i="91" s="1"/>
  <c r="O147" i="91" s="1"/>
  <c r="O148" i="91" s="1"/>
  <c r="O149" i="91" s="1"/>
  <c r="O150" i="91" s="1"/>
  <c r="O151" i="91" s="1"/>
  <c r="O152" i="91" s="1"/>
  <c r="O153" i="91" s="1"/>
  <c r="O154" i="91" s="1"/>
  <c r="O155" i="91" s="1"/>
  <c r="O156" i="91" s="1"/>
  <c r="O157" i="91" s="1"/>
  <c r="O158" i="91" s="1"/>
  <c r="O159" i="91" s="1"/>
  <c r="O160" i="91" s="1"/>
  <c r="O161" i="91" s="1"/>
  <c r="O162" i="91" s="1"/>
  <c r="O163" i="91" s="1"/>
  <c r="O164" i="91" s="1"/>
  <c r="O165" i="91" s="1"/>
  <c r="O166" i="91" s="1"/>
  <c r="O167" i="91" s="1"/>
  <c r="O168" i="91" s="1"/>
  <c r="O169" i="91" s="1"/>
  <c r="O170" i="91" s="1"/>
  <c r="O171" i="91" s="1"/>
  <c r="O172" i="91" s="1"/>
  <c r="O173" i="91" s="1"/>
  <c r="O174" i="91" s="1"/>
  <c r="O175" i="91" s="1"/>
  <c r="O176" i="91" s="1"/>
  <c r="O177" i="91" s="1"/>
  <c r="O178" i="91" s="1"/>
  <c r="O179" i="91" s="1"/>
  <c r="O180" i="91" s="1"/>
  <c r="O181" i="91" s="1"/>
  <c r="O182" i="91" s="1"/>
  <c r="O183" i="91" s="1"/>
  <c r="O184" i="91" s="1"/>
  <c r="O185" i="91" s="1"/>
  <c r="O186" i="91" s="1"/>
  <c r="O187" i="91" s="1"/>
  <c r="O188" i="91" s="1"/>
  <c r="O189" i="91" s="1"/>
  <c r="O190" i="91" s="1"/>
  <c r="O191" i="91" s="1"/>
  <c r="O192" i="91" s="1"/>
  <c r="O193" i="91" s="1"/>
  <c r="O194" i="91" s="1"/>
  <c r="O195" i="91" s="1"/>
  <c r="O196" i="91" s="1"/>
  <c r="O197" i="91" s="1"/>
  <c r="O198" i="91" s="1"/>
  <c r="O199" i="91" s="1"/>
  <c r="O200" i="91" s="1"/>
  <c r="O201" i="91" s="1"/>
  <c r="O202" i="91" s="1"/>
  <c r="O203" i="91" s="1"/>
  <c r="O204" i="91" s="1"/>
  <c r="O205" i="91" s="1"/>
  <c r="O206" i="91" s="1"/>
  <c r="O207" i="91" s="1"/>
  <c r="O208" i="91" s="1"/>
  <c r="O209" i="91" s="1"/>
  <c r="P18" i="9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P38" i="91" s="1"/>
  <c r="P39" i="91" s="1"/>
  <c r="P40" i="91" s="1"/>
  <c r="P41" i="91" s="1"/>
  <c r="P42" i="91" s="1"/>
  <c r="P43" i="91" s="1"/>
  <c r="P44" i="91" s="1"/>
  <c r="P45" i="91" s="1"/>
  <c r="P46" i="91" s="1"/>
  <c r="P47" i="91" s="1"/>
  <c r="P48" i="91" s="1"/>
  <c r="P49" i="91" s="1"/>
  <c r="P50" i="91" s="1"/>
  <c r="P51" i="91" s="1"/>
  <c r="P52" i="91" s="1"/>
  <c r="P53" i="91" s="1"/>
  <c r="P54" i="91" s="1"/>
  <c r="P55" i="91" s="1"/>
  <c r="P56" i="91" s="1"/>
  <c r="P57" i="91" s="1"/>
  <c r="P58" i="91" s="1"/>
  <c r="P59" i="91" s="1"/>
  <c r="P60" i="91" s="1"/>
  <c r="P61" i="91" s="1"/>
  <c r="P62" i="91" s="1"/>
  <c r="P63" i="91" s="1"/>
  <c r="P64" i="91" s="1"/>
  <c r="P65" i="91" s="1"/>
  <c r="P66" i="91" s="1"/>
  <c r="P67" i="91" s="1"/>
  <c r="P68" i="91" s="1"/>
  <c r="P69" i="91" s="1"/>
  <c r="P70" i="91" s="1"/>
  <c r="P71" i="91" s="1"/>
  <c r="P72" i="91" s="1"/>
  <c r="P73" i="91" s="1"/>
  <c r="P74" i="91" s="1"/>
  <c r="P75" i="91" s="1"/>
  <c r="P76" i="91" s="1"/>
  <c r="P77" i="91" s="1"/>
  <c r="P78" i="91" s="1"/>
  <c r="P79" i="91" s="1"/>
  <c r="P80" i="91" s="1"/>
  <c r="P81" i="91" s="1"/>
  <c r="P82" i="91" s="1"/>
  <c r="P83" i="91" s="1"/>
  <c r="P84" i="91" s="1"/>
  <c r="P85" i="91" s="1"/>
  <c r="P86" i="91" s="1"/>
  <c r="P87" i="91" s="1"/>
  <c r="P88" i="91" s="1"/>
  <c r="P89" i="91" s="1"/>
  <c r="P90" i="91" s="1"/>
  <c r="P91" i="91" s="1"/>
  <c r="P92" i="91" s="1"/>
  <c r="P93" i="91" s="1"/>
  <c r="P94" i="91" s="1"/>
  <c r="P95" i="91" s="1"/>
  <c r="P96" i="91" s="1"/>
  <c r="P97" i="91" s="1"/>
  <c r="P98" i="91" s="1"/>
  <c r="P99" i="91" s="1"/>
  <c r="P100" i="91" s="1"/>
  <c r="P101" i="91" s="1"/>
  <c r="P102" i="91" s="1"/>
  <c r="P103" i="91" s="1"/>
  <c r="P104" i="91" s="1"/>
  <c r="P105" i="91" s="1"/>
  <c r="P106" i="91" s="1"/>
  <c r="P107" i="91" s="1"/>
  <c r="P108" i="91" s="1"/>
  <c r="P109" i="91" s="1"/>
  <c r="P110" i="91" s="1"/>
  <c r="P111" i="91" s="1"/>
  <c r="P112" i="91" s="1"/>
  <c r="P113" i="91" s="1"/>
  <c r="P114" i="91" s="1"/>
  <c r="P115" i="91" s="1"/>
  <c r="P116" i="91" s="1"/>
  <c r="P117" i="91" s="1"/>
  <c r="P118" i="91" s="1"/>
  <c r="P119" i="91" s="1"/>
  <c r="P120" i="91" s="1"/>
  <c r="P121" i="91" s="1"/>
  <c r="P122" i="91" s="1"/>
  <c r="P123" i="91" s="1"/>
  <c r="P124" i="91" s="1"/>
  <c r="P125" i="91" s="1"/>
  <c r="P126" i="91" s="1"/>
  <c r="P127" i="91" s="1"/>
  <c r="P128" i="91" s="1"/>
  <c r="P129" i="91" s="1"/>
  <c r="P130" i="91" s="1"/>
  <c r="P131" i="91" s="1"/>
  <c r="P132" i="91" s="1"/>
  <c r="P133" i="91" s="1"/>
  <c r="P134" i="91" s="1"/>
  <c r="P135" i="91" s="1"/>
  <c r="P136" i="91" s="1"/>
  <c r="P137" i="91" s="1"/>
  <c r="P138" i="91" s="1"/>
  <c r="P139" i="91" s="1"/>
  <c r="P140" i="91" s="1"/>
  <c r="P141" i="91" s="1"/>
  <c r="P142" i="91" s="1"/>
  <c r="P143" i="91" s="1"/>
  <c r="P144" i="91" s="1"/>
  <c r="P145" i="91" s="1"/>
  <c r="P146" i="91" s="1"/>
  <c r="P147" i="91" s="1"/>
  <c r="P148" i="91" s="1"/>
  <c r="P149" i="91" s="1"/>
  <c r="P150" i="91" s="1"/>
  <c r="P151" i="91" s="1"/>
  <c r="P152" i="91" s="1"/>
  <c r="P153" i="91" s="1"/>
  <c r="P154" i="91" s="1"/>
  <c r="P155" i="91" s="1"/>
  <c r="P156" i="91" s="1"/>
  <c r="P157" i="91" s="1"/>
  <c r="P158" i="91" s="1"/>
  <c r="P159" i="91" s="1"/>
  <c r="P160" i="91" s="1"/>
  <c r="P161" i="91" s="1"/>
  <c r="P162" i="91" s="1"/>
  <c r="P163" i="91" s="1"/>
  <c r="P164" i="91" s="1"/>
  <c r="P165" i="91" s="1"/>
  <c r="P166" i="91" s="1"/>
  <c r="P167" i="91" s="1"/>
  <c r="P168" i="91" s="1"/>
  <c r="P169" i="91" s="1"/>
  <c r="P170" i="91" s="1"/>
  <c r="P171" i="91" s="1"/>
  <c r="P172" i="91" s="1"/>
  <c r="P173" i="91" s="1"/>
  <c r="P174" i="91" s="1"/>
  <c r="P175" i="91" s="1"/>
  <c r="P176" i="91" s="1"/>
  <c r="P177" i="91" s="1"/>
  <c r="P178" i="91" s="1"/>
  <c r="P179" i="91" s="1"/>
  <c r="P180" i="91" s="1"/>
  <c r="P181" i="91" s="1"/>
  <c r="P182" i="91" s="1"/>
  <c r="P183" i="91" s="1"/>
  <c r="P184" i="91" s="1"/>
  <c r="P185" i="91" s="1"/>
  <c r="P186" i="91" s="1"/>
  <c r="P187" i="91" s="1"/>
  <c r="P188" i="91" s="1"/>
  <c r="P189" i="91" s="1"/>
  <c r="P190" i="91" s="1"/>
  <c r="P191" i="91" s="1"/>
  <c r="P192" i="91" s="1"/>
  <c r="P193" i="91" s="1"/>
  <c r="P194" i="91" s="1"/>
  <c r="P195" i="91" s="1"/>
  <c r="P196" i="91" s="1"/>
  <c r="P197" i="91" s="1"/>
  <c r="P198" i="91" s="1"/>
  <c r="P199" i="91" s="1"/>
  <c r="P200" i="91" s="1"/>
  <c r="P201" i="91" s="1"/>
  <c r="P202" i="91" s="1"/>
  <c r="P203" i="91" s="1"/>
  <c r="P204" i="91" s="1"/>
  <c r="P205" i="91" s="1"/>
  <c r="P206" i="91" s="1"/>
  <c r="P207" i="91" s="1"/>
  <c r="P208" i="91" s="1"/>
  <c r="P209" i="91" s="1"/>
  <c r="N208" i="91"/>
  <c r="N209" i="91" s="1"/>
  <c r="A3" i="91"/>
  <c r="A4" i="91" s="1"/>
  <c r="A5" i="91" s="1"/>
  <c r="A6" i="91" s="1"/>
  <c r="A7" i="91" s="1"/>
  <c r="A8" i="91" s="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A60" i="91" s="1"/>
  <c r="A61" i="91" s="1"/>
  <c r="A62" i="91" s="1"/>
  <c r="A63" i="91" s="1"/>
  <c r="A64" i="91" s="1"/>
  <c r="A65" i="91" s="1"/>
  <c r="A66" i="91" s="1"/>
  <c r="A67" i="91" s="1"/>
  <c r="A68" i="91" s="1"/>
  <c r="A69" i="91" s="1"/>
  <c r="A70" i="91" s="1"/>
  <c r="A71" i="91" s="1"/>
  <c r="A72" i="91" s="1"/>
  <c r="A73" i="91" s="1"/>
  <c r="A74" i="91" s="1"/>
  <c r="A75" i="91" s="1"/>
  <c r="A76" i="91" s="1"/>
  <c r="A77" i="91" s="1"/>
  <c r="A78" i="91" s="1"/>
  <c r="A79" i="91" s="1"/>
  <c r="A80" i="91" s="1"/>
  <c r="A81" i="91" s="1"/>
  <c r="A82" i="91" s="1"/>
  <c r="A83" i="91" s="1"/>
  <c r="A84" i="91" s="1"/>
  <c r="A85" i="91" s="1"/>
  <c r="A86" i="91" s="1"/>
  <c r="A87" i="91" s="1"/>
  <c r="A88" i="91" s="1"/>
  <c r="A89" i="91" s="1"/>
  <c r="A90" i="91" s="1"/>
  <c r="A91" i="91" s="1"/>
  <c r="A92" i="91" s="1"/>
  <c r="A93" i="91" s="1"/>
  <c r="A94" i="91" s="1"/>
  <c r="A95" i="91" s="1"/>
  <c r="A96" i="91" s="1"/>
  <c r="A97" i="91" s="1"/>
  <c r="A98" i="91" s="1"/>
  <c r="A99" i="91" s="1"/>
  <c r="A100" i="91" s="1"/>
  <c r="A101" i="91" s="1"/>
  <c r="A102" i="91" s="1"/>
  <c r="A103" i="91" s="1"/>
  <c r="A104" i="91" s="1"/>
  <c r="A105" i="91" s="1"/>
  <c r="A106" i="91" s="1"/>
  <c r="A107" i="91" s="1"/>
  <c r="A108" i="91" s="1"/>
  <c r="A109" i="91" s="1"/>
  <c r="A110" i="91" s="1"/>
  <c r="A111" i="91" s="1"/>
  <c r="A112" i="91" s="1"/>
  <c r="A113" i="91" s="1"/>
  <c r="A114" i="91" s="1"/>
  <c r="A115" i="91" s="1"/>
  <c r="A116" i="91" s="1"/>
  <c r="A117" i="91" s="1"/>
  <c r="A118" i="91" s="1"/>
  <c r="A119" i="91" s="1"/>
  <c r="A120" i="91" s="1"/>
  <c r="A121" i="91" s="1"/>
  <c r="A122" i="91" s="1"/>
  <c r="A123" i="91" s="1"/>
  <c r="A124" i="91" s="1"/>
  <c r="A125" i="91" s="1"/>
  <c r="A126" i="91" s="1"/>
  <c r="A127" i="91" s="1"/>
  <c r="A128" i="91" s="1"/>
  <c r="A129" i="91" s="1"/>
  <c r="A130" i="91" s="1"/>
  <c r="A131" i="91" s="1"/>
  <c r="A132" i="91" s="1"/>
  <c r="A133" i="91" s="1"/>
  <c r="A134" i="91" s="1"/>
  <c r="A135" i="91" s="1"/>
  <c r="A136" i="91" s="1"/>
  <c r="A137" i="91" s="1"/>
  <c r="A138" i="91" s="1"/>
  <c r="A139" i="91" s="1"/>
  <c r="A140" i="91" s="1"/>
  <c r="A141" i="91" s="1"/>
  <c r="A142" i="91" s="1"/>
  <c r="A143" i="91" s="1"/>
  <c r="A144" i="91" s="1"/>
  <c r="A145" i="91" s="1"/>
  <c r="A146" i="91" s="1"/>
  <c r="A147" i="91" s="1"/>
  <c r="A148" i="91" s="1"/>
  <c r="A149" i="91" s="1"/>
  <c r="A150" i="91" s="1"/>
  <c r="A151" i="91" s="1"/>
  <c r="A152" i="91" s="1"/>
  <c r="A153" i="91" s="1"/>
  <c r="A154" i="91" s="1"/>
  <c r="A155" i="91" s="1"/>
  <c r="A156" i="91" s="1"/>
  <c r="A157" i="91" s="1"/>
  <c r="A158" i="91" s="1"/>
  <c r="A159" i="91" s="1"/>
  <c r="A160" i="91" s="1"/>
  <c r="A161" i="91" s="1"/>
  <c r="A162" i="91" s="1"/>
  <c r="A163" i="91" s="1"/>
  <c r="A164" i="91" s="1"/>
  <c r="A165" i="91" s="1"/>
  <c r="A166" i="91" s="1"/>
  <c r="A167" i="91" s="1"/>
  <c r="A168" i="91" s="1"/>
  <c r="A169" i="91" s="1"/>
  <c r="A170" i="91" s="1"/>
  <c r="A171" i="91" s="1"/>
  <c r="A172" i="91" s="1"/>
  <c r="A173" i="91" s="1"/>
  <c r="A174" i="91" s="1"/>
  <c r="A175" i="91" s="1"/>
  <c r="A176" i="91" s="1"/>
  <c r="A177" i="91" s="1"/>
  <c r="A178" i="91" s="1"/>
  <c r="A179" i="91" s="1"/>
  <c r="A180" i="91" s="1"/>
  <c r="A181" i="91" s="1"/>
  <c r="A182" i="91" s="1"/>
  <c r="A183" i="91" s="1"/>
  <c r="A184" i="91" s="1"/>
  <c r="A185" i="91" s="1"/>
  <c r="A186" i="91" s="1"/>
  <c r="A187" i="91" s="1"/>
  <c r="A188" i="91" s="1"/>
  <c r="A189" i="91" s="1"/>
  <c r="A190" i="91" s="1"/>
  <c r="A191" i="91" s="1"/>
  <c r="A192" i="91" s="1"/>
  <c r="A193" i="91" s="1"/>
  <c r="A194" i="91" s="1"/>
  <c r="A195" i="91" s="1"/>
  <c r="A196" i="91" s="1"/>
  <c r="A197" i="91" s="1"/>
  <c r="A198" i="91" s="1"/>
  <c r="A199" i="91" s="1"/>
  <c r="A200" i="91" s="1"/>
  <c r="A201" i="91" s="1"/>
  <c r="A202" i="91" s="1"/>
  <c r="A203" i="91" s="1"/>
  <c r="A204" i="91" s="1"/>
  <c r="A205" i="91" s="1"/>
  <c r="A206" i="91" s="1"/>
  <c r="A207" i="91" s="1"/>
  <c r="A208" i="91" s="1"/>
  <c r="A209" i="91" s="1"/>
  <c r="N3" i="91"/>
  <c r="N4" i="91" s="1"/>
  <c r="N5" i="91" s="1"/>
  <c r="N6" i="91" s="1"/>
  <c r="N7" i="91" s="1"/>
  <c r="N8" i="91" s="1"/>
  <c r="N9" i="91" s="1"/>
  <c r="N10" i="91" s="1"/>
  <c r="N11" i="91" s="1"/>
  <c r="N12" i="91" s="1"/>
  <c r="N13" i="91" s="1"/>
  <c r="N14" i="91" s="1"/>
  <c r="N15" i="91" s="1"/>
  <c r="N16" i="91" s="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10" i="138"/>
  <c r="O111" i="138"/>
  <c r="O112" i="138" s="1"/>
  <c r="O113" i="138" s="1"/>
  <c r="O114" i="138" s="1"/>
  <c r="O115" i="138" s="1"/>
  <c r="O116" i="138" s="1"/>
  <c r="O117" i="138" s="1"/>
  <c r="O118" i="138" s="1"/>
  <c r="O119" i="138" s="1"/>
  <c r="O120" i="138" s="1"/>
  <c r="O121" i="138" s="1"/>
  <c r="O122" i="138" s="1"/>
  <c r="O123" i="138" s="1"/>
  <c r="O124" i="138" s="1"/>
  <c r="O125" i="138" s="1"/>
  <c r="O126" i="138" s="1"/>
  <c r="O127" i="138" s="1"/>
  <c r="O128" i="138" s="1"/>
  <c r="O129" i="138" s="1"/>
  <c r="O130" i="138" s="1"/>
  <c r="O131" i="138" s="1"/>
  <c r="O132" i="138" s="1"/>
  <c r="O133" i="138" s="1"/>
  <c r="O134" i="138" s="1"/>
  <c r="O135" i="138" s="1"/>
  <c r="O136" i="138" s="1"/>
  <c r="O137" i="138" s="1"/>
  <c r="O138" i="138" s="1"/>
  <c r="O139" i="138" s="1"/>
  <c r="O140" i="138" s="1"/>
  <c r="O141" i="138" s="1"/>
  <c r="O142" i="138" s="1"/>
  <c r="O143" i="138" s="1"/>
  <c r="O144" i="138" s="1"/>
  <c r="O145" i="138" s="1"/>
  <c r="O146" i="138" s="1"/>
  <c r="O147" i="138" s="1"/>
  <c r="O148" i="138" s="1"/>
  <c r="O149" i="138" s="1"/>
  <c r="O150" i="138" s="1"/>
  <c r="O151" i="138" s="1"/>
  <c r="O152" i="138" s="1"/>
  <c r="O153" i="138" s="1"/>
  <c r="O154" i="138" s="1"/>
  <c r="O155" i="138" s="1"/>
  <c r="O156" i="138" s="1"/>
  <c r="O157" i="138" s="1"/>
  <c r="O158" i="138" s="1"/>
  <c r="O159" i="138" s="1"/>
  <c r="O160" i="138" s="1"/>
  <c r="O161" i="138" s="1"/>
  <c r="O162" i="138" s="1"/>
  <c r="O163" i="138" s="1"/>
  <c r="O164" i="138" s="1"/>
  <c r="O165" i="138" s="1"/>
  <c r="O166" i="138" s="1"/>
  <c r="O167" i="138" s="1"/>
  <c r="O168" i="138" s="1"/>
  <c r="O169" i="138" s="1"/>
  <c r="O170" i="138" s="1"/>
  <c r="O171" i="138" s="1"/>
  <c r="O172" i="138" s="1"/>
  <c r="O173" i="138" s="1"/>
  <c r="O174" i="138" s="1"/>
  <c r="O175" i="138" s="1"/>
  <c r="O176" i="138" s="1"/>
  <c r="O177" i="138" s="1"/>
  <c r="O178" i="138" s="1"/>
  <c r="O179" i="138" s="1"/>
  <c r="O180" i="138" s="1"/>
  <c r="O181" i="138" s="1"/>
  <c r="O182" i="138" s="1"/>
  <c r="O183" i="138" s="1"/>
  <c r="O184" i="138" s="1"/>
  <c r="O185" i="138" s="1"/>
  <c r="O186" i="138" s="1"/>
  <c r="O187" i="138" s="1"/>
  <c r="O188" i="138" s="1"/>
  <c r="O189" i="138" s="1"/>
  <c r="O190" i="138" s="1"/>
  <c r="O191" i="138" s="1"/>
  <c r="O192" i="138" s="1"/>
  <c r="O193" i="138" s="1"/>
  <c r="O194" i="138" s="1"/>
  <c r="O195" i="138" s="1"/>
  <c r="O196" i="138" s="1"/>
  <c r="O197" i="138" s="1"/>
  <c r="O198" i="138" s="1"/>
  <c r="O199" i="138" s="1"/>
  <c r="O200" i="138" s="1"/>
  <c r="O201" i="138" s="1"/>
  <c r="O202" i="138" s="1"/>
  <c r="O203" i="138" s="1"/>
  <c r="O204" i="138" s="1"/>
  <c r="O205" i="138" s="1"/>
  <c r="O206" i="138" s="1"/>
  <c r="O207" i="138" s="1"/>
  <c r="O208" i="138" s="1"/>
  <c r="O209" i="138" s="1"/>
  <c r="O210" i="138" s="1"/>
  <c r="O211" i="138" s="1"/>
  <c r="O212" i="138" s="1"/>
  <c r="O213" i="138" s="1"/>
  <c r="O214" i="138" s="1"/>
  <c r="O215" i="138" s="1"/>
  <c r="O216" i="138" s="1"/>
  <c r="O217" i="138" s="1"/>
  <c r="O218" i="138" s="1"/>
  <c r="O219" i="138" s="1"/>
  <c r="O220" i="138" s="1"/>
  <c r="O221" i="138" s="1"/>
  <c r="O222" i="138" s="1"/>
  <c r="O223" i="138" s="1"/>
  <c r="O224" i="138" s="1"/>
  <c r="O225" i="138" s="1"/>
  <c r="O226" i="138" s="1"/>
  <c r="O227" i="138" s="1"/>
  <c r="O228" i="138" s="1"/>
  <c r="O229" i="138" s="1"/>
  <c r="O230" i="138" s="1"/>
  <c r="O231" i="138" s="1"/>
  <c r="O232" i="138" s="1"/>
  <c r="O233" i="138" s="1"/>
  <c r="O234" i="138" s="1"/>
  <c r="O235" i="138" s="1"/>
  <c r="O236" i="138" s="1"/>
  <c r="O237" i="138" s="1"/>
  <c r="O238" i="138" s="1"/>
  <c r="O239" i="138" s="1"/>
  <c r="O240" i="138" s="1"/>
  <c r="O241" i="138" s="1"/>
  <c r="O242" i="138" s="1"/>
  <c r="O243" i="138" s="1"/>
  <c r="O244" i="138" s="1"/>
  <c r="O31" i="141"/>
  <c r="O32" i="141" s="1"/>
  <c r="O33" i="141" s="1"/>
  <c r="O34" i="141" s="1"/>
  <c r="O35" i="141" s="1"/>
  <c r="O36" i="141" s="1"/>
  <c r="O37" i="141" s="1"/>
  <c r="O38" i="141" s="1"/>
  <c r="O39" i="141" s="1"/>
  <c r="O40" i="141" s="1"/>
  <c r="O41" i="141" s="1"/>
  <c r="O42" i="141" s="1"/>
  <c r="O43" i="141" s="1"/>
  <c r="O44" i="141" s="1"/>
  <c r="O45" i="141" s="1"/>
  <c r="O46" i="141" s="1"/>
  <c r="O47" i="141" s="1"/>
  <c r="O48" i="141" s="1"/>
  <c r="O49" i="141" s="1"/>
  <c r="O50" i="141" s="1"/>
  <c r="O51" i="141" s="1"/>
  <c r="O52" i="141" s="1"/>
  <c r="O53" i="141" s="1"/>
  <c r="O54" i="141" s="1"/>
  <c r="O55" i="141" s="1"/>
  <c r="O56" i="141" s="1"/>
  <c r="O57" i="141" s="1"/>
  <c r="O58" i="141" s="1"/>
  <c r="O59" i="141" s="1"/>
  <c r="O60" i="141" s="1"/>
  <c r="O61" i="141" s="1"/>
  <c r="O62" i="141" s="1"/>
  <c r="O63" i="141" s="1"/>
  <c r="O64" i="141" s="1"/>
  <c r="O65" i="141" s="1"/>
  <c r="O66" i="141" s="1"/>
  <c r="O67" i="141" s="1"/>
  <c r="O68" i="141" s="1"/>
  <c r="O69" i="141" s="1"/>
  <c r="O70" i="141" s="1"/>
  <c r="O71" i="141" s="1"/>
  <c r="O72" i="141" s="1"/>
  <c r="O73" i="141" s="1"/>
  <c r="O74" i="141" s="1"/>
  <c r="O75" i="141" s="1"/>
  <c r="O76" i="141" s="1"/>
  <c r="O77" i="141" s="1"/>
  <c r="O78" i="141" s="1"/>
  <c r="O79" i="141" s="1"/>
  <c r="O80" i="141" s="1"/>
  <c r="O81" i="141" s="1"/>
  <c r="O82" i="141" s="1"/>
  <c r="O83" i="141" s="1"/>
  <c r="O84" i="141" s="1"/>
  <c r="O85" i="141" s="1"/>
  <c r="O86" i="141" s="1"/>
  <c r="O87" i="141" s="1"/>
  <c r="O88" i="141" s="1"/>
  <c r="O89" i="141" s="1"/>
  <c r="O90" i="141" s="1"/>
  <c r="O91" i="141" s="1"/>
  <c r="O92" i="141" s="1"/>
  <c r="O93" i="141" s="1"/>
  <c r="O94" i="141" s="1"/>
  <c r="O95" i="141" s="1"/>
  <c r="O96" i="141" s="1"/>
  <c r="O97" i="141" s="1"/>
  <c r="O98" i="141" s="1"/>
  <c r="O99" i="141" s="1"/>
  <c r="O100" i="141" s="1"/>
  <c r="O101" i="141" s="1"/>
  <c r="O102" i="141" s="1"/>
  <c r="O103" i="141" s="1"/>
  <c r="O104" i="141" s="1"/>
  <c r="O105" i="141" s="1"/>
  <c r="O106" i="141" s="1"/>
  <c r="O107" i="141" s="1"/>
  <c r="O108" i="141" s="1"/>
  <c r="O109" i="141" s="1"/>
  <c r="O110" i="141" s="1"/>
  <c r="O111" i="141" s="1"/>
  <c r="O112" i="141" s="1"/>
  <c r="O113" i="141" s="1"/>
  <c r="O114" i="141" s="1"/>
  <c r="O115" i="141" s="1"/>
  <c r="O116" i="141" s="1"/>
  <c r="O117" i="141" s="1"/>
  <c r="O118" i="141" s="1"/>
  <c r="O119" i="141" s="1"/>
  <c r="O120" i="141" s="1"/>
  <c r="O121" i="141" s="1"/>
  <c r="O122" i="141" s="1"/>
  <c r="O123" i="141" s="1"/>
  <c r="O124" i="141" s="1"/>
  <c r="O125" i="141" s="1"/>
  <c r="O126" i="141" s="1"/>
  <c r="O127" i="141" s="1"/>
  <c r="O128" i="141" s="1"/>
  <c r="O129" i="141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01" i="142"/>
  <c r="O200" i="142"/>
  <c r="O199" i="142"/>
  <c r="O198" i="142"/>
  <c r="O197" i="142"/>
  <c r="O196" i="142"/>
  <c r="O195" i="142"/>
  <c r="O194" i="142"/>
  <c r="O193" i="142"/>
  <c r="O192" i="142"/>
  <c r="O191" i="142"/>
  <c r="O190" i="142"/>
  <c r="O189" i="142"/>
  <c r="O188" i="142"/>
  <c r="O187" i="142"/>
  <c r="O186" i="142"/>
  <c r="O185" i="142"/>
  <c r="O184" i="142"/>
  <c r="O183" i="142"/>
  <c r="O182" i="142"/>
  <c r="O181" i="142"/>
  <c r="O180" i="142"/>
  <c r="O179" i="142"/>
  <c r="O178" i="142"/>
  <c r="O177" i="142"/>
  <c r="O176" i="142"/>
  <c r="O175" i="142"/>
  <c r="O174" i="142"/>
  <c r="O173" i="142"/>
  <c r="O172" i="142"/>
  <c r="O171" i="142"/>
  <c r="O170" i="142"/>
  <c r="O169" i="142"/>
  <c r="O168" i="142"/>
  <c r="O167" i="142"/>
  <c r="O166" i="142"/>
  <c r="O165" i="142"/>
  <c r="O164" i="142"/>
  <c r="O163" i="142"/>
  <c r="O162" i="142"/>
  <c r="O161" i="142"/>
  <c r="O160" i="142"/>
  <c r="O159" i="142"/>
  <c r="O158" i="142"/>
  <c r="O157" i="142"/>
  <c r="O156" i="142"/>
  <c r="O155" i="142"/>
  <c r="O154" i="142"/>
  <c r="O153" i="142"/>
  <c r="O152" i="142"/>
  <c r="O151" i="142"/>
  <c r="O150" i="142"/>
  <c r="O149" i="142"/>
  <c r="O148" i="142"/>
  <c r="O147" i="142"/>
  <c r="O146" i="142"/>
  <c r="O145" i="142"/>
  <c r="O144" i="142"/>
  <c r="O143" i="142"/>
  <c r="O142" i="142"/>
  <c r="O141" i="142"/>
  <c r="O140" i="142"/>
  <c r="O139" i="142"/>
  <c r="O138" i="142"/>
  <c r="O137" i="142"/>
  <c r="O136" i="142"/>
  <c r="O135" i="142"/>
  <c r="O134" i="142"/>
  <c r="O133" i="142"/>
  <c r="O132" i="142"/>
  <c r="O131" i="142"/>
  <c r="O130" i="142"/>
  <c r="O129" i="142"/>
  <c r="O128" i="142"/>
  <c r="O127" i="142"/>
  <c r="O126" i="142"/>
  <c r="O125" i="142"/>
  <c r="O124" i="142"/>
  <c r="O123" i="142"/>
  <c r="O122" i="142"/>
  <c r="O121" i="142"/>
  <c r="O120" i="142"/>
  <c r="O119" i="142"/>
  <c r="O118" i="142"/>
  <c r="O117" i="142"/>
  <c r="O116" i="142"/>
  <c r="O115" i="142"/>
  <c r="O114" i="142"/>
  <c r="O113" i="142"/>
  <c r="O112" i="142"/>
  <c r="O111" i="142"/>
  <c r="O110" i="142"/>
  <c r="O109" i="142"/>
  <c r="O108" i="142"/>
  <c r="O107" i="142"/>
  <c r="O106" i="142"/>
  <c r="O105" i="142"/>
  <c r="O104" i="142"/>
  <c r="O103" i="142"/>
  <c r="O102" i="142"/>
  <c r="O101" i="142"/>
  <c r="O100" i="142"/>
  <c r="O99" i="142"/>
  <c r="O98" i="142"/>
  <c r="O97" i="142"/>
  <c r="O96" i="142"/>
  <c r="O95" i="142"/>
  <c r="O94" i="142"/>
  <c r="O93" i="142"/>
  <c r="O92" i="142"/>
  <c r="O91" i="142"/>
  <c r="O90" i="142"/>
  <c r="O89" i="142"/>
  <c r="O88" i="142"/>
  <c r="O87" i="142"/>
  <c r="O86" i="142"/>
  <c r="O85" i="142"/>
  <c r="O84" i="142"/>
  <c r="O83" i="142"/>
  <c r="O82" i="142"/>
  <c r="O81" i="142"/>
  <c r="O80" i="142"/>
  <c r="O79" i="142"/>
  <c r="O78" i="142"/>
  <c r="O77" i="142"/>
  <c r="O76" i="142"/>
  <c r="O75" i="142"/>
  <c r="O74" i="142"/>
  <c r="O73" i="142"/>
  <c r="O72" i="142"/>
  <c r="O71" i="142"/>
  <c r="O70" i="142"/>
  <c r="O69" i="142"/>
  <c r="O68" i="142"/>
  <c r="O67" i="142"/>
  <c r="O66" i="142"/>
  <c r="O65" i="142"/>
  <c r="O64" i="142"/>
  <c r="O63" i="142"/>
  <c r="O62" i="142"/>
  <c r="O61" i="142"/>
  <c r="O60" i="142"/>
  <c r="O59" i="142"/>
  <c r="O58" i="142"/>
  <c r="O57" i="142"/>
  <c r="O56" i="142"/>
  <c r="O55" i="142"/>
  <c r="O54" i="142"/>
  <c r="O53" i="142"/>
  <c r="O52" i="142"/>
  <c r="O51" i="142"/>
  <c r="O50" i="142"/>
  <c r="O49" i="142"/>
  <c r="O48" i="142"/>
  <c r="O47" i="142"/>
  <c r="O46" i="142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N20" i="142"/>
  <c r="N21" i="142" s="1"/>
  <c r="N22" i="142" s="1"/>
  <c r="N23" i="142" s="1"/>
  <c r="N24" i="142" s="1"/>
  <c r="N25" i="142" s="1"/>
  <c r="N26" i="142" s="1"/>
  <c r="N27" i="142" s="1"/>
  <c r="N28" i="142" s="1"/>
  <c r="N29" i="142" s="1"/>
  <c r="N30" i="142" s="1"/>
  <c r="N31" i="142" s="1"/>
  <c r="N32" i="142" s="1"/>
  <c r="N33" i="142" s="1"/>
  <c r="N34" i="142" s="1"/>
  <c r="N35" i="142" s="1"/>
  <c r="N36" i="142" s="1"/>
  <c r="N37" i="142" s="1"/>
  <c r="N38" i="142" s="1"/>
  <c r="N39" i="142" s="1"/>
  <c r="N40" i="142" s="1"/>
  <c r="N41" i="142" s="1"/>
  <c r="N42" i="142" s="1"/>
  <c r="N43" i="142" s="1"/>
  <c r="N44" i="142" s="1"/>
  <c r="N45" i="142" s="1"/>
  <c r="N46" i="142" s="1"/>
  <c r="N47" i="142" s="1"/>
  <c r="N48" i="142" s="1"/>
  <c r="N49" i="142" s="1"/>
  <c r="N50" i="142" s="1"/>
  <c r="N51" i="142" s="1"/>
  <c r="N52" i="142" s="1"/>
  <c r="N53" i="142" s="1"/>
  <c r="N54" i="142" s="1"/>
  <c r="N55" i="142" s="1"/>
  <c r="N56" i="142" s="1"/>
  <c r="N57" i="142" s="1"/>
  <c r="N58" i="142" s="1"/>
  <c r="N59" i="142" s="1"/>
  <c r="N60" i="142" s="1"/>
  <c r="N61" i="142" s="1"/>
  <c r="N62" i="142" s="1"/>
  <c r="N63" i="142" s="1"/>
  <c r="N64" i="142" s="1"/>
  <c r="N65" i="142" s="1"/>
  <c r="N66" i="142" s="1"/>
  <c r="N67" i="142" s="1"/>
  <c r="N68" i="142" s="1"/>
  <c r="N69" i="142" s="1"/>
  <c r="N70" i="142" s="1"/>
  <c r="N71" i="142" s="1"/>
  <c r="N72" i="142" s="1"/>
  <c r="N73" i="142" s="1"/>
  <c r="N74" i="142" s="1"/>
  <c r="N75" i="142" s="1"/>
  <c r="N76" i="142" s="1"/>
  <c r="N77" i="142" s="1"/>
  <c r="N78" i="142" s="1"/>
  <c r="N79" i="142" s="1"/>
  <c r="N80" i="142" s="1"/>
  <c r="N81" i="142" s="1"/>
  <c r="N82" i="142" s="1"/>
  <c r="N83" i="142" s="1"/>
  <c r="N84" i="142" s="1"/>
  <c r="N85" i="142" s="1"/>
  <c r="N86" i="142" s="1"/>
  <c r="N87" i="142" s="1"/>
  <c r="N88" i="142" s="1"/>
  <c r="N89" i="142" s="1"/>
  <c r="N90" i="142" s="1"/>
  <c r="N91" i="142" s="1"/>
  <c r="N92" i="142" s="1"/>
  <c r="N93" i="142" s="1"/>
  <c r="N94" i="142" s="1"/>
  <c r="N95" i="142" s="1"/>
  <c r="N96" i="142" s="1"/>
  <c r="N97" i="142" s="1"/>
  <c r="N98" i="142" s="1"/>
  <c r="N99" i="142" s="1"/>
  <c r="N100" i="142" s="1"/>
  <c r="N101" i="142" s="1"/>
  <c r="N102" i="142" s="1"/>
  <c r="N103" i="142" s="1"/>
  <c r="N104" i="142" s="1"/>
  <c r="N105" i="142" s="1"/>
  <c r="N106" i="142" s="1"/>
  <c r="N107" i="142" s="1"/>
  <c r="N108" i="142" s="1"/>
  <c r="N109" i="142" s="1"/>
  <c r="N110" i="142" s="1"/>
  <c r="N111" i="142" s="1"/>
  <c r="N112" i="142" s="1"/>
  <c r="N113" i="142" s="1"/>
  <c r="N114" i="142" s="1"/>
  <c r="N115" i="142" s="1"/>
  <c r="N116" i="142" s="1"/>
  <c r="N117" i="142" s="1"/>
  <c r="N118" i="142" s="1"/>
  <c r="N119" i="142" s="1"/>
  <c r="N120" i="142" s="1"/>
  <c r="N121" i="142" s="1"/>
  <c r="N122" i="142" s="1"/>
  <c r="N123" i="142" s="1"/>
  <c r="N124" i="142" s="1"/>
  <c r="N125" i="142" s="1"/>
  <c r="N126" i="142" s="1"/>
  <c r="N127" i="142" s="1"/>
  <c r="N128" i="142" s="1"/>
  <c r="N129" i="142" s="1"/>
  <c r="N130" i="142" s="1"/>
  <c r="N131" i="142" s="1"/>
  <c r="N132" i="142" s="1"/>
  <c r="N133" i="142" s="1"/>
  <c r="N134" i="142" s="1"/>
  <c r="N135" i="142" s="1"/>
  <c r="N136" i="142" s="1"/>
  <c r="N137" i="142" s="1"/>
  <c r="N138" i="142" s="1"/>
  <c r="N139" i="142" s="1"/>
  <c r="N140" i="142" s="1"/>
  <c r="N141" i="142" s="1"/>
  <c r="N142" i="142" s="1"/>
  <c r="N143" i="142" s="1"/>
  <c r="N144" i="142" s="1"/>
  <c r="N145" i="142" s="1"/>
  <c r="N146" i="142" s="1"/>
  <c r="N147" i="142" s="1"/>
  <c r="N148" i="142" s="1"/>
  <c r="N149" i="142" s="1"/>
  <c r="N150" i="142" s="1"/>
  <c r="N151" i="142" s="1"/>
  <c r="N152" i="142" s="1"/>
  <c r="N153" i="142" s="1"/>
  <c r="N154" i="142" s="1"/>
  <c r="N155" i="142" s="1"/>
  <c r="N156" i="142" s="1"/>
  <c r="N157" i="142" s="1"/>
  <c r="N158" i="142" s="1"/>
  <c r="N159" i="142" s="1"/>
  <c r="N160" i="142" s="1"/>
  <c r="N161" i="142" s="1"/>
  <c r="N162" i="142" s="1"/>
  <c r="N163" i="142" s="1"/>
  <c r="N164" i="142" s="1"/>
  <c r="N165" i="142" s="1"/>
  <c r="N166" i="142" s="1"/>
  <c r="N167" i="142" s="1"/>
  <c r="N168" i="142" s="1"/>
  <c r="N169" i="142" s="1"/>
  <c r="N170" i="142" s="1"/>
  <c r="N171" i="142" s="1"/>
  <c r="N172" i="142" s="1"/>
  <c r="N173" i="142" s="1"/>
  <c r="N174" i="142" s="1"/>
  <c r="N175" i="142" s="1"/>
  <c r="N176" i="142" s="1"/>
  <c r="N177" i="142" s="1"/>
  <c r="N178" i="142" s="1"/>
  <c r="N179" i="142" s="1"/>
  <c r="N180" i="142" s="1"/>
  <c r="N181" i="142" s="1"/>
  <c r="N182" i="142" s="1"/>
  <c r="N183" i="142" s="1"/>
  <c r="N184" i="142" s="1"/>
  <c r="N185" i="142" s="1"/>
  <c r="N186" i="142" s="1"/>
  <c r="N187" i="142" s="1"/>
  <c r="N188" i="142" s="1"/>
  <c r="N189" i="142" s="1"/>
  <c r="N190" i="142" s="1"/>
  <c r="N191" i="142" s="1"/>
  <c r="N192" i="142" s="1"/>
  <c r="N193" i="142" s="1"/>
  <c r="N194" i="142" s="1"/>
  <c r="N195" i="142" s="1"/>
  <c r="N196" i="142" s="1"/>
  <c r="N197" i="142" s="1"/>
  <c r="N198" i="142" s="1"/>
  <c r="N199" i="142" s="1"/>
  <c r="N200" i="142" s="1"/>
  <c r="N201" i="142" s="1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N8" i="142"/>
  <c r="N9" i="142" s="1"/>
  <c r="N10" i="142" s="1"/>
  <c r="N11" i="142" s="1"/>
  <c r="N12" i="142" s="1"/>
  <c r="N13" i="142" s="1"/>
  <c r="N14" i="142" s="1"/>
  <c r="N15" i="142" s="1"/>
  <c r="N16" i="142" s="1"/>
  <c r="N17" i="142" s="1"/>
  <c r="N18" i="142" s="1"/>
  <c r="N19" i="142" s="1"/>
  <c r="O7" i="142"/>
  <c r="O6" i="142"/>
  <c r="O5" i="142"/>
  <c r="A5" i="142"/>
  <c r="A6" i="142" s="1"/>
  <c r="A7" i="142" s="1"/>
  <c r="A8" i="142" s="1"/>
  <c r="A9" i="142" s="1"/>
  <c r="A10" i="142" s="1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A95" i="142" s="1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A106" i="142" s="1"/>
  <c r="A107" i="142" s="1"/>
  <c r="A108" i="142" s="1"/>
  <c r="A109" i="142" s="1"/>
  <c r="A110" i="142" s="1"/>
  <c r="A111" i="142" s="1"/>
  <c r="A112" i="142" s="1"/>
  <c r="A113" i="142" s="1"/>
  <c r="A114" i="142" s="1"/>
  <c r="A115" i="142" s="1"/>
  <c r="A116" i="142" s="1"/>
  <c r="A117" i="142" s="1"/>
  <c r="A118" i="142" s="1"/>
  <c r="A119" i="142" s="1"/>
  <c r="A120" i="142" s="1"/>
  <c r="A121" i="142" s="1"/>
  <c r="A122" i="142" s="1"/>
  <c r="A123" i="142" s="1"/>
  <c r="A124" i="142" s="1"/>
  <c r="A125" i="142" s="1"/>
  <c r="A126" i="142" s="1"/>
  <c r="A127" i="142" s="1"/>
  <c r="A128" i="142" s="1"/>
  <c r="A129" i="142" s="1"/>
  <c r="A130" i="142" s="1"/>
  <c r="A131" i="142" s="1"/>
  <c r="A132" i="142" s="1"/>
  <c r="A133" i="142" s="1"/>
  <c r="A134" i="142" s="1"/>
  <c r="A135" i="142" s="1"/>
  <c r="A136" i="142" s="1"/>
  <c r="A137" i="142" s="1"/>
  <c r="A138" i="142" s="1"/>
  <c r="A139" i="142" s="1"/>
  <c r="A140" i="142" s="1"/>
  <c r="A141" i="142" s="1"/>
  <c r="A142" i="142" s="1"/>
  <c r="A143" i="142" s="1"/>
  <c r="A144" i="142" s="1"/>
  <c r="A145" i="142" s="1"/>
  <c r="A146" i="142" s="1"/>
  <c r="A147" i="142" s="1"/>
  <c r="A148" i="142" s="1"/>
  <c r="A149" i="142" s="1"/>
  <c r="A150" i="142" s="1"/>
  <c r="A151" i="142" s="1"/>
  <c r="A152" i="142" s="1"/>
  <c r="A153" i="142" s="1"/>
  <c r="A154" i="142" s="1"/>
  <c r="A155" i="142" s="1"/>
  <c r="A156" i="142" s="1"/>
  <c r="A157" i="142" s="1"/>
  <c r="A158" i="142" s="1"/>
  <c r="A159" i="142" s="1"/>
  <c r="A160" i="142" s="1"/>
  <c r="A161" i="142" s="1"/>
  <c r="A162" i="142" s="1"/>
  <c r="A163" i="142" s="1"/>
  <c r="A164" i="142" s="1"/>
  <c r="A165" i="142" s="1"/>
  <c r="A166" i="142" s="1"/>
  <c r="A167" i="142" s="1"/>
  <c r="A168" i="142" s="1"/>
  <c r="A169" i="142" s="1"/>
  <c r="A170" i="142" s="1"/>
  <c r="A171" i="142" s="1"/>
  <c r="A172" i="142" s="1"/>
  <c r="A173" i="142" s="1"/>
  <c r="A174" i="142" s="1"/>
  <c r="A175" i="142" s="1"/>
  <c r="A176" i="142" s="1"/>
  <c r="A177" i="142" s="1"/>
  <c r="A178" i="142" s="1"/>
  <c r="A179" i="142" s="1"/>
  <c r="A180" i="142" s="1"/>
  <c r="A181" i="142" s="1"/>
  <c r="A182" i="142" s="1"/>
  <c r="A183" i="142" s="1"/>
  <c r="A184" i="142" s="1"/>
  <c r="A185" i="142" s="1"/>
  <c r="A186" i="142" s="1"/>
  <c r="A187" i="142" s="1"/>
  <c r="A188" i="142" s="1"/>
  <c r="A189" i="142" s="1"/>
  <c r="A190" i="142" s="1"/>
  <c r="A191" i="142" s="1"/>
  <c r="A192" i="142" s="1"/>
  <c r="A193" i="142" s="1"/>
  <c r="A194" i="142" s="1"/>
  <c r="A195" i="142" s="1"/>
  <c r="A196" i="142" s="1"/>
  <c r="A197" i="142" s="1"/>
  <c r="A198" i="142" s="1"/>
  <c r="A199" i="142" s="1"/>
  <c r="A200" i="142" s="1"/>
  <c r="A201" i="142" s="1"/>
  <c r="O4" i="142"/>
  <c r="N4" i="142"/>
  <c r="N5" i="142" s="1"/>
  <c r="N6" i="142" s="1"/>
  <c r="N7" i="142" s="1"/>
  <c r="O3" i="142"/>
  <c r="N3" i="142"/>
  <c r="A3" i="142"/>
  <c r="A4" i="142" s="1"/>
  <c r="O2" i="142"/>
  <c r="O3" i="141"/>
  <c r="O4" i="141" s="1"/>
  <c r="O5" i="141" s="1"/>
  <c r="O6" i="141" s="1"/>
  <c r="O7" i="141" s="1"/>
  <c r="O8" i="141" s="1"/>
  <c r="O9" i="141" s="1"/>
  <c r="O10" i="141" s="1"/>
  <c r="O11" i="141" s="1"/>
  <c r="O12" i="141" s="1"/>
  <c r="O13" i="141" s="1"/>
  <c r="O14" i="141" s="1"/>
  <c r="O15" i="141" s="1"/>
  <c r="O16" i="141" s="1"/>
  <c r="O17" i="141" s="1"/>
  <c r="O18" i="141" s="1"/>
  <c r="O19" i="141" s="1"/>
  <c r="O20" i="141" s="1"/>
  <c r="O21" i="141" s="1"/>
  <c r="O22" i="141" s="1"/>
  <c r="O23" i="141" s="1"/>
  <c r="O24" i="141" s="1"/>
  <c r="O25" i="141" s="1"/>
  <c r="O26" i="141" s="1"/>
  <c r="O27" i="141" s="1"/>
  <c r="O28" i="141" s="1"/>
  <c r="O29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A10" i="139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O9" i="139"/>
  <c r="O8" i="139"/>
  <c r="O7" i="139"/>
  <c r="N7" i="139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O6" i="139"/>
  <c r="O5" i="139"/>
  <c r="O4" i="139"/>
  <c r="N4" i="139"/>
  <c r="N5" i="139" s="1"/>
  <c r="N6" i="139" s="1"/>
  <c r="A4" i="139"/>
  <c r="A5" i="139" s="1"/>
  <c r="A6" i="139" s="1"/>
  <c r="A7" i="139" s="1"/>
  <c r="A8" i="139" s="1"/>
  <c r="A9" i="139" s="1"/>
  <c r="O3" i="139"/>
  <c r="N3" i="139"/>
  <c r="A3" i="139"/>
  <c r="O2" i="139"/>
  <c r="O3" i="138"/>
  <c r="O4" i="138" s="1"/>
  <c r="O5" i="138" s="1"/>
  <c r="O6" i="138" s="1"/>
  <c r="O7" i="138" s="1"/>
  <c r="O8" i="138" s="1"/>
  <c r="O9" i="138" s="1"/>
  <c r="O10" i="138" s="1"/>
  <c r="O11" i="138" s="1"/>
  <c r="O12" i="138" s="1"/>
  <c r="O13" i="138" s="1"/>
  <c r="O14" i="138" s="1"/>
  <c r="O15" i="138" s="1"/>
  <c r="O16" i="138" s="1"/>
  <c r="O17" i="138" s="1"/>
  <c r="O18" i="138" s="1"/>
  <c r="O19" i="138" s="1"/>
  <c r="O20" i="138" s="1"/>
  <c r="O21" i="138" s="1"/>
  <c r="O22" i="138" s="1"/>
  <c r="O23" i="138" s="1"/>
  <c r="O24" i="138" s="1"/>
  <c r="O25" i="138" s="1"/>
  <c r="O26" i="138" s="1"/>
  <c r="O27" i="138" s="1"/>
  <c r="O28" i="138" s="1"/>
  <c r="O29" i="138" s="1"/>
  <c r="O30" i="138" s="1"/>
  <c r="O31" i="138" s="1"/>
  <c r="O32" i="138" s="1"/>
  <c r="O33" i="138" s="1"/>
  <c r="O34" i="138" s="1"/>
  <c r="O35" i="138" s="1"/>
  <c r="O36" i="138" s="1"/>
  <c r="O37" i="138" s="1"/>
  <c r="O38" i="138" s="1"/>
  <c r="O39" i="138" s="1"/>
  <c r="O40" i="138" s="1"/>
  <c r="O41" i="138" s="1"/>
  <c r="O42" i="138" s="1"/>
  <c r="O43" i="138" s="1"/>
  <c r="O44" i="138" s="1"/>
  <c r="O45" i="138" s="1"/>
  <c r="O46" i="138" s="1"/>
  <c r="O47" i="138" s="1"/>
  <c r="O48" i="138" s="1"/>
  <c r="O49" i="138" s="1"/>
  <c r="O50" i="138" s="1"/>
  <c r="O51" i="138" s="1"/>
  <c r="O52" i="138" s="1"/>
  <c r="O53" i="138" s="1"/>
  <c r="O54" i="138" s="1"/>
  <c r="O55" i="138" s="1"/>
  <c r="O56" i="138" s="1"/>
  <c r="O57" i="138" s="1"/>
  <c r="O58" i="138" s="1"/>
  <c r="O59" i="138" s="1"/>
  <c r="O60" i="138" s="1"/>
  <c r="O61" i="138" s="1"/>
  <c r="O62" i="138" s="1"/>
  <c r="O63" i="138" s="1"/>
  <c r="O64" i="138" s="1"/>
  <c r="O65" i="138" s="1"/>
  <c r="O66" i="138" s="1"/>
  <c r="O67" i="138" s="1"/>
  <c r="O68" i="138" s="1"/>
  <c r="O69" i="138" s="1"/>
  <c r="O70" i="138" s="1"/>
  <c r="O71" i="138" s="1"/>
  <c r="O72" i="138" s="1"/>
  <c r="O73" i="138" s="1"/>
  <c r="O74" i="138" s="1"/>
  <c r="O75" i="138" s="1"/>
  <c r="O76" i="138" s="1"/>
  <c r="O77" i="138" s="1"/>
  <c r="O78" i="138" s="1"/>
  <c r="O79" i="138" s="1"/>
  <c r="O80" i="138" s="1"/>
  <c r="O81" i="138" s="1"/>
  <c r="O82" i="138" s="1"/>
  <c r="O83" i="138" s="1"/>
  <c r="O84" i="138" s="1"/>
  <c r="O85" i="138" s="1"/>
  <c r="O86" i="138" s="1"/>
  <c r="O87" i="138" s="1"/>
  <c r="O88" i="138" s="1"/>
  <c r="O89" i="138" s="1"/>
  <c r="O90" i="138" s="1"/>
  <c r="O91" i="138" s="1"/>
  <c r="O92" i="138" s="1"/>
  <c r="O93" i="138" s="1"/>
  <c r="O94" i="138" s="1"/>
  <c r="O95" i="138" s="1"/>
  <c r="O96" i="138" s="1"/>
  <c r="O97" i="138" s="1"/>
  <c r="O98" i="138" s="1"/>
  <c r="O99" i="138" s="1"/>
  <c r="O100" i="138" s="1"/>
  <c r="O101" i="138" s="1"/>
  <c r="O102" i="138" s="1"/>
  <c r="O103" i="138" s="1"/>
  <c r="O104" i="138" s="1"/>
  <c r="O105" i="138" s="1"/>
  <c r="O106" i="138" s="1"/>
  <c r="O107" i="138" s="1"/>
  <c r="O108" i="138" s="1"/>
  <c r="A3" i="138"/>
  <c r="A4" i="138" s="1"/>
  <c r="A5" i="138" s="1"/>
  <c r="A6" i="138" s="1"/>
  <c r="A7" i="138" s="1"/>
  <c r="A8" i="138" s="1"/>
  <c r="A9" i="138" s="1"/>
  <c r="A10" i="138" s="1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A60" i="138" s="1"/>
  <c r="A61" i="138" s="1"/>
  <c r="A62" i="138" s="1"/>
  <c r="A63" i="138" s="1"/>
  <c r="A64" i="138" s="1"/>
  <c r="A65" i="138" s="1"/>
  <c r="A66" i="138" s="1"/>
  <c r="A67" i="138" s="1"/>
  <c r="A68" i="138" s="1"/>
  <c r="A69" i="138" s="1"/>
  <c r="A70" i="138" s="1"/>
  <c r="A71" i="138" s="1"/>
  <c r="A72" i="138" s="1"/>
  <c r="A73" i="138" s="1"/>
  <c r="A74" i="138" s="1"/>
  <c r="A75" i="138" s="1"/>
  <c r="A76" i="138" s="1"/>
  <c r="A77" i="138" s="1"/>
  <c r="A78" i="138" s="1"/>
  <c r="A79" i="138" s="1"/>
  <c r="A80" i="138" s="1"/>
  <c r="A81" i="138" s="1"/>
  <c r="A82" i="138" s="1"/>
  <c r="A83" i="138" s="1"/>
  <c r="A84" i="138" s="1"/>
  <c r="A85" i="138" s="1"/>
  <c r="A86" i="138" s="1"/>
  <c r="A87" i="138" s="1"/>
  <c r="A88" i="138" s="1"/>
  <c r="A89" i="138" s="1"/>
  <c r="A90" i="138" s="1"/>
  <c r="A91" i="138" s="1"/>
  <c r="A92" i="138" s="1"/>
  <c r="A93" i="138" s="1"/>
  <c r="A94" i="138" s="1"/>
  <c r="A95" i="138" s="1"/>
  <c r="A96" i="138" s="1"/>
  <c r="A97" i="138" s="1"/>
  <c r="A98" i="138" s="1"/>
  <c r="A99" i="138" s="1"/>
  <c r="A100" i="138" s="1"/>
  <c r="A101" i="138" s="1"/>
  <c r="A102" i="138" s="1"/>
  <c r="A103" i="138" s="1"/>
  <c r="A104" i="138" s="1"/>
  <c r="A105" i="138" s="1"/>
  <c r="A106" i="138" s="1"/>
  <c r="A107" i="138" s="1"/>
  <c r="A108" i="138" s="1"/>
  <c r="A109" i="138" s="1"/>
  <c r="A110" i="138" s="1"/>
  <c r="A111" i="138" s="1"/>
  <c r="A112" i="138" s="1"/>
  <c r="A113" i="138" s="1"/>
  <c r="A114" i="138" s="1"/>
  <c r="A115" i="138" s="1"/>
  <c r="A116" i="138" s="1"/>
  <c r="A117" i="138" s="1"/>
  <c r="A118" i="138" s="1"/>
  <c r="A119" i="138" s="1"/>
  <c r="A120" i="138" s="1"/>
  <c r="A121" i="138" s="1"/>
  <c r="A122" i="138" s="1"/>
  <c r="A123" i="138" s="1"/>
  <c r="A124" i="138" s="1"/>
  <c r="A125" i="138" s="1"/>
  <c r="A126" i="138" s="1"/>
  <c r="A127" i="138" s="1"/>
  <c r="A128" i="138" s="1"/>
  <c r="A129" i="138" s="1"/>
  <c r="A130" i="138" s="1"/>
  <c r="A131" i="138" s="1"/>
  <c r="A132" i="138" s="1"/>
  <c r="A133" i="138" s="1"/>
  <c r="A134" i="138" s="1"/>
  <c r="A135" i="138" s="1"/>
  <c r="A136" i="138" s="1"/>
  <c r="A137" i="138" s="1"/>
  <c r="A138" i="138" s="1"/>
  <c r="A139" i="138" s="1"/>
  <c r="A140" i="138" s="1"/>
  <c r="A141" i="138" s="1"/>
  <c r="A142" i="138" s="1"/>
  <c r="A143" i="138" s="1"/>
  <c r="A144" i="138" s="1"/>
  <c r="A145" i="138" s="1"/>
  <c r="A146" i="138" s="1"/>
  <c r="A147" i="138" s="1"/>
  <c r="A148" i="138" s="1"/>
  <c r="A149" i="138" s="1"/>
  <c r="A150" i="138" s="1"/>
  <c r="A151" i="138" s="1"/>
  <c r="A152" i="138" s="1"/>
  <c r="A153" i="138" s="1"/>
  <c r="A154" i="138" s="1"/>
  <c r="A155" i="138" s="1"/>
  <c r="A156" i="138" s="1"/>
  <c r="A157" i="138" s="1"/>
  <c r="A158" i="138" s="1"/>
  <c r="A159" i="138" s="1"/>
  <c r="A160" i="138" s="1"/>
  <c r="A161" i="138" s="1"/>
  <c r="A162" i="138" s="1"/>
  <c r="A163" i="138" s="1"/>
  <c r="A164" i="138" s="1"/>
  <c r="A165" i="138" s="1"/>
  <c r="A166" i="138" s="1"/>
  <c r="A167" i="138" s="1"/>
  <c r="A168" i="138" s="1"/>
  <c r="A169" i="138" s="1"/>
  <c r="A170" i="138" s="1"/>
  <c r="A171" i="138" s="1"/>
  <c r="A172" i="138" s="1"/>
  <c r="A173" i="138" s="1"/>
  <c r="A174" i="138" s="1"/>
  <c r="A175" i="138" s="1"/>
  <c r="A176" i="138" s="1"/>
  <c r="A177" i="138" s="1"/>
  <c r="A178" i="138" s="1"/>
  <c r="A179" i="138" s="1"/>
  <c r="A180" i="138" s="1"/>
  <c r="A181" i="138" s="1"/>
  <c r="A182" i="138" s="1"/>
  <c r="A183" i="138" s="1"/>
  <c r="A184" i="138" s="1"/>
  <c r="A185" i="138" s="1"/>
  <c r="A186" i="138" s="1"/>
  <c r="A187" i="138" s="1"/>
  <c r="A188" i="138" s="1"/>
  <c r="A189" i="138" s="1"/>
  <c r="A190" i="138" s="1"/>
  <c r="A191" i="138" s="1"/>
  <c r="A192" i="138" s="1"/>
  <c r="A193" i="138" s="1"/>
  <c r="A194" i="138" s="1"/>
  <c r="A195" i="138" s="1"/>
  <c r="A196" i="138" s="1"/>
  <c r="A197" i="138" s="1"/>
  <c r="A198" i="138" s="1"/>
  <c r="A199" i="138" s="1"/>
  <c r="A200" i="138" s="1"/>
  <c r="A201" i="138" s="1"/>
  <c r="A202" i="138" s="1"/>
  <c r="A203" i="138" s="1"/>
  <c r="A204" i="138" s="1"/>
  <c r="A205" i="138" s="1"/>
  <c r="A206" i="138" s="1"/>
  <c r="A207" i="138" s="1"/>
  <c r="A208" i="138" s="1"/>
  <c r="A209" i="138" s="1"/>
  <c r="A210" i="138" s="1"/>
  <c r="A211" i="138" s="1"/>
  <c r="A212" i="138" s="1"/>
  <c r="A213" i="138" s="1"/>
  <c r="A214" i="138" s="1"/>
  <c r="A215" i="138" s="1"/>
  <c r="A216" i="138" s="1"/>
  <c r="A217" i="138" s="1"/>
  <c r="A218" i="138" s="1"/>
  <c r="A219" i="138" s="1"/>
  <c r="A220" i="138" s="1"/>
  <c r="A221" i="138" s="1"/>
  <c r="A222" i="138" s="1"/>
  <c r="A223" i="138" s="1"/>
  <c r="A224" i="138" s="1"/>
  <c r="A225" i="138" s="1"/>
  <c r="A226" i="138" s="1"/>
  <c r="A227" i="138" s="1"/>
  <c r="A228" i="138" s="1"/>
  <c r="A229" i="138" s="1"/>
  <c r="A230" i="138" s="1"/>
  <c r="A231" i="138" s="1"/>
  <c r="A232" i="138" s="1"/>
  <c r="A233" i="138" s="1"/>
  <c r="A234" i="138" s="1"/>
  <c r="A235" i="138" s="1"/>
  <c r="A236" i="138" s="1"/>
  <c r="A237" i="138" s="1"/>
  <c r="A238" i="138" s="1"/>
  <c r="A239" i="138" s="1"/>
  <c r="A240" i="138" s="1"/>
  <c r="A241" i="138" s="1"/>
  <c r="A242" i="138" s="1"/>
  <c r="A243" i="138" s="1"/>
  <c r="A244" i="138" s="1"/>
  <c r="O3" i="134"/>
  <c r="O4" i="134"/>
  <c r="O5" i="134"/>
  <c r="O6" i="134"/>
  <c r="O7" i="134"/>
  <c r="O8" i="134"/>
  <c r="O9" i="134"/>
  <c r="O2" i="134"/>
  <c r="O3" i="133"/>
  <c r="O4" i="133"/>
  <c r="O5" i="133"/>
  <c r="O6" i="133"/>
  <c r="O7" i="133"/>
  <c r="O8" i="133"/>
  <c r="O9" i="133"/>
  <c r="O10" i="133"/>
  <c r="O11" i="133"/>
  <c r="O12" i="133"/>
  <c r="O13" i="133"/>
  <c r="O14" i="133"/>
  <c r="O15" i="133"/>
  <c r="O16" i="133"/>
  <c r="O17" i="133"/>
  <c r="O18" i="133"/>
  <c r="O19" i="133"/>
  <c r="O20" i="133"/>
  <c r="O21" i="133"/>
  <c r="O22" i="133"/>
  <c r="O23" i="133"/>
  <c r="O24" i="133"/>
  <c r="O25" i="133"/>
  <c r="O4" i="132"/>
  <c r="O5" i="132"/>
  <c r="O6" i="132"/>
  <c r="O7" i="132"/>
  <c r="O8" i="132"/>
  <c r="O9" i="132"/>
  <c r="O3" i="132"/>
  <c r="O2" i="120"/>
  <c r="O2" i="132"/>
  <c r="O3" i="120"/>
  <c r="O4" i="120"/>
  <c r="O5" i="120"/>
  <c r="O6" i="120"/>
  <c r="O7" i="120"/>
  <c r="O8" i="120"/>
  <c r="O9" i="120"/>
  <c r="O10" i="120"/>
  <c r="O11" i="120"/>
  <c r="O12" i="120"/>
  <c r="O13" i="120"/>
  <c r="O14" i="120"/>
  <c r="O15" i="120"/>
  <c r="O16" i="120"/>
  <c r="O17" i="120"/>
  <c r="O18" i="120"/>
  <c r="O19" i="120"/>
  <c r="O20" i="120"/>
  <c r="O21" i="120"/>
  <c r="O22" i="120"/>
  <c r="O23" i="120"/>
  <c r="O24" i="120"/>
  <c r="O25" i="120"/>
  <c r="O26" i="120"/>
  <c r="O27" i="120"/>
  <c r="O28" i="120"/>
  <c r="O29" i="120"/>
  <c r="O30" i="120"/>
  <c r="O31" i="120"/>
  <c r="O32" i="120"/>
  <c r="O33" i="120"/>
  <c r="O34" i="120"/>
  <c r="O35" i="120"/>
  <c r="O36" i="120"/>
  <c r="O37" i="120"/>
  <c r="O38" i="120"/>
  <c r="O39" i="120"/>
  <c r="O40" i="120"/>
  <c r="O41" i="120"/>
  <c r="O42" i="120"/>
  <c r="O43" i="120"/>
  <c r="O44" i="120"/>
  <c r="O45" i="120"/>
  <c r="O46" i="120"/>
  <c r="O47" i="120"/>
  <c r="O48" i="120"/>
  <c r="O49" i="120"/>
  <c r="O50" i="120"/>
  <c r="O51" i="120"/>
  <c r="O52" i="120"/>
  <c r="O53" i="120"/>
  <c r="O54" i="120"/>
  <c r="O55" i="120"/>
  <c r="O56" i="120"/>
  <c r="O57" i="120"/>
  <c r="O58" i="120"/>
  <c r="O59" i="120"/>
  <c r="O60" i="120"/>
  <c r="O61" i="120"/>
  <c r="O62" i="120"/>
  <c r="O63" i="120"/>
  <c r="O64" i="120"/>
  <c r="O65" i="120"/>
  <c r="O66" i="120"/>
  <c r="O67" i="120"/>
  <c r="O68" i="120"/>
  <c r="O69" i="120"/>
  <c r="O70" i="120"/>
  <c r="O71" i="120"/>
  <c r="P3" i="120"/>
  <c r="P4" i="120" s="1"/>
  <c r="P5" i="120" s="1"/>
  <c r="P6" i="120" s="1"/>
  <c r="P7" i="120" s="1"/>
  <c r="P8" i="120" s="1"/>
  <c r="P9" i="120" s="1"/>
  <c r="P10" i="120" s="1"/>
  <c r="P11" i="120" s="1"/>
  <c r="P12" i="120" s="1"/>
  <c r="P13" i="120" s="1"/>
  <c r="P14" i="120" s="1"/>
  <c r="P15" i="120" s="1"/>
  <c r="P16" i="120" s="1"/>
  <c r="P17" i="120" s="1"/>
  <c r="P18" i="120" s="1"/>
  <c r="P19" i="120" s="1"/>
  <c r="P20" i="120" s="1"/>
  <c r="P21" i="120" s="1"/>
  <c r="P22" i="120" s="1"/>
  <c r="P23" i="120" s="1"/>
  <c r="P24" i="120" s="1"/>
  <c r="P25" i="120" s="1"/>
  <c r="P26" i="120" s="1"/>
  <c r="P27" i="120" s="1"/>
  <c r="P28" i="120" s="1"/>
  <c r="P29" i="120" s="1"/>
  <c r="P30" i="120" s="1"/>
  <c r="P31" i="120" s="1"/>
  <c r="P32" i="120" s="1"/>
  <c r="P33" i="120" s="1"/>
  <c r="P34" i="120" s="1"/>
  <c r="P35" i="120" s="1"/>
  <c r="P36" i="120" s="1"/>
  <c r="P37" i="120" s="1"/>
  <c r="P38" i="120" s="1"/>
  <c r="P39" i="120" s="1"/>
  <c r="P40" i="120" s="1"/>
  <c r="P41" i="120" s="1"/>
  <c r="P42" i="120" s="1"/>
  <c r="P43" i="120" s="1"/>
  <c r="P44" i="120" s="1"/>
  <c r="P45" i="120" s="1"/>
  <c r="P46" i="120" s="1"/>
  <c r="P47" i="120" s="1"/>
  <c r="P48" i="120" s="1"/>
  <c r="P49" i="120" s="1"/>
  <c r="P50" i="120" s="1"/>
  <c r="P51" i="120" s="1"/>
  <c r="P52" i="120" s="1"/>
  <c r="P53" i="120" s="1"/>
  <c r="P54" i="120" s="1"/>
  <c r="P55" i="120" s="1"/>
  <c r="P56" i="120" s="1"/>
  <c r="P57" i="120" s="1"/>
  <c r="P58" i="120" s="1"/>
  <c r="P59" i="120" s="1"/>
  <c r="P60" i="120" s="1"/>
  <c r="P61" i="120" s="1"/>
  <c r="P62" i="120" s="1"/>
  <c r="P63" i="120" s="1"/>
  <c r="P64" i="120" s="1"/>
  <c r="P65" i="120" s="1"/>
  <c r="P66" i="120" s="1"/>
  <c r="P67" i="120" s="1"/>
  <c r="P68" i="120" s="1"/>
  <c r="P69" i="120" s="1"/>
  <c r="P70" i="120" s="1"/>
  <c r="P71" i="120" s="1"/>
  <c r="N3" i="120"/>
  <c r="N4" i="120" s="1"/>
  <c r="N5" i="120" s="1"/>
  <c r="N6" i="120" s="1"/>
  <c r="N7" i="120" s="1"/>
  <c r="N8" i="120" s="1"/>
  <c r="N9" i="120" s="1"/>
  <c r="N10" i="120" s="1"/>
  <c r="N11" i="120" s="1"/>
  <c r="N12" i="120" s="1"/>
  <c r="N13" i="120" s="1"/>
  <c r="N14" i="120" s="1"/>
  <c r="N15" i="120" s="1"/>
  <c r="N16" i="120" s="1"/>
  <c r="N17" i="120" s="1"/>
  <c r="N18" i="120" s="1"/>
  <c r="N19" i="120" s="1"/>
  <c r="N20" i="120" s="1"/>
  <c r="N21" i="120" s="1"/>
  <c r="N22" i="120" s="1"/>
  <c r="N23" i="120" s="1"/>
  <c r="N24" i="120" s="1"/>
  <c r="N25" i="120" s="1"/>
  <c r="N26" i="120" s="1"/>
  <c r="N27" i="120" s="1"/>
  <c r="N28" i="120" s="1"/>
  <c r="N29" i="120" s="1"/>
  <c r="N30" i="120" s="1"/>
  <c r="N31" i="120" s="1"/>
  <c r="N32" i="120" s="1"/>
  <c r="N33" i="120" s="1"/>
  <c r="N34" i="120" s="1"/>
  <c r="N35" i="120" s="1"/>
  <c r="N36" i="120" s="1"/>
  <c r="N37" i="120" s="1"/>
  <c r="N38" i="120" s="1"/>
  <c r="N39" i="120" s="1"/>
  <c r="N40" i="120" s="1"/>
  <c r="N41" i="120" s="1"/>
  <c r="N42" i="120" s="1"/>
  <c r="N43" i="120" s="1"/>
  <c r="N44" i="120" s="1"/>
  <c r="N45" i="120" s="1"/>
  <c r="N46" i="120" s="1"/>
  <c r="N47" i="120" s="1"/>
  <c r="N48" i="120" s="1"/>
  <c r="N49" i="120" s="1"/>
  <c r="N50" i="120" s="1"/>
  <c r="N51" i="120" s="1"/>
  <c r="N52" i="120" s="1"/>
  <c r="N53" i="120" s="1"/>
  <c r="N54" i="120" s="1"/>
  <c r="N55" i="120" s="1"/>
  <c r="N56" i="120" s="1"/>
  <c r="N57" i="120" s="1"/>
  <c r="N58" i="120" s="1"/>
  <c r="N59" i="120" s="1"/>
  <c r="N60" i="120" s="1"/>
  <c r="N61" i="120" s="1"/>
  <c r="N62" i="120" s="1"/>
  <c r="N63" i="120" s="1"/>
  <c r="N64" i="120" s="1"/>
  <c r="N65" i="120" s="1"/>
  <c r="N66" i="120" s="1"/>
  <c r="N67" i="120" s="1"/>
  <c r="N68" i="120" s="1"/>
  <c r="N69" i="120" s="1"/>
  <c r="N70" i="120" s="1"/>
  <c r="N71" i="120" s="1"/>
  <c r="N4" i="132"/>
  <c r="N5" i="132" s="1"/>
  <c r="N6" i="132" s="1"/>
  <c r="N7" i="132" s="1"/>
  <c r="N8" i="132" s="1"/>
  <c r="N9" i="132" s="1"/>
  <c r="P3" i="132"/>
  <c r="P4" i="132" s="1"/>
  <c r="P5" i="132" s="1"/>
  <c r="P6" i="132" s="1"/>
  <c r="P7" i="132" s="1"/>
  <c r="P8" i="132" s="1"/>
  <c r="P9" i="132" s="1"/>
  <c r="N3" i="132"/>
  <c r="N3" i="133"/>
  <c r="N4" i="133" s="1"/>
  <c r="N5" i="133" s="1"/>
  <c r="N6" i="133" s="1"/>
  <c r="N7" i="133" s="1"/>
  <c r="N8" i="133" s="1"/>
  <c r="N9" i="133" s="1"/>
  <c r="N10" i="133" s="1"/>
  <c r="N11" i="133" s="1"/>
  <c r="N12" i="133" s="1"/>
  <c r="N13" i="133" s="1"/>
  <c r="N14" i="133" s="1"/>
  <c r="N15" i="133" s="1"/>
  <c r="N16" i="133" s="1"/>
  <c r="N17" i="133" s="1"/>
  <c r="N18" i="133" s="1"/>
  <c r="N19" i="133" s="1"/>
  <c r="N20" i="133" s="1"/>
  <c r="N21" i="133" s="1"/>
  <c r="N22" i="133" s="1"/>
  <c r="N23" i="133" s="1"/>
  <c r="N24" i="133" s="1"/>
  <c r="N25" i="133" s="1"/>
  <c r="P3" i="134"/>
  <c r="P4" i="134" s="1"/>
  <c r="P5" i="134" s="1"/>
  <c r="P6" i="134" s="1"/>
  <c r="P7" i="134" s="1"/>
  <c r="P8" i="134" s="1"/>
  <c r="P9" i="134" s="1"/>
  <c r="N4" i="134"/>
  <c r="N5" i="134"/>
  <c r="N6" i="134"/>
  <c r="N7" i="134"/>
  <c r="N8" i="134" s="1"/>
  <c r="N9" i="134" s="1"/>
  <c r="N3" i="134"/>
  <c r="O5" i="127" l="1"/>
  <c r="O7" i="127"/>
  <c r="O9" i="127"/>
  <c r="O11" i="127"/>
  <c r="O13" i="127"/>
  <c r="O15" i="127"/>
  <c r="O17" i="127"/>
  <c r="O19" i="127"/>
  <c r="O21" i="127"/>
  <c r="O23" i="127"/>
  <c r="O25" i="127"/>
  <c r="O27" i="127"/>
  <c r="O29" i="127"/>
  <c r="O31" i="127"/>
  <c r="O33" i="127"/>
  <c r="O35" i="127"/>
  <c r="O37" i="127"/>
  <c r="O39" i="127"/>
  <c r="O41" i="127"/>
  <c r="O43" i="127"/>
  <c r="O45" i="127"/>
  <c r="O47" i="127"/>
  <c r="O49" i="127"/>
  <c r="O51" i="127"/>
  <c r="O53" i="127"/>
  <c r="O55" i="127"/>
  <c r="O57" i="127"/>
  <c r="O59" i="127"/>
  <c r="O61" i="127"/>
  <c r="O63" i="127"/>
  <c r="O65" i="127"/>
  <c r="O67" i="127"/>
  <c r="O69" i="127"/>
  <c r="O71" i="127"/>
  <c r="O73" i="127"/>
  <c r="O75" i="127"/>
  <c r="O3" i="127"/>
  <c r="A3" i="135" l="1"/>
  <c r="A4" i="135" s="1"/>
  <c r="A5" i="135" s="1"/>
  <c r="A6" i="135" s="1"/>
  <c r="A7" i="135" s="1"/>
  <c r="A8" i="135" s="1"/>
  <c r="A9" i="135" s="1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O3" i="135"/>
  <c r="O4" i="135" s="1"/>
  <c r="O5" i="135" s="1"/>
  <c r="O6" i="135" s="1"/>
  <c r="O7" i="135" s="1"/>
  <c r="O8" i="135" s="1"/>
  <c r="O9" i="135" s="1"/>
  <c r="O10" i="135" s="1"/>
  <c r="O11" i="135" s="1"/>
  <c r="O12" i="135" s="1"/>
  <c r="O13" i="135" s="1"/>
  <c r="O14" i="135" s="1"/>
  <c r="O15" i="135" s="1"/>
  <c r="O16" i="135" s="1"/>
  <c r="O17" i="135" s="1"/>
  <c r="O18" i="135" s="1"/>
  <c r="O19" i="135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O3" i="136"/>
  <c r="O4" i="136" s="1"/>
  <c r="O5" i="136" s="1"/>
  <c r="O6" i="136" s="1"/>
  <c r="O7" i="136" s="1"/>
  <c r="O8" i="136" s="1"/>
  <c r="O9" i="136" s="1"/>
  <c r="O10" i="136" s="1"/>
  <c r="O11" i="136" s="1"/>
  <c r="O12" i="136" s="1"/>
  <c r="O13" i="136" s="1"/>
  <c r="O14" i="136" s="1"/>
  <c r="O15" i="136" s="1"/>
  <c r="O16" i="136" s="1"/>
  <c r="O17" i="136" s="1"/>
  <c r="O18" i="136" s="1"/>
  <c r="O19" i="136" s="1"/>
  <c r="O20" i="136" s="1"/>
  <c r="O21" i="136" s="1"/>
  <c r="O22" i="136" s="1"/>
  <c r="O23" i="136" s="1"/>
  <c r="O24" i="136" s="1"/>
  <c r="O25" i="136" s="1"/>
  <c r="A3" i="127" l="1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O3" i="128" l="1"/>
  <c r="O4" i="128" s="1"/>
  <c r="O5" i="128" s="1"/>
  <c r="O6" i="128" s="1"/>
  <c r="O7" i="128" s="1"/>
  <c r="O8" i="128" s="1"/>
  <c r="O9" i="128" s="1"/>
  <c r="O10" i="128" s="1"/>
  <c r="O11" i="128" s="1"/>
  <c r="O12" i="128" s="1"/>
  <c r="O13" i="128" s="1"/>
  <c r="O14" i="128" s="1"/>
  <c r="O15" i="128" s="1"/>
  <c r="O16" i="128" s="1"/>
  <c r="O17" i="128" s="1"/>
  <c r="O18" i="128" s="1"/>
  <c r="O19" i="128" s="1"/>
  <c r="O20" i="128" s="1"/>
  <c r="O21" i="128" s="1"/>
  <c r="O22" i="128" s="1"/>
  <c r="O23" i="128" s="1"/>
  <c r="O24" i="128" s="1"/>
  <c r="O25" i="128" s="1"/>
  <c r="O26" i="128" s="1"/>
  <c r="O27" i="128" s="1"/>
  <c r="O28" i="128" s="1"/>
  <c r="O29" i="128" s="1"/>
  <c r="O30" i="128" s="1"/>
  <c r="O31" i="128" s="1"/>
  <c r="O32" i="128" s="1"/>
  <c r="O33" i="128" s="1"/>
  <c r="O34" i="128" s="1"/>
  <c r="A3" i="128"/>
  <c r="A4" i="128" s="1"/>
  <c r="A5" i="128" s="1"/>
  <c r="A6" i="128" s="1"/>
  <c r="A7" i="128" s="1"/>
  <c r="A8" i="128" s="1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" i="134" s="1"/>
  <c r="A4" i="134" s="1"/>
  <c r="A5" i="134" s="1"/>
  <c r="A6" i="134" s="1"/>
  <c r="A7" i="134" s="1"/>
  <c r="A8" i="134" s="1"/>
  <c r="A9" i="134" s="1"/>
  <c r="A3" i="98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O3" i="98"/>
  <c r="O4" i="98" s="1"/>
  <c r="O5" i="98" s="1"/>
  <c r="O6" i="98" s="1"/>
  <c r="O7" i="98" s="1"/>
  <c r="O8" i="98" s="1"/>
  <c r="O9" i="98" s="1"/>
  <c r="O10" i="98" s="1"/>
  <c r="O11" i="98" s="1"/>
  <c r="O12" i="98" s="1"/>
  <c r="O13" i="98" s="1"/>
  <c r="O14" i="98" s="1"/>
  <c r="O15" i="98" s="1"/>
  <c r="O16" i="98" s="1"/>
  <c r="O17" i="98" s="1"/>
  <c r="A4" i="107"/>
  <c r="A5" i="107"/>
  <c r="A6" i="107"/>
  <c r="A7" i="107" s="1"/>
  <c r="A8" i="107" s="1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3" i="107"/>
  <c r="O4" i="107"/>
  <c r="O5" i="107"/>
  <c r="O6" i="107" s="1"/>
  <c r="O7" i="107" s="1"/>
  <c r="O8" i="107" s="1"/>
  <c r="O9" i="107" s="1"/>
  <c r="O10" i="107" s="1"/>
  <c r="O11" i="107" s="1"/>
  <c r="O12" i="107" s="1"/>
  <c r="O13" i="107" s="1"/>
  <c r="O14" i="107" s="1"/>
  <c r="O15" i="107" s="1"/>
  <c r="O16" i="107" s="1"/>
  <c r="O17" i="107" s="1"/>
  <c r="O18" i="107" s="1"/>
  <c r="O19" i="107" s="1"/>
  <c r="O20" i="107" s="1"/>
  <c r="O21" i="107" s="1"/>
  <c r="O22" i="107" s="1"/>
  <c r="O23" i="107" s="1"/>
  <c r="O24" i="107" s="1"/>
  <c r="O25" i="107" s="1"/>
  <c r="O26" i="107" s="1"/>
  <c r="O27" i="107" s="1"/>
  <c r="O28" i="107" s="1"/>
  <c r="O29" i="107" s="1"/>
  <c r="O30" i="107" s="1"/>
  <c r="O31" i="107" s="1"/>
  <c r="O32" i="107" s="1"/>
  <c r="O33" i="107" s="1"/>
  <c r="O34" i="107" s="1"/>
  <c r="O35" i="107" s="1"/>
  <c r="O36" i="107" s="1"/>
  <c r="O37" i="107" s="1"/>
  <c r="O38" i="107" s="1"/>
  <c r="O39" i="107" s="1"/>
  <c r="O40" i="107" s="1"/>
  <c r="O3" i="107"/>
  <c r="A3" i="131" l="1"/>
  <c r="A4" i="131" s="1"/>
  <c r="A5" i="131" s="1"/>
  <c r="A6" i="131" s="1"/>
  <c r="A7" i="131" s="1"/>
  <c r="A8" i="131" s="1"/>
  <c r="A9" i="131" s="1"/>
  <c r="A10" i="131" s="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A60" i="131" s="1"/>
  <c r="A61" i="131" s="1"/>
  <c r="A62" i="131" s="1"/>
  <c r="A63" i="131" s="1"/>
  <c r="A64" i="131" s="1"/>
  <c r="A65" i="131" s="1"/>
  <c r="A66" i="131" s="1"/>
  <c r="A67" i="131" s="1"/>
  <c r="A68" i="131" s="1"/>
  <c r="A69" i="131" s="1"/>
  <c r="A70" i="131" s="1"/>
  <c r="A71" i="131" s="1"/>
  <c r="A72" i="131" s="1"/>
  <c r="A73" i="131" s="1"/>
  <c r="A74" i="131" s="1"/>
  <c r="A75" i="131" s="1"/>
  <c r="A76" i="131" s="1"/>
  <c r="A77" i="131" s="1"/>
  <c r="A78" i="131" s="1"/>
  <c r="A79" i="131" s="1"/>
  <c r="A80" i="131" s="1"/>
  <c r="A81" i="131" s="1"/>
  <c r="A82" i="131" s="1"/>
  <c r="A83" i="131" s="1"/>
  <c r="A84" i="131" s="1"/>
  <c r="A85" i="131" s="1"/>
  <c r="A86" i="131" s="1"/>
  <c r="A87" i="131" s="1"/>
  <c r="O4" i="131"/>
  <c r="O5" i="131" s="1"/>
  <c r="O6" i="131" s="1"/>
  <c r="O7" i="131" s="1"/>
  <c r="O8" i="131" s="1"/>
  <c r="O9" i="131" s="1"/>
  <c r="O10" i="131" s="1"/>
  <c r="O11" i="131" s="1"/>
  <c r="O12" i="131" s="1"/>
  <c r="O13" i="131" s="1"/>
  <c r="O14" i="131" s="1"/>
  <c r="O15" i="131" s="1"/>
  <c r="O16" i="131" s="1"/>
  <c r="O17" i="131" s="1"/>
  <c r="O18" i="131" s="1"/>
  <c r="O19" i="131" s="1"/>
  <c r="O20" i="131" s="1"/>
  <c r="O21" i="131" s="1"/>
  <c r="O22" i="131" s="1"/>
  <c r="O23" i="131" s="1"/>
  <c r="O24" i="131" s="1"/>
  <c r="O25" i="131" s="1"/>
  <c r="O26" i="131" s="1"/>
  <c r="O27" i="131" s="1"/>
  <c r="O28" i="131" s="1"/>
  <c r="O29" i="131" s="1"/>
  <c r="O30" i="131" s="1"/>
  <c r="O31" i="131" s="1"/>
  <c r="O32" i="131" s="1"/>
  <c r="O33" i="131" s="1"/>
  <c r="O34" i="131" s="1"/>
  <c r="O35" i="131" s="1"/>
  <c r="O36" i="131" s="1"/>
  <c r="O37" i="131" s="1"/>
  <c r="O38" i="131" s="1"/>
  <c r="O39" i="131" s="1"/>
  <c r="O40" i="131" s="1"/>
  <c r="O41" i="131" s="1"/>
  <c r="O42" i="131" s="1"/>
  <c r="O43" i="131" s="1"/>
  <c r="O44" i="131" s="1"/>
  <c r="O45" i="131" s="1"/>
  <c r="O46" i="131" s="1"/>
  <c r="O47" i="131" s="1"/>
  <c r="O48" i="131" s="1"/>
  <c r="O49" i="131" s="1"/>
  <c r="O50" i="131" s="1"/>
  <c r="O51" i="131" s="1"/>
  <c r="O52" i="131" s="1"/>
  <c r="O53" i="131" s="1"/>
  <c r="O54" i="131" s="1"/>
  <c r="O55" i="131" s="1"/>
  <c r="O56" i="131" s="1"/>
  <c r="O57" i="131" s="1"/>
  <c r="O58" i="131" s="1"/>
  <c r="O59" i="131" s="1"/>
  <c r="O60" i="131" s="1"/>
  <c r="O61" i="131" s="1"/>
  <c r="O62" i="131" s="1"/>
  <c r="O63" i="131" s="1"/>
  <c r="O64" i="131" s="1"/>
  <c r="O65" i="131" s="1"/>
  <c r="O66" i="131" s="1"/>
  <c r="O67" i="131" s="1"/>
  <c r="O68" i="131" s="1"/>
  <c r="O69" i="131" s="1"/>
  <c r="O70" i="131" s="1"/>
  <c r="O71" i="131" s="1"/>
  <c r="O72" i="131" s="1"/>
  <c r="O73" i="131" s="1"/>
  <c r="O74" i="131" s="1"/>
  <c r="O75" i="131" s="1"/>
  <c r="O76" i="131" s="1"/>
  <c r="O77" i="131" s="1"/>
  <c r="O78" i="131" s="1"/>
  <c r="O79" i="131" s="1"/>
  <c r="O80" i="131" s="1"/>
  <c r="O81" i="131" s="1"/>
  <c r="O82" i="131" s="1"/>
  <c r="O83" i="131" s="1"/>
  <c r="O84" i="131" s="1"/>
  <c r="O85" i="131" s="1"/>
  <c r="O86" i="131" s="1"/>
  <c r="O87" i="131" s="1"/>
  <c r="O3" i="131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31" l="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B35" i="131" s="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B55" i="131" s="1"/>
  <c r="B56" i="131" s="1"/>
  <c r="B57" i="131" s="1"/>
  <c r="B58" i="131" s="1"/>
  <c r="B59" i="131" s="1"/>
  <c r="B60" i="131" s="1"/>
  <c r="B61" i="131" s="1"/>
  <c r="B62" i="131" s="1"/>
  <c r="B63" i="131" s="1"/>
  <c r="B64" i="131" s="1"/>
  <c r="B65" i="131" s="1"/>
  <c r="B66" i="131" s="1"/>
  <c r="B67" i="131" s="1"/>
  <c r="B68" i="131" s="1"/>
  <c r="B69" i="131" s="1"/>
  <c r="B70" i="131" s="1"/>
  <c r="B71" i="131" s="1"/>
  <c r="B72" i="131" s="1"/>
  <c r="B73" i="131" s="1"/>
  <c r="B74" i="131" s="1"/>
  <c r="B75" i="131" s="1"/>
  <c r="B76" i="131" s="1"/>
  <c r="B77" i="131" s="1"/>
  <c r="B78" i="131" s="1"/>
  <c r="B79" i="131" s="1"/>
  <c r="B80" i="131" s="1"/>
  <c r="B81" i="131" s="1"/>
  <c r="B82" i="131" s="1"/>
  <c r="B83" i="131" s="1"/>
  <c r="B84" i="131" s="1"/>
  <c r="B85" i="131" s="1"/>
  <c r="B86" i="131" s="1"/>
  <c r="B87" i="131" s="1"/>
  <c r="B2" i="139" l="1"/>
  <c r="B3" i="139" s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" i="138"/>
  <c r="B3" i="138" s="1"/>
  <c r="B4" i="138" s="1"/>
  <c r="B5" i="138" s="1"/>
  <c r="B6" i="138" s="1"/>
  <c r="B7" i="138" s="1"/>
  <c r="B8" i="138" s="1"/>
  <c r="B9" i="138" s="1"/>
  <c r="B10" i="138" s="1"/>
  <c r="B11" i="138" s="1"/>
  <c r="B12" i="138" s="1"/>
  <c r="B13" i="138" s="1"/>
  <c r="B14" i="138" s="1"/>
  <c r="B15" i="138" s="1"/>
  <c r="B16" i="138" s="1"/>
  <c r="B17" i="138" s="1"/>
  <c r="B18" i="138" s="1"/>
  <c r="B19" i="138" s="1"/>
  <c r="B20" i="138" s="1"/>
  <c r="B21" i="138" s="1"/>
  <c r="B22" i="138" s="1"/>
  <c r="B23" i="138" s="1"/>
  <c r="B24" i="138" s="1"/>
  <c r="B25" i="138" s="1"/>
  <c r="B26" i="138" s="1"/>
  <c r="B27" i="138" s="1"/>
  <c r="B28" i="138" s="1"/>
  <c r="B29" i="138" s="1"/>
  <c r="B30" i="138" s="1"/>
  <c r="B31" i="138" s="1"/>
  <c r="B32" i="138" s="1"/>
  <c r="B33" i="138" s="1"/>
  <c r="B34" i="138" s="1"/>
  <c r="B35" i="138" s="1"/>
  <c r="B36" i="138" s="1"/>
  <c r="B37" i="138" s="1"/>
  <c r="B38" i="138" s="1"/>
  <c r="B39" i="138" s="1"/>
  <c r="B40" i="138" s="1"/>
  <c r="B41" i="138" s="1"/>
  <c r="B42" i="138" s="1"/>
  <c r="B43" i="138" s="1"/>
  <c r="B44" i="138" s="1"/>
  <c r="B45" i="138" s="1"/>
  <c r="B46" i="138" s="1"/>
  <c r="B47" i="138" s="1"/>
  <c r="B48" i="138" s="1"/>
  <c r="B49" i="138" s="1"/>
  <c r="B50" i="138" s="1"/>
  <c r="B51" i="138" s="1"/>
  <c r="B52" i="138" s="1"/>
  <c r="B53" i="138" s="1"/>
  <c r="B54" i="138" s="1"/>
  <c r="B55" i="138" s="1"/>
  <c r="B56" i="138" s="1"/>
  <c r="B57" i="138" s="1"/>
  <c r="B58" i="138" s="1"/>
  <c r="B59" i="138" s="1"/>
  <c r="B60" i="138" s="1"/>
  <c r="B61" i="138" s="1"/>
  <c r="B62" i="138" s="1"/>
  <c r="B63" i="138" s="1"/>
  <c r="B64" i="138" s="1"/>
  <c r="B65" i="138" s="1"/>
  <c r="B66" i="138" s="1"/>
  <c r="B67" i="138" s="1"/>
  <c r="B68" i="138" s="1"/>
  <c r="B69" i="138" s="1"/>
  <c r="B70" i="138" s="1"/>
  <c r="B71" i="138" s="1"/>
  <c r="B72" i="138" s="1"/>
  <c r="B73" i="138" s="1"/>
  <c r="B74" i="138" s="1"/>
  <c r="B75" i="138" s="1"/>
  <c r="B76" i="138" s="1"/>
  <c r="B77" i="138" s="1"/>
  <c r="B78" i="138" s="1"/>
  <c r="B79" i="138" s="1"/>
  <c r="B80" i="138" s="1"/>
  <c r="B81" i="138" s="1"/>
  <c r="B82" i="138" s="1"/>
  <c r="B83" i="138" s="1"/>
  <c r="B84" i="138" s="1"/>
  <c r="B85" i="138" s="1"/>
  <c r="B86" i="138" s="1"/>
  <c r="B87" i="138" s="1"/>
  <c r="B88" i="138" s="1"/>
  <c r="B89" i="138" s="1"/>
  <c r="B90" i="138" s="1"/>
  <c r="B91" i="138" s="1"/>
  <c r="B92" i="138" s="1"/>
  <c r="B93" i="138" s="1"/>
  <c r="B94" i="138" s="1"/>
  <c r="B95" i="138" s="1"/>
  <c r="B96" i="138" s="1"/>
  <c r="B97" i="138" s="1"/>
  <c r="B98" i="138" s="1"/>
  <c r="B99" i="138" s="1"/>
  <c r="B100" i="138" s="1"/>
  <c r="B101" i="138" s="1"/>
  <c r="B102" i="138" s="1"/>
  <c r="B103" i="138" s="1"/>
  <c r="B104" i="138" s="1"/>
  <c r="B105" i="138" s="1"/>
  <c r="B106" i="138" s="1"/>
  <c r="B107" i="138" s="1"/>
  <c r="B108" i="138" s="1"/>
  <c r="B109" i="138" s="1"/>
  <c r="B110" i="138" s="1"/>
  <c r="B111" i="138" s="1"/>
  <c r="B112" i="138" s="1"/>
  <c r="B113" i="138" s="1"/>
  <c r="B114" i="138" s="1"/>
  <c r="B115" i="138" s="1"/>
  <c r="B116" i="138" s="1"/>
  <c r="B117" i="138" s="1"/>
  <c r="B118" i="138" s="1"/>
  <c r="B119" i="138" s="1"/>
  <c r="B120" i="138" s="1"/>
  <c r="B121" i="138" s="1"/>
  <c r="B122" i="138" s="1"/>
  <c r="B123" i="138" s="1"/>
  <c r="B124" i="138" s="1"/>
  <c r="B125" i="138" s="1"/>
  <c r="B126" i="138" s="1"/>
  <c r="B127" i="138" s="1"/>
  <c r="B128" i="138" s="1"/>
  <c r="B129" i="138" s="1"/>
  <c r="B130" i="138" s="1"/>
  <c r="B131" i="138" s="1"/>
  <c r="B132" i="138" s="1"/>
  <c r="B133" i="138" s="1"/>
  <c r="B134" i="138" s="1"/>
  <c r="B135" i="138" s="1"/>
  <c r="B136" i="138" s="1"/>
  <c r="B137" i="138" s="1"/>
  <c r="B138" i="138" s="1"/>
  <c r="B139" i="138" s="1"/>
  <c r="B140" i="138" s="1"/>
  <c r="B141" i="138" s="1"/>
  <c r="B142" i="138" s="1"/>
  <c r="B143" i="138" s="1"/>
  <c r="B144" i="138" s="1"/>
  <c r="B145" i="138" s="1"/>
  <c r="B146" i="138" s="1"/>
  <c r="B147" i="138" s="1"/>
  <c r="B148" i="138" s="1"/>
  <c r="B149" i="138" s="1"/>
  <c r="B150" i="138" s="1"/>
  <c r="B151" i="138" s="1"/>
  <c r="B152" i="138" s="1"/>
  <c r="B153" i="138" s="1"/>
  <c r="B154" i="138" s="1"/>
  <c r="B155" i="138" s="1"/>
  <c r="B156" i="138" s="1"/>
  <c r="B157" i="138" s="1"/>
  <c r="B158" i="138" s="1"/>
  <c r="B159" i="138" s="1"/>
  <c r="B160" i="138" s="1"/>
  <c r="B161" i="138" s="1"/>
  <c r="B162" i="138" s="1"/>
  <c r="B163" i="138" s="1"/>
  <c r="B164" i="138" s="1"/>
  <c r="B165" i="138" s="1"/>
  <c r="B166" i="138" s="1"/>
  <c r="B167" i="138" s="1"/>
  <c r="B168" i="138" s="1"/>
  <c r="B169" i="138" s="1"/>
  <c r="B170" i="138" s="1"/>
  <c r="B171" i="138" s="1"/>
  <c r="B172" i="138" s="1"/>
  <c r="B173" i="138" s="1"/>
  <c r="B174" i="138" s="1"/>
  <c r="B175" i="138" s="1"/>
  <c r="B176" i="138" s="1"/>
  <c r="B177" i="138" s="1"/>
  <c r="B178" i="138" s="1"/>
  <c r="B179" i="138" s="1"/>
  <c r="B180" i="138" s="1"/>
  <c r="B181" i="138" s="1"/>
  <c r="B182" i="138" s="1"/>
  <c r="B183" i="138" s="1"/>
  <c r="B184" i="138" s="1"/>
  <c r="B185" i="138" s="1"/>
  <c r="B186" i="138" s="1"/>
  <c r="B187" i="138" s="1"/>
  <c r="B188" i="138" s="1"/>
  <c r="B189" i="138" s="1"/>
  <c r="B190" i="138" s="1"/>
  <c r="B191" i="138" s="1"/>
  <c r="B192" i="138" s="1"/>
  <c r="B193" i="138" s="1"/>
  <c r="B194" i="138" s="1"/>
  <c r="B195" i="138" s="1"/>
  <c r="B196" i="138" s="1"/>
  <c r="B197" i="138" s="1"/>
  <c r="B198" i="138" s="1"/>
  <c r="B199" i="138" s="1"/>
  <c r="B200" i="138" s="1"/>
  <c r="B201" i="138" s="1"/>
  <c r="B202" i="138" s="1"/>
  <c r="B203" i="138" s="1"/>
  <c r="B204" i="138" s="1"/>
  <c r="B205" i="138" s="1"/>
  <c r="B206" i="138" s="1"/>
  <c r="B207" i="138" s="1"/>
  <c r="B208" i="138" s="1"/>
  <c r="B209" i="138" s="1"/>
  <c r="B210" i="138" s="1"/>
  <c r="B211" i="138" s="1"/>
  <c r="B212" i="138" s="1"/>
  <c r="B213" i="138" s="1"/>
  <c r="B214" i="138" s="1"/>
  <c r="B215" i="138" s="1"/>
  <c r="B216" i="138" s="1"/>
  <c r="B217" i="138" s="1"/>
  <c r="B218" i="138" s="1"/>
  <c r="B219" i="138" s="1"/>
  <c r="B220" i="138" s="1"/>
  <c r="B221" i="138" s="1"/>
  <c r="B222" i="138" s="1"/>
  <c r="B223" i="138" s="1"/>
  <c r="B224" i="138" s="1"/>
  <c r="B225" i="138" s="1"/>
  <c r="B226" i="138" s="1"/>
  <c r="B227" i="138" s="1"/>
  <c r="B228" i="138" s="1"/>
  <c r="B229" i="138" s="1"/>
  <c r="B230" i="138" s="1"/>
  <c r="B231" i="138" s="1"/>
  <c r="B232" i="138" s="1"/>
  <c r="B233" i="138" s="1"/>
  <c r="B234" i="138" s="1"/>
  <c r="B235" i="138" s="1"/>
  <c r="B236" i="138" s="1"/>
  <c r="B237" i="138" s="1"/>
  <c r="B238" i="138" s="1"/>
  <c r="B239" i="138" s="1"/>
  <c r="B240" i="138" s="1"/>
  <c r="B241" i="138" s="1"/>
  <c r="B242" i="138" s="1"/>
  <c r="B243" i="138" s="1"/>
  <c r="B244" i="138" s="1"/>
  <c r="B2" i="120"/>
  <c r="B3" i="120" s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2" i="124"/>
  <c r="B3" i="124" s="1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2" i="117"/>
  <c r="B3" i="117" s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3" i="117" s="1"/>
  <c r="B2" i="80"/>
  <c r="B2" i="146" s="1"/>
  <c r="B2" i="94"/>
  <c r="B3" i="94" s="1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B3" i="146" l="1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B2" i="91"/>
  <c r="B2" i="143"/>
  <c r="B3" i="143" s="1"/>
  <c r="B4" i="143" s="1"/>
  <c r="B5" i="143" s="1"/>
  <c r="B6" i="143" s="1"/>
  <c r="B7" i="143" s="1"/>
  <c r="B8" i="143" s="1"/>
  <c r="B9" i="143" s="1"/>
  <c r="B10" i="143" s="1"/>
  <c r="B11" i="143" s="1"/>
  <c r="B12" i="143" s="1"/>
  <c r="B13" i="143" s="1"/>
  <c r="B14" i="143" s="1"/>
  <c r="B15" i="143" s="1"/>
  <c r="B16" i="143" s="1"/>
  <c r="B17" i="143" s="1"/>
  <c r="B18" i="143" s="1"/>
  <c r="B19" i="143" s="1"/>
  <c r="B20" i="143" s="1"/>
  <c r="B21" i="143" s="1"/>
  <c r="B22" i="143" s="1"/>
  <c r="B23" i="143" s="1"/>
  <c r="B24" i="143" s="1"/>
  <c r="B25" i="143" s="1"/>
  <c r="B26" i="143" s="1"/>
  <c r="B27" i="143" s="1"/>
  <c r="B28" i="143" s="1"/>
  <c r="B29" i="143" s="1"/>
  <c r="B30" i="143" s="1"/>
  <c r="B31" i="143" s="1"/>
  <c r="B32" i="143" s="1"/>
  <c r="B33" i="143" s="1"/>
  <c r="B34" i="143" s="1"/>
  <c r="B35" i="143" s="1"/>
  <c r="B36" i="143" s="1"/>
  <c r="B37" i="143" s="1"/>
  <c r="B38" i="143" s="1"/>
  <c r="B39" i="143" s="1"/>
  <c r="B40" i="143" s="1"/>
  <c r="B41" i="143" s="1"/>
  <c r="B42" i="143" s="1"/>
  <c r="B43" i="143" s="1"/>
  <c r="B44" i="143" s="1"/>
  <c r="B45" i="143" s="1"/>
  <c r="B46" i="143" s="1"/>
  <c r="B47" i="143" s="1"/>
  <c r="B48" i="143" s="1"/>
  <c r="B49" i="143" s="1"/>
  <c r="B50" i="143" s="1"/>
  <c r="B51" i="143" s="1"/>
  <c r="B52" i="143" s="1"/>
  <c r="B53" i="143" s="1"/>
  <c r="B54" i="143" s="1"/>
  <c r="B55" i="143" s="1"/>
  <c r="B56" i="143" s="1"/>
  <c r="B57" i="143" s="1"/>
  <c r="B58" i="143" s="1"/>
  <c r="B59" i="143" s="1"/>
  <c r="B60" i="143" s="1"/>
  <c r="B61" i="143" s="1"/>
  <c r="B62" i="143" s="1"/>
  <c r="B63" i="143" s="1"/>
  <c r="B64" i="143" s="1"/>
  <c r="B65" i="143" s="1"/>
  <c r="B66" i="143" s="1"/>
  <c r="B67" i="143" s="1"/>
  <c r="B68" i="143" s="1"/>
  <c r="B69" i="143" s="1"/>
  <c r="B70" i="143" s="1"/>
  <c r="B71" i="143" s="1"/>
  <c r="B72" i="143" s="1"/>
  <c r="B73" i="143" s="1"/>
  <c r="B74" i="143" s="1"/>
  <c r="B75" i="143" s="1"/>
  <c r="B76" i="143" s="1"/>
  <c r="B77" i="143" s="1"/>
  <c r="B78" i="143" s="1"/>
  <c r="B79" i="143" s="1"/>
  <c r="B80" i="143" s="1"/>
  <c r="B81" i="143" s="1"/>
  <c r="B82" i="143" s="1"/>
  <c r="B83" i="143" s="1"/>
  <c r="B84" i="143" s="1"/>
  <c r="B85" i="143" s="1"/>
  <c r="B86" i="143" s="1"/>
  <c r="B87" i="143" s="1"/>
  <c r="B88" i="143" s="1"/>
  <c r="B89" i="143" s="1"/>
  <c r="B90" i="143" s="1"/>
  <c r="B91" i="143" s="1"/>
  <c r="B92" i="143" s="1"/>
  <c r="B93" i="143" s="1"/>
  <c r="B94" i="143" s="1"/>
  <c r="B95" i="143" s="1"/>
  <c r="B96" i="143" s="1"/>
  <c r="B97" i="143" s="1"/>
  <c r="B98" i="143" s="1"/>
  <c r="B99" i="143" s="1"/>
  <c r="B100" i="143" s="1"/>
  <c r="B101" i="143" s="1"/>
  <c r="B102" i="143" s="1"/>
  <c r="B103" i="143" s="1"/>
  <c r="B104" i="143" s="1"/>
  <c r="B105" i="143" s="1"/>
  <c r="B106" i="143" s="1"/>
  <c r="B107" i="143" s="1"/>
  <c r="B108" i="143" s="1"/>
  <c r="B109" i="143" s="1"/>
  <c r="B110" i="143" s="1"/>
  <c r="B111" i="143" s="1"/>
  <c r="B112" i="143" s="1"/>
  <c r="B113" i="143" s="1"/>
  <c r="B114" i="143" s="1"/>
  <c r="B115" i="143" s="1"/>
  <c r="B116" i="143" s="1"/>
  <c r="B117" i="143" s="1"/>
  <c r="B118" i="143" s="1"/>
  <c r="B119" i="143" s="1"/>
  <c r="B120" i="143" s="1"/>
  <c r="B121" i="143" s="1"/>
  <c r="B122" i="143" s="1"/>
  <c r="B123" i="143" s="1"/>
  <c r="B124" i="143" s="1"/>
  <c r="B125" i="143" s="1"/>
  <c r="B126" i="143" s="1"/>
  <c r="B127" i="143" s="1"/>
  <c r="B128" i="143" s="1"/>
  <c r="B129" i="143" s="1"/>
  <c r="B130" i="143" s="1"/>
  <c r="B131" i="143" s="1"/>
  <c r="B132" i="143" s="1"/>
  <c r="B133" i="143" s="1"/>
  <c r="B134" i="143" s="1"/>
  <c r="B135" i="143" s="1"/>
  <c r="B136" i="143" s="1"/>
  <c r="B137" i="143" s="1"/>
  <c r="B138" i="143" s="1"/>
  <c r="B139" i="143" s="1"/>
  <c r="B140" i="143" s="1"/>
  <c r="B141" i="143" s="1"/>
  <c r="B142" i="143" s="1"/>
  <c r="B143" i="143" s="1"/>
  <c r="B144" i="143" s="1"/>
  <c r="B145" i="143" s="1"/>
  <c r="B146" i="143" s="1"/>
  <c r="B147" i="143" s="1"/>
  <c r="B2" i="8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77"/>
  <c r="B3" i="77" s="1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163" i="77" s="1"/>
  <c r="B164" i="77" s="1"/>
  <c r="B165" i="77" s="1"/>
  <c r="B166" i="77" s="1"/>
  <c r="B167" i="77" s="1"/>
  <c r="B168" i="77" s="1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2" i="107"/>
  <c r="B3" i="107" s="1"/>
  <c r="B4" i="107" s="1"/>
  <c r="B5" i="107" s="1"/>
  <c r="B6" i="107" s="1"/>
  <c r="B7" i="107" s="1"/>
  <c r="B8" i="107" s="1"/>
  <c r="B9" i="107" s="1"/>
  <c r="B10" i="107" s="1"/>
  <c r="B11" i="107" s="1"/>
  <c r="B12" i="107" s="1"/>
  <c r="B13" i="107" s="1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B33" i="107" s="1"/>
  <c r="B34" i="107" s="1"/>
  <c r="B35" i="107" s="1"/>
  <c r="B36" i="107" s="1"/>
  <c r="B37" i="107" s="1"/>
  <c r="B38" i="107" s="1"/>
  <c r="B39" i="107" s="1"/>
  <c r="B40" i="107" s="1"/>
  <c r="B2" i="132"/>
  <c r="B3" i="132" s="1"/>
  <c r="B4" i="132" s="1"/>
  <c r="B5" i="132" s="1"/>
  <c r="B6" i="132" s="1"/>
  <c r="B7" i="132" s="1"/>
  <c r="B8" i="132" s="1"/>
  <c r="B9" i="13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3" i="91"/>
  <c r="B4" i="91" s="1"/>
  <c r="B5" i="91" s="1"/>
  <c r="B6" i="91" s="1"/>
  <c r="B7" i="91" s="1"/>
  <c r="B8" i="91" s="1"/>
  <c r="B9" i="91" s="1"/>
  <c r="B10" i="91" s="1"/>
  <c r="B11" i="91" s="1"/>
  <c r="B12" i="91" s="1"/>
  <c r="B13" i="91" s="1"/>
  <c r="B14" i="91" s="1"/>
  <c r="B15" i="91" s="1"/>
  <c r="B16" i="91" s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33" i="91" s="1"/>
  <c r="B34" i="91" s="1"/>
  <c r="B35" i="91" s="1"/>
  <c r="B36" i="91" s="1"/>
  <c r="B37" i="91" s="1"/>
  <c r="B38" i="91" s="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70" i="91" s="1"/>
  <c r="B71" i="91" s="1"/>
  <c r="B72" i="91" s="1"/>
  <c r="B73" i="91" s="1"/>
  <c r="B74" i="91" s="1"/>
  <c r="B75" i="91" s="1"/>
  <c r="B76" i="91" s="1"/>
  <c r="B77" i="91" s="1"/>
  <c r="B78" i="91" s="1"/>
  <c r="B79" i="91" s="1"/>
  <c r="B80" i="91" s="1"/>
  <c r="B81" i="91" s="1"/>
  <c r="B82" i="91" s="1"/>
  <c r="B83" i="91" s="1"/>
  <c r="B84" i="91" s="1"/>
  <c r="B85" i="91" s="1"/>
  <c r="B86" i="91" s="1"/>
  <c r="B87" i="91" s="1"/>
  <c r="B88" i="91" s="1"/>
  <c r="B89" i="91" s="1"/>
  <c r="B90" i="91" s="1"/>
  <c r="B91" i="91" s="1"/>
  <c r="B92" i="91" s="1"/>
  <c r="B93" i="91" s="1"/>
  <c r="B94" i="91" s="1"/>
  <c r="B95" i="91" s="1"/>
  <c r="B96" i="91" s="1"/>
  <c r="B97" i="91" s="1"/>
  <c r="B98" i="91" s="1"/>
  <c r="B99" i="91" s="1"/>
  <c r="B100" i="91" s="1"/>
  <c r="B101" i="91" s="1"/>
  <c r="B102" i="91" s="1"/>
  <c r="B103" i="91" s="1"/>
  <c r="B104" i="91" s="1"/>
  <c r="B105" i="91" s="1"/>
  <c r="B106" i="91" s="1"/>
  <c r="B107" i="91" s="1"/>
  <c r="B108" i="91" s="1"/>
  <c r="B109" i="91" s="1"/>
  <c r="B110" i="91" s="1"/>
  <c r="B111" i="91" s="1"/>
  <c r="B112" i="91" s="1"/>
  <c r="B113" i="91" s="1"/>
  <c r="B114" i="91" s="1"/>
  <c r="B115" i="91" s="1"/>
  <c r="B116" i="91" s="1"/>
  <c r="B117" i="91" s="1"/>
  <c r="B118" i="91" s="1"/>
  <c r="B119" i="91" s="1"/>
  <c r="B120" i="91" s="1"/>
  <c r="B121" i="91" s="1"/>
  <c r="B122" i="91" s="1"/>
  <c r="B123" i="91" s="1"/>
  <c r="B124" i="91" s="1"/>
  <c r="B125" i="91" s="1"/>
  <c r="B126" i="91" s="1"/>
  <c r="B127" i="91" s="1"/>
  <c r="B128" i="91" s="1"/>
  <c r="B129" i="91" s="1"/>
  <c r="B130" i="91" s="1"/>
  <c r="B131" i="91" s="1"/>
  <c r="B132" i="91" s="1"/>
  <c r="B133" i="91" s="1"/>
  <c r="B134" i="91" s="1"/>
  <c r="B135" i="91" s="1"/>
  <c r="B136" i="91" s="1"/>
  <c r="B137" i="91" s="1"/>
  <c r="B138" i="91" s="1"/>
  <c r="B139" i="91" s="1"/>
  <c r="B140" i="91" s="1"/>
  <c r="B141" i="91" s="1"/>
  <c r="B142" i="91" s="1"/>
  <c r="B143" i="91" s="1"/>
  <c r="B144" i="91" s="1"/>
  <c r="B145" i="91" s="1"/>
  <c r="B146" i="91" s="1"/>
  <c r="B147" i="91" s="1"/>
  <c r="B148" i="91" s="1"/>
  <c r="B149" i="91" s="1"/>
  <c r="B150" i="91" s="1"/>
  <c r="B151" i="91" s="1"/>
  <c r="B152" i="91" s="1"/>
  <c r="B153" i="91" s="1"/>
  <c r="B154" i="91" s="1"/>
  <c r="B155" i="91" s="1"/>
  <c r="B156" i="91" s="1"/>
  <c r="B157" i="91" s="1"/>
  <c r="B158" i="91" s="1"/>
  <c r="B159" i="91" s="1"/>
  <c r="B160" i="91" s="1"/>
  <c r="B161" i="91" s="1"/>
  <c r="B162" i="91" s="1"/>
  <c r="B163" i="91" s="1"/>
  <c r="B164" i="91" s="1"/>
  <c r="B165" i="91" s="1"/>
  <c r="B166" i="91" s="1"/>
  <c r="B167" i="91" s="1"/>
  <c r="B168" i="91" s="1"/>
  <c r="B169" i="91" s="1"/>
  <c r="B170" i="91" s="1"/>
  <c r="B171" i="91" s="1"/>
  <c r="B172" i="91" s="1"/>
  <c r="B173" i="91" s="1"/>
  <c r="B174" i="91" s="1"/>
  <c r="B175" i="91" s="1"/>
  <c r="B176" i="91" s="1"/>
  <c r="B177" i="91" s="1"/>
  <c r="B178" i="91" s="1"/>
  <c r="B179" i="91" s="1"/>
  <c r="B180" i="91" s="1"/>
  <c r="B181" i="91" s="1"/>
  <c r="B182" i="91" s="1"/>
  <c r="B183" i="91" s="1"/>
  <c r="B184" i="91" s="1"/>
  <c r="B185" i="91" s="1"/>
  <c r="B186" i="91" s="1"/>
  <c r="B187" i="91" s="1"/>
  <c r="B188" i="91" s="1"/>
  <c r="B189" i="91" s="1"/>
  <c r="B190" i="91" s="1"/>
  <c r="B191" i="91" s="1"/>
  <c r="B192" i="91" s="1"/>
  <c r="B193" i="91" s="1"/>
  <c r="B194" i="91" s="1"/>
  <c r="B195" i="91" s="1"/>
  <c r="B196" i="91" s="1"/>
  <c r="B197" i="91" s="1"/>
  <c r="B198" i="91" s="1"/>
  <c r="B199" i="91" s="1"/>
  <c r="B200" i="91" s="1"/>
  <c r="B201" i="91" s="1"/>
  <c r="B202" i="91" s="1"/>
  <c r="B203" i="91" s="1"/>
  <c r="B204" i="91" s="1"/>
  <c r="B205" i="91" s="1"/>
  <c r="B206" i="91" s="1"/>
  <c r="B207" i="91" s="1"/>
  <c r="B208" i="91" s="1"/>
  <c r="B209" i="91" s="1"/>
  <c r="B2" i="99"/>
  <c r="B3" i="99" s="1"/>
  <c r="B4" i="99" s="1"/>
  <c r="B5" i="99" s="1"/>
  <c r="B6" i="99" s="1"/>
  <c r="B7" i="99" s="1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08"/>
  <c r="B3" i="108" s="1"/>
  <c r="B4" i="108" s="1"/>
  <c r="B5" i="108" s="1"/>
  <c r="B6" i="108" s="1"/>
  <c r="B7" i="108" s="1"/>
  <c r="B8" i="108" s="1"/>
  <c r="B9" i="108" s="1"/>
  <c r="B10" i="108" s="1"/>
  <c r="B11" i="108" s="1"/>
  <c r="B12" i="108" s="1"/>
  <c r="B13" i="108" s="1"/>
  <c r="B14" i="108" s="1"/>
  <c r="B15" i="108" s="1"/>
  <c r="B16" i="108" s="1"/>
  <c r="B17" i="108" s="1"/>
  <c r="B18" i="108" s="1"/>
  <c r="B19" i="108" s="1"/>
  <c r="B20" i="108" s="1"/>
  <c r="B21" i="108" s="1"/>
  <c r="B22" i="108" s="1"/>
  <c r="B23" i="108" s="1"/>
  <c r="B24" i="108" s="1"/>
  <c r="B25" i="108" s="1"/>
  <c r="B26" i="108" s="1"/>
  <c r="B27" i="108" s="1"/>
  <c r="B28" i="108" s="1"/>
  <c r="B29" i="108" s="1"/>
  <c r="B30" i="108" s="1"/>
  <c r="B31" i="108" s="1"/>
  <c r="B32" i="108" s="1"/>
  <c r="B33" i="108" s="1"/>
  <c r="B34" i="108" s="1"/>
  <c r="B35" i="108" s="1"/>
  <c r="B36" i="108" s="1"/>
  <c r="B37" i="108" s="1"/>
  <c r="B38" i="108" s="1"/>
  <c r="B39" i="108" s="1"/>
  <c r="B40" i="108" s="1"/>
  <c r="B41" i="108" s="1"/>
  <c r="B42" i="108" s="1"/>
  <c r="B43" i="108" s="1"/>
  <c r="B44" i="108" s="1"/>
  <c r="B45" i="108" s="1"/>
  <c r="B46" i="108" s="1"/>
  <c r="B47" i="108" s="1"/>
  <c r="B48" i="108" s="1"/>
  <c r="B49" i="108" s="1"/>
  <c r="B50" i="108" s="1"/>
  <c r="B51" i="108" s="1"/>
  <c r="B52" i="108" s="1"/>
  <c r="B53" i="108" s="1"/>
  <c r="B54" i="108" s="1"/>
  <c r="B55" i="108" s="1"/>
  <c r="B56" i="108" s="1"/>
  <c r="B57" i="108" s="1"/>
  <c r="B58" i="108" s="1"/>
  <c r="B59" i="108" s="1"/>
  <c r="B60" i="108" s="1"/>
  <c r="B61" i="108" s="1"/>
  <c r="B62" i="108" s="1"/>
  <c r="B63" i="108" s="1"/>
  <c r="B64" i="108" s="1"/>
  <c r="B65" i="108" s="1"/>
  <c r="B66" i="108" s="1"/>
  <c r="B67" i="108" s="1"/>
  <c r="B68" i="108" s="1"/>
  <c r="B69" i="108" s="1"/>
  <c r="B70" i="108" s="1"/>
  <c r="B71" i="108" s="1"/>
  <c r="B72" i="108" s="1"/>
  <c r="B73" i="108" s="1"/>
  <c r="B74" i="108" s="1"/>
  <c r="B75" i="108" s="1"/>
  <c r="B76" i="108" s="1"/>
  <c r="B77" i="108" s="1"/>
  <c r="B78" i="108" s="1"/>
  <c r="B79" i="108" s="1"/>
  <c r="B80" i="108" s="1"/>
  <c r="B81" i="108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93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" i="74"/>
  <c r="B3" i="80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45" l="1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97" i="147" s="1"/>
  <c r="B98" i="147" s="1"/>
  <c r="B99" i="147" s="1"/>
  <c r="B100" i="147" s="1"/>
  <c r="B101" i="147" s="1"/>
  <c r="B102" i="147" s="1"/>
  <c r="B103" i="147" s="1"/>
  <c r="B104" i="147" s="1"/>
  <c r="B105" i="147" s="1"/>
  <c r="B106" i="147" s="1"/>
  <c r="B107" i="147" s="1"/>
  <c r="B108" i="147" s="1"/>
  <c r="B109" i="147" s="1"/>
  <c r="B110" i="147" s="1"/>
  <c r="B111" i="147" s="1"/>
  <c r="B112" i="147" s="1"/>
  <c r="B113" i="147" s="1"/>
  <c r="B114" i="147" s="1"/>
  <c r="B115" i="147" s="1"/>
  <c r="B116" i="147" s="1"/>
  <c r="B117" i="147" s="1"/>
  <c r="B118" i="147" s="1"/>
  <c r="B119" i="147" s="1"/>
  <c r="B120" i="147" s="1"/>
  <c r="B121" i="147" s="1"/>
  <c r="B122" i="147" s="1"/>
  <c r="B123" i="147" s="1"/>
  <c r="B124" i="147" s="1"/>
  <c r="B125" i="147" s="1"/>
  <c r="B126" i="147" s="1"/>
  <c r="B127" i="147" s="1"/>
  <c r="B128" i="147" s="1"/>
  <c r="B129" i="147" s="1"/>
  <c r="B130" i="147" s="1"/>
  <c r="B131" i="147" s="1"/>
  <c r="B132" i="147" s="1"/>
  <c r="B133" i="147" s="1"/>
  <c r="B134" i="147" s="1"/>
  <c r="B135" i="147" s="1"/>
  <c r="B136" i="147" s="1"/>
  <c r="B137" i="147" s="1"/>
  <c r="B138" i="147" s="1"/>
  <c r="B139" i="147" s="1"/>
  <c r="B140" i="147" s="1"/>
  <c r="B141" i="147" s="1"/>
  <c r="B142" i="147" s="1"/>
  <c r="B143" i="147" s="1"/>
  <c r="B144" i="147" s="1"/>
  <c r="B2" i="136"/>
  <c r="B3" i="136" s="1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" i="135"/>
  <c r="B3" i="135" s="1"/>
  <c r="B4" i="135" s="1"/>
  <c r="B5" i="135" s="1"/>
  <c r="B6" i="135" s="1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" i="126"/>
  <c r="B3" i="126" s="1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4" i="80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2" i="128"/>
  <c r="B3" i="128" s="1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B32" i="128" s="1"/>
  <c r="B33" i="128" s="1"/>
  <c r="B34" i="128" s="1"/>
  <c r="B2" i="134" s="1"/>
  <c r="B3" i="134" s="1"/>
  <c r="B4" i="134" s="1"/>
  <c r="B5" i="134" s="1"/>
  <c r="B6" i="134" s="1"/>
  <c r="B7" i="134" s="1"/>
  <c r="B8" i="134" s="1"/>
  <c r="B9" i="134" s="1"/>
  <c r="B2" i="125"/>
  <c r="B3" i="125" s="1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2" i="56"/>
  <c r="B5" i="80" l="1"/>
  <c r="B6" i="80" s="1"/>
  <c r="B7" i="80" s="1"/>
  <c r="B8" i="80" s="1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2" i="144"/>
  <c r="B3" i="144" s="1"/>
  <c r="B4" i="144" s="1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B98" i="144" s="1"/>
  <c r="B99" i="144" s="1"/>
  <c r="B100" i="144" s="1"/>
  <c r="B101" i="144" s="1"/>
  <c r="B102" i="144" s="1"/>
  <c r="B103" i="144" s="1"/>
  <c r="B104" i="144" s="1"/>
  <c r="B105" i="144" s="1"/>
  <c r="B106" i="144" s="1"/>
  <c r="B107" i="144" s="1"/>
  <c r="B108" i="144" s="1"/>
  <c r="B109" i="144" s="1"/>
  <c r="B110" i="144" s="1"/>
  <c r="B111" i="144" s="1"/>
  <c r="B112" i="144" s="1"/>
  <c r="B113" i="144" s="1"/>
  <c r="B114" i="144" s="1"/>
  <c r="B115" i="144" s="1"/>
  <c r="B116" i="144" s="1"/>
  <c r="B117" i="144" s="1"/>
  <c r="B118" i="144" s="1"/>
  <c r="B119" i="144" s="1"/>
  <c r="B120" i="144" s="1"/>
  <c r="B121" i="144" s="1"/>
  <c r="B122" i="144" s="1"/>
  <c r="B123" i="144" s="1"/>
  <c r="B124" i="144" s="1"/>
  <c r="B125" i="144" s="1"/>
  <c r="B126" i="144" s="1"/>
  <c r="B127" i="144" s="1"/>
  <c r="B128" i="144" s="1"/>
  <c r="B129" i="144" s="1"/>
  <c r="B130" i="144" s="1"/>
  <c r="B131" i="144" s="1"/>
  <c r="B132" i="144" s="1"/>
  <c r="B133" i="144" s="1"/>
  <c r="B134" i="144" s="1"/>
  <c r="B135" i="144" s="1"/>
  <c r="B136" i="144" s="1"/>
  <c r="B137" i="144" s="1"/>
  <c r="B138" i="144" s="1"/>
  <c r="B139" i="144" s="1"/>
  <c r="B140" i="144" s="1"/>
  <c r="B141" i="144" s="1"/>
  <c r="B142" i="144" s="1"/>
  <c r="B143" i="144" s="1"/>
  <c r="B144" i="144" s="1"/>
  <c r="B145" i="144" s="1"/>
  <c r="B146" i="144" s="1"/>
  <c r="B147" i="144" s="1"/>
  <c r="B148" i="144" s="1"/>
  <c r="B149" i="144" s="1"/>
  <c r="B150" i="144" s="1"/>
  <c r="B151" i="144" s="1"/>
  <c r="B152" i="144" s="1"/>
  <c r="B153" i="144" s="1"/>
  <c r="B154" i="144" s="1"/>
  <c r="B155" i="144" s="1"/>
  <c r="B156" i="144" s="1"/>
  <c r="B157" i="144" s="1"/>
  <c r="B158" i="144" s="1"/>
  <c r="B159" i="144" s="1"/>
  <c r="B160" i="144" s="1"/>
  <c r="B161" i="144" s="1"/>
  <c r="B162" i="144" s="1"/>
  <c r="B163" i="144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4" i="12"/>
  <c r="B2" i="98"/>
  <c r="B3" i="98" s="1"/>
  <c r="B4" i="98" s="1"/>
  <c r="B5" i="98" s="1"/>
  <c r="B6" i="98" s="1"/>
  <c r="B7" i="98" s="1"/>
  <c r="B8" i="98" s="1"/>
  <c r="B9" i="98" s="1"/>
  <c r="B10" i="98" s="1"/>
  <c r="B11" i="98" s="1"/>
  <c r="B12" i="98" s="1"/>
  <c r="B13" i="98" s="1"/>
  <c r="B14" i="98" s="1"/>
  <c r="B15" i="98" s="1"/>
  <c r="B16" i="98" s="1"/>
  <c r="B17" i="98" s="1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1" l="1"/>
  <c r="C4" i="131" s="1"/>
  <c r="C5" i="131" s="1"/>
  <c r="C6" i="131" s="1"/>
  <c r="C7" i="131" s="1"/>
  <c r="C8" i="131" s="1"/>
  <c r="C9" i="131" s="1"/>
  <c r="C10" i="131" s="1"/>
  <c r="C11" i="131" s="1"/>
  <c r="C12" i="131" s="1"/>
  <c r="C13" i="131" s="1"/>
  <c r="C14" i="131" s="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C55" i="131" s="1"/>
  <c r="C56" i="131" s="1"/>
  <c r="C57" i="131" s="1"/>
  <c r="C58" i="131" s="1"/>
  <c r="C59" i="131" s="1"/>
  <c r="C60" i="131" s="1"/>
  <c r="C61" i="131" s="1"/>
  <c r="C62" i="131" s="1"/>
  <c r="C63" i="131" s="1"/>
  <c r="C64" i="131" s="1"/>
  <c r="C65" i="131" s="1"/>
  <c r="C66" i="131" s="1"/>
  <c r="C67" i="131" s="1"/>
  <c r="C68" i="131" s="1"/>
  <c r="C69" i="131" s="1"/>
  <c r="C70" i="131" s="1"/>
  <c r="C71" i="131" s="1"/>
  <c r="C72" i="131" s="1"/>
  <c r="C73" i="131" s="1"/>
  <c r="C74" i="131" s="1"/>
  <c r="C75" i="131" s="1"/>
  <c r="C76" i="131" s="1"/>
  <c r="C77" i="131" s="1"/>
  <c r="C78" i="131" s="1"/>
  <c r="C79" i="131" s="1"/>
  <c r="C80" i="131" s="1"/>
  <c r="C81" i="131" s="1"/>
  <c r="C82" i="131" s="1"/>
  <c r="C83" i="131" s="1"/>
  <c r="C84" i="131" s="1"/>
  <c r="C85" i="131" s="1"/>
  <c r="C86" i="131" s="1"/>
  <c r="C87" i="131" s="1"/>
  <c r="C2" i="139" l="1"/>
  <c r="C3" i="139" s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" i="138"/>
  <c r="C3" i="138" s="1"/>
  <c r="C4" i="138" s="1"/>
  <c r="C5" i="138" s="1"/>
  <c r="C6" i="138" s="1"/>
  <c r="C7" i="138" s="1"/>
  <c r="C8" i="138" s="1"/>
  <c r="C9" i="138" s="1"/>
  <c r="C10" i="138" s="1"/>
  <c r="C11" i="138" s="1"/>
  <c r="C12" i="138" s="1"/>
  <c r="C13" i="138" s="1"/>
  <c r="C14" i="138" s="1"/>
  <c r="C15" i="138" s="1"/>
  <c r="C16" i="138" s="1"/>
  <c r="C17" i="138" s="1"/>
  <c r="C18" i="138" s="1"/>
  <c r="C19" i="138" s="1"/>
  <c r="C20" i="138" s="1"/>
  <c r="C21" i="138" s="1"/>
  <c r="C22" i="138" s="1"/>
  <c r="C23" i="138" s="1"/>
  <c r="C24" i="138" s="1"/>
  <c r="C25" i="138" s="1"/>
  <c r="C26" i="138" s="1"/>
  <c r="C27" i="138" s="1"/>
  <c r="C28" i="138" s="1"/>
  <c r="C29" i="138" s="1"/>
  <c r="C30" i="138" s="1"/>
  <c r="C31" i="138" s="1"/>
  <c r="C32" i="138" s="1"/>
  <c r="C33" i="138" s="1"/>
  <c r="C34" i="138" s="1"/>
  <c r="C35" i="138" s="1"/>
  <c r="C36" i="138" s="1"/>
  <c r="C37" i="138" s="1"/>
  <c r="C38" i="138" s="1"/>
  <c r="C39" i="138" s="1"/>
  <c r="C40" i="138" s="1"/>
  <c r="C41" i="138" s="1"/>
  <c r="C42" i="138" s="1"/>
  <c r="C43" i="138" s="1"/>
  <c r="C44" i="138" s="1"/>
  <c r="C45" i="138" s="1"/>
  <c r="C46" i="138" s="1"/>
  <c r="C47" i="138" s="1"/>
  <c r="C48" i="138" s="1"/>
  <c r="C49" i="138" s="1"/>
  <c r="C50" i="138" s="1"/>
  <c r="C51" i="138" s="1"/>
  <c r="C52" i="138" s="1"/>
  <c r="C53" i="138" s="1"/>
  <c r="C54" i="138" s="1"/>
  <c r="C55" i="138" s="1"/>
  <c r="C56" i="138" s="1"/>
  <c r="C57" i="138" s="1"/>
  <c r="C58" i="138" s="1"/>
  <c r="C59" i="138" s="1"/>
  <c r="C60" i="138" s="1"/>
  <c r="C61" i="138" s="1"/>
  <c r="C62" i="138" s="1"/>
  <c r="C63" i="138" s="1"/>
  <c r="C64" i="138" s="1"/>
  <c r="C65" i="138" s="1"/>
  <c r="C66" i="138" s="1"/>
  <c r="C67" i="138" s="1"/>
  <c r="C68" i="138" s="1"/>
  <c r="C69" i="138" s="1"/>
  <c r="C70" i="138" s="1"/>
  <c r="C71" i="138" s="1"/>
  <c r="C72" i="138" s="1"/>
  <c r="C73" i="138" s="1"/>
  <c r="C74" i="138" s="1"/>
  <c r="C75" i="138" s="1"/>
  <c r="C76" i="138" s="1"/>
  <c r="C77" i="138" s="1"/>
  <c r="C78" i="138" s="1"/>
  <c r="C79" i="138" s="1"/>
  <c r="C80" i="138" s="1"/>
  <c r="C81" i="138" s="1"/>
  <c r="C82" i="138" s="1"/>
  <c r="C83" i="138" s="1"/>
  <c r="C84" i="138" s="1"/>
  <c r="C85" i="138" s="1"/>
  <c r="C86" i="138" s="1"/>
  <c r="C87" i="138" s="1"/>
  <c r="C88" i="138" s="1"/>
  <c r="C89" i="138" s="1"/>
  <c r="C90" i="138" s="1"/>
  <c r="C91" i="138" s="1"/>
  <c r="C92" i="138" s="1"/>
  <c r="C93" i="138" s="1"/>
  <c r="C94" i="138" s="1"/>
  <c r="C95" i="138" s="1"/>
  <c r="C96" i="138" s="1"/>
  <c r="C97" i="138" s="1"/>
  <c r="C98" i="138" s="1"/>
  <c r="C99" i="138" s="1"/>
  <c r="C100" i="138" s="1"/>
  <c r="C101" i="138" s="1"/>
  <c r="C102" i="138" s="1"/>
  <c r="C103" i="138" s="1"/>
  <c r="C104" i="138" s="1"/>
  <c r="C105" i="138" s="1"/>
  <c r="C106" i="138" s="1"/>
  <c r="C107" i="138" s="1"/>
  <c r="C108" i="138" s="1"/>
  <c r="C109" i="138" s="1"/>
  <c r="C110" i="138" s="1"/>
  <c r="C111" i="138" s="1"/>
  <c r="C112" i="138" s="1"/>
  <c r="C113" i="138" s="1"/>
  <c r="C114" i="138" s="1"/>
  <c r="C115" i="138" s="1"/>
  <c r="C116" i="138" s="1"/>
  <c r="C117" i="138" s="1"/>
  <c r="C118" i="138" s="1"/>
  <c r="C119" i="138" s="1"/>
  <c r="C120" i="138" s="1"/>
  <c r="C121" i="138" s="1"/>
  <c r="C122" i="138" s="1"/>
  <c r="C123" i="138" s="1"/>
  <c r="C124" i="138" s="1"/>
  <c r="C125" i="138" s="1"/>
  <c r="C126" i="138" s="1"/>
  <c r="C127" i="138" s="1"/>
  <c r="C128" i="138" s="1"/>
  <c r="C129" i="138" s="1"/>
  <c r="C130" i="138" s="1"/>
  <c r="C131" i="138" s="1"/>
  <c r="C132" i="138" s="1"/>
  <c r="C133" i="138" s="1"/>
  <c r="C134" i="138" s="1"/>
  <c r="C135" i="138" s="1"/>
  <c r="C136" i="138" s="1"/>
  <c r="C137" i="138" s="1"/>
  <c r="C138" i="138" s="1"/>
  <c r="C139" i="138" s="1"/>
  <c r="C140" i="138" s="1"/>
  <c r="C141" i="138" s="1"/>
  <c r="C142" i="138" s="1"/>
  <c r="C143" i="138" s="1"/>
  <c r="C144" i="138" s="1"/>
  <c r="C145" i="138" s="1"/>
  <c r="C146" i="138" s="1"/>
  <c r="C147" i="138" s="1"/>
  <c r="C148" i="138" s="1"/>
  <c r="C149" i="138" s="1"/>
  <c r="C150" i="138" s="1"/>
  <c r="C151" i="138" s="1"/>
  <c r="C152" i="138" s="1"/>
  <c r="C153" i="138" s="1"/>
  <c r="C154" i="138" s="1"/>
  <c r="C155" i="138" s="1"/>
  <c r="C156" i="138" s="1"/>
  <c r="C157" i="138" s="1"/>
  <c r="C158" i="138" s="1"/>
  <c r="C159" i="138" s="1"/>
  <c r="C160" i="138" s="1"/>
  <c r="C161" i="138" s="1"/>
  <c r="C162" i="138" s="1"/>
  <c r="C163" i="138" s="1"/>
  <c r="C164" i="138" s="1"/>
  <c r="C165" i="138" s="1"/>
  <c r="C166" i="138" s="1"/>
  <c r="C167" i="138" s="1"/>
  <c r="C168" i="138" s="1"/>
  <c r="C169" i="138" s="1"/>
  <c r="C170" i="138" s="1"/>
  <c r="C171" i="138" s="1"/>
  <c r="C172" i="138" s="1"/>
  <c r="C173" i="138" s="1"/>
  <c r="C174" i="138" s="1"/>
  <c r="C175" i="138" s="1"/>
  <c r="C176" i="138" s="1"/>
  <c r="C177" i="138" s="1"/>
  <c r="C178" i="138" s="1"/>
  <c r="C179" i="138" s="1"/>
  <c r="C180" i="138" s="1"/>
  <c r="C181" i="138" s="1"/>
  <c r="C182" i="138" s="1"/>
  <c r="C183" i="138" s="1"/>
  <c r="C184" i="138" s="1"/>
  <c r="C185" i="138" s="1"/>
  <c r="C186" i="138" s="1"/>
  <c r="C187" i="138" s="1"/>
  <c r="C188" i="138" s="1"/>
  <c r="C189" i="138" s="1"/>
  <c r="C190" i="138" s="1"/>
  <c r="C191" i="138" s="1"/>
  <c r="C192" i="138" s="1"/>
  <c r="C193" i="138" s="1"/>
  <c r="C194" i="138" s="1"/>
  <c r="C195" i="138" s="1"/>
  <c r="C196" i="138" s="1"/>
  <c r="C197" i="138" s="1"/>
  <c r="C198" i="138" s="1"/>
  <c r="C199" i="138" s="1"/>
  <c r="C200" i="138" s="1"/>
  <c r="C201" i="138" s="1"/>
  <c r="C202" i="138" s="1"/>
  <c r="C203" i="138" s="1"/>
  <c r="C204" i="138" s="1"/>
  <c r="C205" i="138" s="1"/>
  <c r="C206" i="138" s="1"/>
  <c r="C207" i="138" s="1"/>
  <c r="C208" i="138" s="1"/>
  <c r="C209" i="138" s="1"/>
  <c r="C210" i="138" s="1"/>
  <c r="C211" i="138" s="1"/>
  <c r="C212" i="138" s="1"/>
  <c r="C213" i="138" s="1"/>
  <c r="C214" i="138" s="1"/>
  <c r="C215" i="138" s="1"/>
  <c r="C216" i="138" s="1"/>
  <c r="C217" i="138" s="1"/>
  <c r="C218" i="138" s="1"/>
  <c r="C219" i="138" s="1"/>
  <c r="C220" i="138" s="1"/>
  <c r="C221" i="138" s="1"/>
  <c r="C222" i="138" s="1"/>
  <c r="C223" i="138" s="1"/>
  <c r="C224" i="138" s="1"/>
  <c r="C225" i="138" s="1"/>
  <c r="C226" i="138" s="1"/>
  <c r="C227" i="138" s="1"/>
  <c r="C228" i="138" s="1"/>
  <c r="C229" i="138" s="1"/>
  <c r="C230" i="138" s="1"/>
  <c r="C231" i="138" s="1"/>
  <c r="C232" i="138" s="1"/>
  <c r="C233" i="138" s="1"/>
  <c r="C234" i="138" s="1"/>
  <c r="C235" i="138" s="1"/>
  <c r="C236" i="138" s="1"/>
  <c r="C237" i="138" s="1"/>
  <c r="C238" i="138" s="1"/>
  <c r="C239" i="138" s="1"/>
  <c r="C240" i="138" s="1"/>
  <c r="C241" i="138" s="1"/>
  <c r="C242" i="138" s="1"/>
  <c r="C243" i="138" s="1"/>
  <c r="C244" i="138" s="1"/>
  <c r="C2" i="120"/>
  <c r="C3" i="120" s="1"/>
  <c r="C4" i="120" s="1"/>
  <c r="C5" i="120" s="1"/>
  <c r="C6" i="120" s="1"/>
  <c r="C7" i="120" s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2" i="117"/>
  <c r="C3" i="117" s="1"/>
  <c r="C4" i="117" s="1"/>
  <c r="C5" i="117" s="1"/>
  <c r="C6" i="117" s="1"/>
  <c r="C7" i="117" s="1"/>
  <c r="C8" i="117" s="1"/>
  <c r="C9" i="117" s="1"/>
  <c r="C10" i="117" s="1"/>
  <c r="C11" i="117" s="1"/>
  <c r="C12" i="117" s="1"/>
  <c r="C13" i="117" s="1"/>
  <c r="C14" i="117" s="1"/>
  <c r="C15" i="117" s="1"/>
  <c r="C16" i="117" s="1"/>
  <c r="C17" i="117" s="1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C32" i="117" s="1"/>
  <c r="C33" i="117" s="1"/>
  <c r="C2" i="94"/>
  <c r="C3" i="94" s="1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C2" i="124"/>
  <c r="C3" i="124" s="1"/>
  <c r="C4" i="124" s="1"/>
  <c r="C5" i="124" s="1"/>
  <c r="C6" i="124" s="1"/>
  <c r="C7" i="124" s="1"/>
  <c r="C8" i="124" s="1"/>
  <c r="C9" i="124" s="1"/>
  <c r="C10" i="124" s="1"/>
  <c r="C11" i="124" s="1"/>
  <c r="C12" i="124" s="1"/>
  <c r="C13" i="124" s="1"/>
  <c r="C14" i="124" s="1"/>
  <c r="C15" i="124" s="1"/>
  <c r="C16" i="124" s="1"/>
  <c r="C17" i="124" s="1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C32" i="124" s="1"/>
  <c r="C33" i="124" s="1"/>
  <c r="C34" i="124" s="1"/>
  <c r="C35" i="124" s="1"/>
  <c r="C36" i="124" s="1"/>
  <c r="C37" i="124" s="1"/>
  <c r="C38" i="124" s="1"/>
  <c r="C39" i="124" s="1"/>
  <c r="C40" i="124" s="1"/>
  <c r="C41" i="124" s="1"/>
  <c r="C42" i="124" s="1"/>
  <c r="C43" i="124" s="1"/>
  <c r="C44" i="124" s="1"/>
  <c r="C45" i="124" s="1"/>
  <c r="C46" i="124" s="1"/>
  <c r="C47" i="124" s="1"/>
  <c r="C48" i="124" s="1"/>
  <c r="C49" i="124" s="1"/>
  <c r="C50" i="124" s="1"/>
  <c r="C51" i="124" s="1"/>
  <c r="C52" i="124" s="1"/>
  <c r="C53" i="124" s="1"/>
  <c r="C54" i="124" s="1"/>
  <c r="C55" i="124" s="1"/>
  <c r="C56" i="124" s="1"/>
  <c r="C57" i="124" s="1"/>
  <c r="C58" i="124" s="1"/>
  <c r="C59" i="124" s="1"/>
  <c r="C60" i="124" s="1"/>
  <c r="C61" i="124" s="1"/>
  <c r="C62" i="124" s="1"/>
  <c r="C63" i="124" s="1"/>
  <c r="C2" i="80"/>
  <c r="C2" i="146" s="1"/>
  <c r="C3" i="146" l="1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C2" i="91"/>
  <c r="C2" i="143"/>
  <c r="C3" i="143" s="1"/>
  <c r="C4" i="143" s="1"/>
  <c r="C5" i="143" s="1"/>
  <c r="C6" i="143" s="1"/>
  <c r="C7" i="143" s="1"/>
  <c r="C8" i="143" s="1"/>
  <c r="C9" i="143" s="1"/>
  <c r="C10" i="143" s="1"/>
  <c r="C11" i="143" s="1"/>
  <c r="C12" i="143" s="1"/>
  <c r="C13" i="143" s="1"/>
  <c r="C14" i="143" s="1"/>
  <c r="C15" i="143" s="1"/>
  <c r="C16" i="143" s="1"/>
  <c r="C17" i="143" s="1"/>
  <c r="C18" i="143" s="1"/>
  <c r="C19" i="143" s="1"/>
  <c r="C20" i="143" s="1"/>
  <c r="C21" i="143" s="1"/>
  <c r="C22" i="143" s="1"/>
  <c r="C23" i="143" s="1"/>
  <c r="C24" i="143" s="1"/>
  <c r="C25" i="143" s="1"/>
  <c r="C26" i="143" s="1"/>
  <c r="C27" i="143" s="1"/>
  <c r="C28" i="143" s="1"/>
  <c r="C29" i="143" s="1"/>
  <c r="C30" i="143" s="1"/>
  <c r="C31" i="143" s="1"/>
  <c r="C32" i="143" s="1"/>
  <c r="C33" i="143" s="1"/>
  <c r="C34" i="143" s="1"/>
  <c r="C35" i="143" s="1"/>
  <c r="C36" i="143" s="1"/>
  <c r="C37" i="143" s="1"/>
  <c r="C38" i="143" s="1"/>
  <c r="C39" i="143" s="1"/>
  <c r="C40" i="143" s="1"/>
  <c r="C41" i="143" s="1"/>
  <c r="C42" i="143" s="1"/>
  <c r="C43" i="143" s="1"/>
  <c r="C44" i="143" s="1"/>
  <c r="C45" i="143" s="1"/>
  <c r="C46" i="143" s="1"/>
  <c r="C47" i="143" s="1"/>
  <c r="C48" i="143" s="1"/>
  <c r="C49" i="143" s="1"/>
  <c r="C50" i="143" s="1"/>
  <c r="C51" i="143" s="1"/>
  <c r="C52" i="143" s="1"/>
  <c r="C53" i="143" s="1"/>
  <c r="C54" i="143" s="1"/>
  <c r="C55" i="143" s="1"/>
  <c r="C56" i="143" s="1"/>
  <c r="C57" i="143" s="1"/>
  <c r="C58" i="143" s="1"/>
  <c r="C59" i="143" s="1"/>
  <c r="C60" i="143" s="1"/>
  <c r="C61" i="143" s="1"/>
  <c r="C62" i="143" s="1"/>
  <c r="C63" i="143" s="1"/>
  <c r="C64" i="143" s="1"/>
  <c r="C65" i="143" s="1"/>
  <c r="C66" i="143" s="1"/>
  <c r="C67" i="143" s="1"/>
  <c r="C68" i="143" s="1"/>
  <c r="C69" i="143" s="1"/>
  <c r="C70" i="143" s="1"/>
  <c r="C71" i="143" s="1"/>
  <c r="C72" i="143" s="1"/>
  <c r="C73" i="143" s="1"/>
  <c r="C74" i="143" s="1"/>
  <c r="C75" i="143" s="1"/>
  <c r="C76" i="143" s="1"/>
  <c r="C77" i="143" s="1"/>
  <c r="C78" i="143" s="1"/>
  <c r="C79" i="143" s="1"/>
  <c r="C80" i="143" s="1"/>
  <c r="C81" i="143" s="1"/>
  <c r="C82" i="143" s="1"/>
  <c r="C83" i="143" s="1"/>
  <c r="C84" i="143" s="1"/>
  <c r="C85" i="143" s="1"/>
  <c r="C86" i="143" s="1"/>
  <c r="C87" i="143" s="1"/>
  <c r="C88" i="143" s="1"/>
  <c r="C89" i="143" s="1"/>
  <c r="C90" i="143" s="1"/>
  <c r="C91" i="143" s="1"/>
  <c r="C92" i="143" s="1"/>
  <c r="C93" i="143" s="1"/>
  <c r="C94" i="143" s="1"/>
  <c r="C95" i="143" s="1"/>
  <c r="C96" i="143" s="1"/>
  <c r="C97" i="143" s="1"/>
  <c r="C98" i="143" s="1"/>
  <c r="C99" i="143" s="1"/>
  <c r="C100" i="143" s="1"/>
  <c r="C101" i="143" s="1"/>
  <c r="C102" i="143" s="1"/>
  <c r="C103" i="143" s="1"/>
  <c r="C104" i="143" s="1"/>
  <c r="C105" i="143" s="1"/>
  <c r="C106" i="143" s="1"/>
  <c r="C107" i="143" s="1"/>
  <c r="C108" i="143" s="1"/>
  <c r="C109" i="143" s="1"/>
  <c r="C110" i="143" s="1"/>
  <c r="C111" i="143" s="1"/>
  <c r="C112" i="143" s="1"/>
  <c r="C113" i="143" s="1"/>
  <c r="C114" i="143" s="1"/>
  <c r="C115" i="143" s="1"/>
  <c r="C116" i="143" s="1"/>
  <c r="C117" i="143" s="1"/>
  <c r="C118" i="143" s="1"/>
  <c r="C119" i="143" s="1"/>
  <c r="C120" i="143" s="1"/>
  <c r="C121" i="143" s="1"/>
  <c r="C122" i="143" s="1"/>
  <c r="C123" i="143" s="1"/>
  <c r="C124" i="143" s="1"/>
  <c r="C125" i="143" s="1"/>
  <c r="C126" i="143" s="1"/>
  <c r="C127" i="143" s="1"/>
  <c r="C128" i="143" s="1"/>
  <c r="C129" i="143" s="1"/>
  <c r="C130" i="143" s="1"/>
  <c r="C131" i="143" s="1"/>
  <c r="C132" i="143" s="1"/>
  <c r="C133" i="143" s="1"/>
  <c r="C134" i="143" s="1"/>
  <c r="C135" i="143" s="1"/>
  <c r="C136" i="143" s="1"/>
  <c r="C137" i="143" s="1"/>
  <c r="C138" i="143" s="1"/>
  <c r="C139" i="143" s="1"/>
  <c r="C140" i="143" s="1"/>
  <c r="C141" i="143" s="1"/>
  <c r="C142" i="143" s="1"/>
  <c r="C143" i="143" s="1"/>
  <c r="C144" i="143" s="1"/>
  <c r="C145" i="143" s="1"/>
  <c r="C146" i="143" s="1"/>
  <c r="C147" i="143" s="1"/>
  <c r="C2" i="17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32"/>
  <c r="C3" i="132" s="1"/>
  <c r="C4" i="132" s="1"/>
  <c r="C5" i="132" s="1"/>
  <c r="C6" i="132" s="1"/>
  <c r="C7" i="132" s="1"/>
  <c r="C8" i="132" s="1"/>
  <c r="C9" i="132" s="1"/>
  <c r="C2" i="74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3" i="80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108"/>
  <c r="C3" i="108" s="1"/>
  <c r="C4" i="108" s="1"/>
  <c r="C5" i="108" s="1"/>
  <c r="C6" i="108" s="1"/>
  <c r="C7" i="108" s="1"/>
  <c r="C8" i="108" s="1"/>
  <c r="C9" i="108" s="1"/>
  <c r="C10" i="108" s="1"/>
  <c r="C11" i="108" s="1"/>
  <c r="C12" i="108" s="1"/>
  <c r="C13" i="108" s="1"/>
  <c r="C14" i="108" s="1"/>
  <c r="C15" i="108" s="1"/>
  <c r="C16" i="108" s="1"/>
  <c r="C17" i="108" s="1"/>
  <c r="C18" i="108" s="1"/>
  <c r="C19" i="108" s="1"/>
  <c r="C20" i="108" s="1"/>
  <c r="C21" i="108" s="1"/>
  <c r="C22" i="108" s="1"/>
  <c r="C23" i="108" s="1"/>
  <c r="C24" i="108" s="1"/>
  <c r="C25" i="108" s="1"/>
  <c r="C26" i="108" s="1"/>
  <c r="C27" i="108" s="1"/>
  <c r="C28" i="108" s="1"/>
  <c r="C29" i="108" s="1"/>
  <c r="C30" i="108" s="1"/>
  <c r="C31" i="108" s="1"/>
  <c r="C32" i="108" s="1"/>
  <c r="C33" i="108" s="1"/>
  <c r="C34" i="108" s="1"/>
  <c r="C35" i="108" s="1"/>
  <c r="C36" i="108" s="1"/>
  <c r="C37" i="108" s="1"/>
  <c r="C38" i="108" s="1"/>
  <c r="C39" i="108" s="1"/>
  <c r="C40" i="108" s="1"/>
  <c r="C41" i="108" s="1"/>
  <c r="C42" i="108" s="1"/>
  <c r="C43" i="108" s="1"/>
  <c r="C44" i="108" s="1"/>
  <c r="C45" i="108" s="1"/>
  <c r="C46" i="108" s="1"/>
  <c r="C47" i="108" s="1"/>
  <c r="C48" i="108" s="1"/>
  <c r="C49" i="108" s="1"/>
  <c r="C50" i="108" s="1"/>
  <c r="C51" i="108" s="1"/>
  <c r="C52" i="108" s="1"/>
  <c r="C53" i="108" s="1"/>
  <c r="C54" i="108" s="1"/>
  <c r="C55" i="108" s="1"/>
  <c r="C56" i="108" s="1"/>
  <c r="C57" i="108" s="1"/>
  <c r="C58" i="108" s="1"/>
  <c r="C59" i="108" s="1"/>
  <c r="C60" i="108" s="1"/>
  <c r="C61" i="108" s="1"/>
  <c r="C62" i="108" s="1"/>
  <c r="C63" i="108" s="1"/>
  <c r="C64" i="108" s="1"/>
  <c r="C65" i="108" s="1"/>
  <c r="C66" i="108" s="1"/>
  <c r="C67" i="108" s="1"/>
  <c r="C68" i="108" s="1"/>
  <c r="C69" i="108" s="1"/>
  <c r="C70" i="108" s="1"/>
  <c r="C71" i="108" s="1"/>
  <c r="C72" i="108" s="1"/>
  <c r="C73" i="108" s="1"/>
  <c r="C74" i="108" s="1"/>
  <c r="C75" i="108" s="1"/>
  <c r="C76" i="108" s="1"/>
  <c r="C77" i="108" s="1"/>
  <c r="C78" i="108" s="1"/>
  <c r="C79" i="108" s="1"/>
  <c r="C80" i="108" s="1"/>
  <c r="C81" i="108" s="1"/>
  <c r="C3" i="91"/>
  <c r="C4" i="91" s="1"/>
  <c r="C5" i="91" s="1"/>
  <c r="C6" i="91" s="1"/>
  <c r="C7" i="91" s="1"/>
  <c r="C8" i="91" s="1"/>
  <c r="C9" i="91" s="1"/>
  <c r="C10" i="91" s="1"/>
  <c r="C11" i="91" s="1"/>
  <c r="C12" i="91" s="1"/>
  <c r="C13" i="91" s="1"/>
  <c r="C14" i="91" s="1"/>
  <c r="C15" i="91" s="1"/>
  <c r="C16" i="91" s="1"/>
  <c r="C17" i="91" s="1"/>
  <c r="C18" i="91" s="1"/>
  <c r="C19" i="91" s="1"/>
  <c r="C20" i="91" s="1"/>
  <c r="C21" i="91" s="1"/>
  <c r="C22" i="91" s="1"/>
  <c r="C23" i="91" s="1"/>
  <c r="C24" i="91" s="1"/>
  <c r="C25" i="91" s="1"/>
  <c r="C26" i="91" s="1"/>
  <c r="C27" i="91" s="1"/>
  <c r="C28" i="91" s="1"/>
  <c r="C29" i="91" s="1"/>
  <c r="C30" i="91" s="1"/>
  <c r="C31" i="91" s="1"/>
  <c r="C32" i="91" s="1"/>
  <c r="C33" i="91" s="1"/>
  <c r="C34" i="91" s="1"/>
  <c r="C35" i="91" s="1"/>
  <c r="C36" i="91" s="1"/>
  <c r="C37" i="91" s="1"/>
  <c r="C38" i="91" s="1"/>
  <c r="C39" i="91" s="1"/>
  <c r="C40" i="91" s="1"/>
  <c r="C41" i="91" s="1"/>
  <c r="C42" i="91" s="1"/>
  <c r="C43" i="91" s="1"/>
  <c r="C44" i="91" s="1"/>
  <c r="C45" i="91" s="1"/>
  <c r="C46" i="91" s="1"/>
  <c r="C47" i="91" s="1"/>
  <c r="C48" i="91" s="1"/>
  <c r="C49" i="91" s="1"/>
  <c r="C50" i="91" s="1"/>
  <c r="C51" i="91" s="1"/>
  <c r="C52" i="91" s="1"/>
  <c r="C53" i="91" s="1"/>
  <c r="C54" i="91" s="1"/>
  <c r="C55" i="91" s="1"/>
  <c r="C56" i="91" s="1"/>
  <c r="C57" i="91" s="1"/>
  <c r="C58" i="91" s="1"/>
  <c r="C59" i="91" s="1"/>
  <c r="C60" i="91" s="1"/>
  <c r="C61" i="91" s="1"/>
  <c r="C62" i="91" s="1"/>
  <c r="C63" i="91" s="1"/>
  <c r="C64" i="91" s="1"/>
  <c r="C65" i="91" s="1"/>
  <c r="C66" i="91" s="1"/>
  <c r="C67" i="91" s="1"/>
  <c r="C68" i="91" s="1"/>
  <c r="C69" i="91" s="1"/>
  <c r="C70" i="91" s="1"/>
  <c r="C71" i="91" s="1"/>
  <c r="C72" i="91" s="1"/>
  <c r="C73" i="91" s="1"/>
  <c r="C74" i="91" s="1"/>
  <c r="C75" i="91" s="1"/>
  <c r="C76" i="91" s="1"/>
  <c r="C77" i="91" s="1"/>
  <c r="C78" i="91" s="1"/>
  <c r="C79" i="91" s="1"/>
  <c r="C80" i="91" s="1"/>
  <c r="C81" i="91" s="1"/>
  <c r="C82" i="91" s="1"/>
  <c r="C83" i="91" s="1"/>
  <c r="C84" i="91" s="1"/>
  <c r="C85" i="91" s="1"/>
  <c r="C86" i="91" s="1"/>
  <c r="C87" i="91" s="1"/>
  <c r="C88" i="91" s="1"/>
  <c r="C89" i="91" s="1"/>
  <c r="C90" i="91" s="1"/>
  <c r="C91" i="91" s="1"/>
  <c r="C92" i="91" s="1"/>
  <c r="C93" i="91" s="1"/>
  <c r="C94" i="91" s="1"/>
  <c r="C95" i="91" s="1"/>
  <c r="C96" i="91" s="1"/>
  <c r="C97" i="91" s="1"/>
  <c r="C98" i="91" s="1"/>
  <c r="C99" i="91" s="1"/>
  <c r="C100" i="91" s="1"/>
  <c r="C101" i="91" s="1"/>
  <c r="C102" i="91" s="1"/>
  <c r="C103" i="91" s="1"/>
  <c r="C104" i="91" s="1"/>
  <c r="C105" i="91" s="1"/>
  <c r="C106" i="91" s="1"/>
  <c r="C107" i="91" s="1"/>
  <c r="C108" i="91" s="1"/>
  <c r="C109" i="91" s="1"/>
  <c r="C110" i="91" s="1"/>
  <c r="C111" i="91" s="1"/>
  <c r="C112" i="91" s="1"/>
  <c r="C113" i="91" s="1"/>
  <c r="C114" i="91" s="1"/>
  <c r="C115" i="91" s="1"/>
  <c r="C116" i="91" s="1"/>
  <c r="C117" i="91" s="1"/>
  <c r="C118" i="91" s="1"/>
  <c r="C119" i="91" s="1"/>
  <c r="C120" i="91" s="1"/>
  <c r="C121" i="91" s="1"/>
  <c r="C122" i="91" s="1"/>
  <c r="C123" i="91" s="1"/>
  <c r="C124" i="91" s="1"/>
  <c r="C125" i="91" s="1"/>
  <c r="C126" i="91" s="1"/>
  <c r="C127" i="91" s="1"/>
  <c r="C128" i="91" s="1"/>
  <c r="C129" i="91" s="1"/>
  <c r="C130" i="91" s="1"/>
  <c r="C131" i="91" s="1"/>
  <c r="C132" i="91" s="1"/>
  <c r="C133" i="91" s="1"/>
  <c r="C134" i="91" s="1"/>
  <c r="C135" i="91" s="1"/>
  <c r="C136" i="91" s="1"/>
  <c r="C137" i="91" s="1"/>
  <c r="C138" i="91" s="1"/>
  <c r="C139" i="91" s="1"/>
  <c r="C140" i="91" s="1"/>
  <c r="C141" i="91" s="1"/>
  <c r="C142" i="91" s="1"/>
  <c r="C143" i="91" s="1"/>
  <c r="C144" i="91" s="1"/>
  <c r="C145" i="91" s="1"/>
  <c r="C146" i="91" s="1"/>
  <c r="C147" i="91" s="1"/>
  <c r="C148" i="91" s="1"/>
  <c r="C149" i="91" s="1"/>
  <c r="C150" i="91" s="1"/>
  <c r="C151" i="91" s="1"/>
  <c r="C152" i="91" s="1"/>
  <c r="C153" i="91" s="1"/>
  <c r="C154" i="91" s="1"/>
  <c r="C155" i="91" s="1"/>
  <c r="C156" i="91" s="1"/>
  <c r="C157" i="91" s="1"/>
  <c r="C158" i="91" s="1"/>
  <c r="C159" i="91" s="1"/>
  <c r="C160" i="91" s="1"/>
  <c r="C161" i="91" s="1"/>
  <c r="C162" i="91" s="1"/>
  <c r="C163" i="91" s="1"/>
  <c r="C164" i="91" s="1"/>
  <c r="C165" i="91" s="1"/>
  <c r="C166" i="91" s="1"/>
  <c r="C167" i="91" s="1"/>
  <c r="C168" i="91" s="1"/>
  <c r="C169" i="91" s="1"/>
  <c r="C170" i="91" s="1"/>
  <c r="C171" i="91" s="1"/>
  <c r="C172" i="91" s="1"/>
  <c r="C173" i="91" s="1"/>
  <c r="C174" i="91" s="1"/>
  <c r="C175" i="91" s="1"/>
  <c r="C176" i="91" s="1"/>
  <c r="C177" i="91" s="1"/>
  <c r="C178" i="91" s="1"/>
  <c r="C179" i="91" s="1"/>
  <c r="C180" i="91" s="1"/>
  <c r="C181" i="91" s="1"/>
  <c r="C182" i="91" s="1"/>
  <c r="C183" i="91" s="1"/>
  <c r="C184" i="91" s="1"/>
  <c r="C185" i="91" s="1"/>
  <c r="C186" i="91" s="1"/>
  <c r="C187" i="91" s="1"/>
  <c r="C188" i="91" s="1"/>
  <c r="C189" i="91" s="1"/>
  <c r="C190" i="91" s="1"/>
  <c r="C191" i="91" s="1"/>
  <c r="C192" i="91" s="1"/>
  <c r="C193" i="91" s="1"/>
  <c r="C194" i="91" s="1"/>
  <c r="C195" i="91" s="1"/>
  <c r="C196" i="91" s="1"/>
  <c r="C197" i="91" s="1"/>
  <c r="C198" i="91" s="1"/>
  <c r="C199" i="91" s="1"/>
  <c r="C200" i="91" s="1"/>
  <c r="C201" i="91" s="1"/>
  <c r="C202" i="91" s="1"/>
  <c r="C203" i="91" s="1"/>
  <c r="C204" i="91" s="1"/>
  <c r="C205" i="91" s="1"/>
  <c r="C206" i="91" s="1"/>
  <c r="C207" i="91" s="1"/>
  <c r="C208" i="91" s="1"/>
  <c r="C209" i="91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107"/>
  <c r="C3" i="107" s="1"/>
  <c r="C4" i="107" s="1"/>
  <c r="C5" i="107" s="1"/>
  <c r="C6" i="107" s="1"/>
  <c r="C7" i="107" s="1"/>
  <c r="C8" i="107" s="1"/>
  <c r="C9" i="107" s="1"/>
  <c r="C10" i="107" s="1"/>
  <c r="C11" i="107" s="1"/>
  <c r="C12" i="107" s="1"/>
  <c r="C13" i="107" s="1"/>
  <c r="C14" i="107" s="1"/>
  <c r="C15" i="107" s="1"/>
  <c r="C16" i="107" s="1"/>
  <c r="C17" i="107" s="1"/>
  <c r="C18" i="107" s="1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C32" i="107" s="1"/>
  <c r="C33" i="107" s="1"/>
  <c r="C34" i="107" s="1"/>
  <c r="C35" i="107" s="1"/>
  <c r="C36" i="107" s="1"/>
  <c r="C37" i="107" s="1"/>
  <c r="C38" i="107" s="1"/>
  <c r="C39" i="107" s="1"/>
  <c r="C40" i="107" s="1"/>
  <c r="C2" i="77"/>
  <c r="C3" i="77" s="1"/>
  <c r="C4" i="77" s="1"/>
  <c r="C5" i="77" s="1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C59" i="77" s="1"/>
  <c r="C60" i="77" s="1"/>
  <c r="C61" i="77" s="1"/>
  <c r="C62" i="77" s="1"/>
  <c r="C63" i="77" s="1"/>
  <c r="C64" i="77" s="1"/>
  <c r="C65" i="77" s="1"/>
  <c r="C66" i="77" s="1"/>
  <c r="C67" i="77" s="1"/>
  <c r="C68" i="77" s="1"/>
  <c r="C69" i="77" s="1"/>
  <c r="C70" i="77" s="1"/>
  <c r="C71" i="77" s="1"/>
  <c r="C72" i="77" s="1"/>
  <c r="C73" i="77" s="1"/>
  <c r="C74" i="77" s="1"/>
  <c r="C75" i="77" s="1"/>
  <c r="C76" i="77" s="1"/>
  <c r="C77" i="77" s="1"/>
  <c r="C78" i="77" s="1"/>
  <c r="C79" i="77" s="1"/>
  <c r="C80" i="77" s="1"/>
  <c r="C81" i="77" s="1"/>
  <c r="C82" i="77" s="1"/>
  <c r="C83" i="77" s="1"/>
  <c r="C84" i="77" s="1"/>
  <c r="C85" i="77" s="1"/>
  <c r="C86" i="77" s="1"/>
  <c r="C87" i="77" s="1"/>
  <c r="C88" i="77" s="1"/>
  <c r="C89" i="77" s="1"/>
  <c r="C90" i="77" s="1"/>
  <c r="C91" i="77" s="1"/>
  <c r="C92" i="77" s="1"/>
  <c r="C93" i="77" s="1"/>
  <c r="C94" i="77" s="1"/>
  <c r="C95" i="77" s="1"/>
  <c r="C96" i="77" s="1"/>
  <c r="C97" i="77" s="1"/>
  <c r="C98" i="77" s="1"/>
  <c r="C99" i="77" s="1"/>
  <c r="C100" i="77" s="1"/>
  <c r="C101" i="77" s="1"/>
  <c r="C102" i="77" s="1"/>
  <c r="C103" i="77" s="1"/>
  <c r="C104" i="77" s="1"/>
  <c r="C105" i="77" s="1"/>
  <c r="C106" i="77" s="1"/>
  <c r="C107" i="77" s="1"/>
  <c r="C108" i="77" s="1"/>
  <c r="C109" i="77" s="1"/>
  <c r="C110" i="77" s="1"/>
  <c r="C111" i="77" s="1"/>
  <c r="C112" i="77" s="1"/>
  <c r="C113" i="77" s="1"/>
  <c r="C114" i="77" s="1"/>
  <c r="C115" i="77" s="1"/>
  <c r="C116" i="77" s="1"/>
  <c r="C117" i="77" s="1"/>
  <c r="C118" i="77" s="1"/>
  <c r="C119" i="77" s="1"/>
  <c r="C120" i="77" s="1"/>
  <c r="C121" i="77" s="1"/>
  <c r="C122" i="77" s="1"/>
  <c r="C123" i="77" s="1"/>
  <c r="C124" i="77" s="1"/>
  <c r="C125" i="77" s="1"/>
  <c r="C126" i="77" s="1"/>
  <c r="C127" i="77" s="1"/>
  <c r="C128" i="77" s="1"/>
  <c r="C129" i="77" s="1"/>
  <c r="C130" i="77" s="1"/>
  <c r="C131" i="77" s="1"/>
  <c r="C132" i="77" s="1"/>
  <c r="C133" i="77" s="1"/>
  <c r="C134" i="77" s="1"/>
  <c r="C135" i="77" s="1"/>
  <c r="C136" i="77" s="1"/>
  <c r="C137" i="77" s="1"/>
  <c r="C138" i="77" s="1"/>
  <c r="C139" i="77" s="1"/>
  <c r="C140" i="77" s="1"/>
  <c r="C141" i="77" s="1"/>
  <c r="C142" i="77" s="1"/>
  <c r="C143" i="77" s="1"/>
  <c r="C144" i="77" s="1"/>
  <c r="C145" i="77" s="1"/>
  <c r="C146" i="77" s="1"/>
  <c r="C147" i="77" s="1"/>
  <c r="C148" i="77" s="1"/>
  <c r="C149" i="77" s="1"/>
  <c r="C150" i="77" s="1"/>
  <c r="C151" i="77" s="1"/>
  <c r="C152" i="77" s="1"/>
  <c r="C153" i="77" s="1"/>
  <c r="C154" i="77" s="1"/>
  <c r="C155" i="77" s="1"/>
  <c r="C156" i="77" s="1"/>
  <c r="C157" i="77" s="1"/>
  <c r="C158" i="77" s="1"/>
  <c r="C159" i="77" s="1"/>
  <c r="C160" i="77" s="1"/>
  <c r="C161" i="77" s="1"/>
  <c r="C162" i="77" s="1"/>
  <c r="C163" i="77" s="1"/>
  <c r="C164" i="77" s="1"/>
  <c r="C165" i="77" s="1"/>
  <c r="C166" i="77" s="1"/>
  <c r="C167" i="77" s="1"/>
  <c r="C168" i="77" s="1"/>
  <c r="C169" i="77" s="1"/>
  <c r="C170" i="77" s="1"/>
  <c r="C171" i="77" s="1"/>
  <c r="C172" i="77" s="1"/>
  <c r="C173" i="77" s="1"/>
  <c r="C174" i="77" s="1"/>
  <c r="C175" i="77" s="1"/>
  <c r="C176" i="77" s="1"/>
  <c r="C177" i="77" s="1"/>
  <c r="C178" i="77" s="1"/>
  <c r="C179" i="77" s="1"/>
  <c r="C180" i="77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93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99"/>
  <c r="C3" i="99" s="1"/>
  <c r="C4" i="99" s="1"/>
  <c r="C5" i="99" s="1"/>
  <c r="C6" i="99" s="1"/>
  <c r="C7" i="99" s="1"/>
  <c r="C8" i="99" s="1"/>
  <c r="C9" i="99" s="1"/>
  <c r="C10" i="99" s="1"/>
  <c r="C11" i="99" s="1"/>
  <c r="C12" i="99" s="1"/>
  <c r="C13" i="99" s="1"/>
  <c r="C14" i="99" s="1"/>
  <c r="C15" i="99" s="1"/>
  <c r="C16" i="99" s="1"/>
  <c r="C17" i="99" s="1"/>
  <c r="C18" i="99" s="1"/>
  <c r="C19" i="99" s="1"/>
  <c r="C20" i="99" s="1"/>
  <c r="C21" i="99" s="1"/>
  <c r="C22" i="99" s="1"/>
  <c r="C2" i="145" l="1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97" i="147" s="1"/>
  <c r="C98" i="147" s="1"/>
  <c r="C99" i="147" s="1"/>
  <c r="C100" i="147" s="1"/>
  <c r="C101" i="147" s="1"/>
  <c r="C102" i="147" s="1"/>
  <c r="C103" i="147" s="1"/>
  <c r="C104" i="147" s="1"/>
  <c r="C105" i="147" s="1"/>
  <c r="C106" i="147" s="1"/>
  <c r="C107" i="147" s="1"/>
  <c r="C108" i="147" s="1"/>
  <c r="C109" i="147" s="1"/>
  <c r="C110" i="147" s="1"/>
  <c r="C111" i="147" s="1"/>
  <c r="C112" i="147" s="1"/>
  <c r="C113" i="147" s="1"/>
  <c r="C114" i="147" s="1"/>
  <c r="C115" i="147" s="1"/>
  <c r="C116" i="147" s="1"/>
  <c r="C117" i="147" s="1"/>
  <c r="C118" i="147" s="1"/>
  <c r="C119" i="147" s="1"/>
  <c r="C120" i="147" s="1"/>
  <c r="C121" i="147" s="1"/>
  <c r="C122" i="147" s="1"/>
  <c r="C123" i="147" s="1"/>
  <c r="C124" i="147" s="1"/>
  <c r="C125" i="147" s="1"/>
  <c r="C126" i="147" s="1"/>
  <c r="C127" i="147" s="1"/>
  <c r="C128" i="147" s="1"/>
  <c r="C129" i="147" s="1"/>
  <c r="C130" i="147" s="1"/>
  <c r="C131" i="147" s="1"/>
  <c r="C132" i="147" s="1"/>
  <c r="C133" i="147" s="1"/>
  <c r="C134" i="147" s="1"/>
  <c r="C135" i="147" s="1"/>
  <c r="C136" i="147" s="1"/>
  <c r="C137" i="147" s="1"/>
  <c r="C138" i="147" s="1"/>
  <c r="C139" i="147" s="1"/>
  <c r="C140" i="147" s="1"/>
  <c r="C141" i="147" s="1"/>
  <c r="C142" i="147" s="1"/>
  <c r="C143" i="147" s="1"/>
  <c r="C144" i="147" s="1"/>
  <c r="C2" i="136"/>
  <c r="C3" i="136" s="1"/>
  <c r="C4" i="136" s="1"/>
  <c r="C5" i="136" s="1"/>
  <c r="C6" i="136" s="1"/>
  <c r="C7" i="136" s="1"/>
  <c r="C8" i="136" s="1"/>
  <c r="C9" i="136" s="1"/>
  <c r="C10" i="136" s="1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2" i="135"/>
  <c r="C3" i="135" s="1"/>
  <c r="C4" i="135" s="1"/>
  <c r="C5" i="135" s="1"/>
  <c r="C6" i="135" s="1"/>
  <c r="C7" i="135" s="1"/>
  <c r="C8" i="135" s="1"/>
  <c r="C9" i="135" s="1"/>
  <c r="C10" i="135" s="1"/>
  <c r="C11" i="135" s="1"/>
  <c r="C12" i="135" s="1"/>
  <c r="C13" i="135" s="1"/>
  <c r="C14" i="135" s="1"/>
  <c r="C15" i="135" s="1"/>
  <c r="C16" i="135" s="1"/>
  <c r="C17" i="135" s="1"/>
  <c r="C18" i="135" s="1"/>
  <c r="C19" i="135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2" i="126"/>
  <c r="C3" i="126" s="1"/>
  <c r="C4" i="126" s="1"/>
  <c r="C5" i="126" s="1"/>
  <c r="C6" i="126" s="1"/>
  <c r="C7" i="126" s="1"/>
  <c r="C8" i="126" s="1"/>
  <c r="C9" i="126" s="1"/>
  <c r="C10" i="126" s="1"/>
  <c r="C11" i="126" s="1"/>
  <c r="C12" i="126" s="1"/>
  <c r="C13" i="126" s="1"/>
  <c r="C14" i="126" s="1"/>
  <c r="C15" i="126" s="1"/>
  <c r="C16" i="126" s="1"/>
  <c r="C17" i="126" s="1"/>
  <c r="C3" i="12"/>
  <c r="C2" i="128"/>
  <c r="C3" i="128" s="1"/>
  <c r="C4" i="128" s="1"/>
  <c r="C5" i="128" s="1"/>
  <c r="C6" i="128" s="1"/>
  <c r="C7" i="128" s="1"/>
  <c r="C8" i="128" s="1"/>
  <c r="C9" i="128" s="1"/>
  <c r="C10" i="128" s="1"/>
  <c r="C11" i="128" s="1"/>
  <c r="C12" i="128" s="1"/>
  <c r="C13" i="128" s="1"/>
  <c r="C14" i="128" s="1"/>
  <c r="C15" i="128" s="1"/>
  <c r="C16" i="128" s="1"/>
  <c r="C17" i="128" s="1"/>
  <c r="C18" i="128" s="1"/>
  <c r="C19" i="128" s="1"/>
  <c r="C20" i="128" s="1"/>
  <c r="C21" i="128" s="1"/>
  <c r="C22" i="128" s="1"/>
  <c r="C23" i="128" s="1"/>
  <c r="C24" i="128" s="1"/>
  <c r="C25" i="128" s="1"/>
  <c r="C26" i="128" s="1"/>
  <c r="C27" i="128" s="1"/>
  <c r="C28" i="128" s="1"/>
  <c r="C29" i="128" s="1"/>
  <c r="C30" i="128" s="1"/>
  <c r="C31" i="128" s="1"/>
  <c r="C32" i="128" s="1"/>
  <c r="C33" i="128" s="1"/>
  <c r="C34" i="128" s="1"/>
  <c r="C2" i="134" s="1"/>
  <c r="C3" i="134" s="1"/>
  <c r="C4" i="134" s="1"/>
  <c r="C5" i="134" s="1"/>
  <c r="C6" i="134" s="1"/>
  <c r="C7" i="134" s="1"/>
  <c r="C8" i="134" s="1"/>
  <c r="C9" i="134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4" i="80"/>
  <c r="C2" i="125"/>
  <c r="C3" i="125" s="1"/>
  <c r="C4" i="125" s="1"/>
  <c r="C5" i="125" s="1"/>
  <c r="C6" i="125" s="1"/>
  <c r="C7" i="125" s="1"/>
  <c r="C8" i="125" s="1"/>
  <c r="C9" i="125" s="1"/>
  <c r="C10" i="125" s="1"/>
  <c r="C11" i="125" s="1"/>
  <c r="C12" i="125" s="1"/>
  <c r="C13" i="125" s="1"/>
  <c r="C14" i="125" s="1"/>
  <c r="C15" i="125" s="1"/>
  <c r="C16" i="125" s="1"/>
  <c r="C17" i="125" s="1"/>
  <c r="C18" i="125" s="1"/>
  <c r="C19" i="125" s="1"/>
  <c r="C20" i="125" s="1"/>
  <c r="C21" i="125" s="1"/>
  <c r="C22" i="125" s="1"/>
  <c r="C23" i="125" s="1"/>
  <c r="C24" i="125" s="1"/>
  <c r="C25" i="125" s="1"/>
  <c r="C2" i="56"/>
  <c r="C3" i="74"/>
  <c r="C4" i="74" s="1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5" i="80" l="1"/>
  <c r="C6" i="80" s="1"/>
  <c r="C7" i="80" s="1"/>
  <c r="C8" i="80" s="1"/>
  <c r="C9" i="80" s="1"/>
  <c r="C10" i="80" s="1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C2" i="144"/>
  <c r="C3" i="144" s="1"/>
  <c r="C4" i="144" s="1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C98" i="144" s="1"/>
  <c r="C99" i="144" s="1"/>
  <c r="C100" i="144" s="1"/>
  <c r="C101" i="144" s="1"/>
  <c r="C102" i="144" s="1"/>
  <c r="C103" i="144" s="1"/>
  <c r="C104" i="144" s="1"/>
  <c r="C105" i="144" s="1"/>
  <c r="C106" i="144" s="1"/>
  <c r="C107" i="144" s="1"/>
  <c r="C108" i="144" s="1"/>
  <c r="C109" i="144" s="1"/>
  <c r="C110" i="144" s="1"/>
  <c r="C111" i="144" s="1"/>
  <c r="C112" i="144" s="1"/>
  <c r="C113" i="144" s="1"/>
  <c r="C114" i="144" s="1"/>
  <c r="C115" i="144" s="1"/>
  <c r="C116" i="144" s="1"/>
  <c r="C117" i="144" s="1"/>
  <c r="C118" i="144" s="1"/>
  <c r="C119" i="144" s="1"/>
  <c r="C120" i="144" s="1"/>
  <c r="C121" i="144" s="1"/>
  <c r="C122" i="144" s="1"/>
  <c r="C123" i="144" s="1"/>
  <c r="C124" i="144" s="1"/>
  <c r="C125" i="144" s="1"/>
  <c r="C126" i="144" s="1"/>
  <c r="C127" i="144" s="1"/>
  <c r="C128" i="144" s="1"/>
  <c r="C129" i="144" s="1"/>
  <c r="C130" i="144" s="1"/>
  <c r="C131" i="144" s="1"/>
  <c r="C132" i="144" s="1"/>
  <c r="C133" i="144" s="1"/>
  <c r="C134" i="144" s="1"/>
  <c r="C135" i="144" s="1"/>
  <c r="C136" i="144" s="1"/>
  <c r="C137" i="144" s="1"/>
  <c r="C138" i="144" s="1"/>
  <c r="C139" i="144" s="1"/>
  <c r="C140" i="144" s="1"/>
  <c r="C141" i="144" s="1"/>
  <c r="C142" i="144" s="1"/>
  <c r="C143" i="144" s="1"/>
  <c r="C144" i="144" s="1"/>
  <c r="C145" i="144" s="1"/>
  <c r="C146" i="144" s="1"/>
  <c r="C147" i="144" s="1"/>
  <c r="C148" i="144" s="1"/>
  <c r="C149" i="144" s="1"/>
  <c r="C150" i="144" s="1"/>
  <c r="C151" i="144" s="1"/>
  <c r="C152" i="144" s="1"/>
  <c r="C153" i="144" s="1"/>
  <c r="C154" i="144" s="1"/>
  <c r="C155" i="144" s="1"/>
  <c r="C156" i="144" s="1"/>
  <c r="C157" i="144" s="1"/>
  <c r="C158" i="144" s="1"/>
  <c r="C159" i="144" s="1"/>
  <c r="C160" i="144" s="1"/>
  <c r="C161" i="144" s="1"/>
  <c r="C162" i="144" s="1"/>
  <c r="C163" i="144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2" i="98"/>
  <c r="C3" i="98" s="1"/>
  <c r="C4" i="98" s="1"/>
  <c r="C5" i="98" s="1"/>
  <c r="C6" i="98" s="1"/>
  <c r="C7" i="98" s="1"/>
  <c r="C8" i="98" s="1"/>
  <c r="C9" i="98" s="1"/>
  <c r="C10" i="98" s="1"/>
  <c r="C11" i="98" s="1"/>
  <c r="C12" i="98" s="1"/>
  <c r="C13" i="98" s="1"/>
  <c r="C14" i="98" s="1"/>
  <c r="C15" i="98" s="1"/>
  <c r="C16" i="98" s="1"/>
  <c r="C17" i="98" s="1"/>
  <c r="C4" i="12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364344-CFEC-4720-AF5D-22F3A1AD3C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FC47CD-90F0-4880-8FD2-F1907D270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C6F994-8DBF-48EB-AAAD-C4B1944FE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68D6E6-B6AF-4705-B78B-54F96034B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5D6E96-49B0-4B5B-A1D5-18F9BED7E2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9F947-343F-45C3-B529-9128A5452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685EDA2-5C0B-4DD5-8D95-FFC73F57B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5A105D-9D77-4010-B382-67F1AFBC5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CCFD39-9B25-45D0-9025-B8DDEAFA9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2E9A4E5-CA21-43E1-939D-2D758F6C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D565C1-20A6-44C4-A0FA-493D04162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207AD2-68DB-40CE-A023-CAC5B0102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62329E-1709-40E3-93D8-2A24E6D1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23EACE-041F-4223-928D-4A75B49BD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5B4D9B-84FD-46E6-9641-98BDE2271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4EF368-2B64-48D5-AB1E-03CCA30F8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AF74837-6195-45FA-B0F9-1D5F634831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9820-2DA9-40C3-ABA6-3F106D4B5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79F57A-8D33-41C7-942A-1D4FBE18A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9C388-C12A-4793-8FCC-EEB929DC2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93A0FC-3644-4BAF-95D4-28089ACDC3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919A0E-FCE8-485D-80C7-8681B10A6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E49A03-941B-4731-8018-50814BBBA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50E7F9-0D5C-4C73-A517-02E38D0A5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94C10A-0023-429B-95FE-D56B0334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2B6507-2528-4C65-926D-F0E56DF3F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DF5C272-E81B-49A2-B746-D40A5659C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A8BF42-2397-48B2-9C24-687DF93AA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E3AF11-5264-431F-A9FA-82812849F1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2789B13-FF7F-4F86-AEA8-BD7DCB766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D49418-A904-4A69-BF01-86E362F64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ECB7F7-11C3-4004-BE94-606C25837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1DE034-4E44-4465-9A64-9B0C226B0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73364E-BE60-440E-9AF0-E8ACEC42A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0BE58-C8A5-47D7-BEAA-0E3A38707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559EFC-A2A2-43D7-B4D2-DE08CA4657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002314B-C927-481A-B603-F4127D107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3F9720-A5E6-4FBC-B9F8-DCE89FF0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3185BB-5700-4D36-B3C9-70BB89806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08998B-43BC-4C3B-B8F3-D9FDDC4C0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F16678-048B-43BE-989A-E4D9DD489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E35993-7BE4-4807-9F2F-654FA1D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CC2B437-45F5-4B14-A0AF-2F867611F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B1BE74-92E3-401A-B890-FB7D2FED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4724B9-707C-43AF-9521-E5010BDA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4297AE-1AF2-49CB-B3D2-8AC809B9FA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3665E7-373E-40E3-AE47-8A3B5C496A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1ED0D3-8192-4E54-9079-DBA3D471B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CDD942F-499D-4DB9-A0BE-083A81E69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AC8BC6A-C316-4B36-9E64-EB79CDD97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7E0C065-B925-4F7E-B0CA-C672728EB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00F18F-531F-4929-8E6E-F28B50AEB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42B092-821C-4FFE-AC7D-60A881ABC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25F301-733D-4399-938B-85176DF62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0507E8-AD5E-4ADF-9D34-3D5B1CEA90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E04DBF-5685-4FE0-BE89-CB662FEC0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778F7E-24D6-4140-AAC3-345989BFA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1FA34A-3172-4780-81D8-6F4F64D4B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9E6B59-DF9B-4D86-A154-43537E7A9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2E6265-6231-4173-9685-47C10CC51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7F422AC-125E-4E04-85A5-B10B3D1E0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ECA26D-6C54-4DB0-B8CA-C62FACF2E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9024EC-D99B-4467-BC9B-DB3E208B2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4F0E51-1719-48AC-BE47-CD8939F6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185056-D0EF-4FCA-9BF7-920C77CA42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5376A-A118-4218-8FE4-8C2FB1AE1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C3BC6-2593-49E6-A667-832D535B9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C37AB6-10D8-41E8-82B5-22205E1E7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E3E41CC-1435-472F-9223-69CB4CC98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CB8E27-DA0D-4B6C-ADB4-0D96D60F5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21EB7-513A-4029-8EF1-B4CA8A1DF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878211-8760-4D35-B7AC-AF5BF5357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19787C-7B36-44E1-A219-14723949F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78A92F-5998-4BEA-BA56-CB32EDDC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C6EF19-4209-4028-B1D4-70A976BC7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33BB3-9515-401D-9595-7088517B5B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18B391-EB11-4AA5-ACC8-4CFC0BC5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A87ED-7525-4EC3-8E6D-14E1BAB2F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E87616-855C-41B0-9952-76FE0D1FE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943A6A-BD23-469D-B0B4-5213B624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1492A3-CB8A-4B8D-9D1C-95F5FA9D9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040A5-6F8A-457D-A769-2F5C59388E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7B64B9-52C4-473F-8B0B-6BEBCA1462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99EAF9-A671-49F6-90BD-FE410CA27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1D7B38-FFFF-4237-81FF-C445BBA7F0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EC5017-8359-424C-ABB4-9501807671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4DDB8D-314D-405F-8CAA-C51327AE5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F224AA2-0686-48E9-9D9E-ED6CE7529C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AB7EA1-0F7E-430A-9BA7-0DCE409E0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122A97-EF17-47FD-98D0-A9D8D0593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35CDB9-FD69-433F-9E53-5E8A1FEC0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14B5A-CC2D-4993-BFB5-BF8501A5E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3F87F3-ADFC-4B55-A249-DD7AA84E2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70EFF2-BD08-443F-B40D-62832170D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0529112-C6AE-44B8-BD4B-AC8F88F68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0F79E5-D7F6-474B-AC25-00382D54E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2A8741-9A6F-41D8-8133-7CE114A1C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CF7EFF4-00B8-48F3-8B43-AEF742388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1A3FDA-27E2-40CA-87BE-1FC525229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8B97736-BCA3-4C8F-8F96-4249DEF0C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5ED8C1F-B1DA-4DB9-B5DA-112FC5790B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DAA383-0545-40FC-9A04-394CEB54C7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2A34EC-53D1-44F4-BDB5-132779D00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4C78B0-90B8-44B8-86F7-53A70E13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FD5F38-3927-42EB-B046-34AEA7F27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80E7592-A9E2-403B-996D-C05A6979A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910C2A-BD7B-4C2E-BEBD-0A06B91F3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581632-ABF1-405E-BB23-BFC789F76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9C46F-3891-49E4-8ECE-B77B631483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CE8D8-1B58-42F7-8B7D-6DD746996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36B893-677E-416E-84BF-F0EB2910EB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4DF974-DA99-4C9C-A9D6-A14C3A1F0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5E6B-B1FC-478A-975F-2A2E9343F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A6DABA-7754-413C-81F8-2B7FC35B4C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95F7B6-6426-4394-A6A3-4D3CD425BB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85350-6478-47F6-8CA3-58456A8A1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3BF62E-6D7A-4027-8FA0-CBFAD6833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8F381F-F70C-458F-9A61-8C1EDEE63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3E4A6A-EA5B-4029-95DB-E8D92916C0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37A2A-4F5F-47D6-AECA-B3B55C3614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7624A7-6B1C-445A-BA12-25B5EAB0A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B8BF81-C03D-47BC-A2B2-DCC5EAB1F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96D07-CBB2-435C-BC52-76A484497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777081-34DB-4FCA-B108-42DEAD0AC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FC1135-5ABF-45B5-8015-A700E5807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27DA569-67F2-414E-AAF6-BC357C7593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DA83E7-C64B-463A-B32D-AAC5F82F6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57F4D5-15AD-456A-A529-F6AE17462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34021B-D42A-4473-BCAB-4D97301DF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E218DA3-EC5F-4DDE-9B78-FC6F857C8E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349E92-036F-4D31-AF8B-993989856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B91F60C-16ED-4C47-9FB2-2A29EE584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19550C-BAAD-4C2B-9336-8C22AB607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920A-621C-4275-A3D7-22ADE0118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AF80D0-7F88-45B7-BC45-FB93CE977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488270-2524-4EEC-87BE-737D74A65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52AD5B-621C-4165-856B-EB79A234E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17A143-C9AA-417F-8C85-9A0A0B7AA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4BFC0E-5354-44F5-A4DA-5B57F4035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A41FB3-BB46-4B1F-8F82-28AA6C44E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041101-38C8-45A9-98CB-09BBF0AFF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86641B-CB30-46D6-A1D1-D2058C14D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DDF98AE-88DD-4DB2-B712-47495A373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AFDC8F-47CC-4BEB-8A6A-A0EE0AA17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E4910B-F432-4F02-A609-FB901E0A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9079AC-5EB5-4AB6-A8D8-6F5019AF22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EF8CBA-43DB-4786-AD20-088CB0994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9B8C18-1405-4BD3-B07C-93D8475C77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B541CD-4404-422D-B894-ABDE69957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65354-1194-475E-8B09-6E22055EE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74CC08-9DF1-41D2-9826-9864A54D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CB8555-5E03-42E4-BF9D-BE649904F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FF80C0-2F81-45CC-9AB5-D82EC5AE71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D4F4C8-087E-4DDE-8503-052A65856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F2FE661-00AA-4E74-B8E8-B639F6D11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37FB96-40DE-4316-B15B-C16E0C1097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B34E89B-0A43-4819-B5E5-A7AF6DB3D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AAA5F43-87CC-4C09-84C8-1D15894D57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2645CA4-5526-4AA3-B1D9-08C2F8741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F5194F-655E-4030-B188-BDFF133A7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B09DEC-F54B-4636-8874-77CE938851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3B3FA-0557-4CDB-A5E2-6E1BC4670B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DDE916-EA18-4C40-B72F-DC7B863C9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748F49-1F22-434C-BD89-D8107623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A82A61-1805-42C7-94DF-BB709822F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263B58-0934-4612-9170-51172061E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71BAAD-FE35-4449-9544-9BD1951CE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21013B-FE24-4211-9D02-466CDD3C6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6BDF67B-FC53-49E2-8D71-8E18881BC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A8F90F5-32EB-405C-83EE-019E482F2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EFDD18-4FC3-4198-840B-3B46B0B82E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4C9FED-C1E1-4AAD-AA67-118386BB61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856509-55DE-46F4-9C5E-6548448D6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F5D073-1C1E-49F8-9336-B19EB2C32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3CB898-DF30-4B72-AEDA-8DEF1482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7A637-6DAD-4C3F-9841-73358E3DA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900A32F-A707-4FEC-9600-5373A70B1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7A360B-0269-45FE-828A-CD0FAF1B7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88A951-0506-4C3B-94CA-20397A3CC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D17A45-87C6-4D44-89B5-2C8DD8820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C2CE167-2AF7-4AC5-9062-8F7B01518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6E8764-34A1-479F-9BDC-36A5E0EE01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7D84777-C090-49D8-99B0-AEEFD180EA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0DF0BA-FE7D-4884-88BC-613BFE3A6F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F6A26E-5432-4EBD-AB94-76AE6F89F4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197539C-1FF0-4400-9190-E8317589A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091860-FAE2-4800-A0AD-4CA134439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A8FC05-6D7F-448A-AAEE-E913EA5B4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80541-3743-4675-B003-682653F9C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B6516F0-D07B-47F8-A0EE-4A94A536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6CED8A-6BE1-499E-AD6D-03BEECB4D4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2720F6-1A00-43A5-ACEF-F02109280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69B1E3F-9670-43F8-AD61-D0B4AADC7B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0B553B5-49B1-4EF4-9B1C-656DFB302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04B35F-F3A2-466C-AF6C-9673C2AB3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8528AE-B1B5-4690-8E96-7E078B87A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FC24CD-ABC6-4D51-9E21-B55285AF2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5F6960-44BF-4350-ACDC-BE552A9EF7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573F6F-7AF6-448B-8ECC-73648442A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AD37B9-1A3D-4533-B15D-87627DC51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D70CF4-9816-44FF-A891-4B2ED7F2F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E1C511-D812-4BF8-896B-62EDFE78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B4E729-1655-4E17-89BC-F24A19C7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CF8BD4-B6E6-4A40-BCEC-3F1ED2B0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A20029-2EDB-4415-AD1A-BD89F5F35F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EC7EF-6D9B-40F4-BC21-B4669C68C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7A1B2B-6CBA-455F-8EF3-B0C3C7A8C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7458A4B-E336-4AED-97E3-D2D6132701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8632B-AB94-4083-AEA3-984822AD61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5E964B-FA29-4039-A380-0FA3BADE6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BD248-8B61-4088-AD62-BC995052C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3FE560-8B3D-4C17-84A7-1A554C538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342951-0E9C-4887-9F21-20A7F17FBB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43FD8D-9EC1-480E-97C8-BC9965070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DB188C-A990-4894-BA36-89AE3B0C6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ADCB44-BB15-432C-B00A-BE1094FF6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D8B640-38FB-4EA8-85F0-93F609C77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C7A3E6-DDF8-452B-8313-82A604D6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7C830B-C81C-4645-BCE6-44A40AAD6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E9BCC3-3F45-4E5C-9563-CDB36785C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53F7D6-9FD6-45DC-AE40-01F14019A1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635CEA-3E42-429C-B80A-95CE2A6C2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D263D60-EE7A-4EA7-9BDC-C40EB5D54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FFA56A-5C97-41F7-92E4-734479FC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86AA2C-1D17-48F8-A53F-7F681D3C5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D5424C-7CDD-4DCE-8A6D-33D134CE7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2F8520-5D6A-4F49-AE10-523A55613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C123A-96F8-44FE-98A3-ED129A2B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E0512B-E82E-482C-8EF8-5926F2CC2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A056A3-98B4-44ED-8D72-2CC648595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C84DD4-468E-4CF7-BCC4-296E31BD09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DFFC8A-4F4E-4511-B6FF-B676EA229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568B62-B242-4E1E-A377-C2746F31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88D8C2-FA7D-42C1-A285-C4A75C9D3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26759D-62E0-44C4-9C21-FE4E5AA98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7E5D7-FC1F-45C8-B06F-8EAA9BA647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5FCF58-D46F-48C8-AC0B-404B3FF36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0591E-3E39-45B4-9BA9-6CCD35D1A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<sst xmlns="http://schemas.openxmlformats.org/spreadsheetml/2006/main" count="28792" uniqueCount="7313">
  <si>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</si>
  <si>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</si>
  <si>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</si>
  <si>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</si>
  <si>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</si>
  <si>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</si>
  <si>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</si>
  <si>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</si>
  <si>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</si>
  <si>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</si>
  <si>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</si>
  <si>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</si>
  <si>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</si>
  <si>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</si>
  <si>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</si>
  <si>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</si>
  <si>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</si>
  <si>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</si>
  <si>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</si>
  <si>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</si>
  <si>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</si>
  <si>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</si>
  <si>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</si>
  <si>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</si>
  <si>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</si>
  <si>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</si>
  <si>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</si>
  <si>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</si>
  <si>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</si>
  <si>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</si>
  <si>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</si>
  <si>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</si>
  <si>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</si>
  <si>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</si>
  <si>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</si>
  <si>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</si>
  <si>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</si>
  <si>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</si>
  <si>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</si>
  <si>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</si>
  <si>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</si>
  <si>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</si>
  <si>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</si>
  <si>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</si>
  <si>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</si>
  <si>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</si>
  <si>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</si>
  <si>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</si>
  <si>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</si>
  <si>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</si>
  <si>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</si>
  <si>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</si>
  <si>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</si>
  <si>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</si>
  <si>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</si>
  <si>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</si>
  <si>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</si>
  <si>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</si>
  <si>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</si>
  <si>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</si>
  <si>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</si>
  <si>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</si>
  <si>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</si>
  <si>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</si>
  <si>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</si>
  <si>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</si>
  <si>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</si>
  <si>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</si>
  <si>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</si>
  <si>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</si>
  <si>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</si>
  <si>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</si>
  <si>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</si>
  <si>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</si>
  <si>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</si>
  <si>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</si>
  <si>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</si>
  <si>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</si>
  <si>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</si>
  <si>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</si>
  <si>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</si>
  <si>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</si>
  <si>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</si>
  <si>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</si>
  <si>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</si>
  <si>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</si>
  <si>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</si>
  <si>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</si>
  <si>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</si>
  <si>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</si>
  <si>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</si>
  <si>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</si>
  <si>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</si>
  <si>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</si>
  <si>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</si>
  <si>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</si>
  <si>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</si>
  <si>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</si>
  <si>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</si>
  <si>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</si>
  <si>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</si>
  <si>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</si>
  <si>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</si>
  <si>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</si>
  <si>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</si>
  <si>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</si>
  <si>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</si>
  <si>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</si>
  <si>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</si>
  <si>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</si>
  <si>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</si>
  <si>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</si>
  <si>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</si>
  <si>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</si>
  <si>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</si>
  <si>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</si>
  <si>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</si>
  <si>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</si>
  <si>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</si>
  <si>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</si>
  <si>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</si>
  <si>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</si>
  <si>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</si>
  <si>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</si>
  <si>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</si>
  <si>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</si>
  <si>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</si>
  <si>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</si>
  <si>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</si>
  <si>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</si>
  <si>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</si>
  <si>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</si>
  <si>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</si>
  <si>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</si>
  <si>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</si>
  <si>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</si>
  <si>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</si>
  <si>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</si>
  <si>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</si>
  <si>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</si>
  <si>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</si>
  <si>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</si>
  <si>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</si>
  <si>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</si>
  <si>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</si>
  <si>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</si>
  <si>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</si>
  <si>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</si>
  <si>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</si>
  <si>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</si>
  <si>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</si>
  <si>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</si>
  <si>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</si>
  <si>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</si>
  <si>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</si>
  <si>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</si>
  <si>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</si>
  <si>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</si>
  <si>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</si>
  <si>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</si>
  <si>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</si>
  <si>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</si>
  <si>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</si>
  <si>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</si>
  <si>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</si>
  <si>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</si>
  <si>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</si>
  <si>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</si>
  <si>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</si>
  <si>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</si>
  <si>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</si>
  <si>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</si>
  <si>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</si>
  <si>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</si>
  <si>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</si>
  <si>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</si>
  <si>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</si>
  <si>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</si>
  <si>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</si>
  <si>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</si>
  <si>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</si>
  <si>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</si>
  <si>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</si>
  <si>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</si>
  <si>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</si>
  <si>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</si>
  <si>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</si>
  <si>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</si>
  <si>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</si>
  <si>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</si>
  <si>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</si>
  <si>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</si>
  <si>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</si>
  <si>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</si>
  <si>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</si>
  <si>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</si>
  <si>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</si>
  <si>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</si>
  <si>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</si>
  <si>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</si>
  <si>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</si>
  <si>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</si>
  <si>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</si>
  <si>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</si>
  <si>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</si>
  <si>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</si>
  <si>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</si>
  <si>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</si>
  <si>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</si>
  <si>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</si>
  <si>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</si>
  <si>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</si>
  <si>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</si>
  <si>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</si>
  <si>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</si>
  <si>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</si>
  <si>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</si>
  <si>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</si>
  <si>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</si>
  <si>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</si>
  <si>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</si>
  <si>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</si>
  <si>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</si>
  <si>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</si>
  <si>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</si>
  <si>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</si>
  <si>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</si>
  <si>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</si>
  <si>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</si>
  <si>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</si>
  <si>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</si>
  <si>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</si>
  <si>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</si>
  <si>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</si>
  <si>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</si>
  <si>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</si>
  <si>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</si>
  <si>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</si>
  <si>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</si>
  <si>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</si>
  <si>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</si>
  <si>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</si>
  <si>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</si>
  <si>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</si>
  <si>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</si>
  <si>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</si>
  <si>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</si>
  <si>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</si>
  <si>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</si>
  <si>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</si>
  <si>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</si>
  <si>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</si>
  <si>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</si>
  <si>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</si>
  <si>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</si>
  <si>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</si>
  <si>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</si>
  <si>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</si>
  <si>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</si>
  <si>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</si>
  <si>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</si>
  <si>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</si>
  <si>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</si>
  <si>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</si>
  <si>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</si>
  <si>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</si>
  <si>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</si>
  <si>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</si>
  <si>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</si>
  <si>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</si>
  <si>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</si>
  <si>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</si>
  <si>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</si>
  <si>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</si>
  <si>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</si>
  <si>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</si>
  <si>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</si>
  <si>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</si>
  <si>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</si>
  <si>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</si>
  <si>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</si>
  <si>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</si>
  <si>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</si>
  <si>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</si>
  <si>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</si>
  <si>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</si>
  <si>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</si>
  <si>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</si>
  <si>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</si>
  <si>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</si>
  <si>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</si>
  <si>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</si>
  <si>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</si>
  <si>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</si>
  <si>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</si>
  <si>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</si>
  <si>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</si>
  <si>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</si>
  <si>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</si>
  <si>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</si>
  <si>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</si>
  <si>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</si>
  <si>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</si>
  <si>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</si>
  <si>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</si>
  <si>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</si>
  <si>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</si>
  <si>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</si>
  <si>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</si>
  <si>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</si>
  <si>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</si>
  <si>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</si>
  <si>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</si>
  <si>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</si>
  <si>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</si>
  <si>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</si>
  <si>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</si>
  <si>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</si>
  <si>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</si>
  <si>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</si>
  <si>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</si>
  <si>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</si>
  <si>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</si>
  <si>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</si>
  <si>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</si>
  <si>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</si>
  <si>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</si>
  <si>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</si>
  <si>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</si>
  <si>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</si>
  <si>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</si>
  <si>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</si>
  <si>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</si>
  <si>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</si>
  <si>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</si>
  <si>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</si>
  <si>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</si>
  <si>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</si>
  <si>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</si>
  <si>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</si>
  <si>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</si>
  <si>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</si>
  <si>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</si>
  <si>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</si>
  <si>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</si>
  <si>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</si>
  <si>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</si>
  <si>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</si>
  <si>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</si>
  <si>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</si>
  <si>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</si>
  <si>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</si>
  <si>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</si>
  <si>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</si>
  <si>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</si>
  <si>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</si>
  <si>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</si>
  <si>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</si>
  <si>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</si>
  <si>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</si>
  <si>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</si>
  <si>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</si>
  <si>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</si>
  <si>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</si>
  <si>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</si>
  <si>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</si>
  <si>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</si>
  <si>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</si>
  <si>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</si>
  <si>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</si>
  <si>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</si>
  <si>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</si>
  <si>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</si>
  <si>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</si>
  <si>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</si>
  <si>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</si>
  <si>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</si>
  <si>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</si>
  <si>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</si>
  <si>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</si>
  <si>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</si>
  <si>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</si>
  <si>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</si>
  <si>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</si>
  <si>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</si>
  <si>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</si>
  <si>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</si>
  <si>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</si>
  <si>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</si>
  <si>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</si>
  <si>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</si>
  <si>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</si>
  <si>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</si>
  <si>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</si>
  <si>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</si>
  <si>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</si>
  <si>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</si>
  <si>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</si>
  <si>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</si>
  <si>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</si>
  <si>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</si>
  <si>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</si>
  <si>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</si>
  <si>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</si>
  <si>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</si>
  <si>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</si>
  <si>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</si>
  <si>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</si>
  <si>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</si>
  <si>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</si>
  <si>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</si>
  <si>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</si>
  <si>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</si>
  <si>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</si>
  <si>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</si>
  <si>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</si>
  <si>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</si>
  <si>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</si>
  <si>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</si>
  <si>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</si>
  <si>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</si>
  <si>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</si>
  <si>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</si>
  <si>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</si>
  <si>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</si>
  <si>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</si>
  <si>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</si>
  <si>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</si>
  <si>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</si>
  <si>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</si>
  <si>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</si>
  <si>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</si>
  <si>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</si>
  <si>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</si>
  <si>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</si>
  <si>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</si>
  <si>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</si>
  <si>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</si>
  <si>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</si>
  <si>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</si>
  <si>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</si>
  <si>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</si>
  <si>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</si>
  <si>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</si>
  <si>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</si>
  <si>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</si>
  <si>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</si>
  <si>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</si>
  <si>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</si>
  <si>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</si>
  <si>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</si>
  <si>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</si>
  <si>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</si>
  <si>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</si>
  <si>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</si>
  <si>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</si>
  <si>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</si>
  <si>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</si>
  <si>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</si>
  <si>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</si>
  <si>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</si>
  <si>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</si>
  <si>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</si>
  <si>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</si>
  <si>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</si>
  <si>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</si>
  <si>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</si>
  <si>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</si>
  <si>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</si>
  <si>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</si>
  <si>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</si>
  <si>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</si>
  <si>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</si>
  <si>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</si>
  <si>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</si>
  <si>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</si>
  <si>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</si>
  <si>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</si>
  <si>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</si>
  <si>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</si>
  <si>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</si>
  <si>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</si>
  <si>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</si>
  <si>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</si>
  <si>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</si>
  <si>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</si>
  <si>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</si>
  <si>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</si>
  <si>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</si>
  <si>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</si>
  <si>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</si>
  <si>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</si>
  <si>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</si>
  <si>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</si>
  <si>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</si>
  <si>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</si>
  <si>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</si>
  <si>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</si>
  <si>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</si>
  <si>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</si>
  <si>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</si>
  <si>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</si>
  <si>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</si>
  <si>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</si>
  <si>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</si>
  <si>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</si>
  <si>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</si>
  <si>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</si>
  <si>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</si>
  <si>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</si>
  <si>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</si>
  <si>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</si>
  <si>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</si>
  <si>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</si>
  <si>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</si>
  <si>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</si>
  <si>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</si>
  <si>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</si>
  <si>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</si>
  <si>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</si>
  <si>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</si>
  <si>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</si>
  <si>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</si>
  <si>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</si>
  <si>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</si>
  <si>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</si>
  <si>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</si>
  <si>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</si>
  <si>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</si>
  <si>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</si>
  <si>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</si>
  <si>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</si>
  <si>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</si>
  <si>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</si>
  <si>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</si>
  <si>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</si>
  <si>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</si>
  <si>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</si>
  <si>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</si>
  <si>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</si>
  <si>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</si>
  <si>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</si>
  <si>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</si>
  <si>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</si>
  <si>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</si>
  <si>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</si>
  <si>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</si>
  <si>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</si>
  <si>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</si>
  <si>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</si>
  <si>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</si>
  <si>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</si>
  <si>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</si>
  <si>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</si>
  <si>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</si>
  <si>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</si>
  <si>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</si>
  <si>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</si>
  <si>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</si>
  <si>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</si>
  <si>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</si>
  <si>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</si>
  <si>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</si>
  <si>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</si>
  <si>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</si>
  <si>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</si>
  <si>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</si>
  <si>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</si>
  <si>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</si>
  <si>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</si>
  <si>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</si>
  <si>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</si>
  <si>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</si>
  <si>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</si>
  <si>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</si>
  <si>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</si>
  <si>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</si>
  <si>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</si>
  <si>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</si>
  <si>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</si>
  <si>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</si>
  <si>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</si>
  <si>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</si>
  <si>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</si>
  <si>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</si>
  <si>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</si>
  <si>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</si>
  <si>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</si>
  <si>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</si>
  <si>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</si>
  <si>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</si>
  <si>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</si>
  <si>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</si>
  <si>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</si>
  <si>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</si>
  <si>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</si>
  <si>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</si>
  <si>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</si>
  <si>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</si>
  <si>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</si>
  <si>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</si>
  <si>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</si>
  <si>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</si>
  <si>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</si>
  <si>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</si>
  <si>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</si>
  <si>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</si>
  <si>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</si>
  <si>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</si>
  <si>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</si>
  <si>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</si>
  <si>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</si>
  <si>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</si>
  <si>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</si>
  <si>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</si>
  <si>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</si>
  <si>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</si>
  <si>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</si>
  <si>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</si>
  <si>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</si>
  <si>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</si>
  <si>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</si>
  <si>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</si>
  <si>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</si>
  <si>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</si>
  <si>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</si>
  <si>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</si>
  <si>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</si>
  <si>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</si>
  <si>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</si>
  <si>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</si>
  <si>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</si>
  <si>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</si>
  <si>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</si>
  <si>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</si>
  <si>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</si>
  <si>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</si>
  <si>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</si>
  <si>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</si>
  <si>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</si>
  <si>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</si>
  <si>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</si>
  <si>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</si>
  <si>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</si>
  <si>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</si>
  <si>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</si>
  <si>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</si>
  <si>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</si>
  <si>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</si>
  <si>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</si>
  <si>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</si>
  <si>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</si>
  <si>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</si>
  <si>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</si>
  <si>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</si>
  <si>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</si>
  <si>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</si>
  <si>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</si>
  <si>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</si>
  <si>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</si>
  <si>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</si>
  <si>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</si>
  <si>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</si>
  <si>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</si>
  <si>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</si>
  <si>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</si>
  <si>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</si>
  <si>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</si>
  <si>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</si>
  <si>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</si>
  <si>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</si>
  <si>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</si>
  <si>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</si>
  <si>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</si>
  <si>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</si>
  <si>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</si>
  <si>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</si>
  <si>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</si>
  <si>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</si>
  <si>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</si>
  <si>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</si>
  <si>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</si>
  <si>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</si>
  <si>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</si>
  <si>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</si>
  <si>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</si>
  <si>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</si>
  <si>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</si>
  <si>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</si>
  <si>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</si>
  <si>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</si>
  <si>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</si>
  <si>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</si>
  <si>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</si>
  <si>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</si>
  <si>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</si>
  <si>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</si>
  <si>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</si>
  <si>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</si>
  <si>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</si>
  <si>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</si>
  <si>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</si>
  <si>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</si>
  <si>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</si>
  <si>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</si>
  <si>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</si>
  <si>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</si>
  <si>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</si>
  <si>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</si>
  <si>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</si>
  <si>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</si>
  <si>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</si>
  <si>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</si>
  <si>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</si>
  <si>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</si>
  <si>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</si>
  <si>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</si>
  <si>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</si>
  <si>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</si>
  <si>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</si>
  <si>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</si>
  <si>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</si>
  <si>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</si>
  <si>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</si>
  <si>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</si>
  <si>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</si>
  <si>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</si>
  <si>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</si>
  <si>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</si>
  <si>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</si>
  <si>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</si>
  <si>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</si>
  <si>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</si>
  <si>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</si>
  <si>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</si>
  <si>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</si>
  <si>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</si>
  <si>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</si>
  <si>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</si>
  <si>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</si>
  <si>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</si>
  <si>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</si>
  <si>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</si>
  <si>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</si>
  <si>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</si>
  <si>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</si>
  <si>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</si>
  <si>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</si>
  <si>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</si>
  <si>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</si>
  <si>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</si>
  <si>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</si>
  <si>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</si>
  <si>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</si>
  <si>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</si>
  <si>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</si>
  <si>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</si>
  <si>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</si>
  <si>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</si>
  <si>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</si>
  <si>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</si>
  <si>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</si>
  <si>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</si>
  <si>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</si>
  <si>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</si>
  <si>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</si>
  <si>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</si>
  <si>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</si>
  <si>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</si>
  <si>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</si>
  <si>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</si>
  <si>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</si>
  <si>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</si>
  <si>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</si>
  <si>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</si>
  <si>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</si>
  <si>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</si>
  <si>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</si>
  <si>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</si>
  <si>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</si>
  <si>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</si>
  <si>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</si>
  <si>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</si>
  <si>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</si>
  <si>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</si>
  <si>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</si>
  <si>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</si>
  <si>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</si>
  <si>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</si>
  <si>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</si>
  <si>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</si>
  <si>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</si>
  <si>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</si>
  <si>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</si>
  <si>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</si>
  <si>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</si>
  <si>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</si>
  <si>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</si>
  <si>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</si>
  <si>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</si>
  <si>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</si>
  <si>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</si>
  <si>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</si>
  <si>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</si>
  <si>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</si>
  <si>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</si>
  <si>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</si>
  <si>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</si>
  <si>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</si>
  <si>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</si>
  <si>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</si>
  <si>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</si>
  <si>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</si>
  <si>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</si>
  <si>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</si>
  <si>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</si>
  <si>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</si>
  <si>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</si>
  <si>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</si>
  <si>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</si>
  <si>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</si>
  <si>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</si>
  <si>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</si>
  <si>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</si>
  <si>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</si>
  <si>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</si>
  <si>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</si>
  <si>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</si>
  <si>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</si>
  <si>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</si>
  <si>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</si>
  <si>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</si>
  <si>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</si>
  <si>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</si>
  <si>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</si>
  <si>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</si>
  <si>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</si>
  <si>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</si>
  <si>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</si>
  <si>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</si>
  <si>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</si>
  <si>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</si>
  <si>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</si>
  <si>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</si>
  <si>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</si>
  <si>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</si>
  <si>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</si>
  <si>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</si>
  <si>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</si>
  <si>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</si>
  <si>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</si>
  <si>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</si>
  <si>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</si>
  <si>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</si>
  <si>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</si>
  <si>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</si>
  <si>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</si>
  <si>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</si>
  <si>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</si>
  <si>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</si>
  <si>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</si>
  <si>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</si>
  <si>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</si>
  <si>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</si>
  <si>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</si>
  <si>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</si>
  <si>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</si>
  <si>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</si>
  <si>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</si>
  <si>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</si>
  <si>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</si>
  <si>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</si>
  <si>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</si>
  <si>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</si>
  <si>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</si>
  <si>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</si>
  <si>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</si>
  <si>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</si>
  <si>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</si>
  <si>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</si>
  <si>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</si>
  <si>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</si>
  <si>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</si>
  <si>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</si>
  <si>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</si>
  <si>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</si>
  <si>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</si>
  <si>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</si>
  <si>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</si>
  <si>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</si>
  <si>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</si>
  <si>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</si>
  <si>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</si>
  <si>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</si>
  <si>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</si>
  <si>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</si>
  <si>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</si>
  <si>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</si>
  <si>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</si>
  <si>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</si>
  <si>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</si>
  <si>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</si>
  <si>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</si>
  <si>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</si>
  <si>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</si>
  <si>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</si>
  <si>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</si>
  <si>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</si>
  <si>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</si>
  <si>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</si>
  <si>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</si>
  <si>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</si>
  <si>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</si>
  <si>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</si>
  <si>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</si>
  <si>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</si>
  <si>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</si>
  <si>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</si>
  <si>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</si>
  <si>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</si>
  <si>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</si>
  <si>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</si>
  <si>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</si>
  <si>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</si>
  <si>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</si>
  <si>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</si>
  <si>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</si>
  <si>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</si>
  <si>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</si>
  <si>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</si>
  <si>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</si>
  <si>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</si>
  <si>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</si>
  <si>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</si>
  <si>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</si>
  <si>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</si>
  <si>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</si>
  <si>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</si>
  <si>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</si>
  <si>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</si>
  <si>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</si>
  <si>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</si>
  <si>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</si>
  <si>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</si>
  <si>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</si>
  <si>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</si>
  <si>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</si>
  <si>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</si>
  <si>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</si>
  <si>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</si>
  <si>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</si>
  <si>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</si>
  <si>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</si>
  <si>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</si>
  <si>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</si>
  <si>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</si>
  <si>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</si>
  <si>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</si>
  <si>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</si>
  <si>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</si>
  <si>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</si>
  <si>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</si>
  <si>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</si>
  <si>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</si>
  <si>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</si>
  <si>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</si>
  <si>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</si>
  <si>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</si>
  <si>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</si>
  <si>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</si>
  <si>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</si>
  <si>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</si>
  <si>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</si>
  <si>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</si>
  <si>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</si>
  <si>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</si>
  <si>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</si>
  <si>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</si>
  <si>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</si>
  <si>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</si>
  <si>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</si>
  <si>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</si>
  <si>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</si>
  <si>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</si>
  <si>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</si>
  <si>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</si>
  <si>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</si>
  <si>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</si>
  <si>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</si>
  <si>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</si>
  <si>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</si>
  <si>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</si>
  <si>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</si>
  <si>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</si>
  <si>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</si>
  <si>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</si>
  <si>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</si>
  <si>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</si>
  <si>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</si>
  <si>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</si>
  <si>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</si>
  <si>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</si>
  <si>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</si>
  <si>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</si>
  <si>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</si>
  <si>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</si>
  <si>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</si>
  <si>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</si>
  <si>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</si>
  <si>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</si>
  <si>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</si>
  <si>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</si>
  <si>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</si>
  <si>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</si>
  <si>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</si>
  <si>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</si>
  <si>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</si>
  <si>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</si>
  <si>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</si>
  <si>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</si>
  <si>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</si>
  <si>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</si>
  <si>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</si>
  <si>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</si>
  <si>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</si>
  <si>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</si>
  <si>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</si>
  <si>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</si>
  <si>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</si>
  <si>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</si>
  <si>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</si>
  <si>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</si>
  <si>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</si>
  <si>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</si>
  <si>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</si>
  <si>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</si>
  <si>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</si>
  <si>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</si>
  <si>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</si>
  <si>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</si>
  <si>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</si>
  <si>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</si>
  <si>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</si>
  <si>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</si>
  <si>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</si>
  <si>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</si>
  <si>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</si>
  <si>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</si>
  <si>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</si>
  <si>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</si>
  <si>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</si>
  <si>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</si>
  <si>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</si>
  <si>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</si>
  <si>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</si>
  <si>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</si>
  <si>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</si>
  <si>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</si>
  <si>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</si>
  <si>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</si>
  <si>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</si>
  <si>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</si>
  <si>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</si>
  <si>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</si>
  <si>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</si>
  <si>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</si>
  <si>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</si>
  <si>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</si>
  <si>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</si>
  <si>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</si>
  <si>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</si>
  <si>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</si>
  <si>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</si>
  <si>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</si>
  <si>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</si>
  <si>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</si>
  <si>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</si>
  <si>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</si>
  <si>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</si>
  <si>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</si>
  <si>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</si>
  <si>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</si>
  <si>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</si>
  <si>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</si>
  <si>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</si>
  <si>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</si>
  <si>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</si>
  <si>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</si>
  <si>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</si>
  <si>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</si>
  <si>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</si>
  <si>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</si>
  <si>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</si>
  <si>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</si>
  <si>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</si>
  <si>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</si>
  <si>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</si>
  <si>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</si>
  <si>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</si>
  <si>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</si>
  <si>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</si>
  <si>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</si>
  <si>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</si>
  <si>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</si>
  <si>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</si>
  <si>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</si>
  <si>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</si>
  <si>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</si>
  <si>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</si>
  <si>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</si>
  <si>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</si>
  <si>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</si>
  <si>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</si>
  <si>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</si>
  <si>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</si>
  <si>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</si>
  <si>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</si>
  <si>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</si>
  <si>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</si>
  <si>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</si>
  <si>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</si>
  <si>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</si>
  <si>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</si>
  <si>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</si>
  <si>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</si>
  <si>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</si>
  <si>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</si>
  <si>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</si>
  <si>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</si>
  <si>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</si>
  <si>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</si>
  <si>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</si>
  <si>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</si>
  <si>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</si>
  <si>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</si>
  <si>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</si>
  <si>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</si>
  <si>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</si>
  <si>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</si>
  <si>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</si>
  <si>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</si>
  <si>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</si>
  <si>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</si>
  <si>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</si>
  <si>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</si>
  <si>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</si>
  <si>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</si>
  <si>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</si>
  <si>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</si>
  <si>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</si>
  <si>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</si>
  <si>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</si>
  <si>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</si>
  <si>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</si>
  <si>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</si>
  <si>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</si>
  <si>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</si>
  <si>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</si>
  <si>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</si>
  <si>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</si>
  <si>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</si>
  <si>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</si>
  <si>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</si>
  <si>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</si>
  <si>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</si>
  <si>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</si>
  <si>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</si>
  <si>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</si>
  <si>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</si>
  <si>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</si>
  <si>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</si>
  <si>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</si>
  <si>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</si>
  <si>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</si>
  <si>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</si>
  <si>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</si>
  <si>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</si>
  <si>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</si>
  <si>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</si>
  <si>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</si>
  <si>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</si>
  <si>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</si>
  <si>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</si>
  <si>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</si>
  <si>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</si>
  <si>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</si>
  <si>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</si>
  <si>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</si>
  <si>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</si>
  <si>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</si>
  <si>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</si>
  <si>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</si>
  <si>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</si>
  <si>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</si>
  <si>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</si>
  <si>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</si>
  <si>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</si>
  <si>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</si>
  <si>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</si>
  <si>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</si>
  <si>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</si>
  <si>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</si>
  <si>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</si>
  <si>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</si>
  <si>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</si>
  <si>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</si>
  <si>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</si>
  <si>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</si>
  <si>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</si>
  <si>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</si>
  <si>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</si>
  <si>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</si>
  <si>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</si>
  <si>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</si>
  <si>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</si>
  <si>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</si>
  <si>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</si>
  <si>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</si>
  <si>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</si>
  <si>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</si>
  <si>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</si>
  <si>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</si>
  <si>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</si>
  <si>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</si>
  <si>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</si>
  <si>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</si>
  <si>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</si>
  <si>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</si>
  <si>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</si>
  <si>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</si>
  <si>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</si>
  <si>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</si>
  <si>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</si>
  <si>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</si>
  <si>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</si>
  <si>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</si>
  <si>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</si>
  <si>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</si>
  <si>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</si>
  <si>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</si>
  <si>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</si>
  <si>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</si>
  <si>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</si>
  <si>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</si>
  <si>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</si>
  <si>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</si>
  <si>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</si>
  <si>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</si>
  <si>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</si>
  <si>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</si>
  <si>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</si>
  <si>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</si>
  <si>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</si>
  <si>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</si>
  <si>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</si>
  <si>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</si>
  <si>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</si>
  <si>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</si>
  <si>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</si>
  <si>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</si>
  <si>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</si>
  <si>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</si>
  <si>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</si>
  <si>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</si>
  <si>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</si>
  <si>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</si>
  <si>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</si>
  <si>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</si>
  <si>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</si>
  <si>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</si>
  <si>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</si>
  <si>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</si>
  <si>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</si>
  <si>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</si>
  <si>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</si>
  <si>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</si>
  <si>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</si>
  <si>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</si>
  <si>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</si>
  <si>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</si>
  <si>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</si>
  <si>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</si>
  <si>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</si>
  <si>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</si>
  <si>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</si>
  <si>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</si>
  <si>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</si>
  <si>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</si>
  <si>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</si>
  <si>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</si>
  <si>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</si>
  <si>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</si>
  <si>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</si>
  <si>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</si>
  <si>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</si>
  <si>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</si>
  <si>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</si>
  <si>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</si>
  <si>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</si>
  <si>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</si>
  <si>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</si>
  <si>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</si>
  <si>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</si>
  <si>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</si>
  <si>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</si>
  <si>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</si>
  <si>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</si>
  <si>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</si>
  <si>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</si>
  <si>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</si>
  <si>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</si>
  <si>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</si>
  <si>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</si>
  <si>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</si>
  <si>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</si>
  <si>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</si>
  <si>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</si>
  <si>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</si>
  <si>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</si>
  <si>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</si>
  <si>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</si>
  <si>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</si>
  <si>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</si>
  <si>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</si>
  <si>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</si>
  <si>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</si>
  <si>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</si>
  <si>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</si>
  <si>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</si>
  <si>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</si>
  <si>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</si>
  <si>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</si>
  <si>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</si>
  <si>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</si>
  <si>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</si>
  <si>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</si>
  <si>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</si>
  <si>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</si>
  <si>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</si>
  <si>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</si>
  <si>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</si>
  <si>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</si>
  <si>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</si>
  <si>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</si>
  <si>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</si>
  <si>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</si>
  <si>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</si>
  <si>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</si>
  <si>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</si>
  <si>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</si>
  <si>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</si>
  <si>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</si>
  <si>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</si>
  <si>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</si>
  <si>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</si>
  <si>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</si>
  <si>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</si>
  <si>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</si>
  <si>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</si>
  <si>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</si>
  <si>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</si>
  <si>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</si>
  <si>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</si>
  <si>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</si>
  <si>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</si>
  <si>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</si>
  <si>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</si>
  <si>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</si>
  <si>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</si>
  <si>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</si>
  <si>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</si>
  <si>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</si>
  <si>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</si>
  <si>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</si>
  <si>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</si>
  <si>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</si>
  <si>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</si>
  <si>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</si>
  <si>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</si>
  <si>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</si>
  <si>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</si>
  <si>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</si>
  <si>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</si>
  <si>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</si>
  <si>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</si>
  <si>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</si>
  <si>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</si>
  <si>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</si>
  <si>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</si>
  <si>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</si>
  <si>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</si>
  <si>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</si>
  <si>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</si>
  <si>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</si>
  <si>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</si>
  <si>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</si>
  <si>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</si>
  <si>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</si>
  <si>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</si>
  <si>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</si>
  <si>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</si>
  <si>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</si>
  <si>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</si>
  <si>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</si>
  <si>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</si>
  <si>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</si>
  <si>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</si>
  <si>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</si>
  <si>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</si>
  <si>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</si>
  <si>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</si>
  <si>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</si>
  <si>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</si>
  <si>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</si>
  <si>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</si>
  <si>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</si>
  <si>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</si>
  <si>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</si>
  <si>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</si>
  <si>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</si>
  <si>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</si>
  <si>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</si>
  <si>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</si>
  <si>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</si>
  <si>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</si>
  <si>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</si>
  <si>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</si>
  <si>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</si>
  <si>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</si>
  <si>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</si>
  <si>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</si>
  <si>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</si>
  <si>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</si>
  <si>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</si>
  <si>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</si>
  <si>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</si>
  <si>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</si>
  <si>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</si>
  <si>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</si>
  <si>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</si>
  <si>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</si>
  <si>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</si>
  <si>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</si>
  <si>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</si>
  <si>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</si>
  <si>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</si>
  <si>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</si>
  <si>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</si>
  <si>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</si>
  <si>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</si>
  <si>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</si>
  <si>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</si>
  <si>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</si>
  <si>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</si>
  <si>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</si>
  <si>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</si>
  <si>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</si>
  <si>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</si>
  <si>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</si>
  <si>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</si>
  <si>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</si>
  <si>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</si>
  <si>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</si>
  <si>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</si>
  <si>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</si>
  <si>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</si>
  <si>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</si>
  <si>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</si>
  <si>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</si>
  <si>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</si>
  <si>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</si>
  <si>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</si>
  <si>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</si>
  <si>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</si>
  <si>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</si>
  <si>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</si>
  <si>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</si>
  <si>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</si>
  <si>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</si>
  <si>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</si>
  <si>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</si>
  <si>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</si>
  <si>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</si>
  <si>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</si>
  <si>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</si>
  <si>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</si>
  <si>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</si>
  <si>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</si>
  <si>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</si>
  <si>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</si>
  <si>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</si>
  <si>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</si>
  <si>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</si>
  <si>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</si>
  <si>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</si>
  <si>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</si>
  <si>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</si>
  <si>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</si>
  <si>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</si>
  <si>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</si>
  <si>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</si>
  <si>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</si>
  <si>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</si>
  <si>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</si>
  <si>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</si>
  <si>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</si>
  <si>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</si>
  <si>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</si>
  <si>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</si>
  <si>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</si>
  <si>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</si>
  <si>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</si>
  <si>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</si>
  <si>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</si>
  <si>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</si>
  <si>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</si>
  <si>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</si>
  <si>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</si>
  <si>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</si>
  <si>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</si>
  <si>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</si>
  <si>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</si>
  <si>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</si>
  <si>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</si>
  <si>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</si>
  <si>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</si>
  <si>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</si>
  <si>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</si>
  <si>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</si>
  <si>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</si>
  <si>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</si>
  <si>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</si>
  <si>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</si>
  <si>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</si>
  <si>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</si>
  <si>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</si>
  <si>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</si>
  <si>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</si>
  <si>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</si>
  <si>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</si>
  <si>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</si>
  <si>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</si>
  <si>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</si>
  <si>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</si>
  <si>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</si>
  <si>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</si>
  <si>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</si>
  <si>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</si>
  <si>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</si>
  <si>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</si>
  <si>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</si>
  <si>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</si>
  <si>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</si>
  <si>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</si>
  <si>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</si>
  <si>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</si>
  <si>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</si>
  <si>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</si>
  <si>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</si>
  <si>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</si>
  <si>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</si>
  <si>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</si>
  <si>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</si>
  <si>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</si>
  <si>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</si>
  <si>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</si>
  <si>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</si>
  <si>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</si>
  <si>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</si>
  <si>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</si>
  <si>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</si>
  <si>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</si>
  <si>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</si>
  <si>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</si>
  <si>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</si>
  <si>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</si>
  <si>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</si>
  <si>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</si>
  <si>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</si>
  <si>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</si>
  <si>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</si>
  <si>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</si>
  <si>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</si>
  <si>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</si>
  <si>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</si>
  <si>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</si>
  <si>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</si>
  <si>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</si>
  <si>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</si>
  <si>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</si>
  <si>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</si>
  <si>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</si>
  <si>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</si>
  <si>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</si>
  <si>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</si>
  <si>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</si>
  <si>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</si>
  <si>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</si>
  <si>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</si>
  <si>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</si>
  <si>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</si>
  <si>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</si>
  <si>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</si>
  <si>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</si>
  <si>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</si>
  <si>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</si>
  <si>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</si>
  <si>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</si>
  <si>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</si>
  <si>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</si>
  <si>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</si>
  <si>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</si>
  <si>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</si>
  <si>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</si>
  <si>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</si>
  <si>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</si>
  <si>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</si>
  <si>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</si>
  <si>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</si>
  <si>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</si>
  <si>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</si>
  <si>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</si>
  <si>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</si>
  <si>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</si>
  <si>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</si>
  <si>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</si>
  <si>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</si>
  <si>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</si>
  <si>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</si>
  <si>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</si>
  <si>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</si>
  <si>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</si>
  <si>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</si>
  <si>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</si>
  <si>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</si>
  <si>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</si>
  <si>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</si>
  <si>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</si>
  <si>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</si>
  <si>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</si>
  <si>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</si>
  <si>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</si>
  <si>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</si>
  <si>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</si>
  <si>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</si>
  <si>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</si>
  <si>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</si>
  <si>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</si>
  <si>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</si>
  <si>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</si>
  <si>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</si>
  <si>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</si>
  <si>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</si>
  <si>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</si>
  <si>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</si>
  <si>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</si>
  <si>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</si>
  <si>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</si>
  <si>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</si>
  <si>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</si>
  <si>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</si>
  <si>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</si>
  <si>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</si>
  <si>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</si>
  <si>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</si>
  <si>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</si>
  <si>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</si>
  <si>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</si>
  <si>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</si>
  <si>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</si>
  <si>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</si>
  <si>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</si>
  <si>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</si>
  <si>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</si>
  <si>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</si>
  <si>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</si>
  <si>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</si>
  <si>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</si>
  <si>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</si>
  <si>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</si>
  <si>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</si>
  <si>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</si>
  <si>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</si>
  <si>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</si>
  <si>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</si>
  <si>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</si>
  <si>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</si>
  <si>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</si>
  <si>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</si>
  <si>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</si>
  <si>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</si>
  <si>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</si>
  <si>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</si>
  <si>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</si>
  <si>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</si>
  <si>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</si>
  <si>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</si>
  <si>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</si>
  <si>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</si>
  <si>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</si>
  <si>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</si>
  <si>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</si>
  <si>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</si>
  <si>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</si>
  <si>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</si>
  <si>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</si>
  <si>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</si>
  <si>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</si>
  <si>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</si>
  <si>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</si>
  <si>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</si>
  <si>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</si>
  <si>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</si>
  <si>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</si>
  <si>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</si>
  <si>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</si>
  <si>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</si>
  <si>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</si>
  <si>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</si>
  <si>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</si>
  <si>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</si>
  <si>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</si>
  <si>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</si>
  <si>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</si>
  <si>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</si>
  <si>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</si>
  <si>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</si>
  <si>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</si>
  <si>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</si>
  <si>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</si>
  <si>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</si>
  <si>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</si>
  <si>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</si>
  <si>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</si>
  <si>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</si>
  <si>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</si>
  <si>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</si>
  <si>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</si>
  <si>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</si>
  <si>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</si>
  <si>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</si>
  <si>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</si>
  <si>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</si>
  <si>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</si>
  <si>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</si>
  <si>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</si>
  <si>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</si>
  <si>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</si>
  <si>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</si>
  <si>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</si>
  <si>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</si>
  <si>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</si>
  <si>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</si>
  <si>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</si>
  <si>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</si>
  <si>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</si>
  <si>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</si>
  <si>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</si>
  <si>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</si>
  <si>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</si>
  <si>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</si>
  <si>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</si>
  <si>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</si>
  <si>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</si>
  <si>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</si>
  <si>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</si>
  <si>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</si>
  <si>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</si>
  <si>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</si>
  <si>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</si>
  <si>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</si>
  <si>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</si>
  <si>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</si>
  <si>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</si>
  <si>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</si>
  <si>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</si>
  <si>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</si>
  <si>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</si>
  <si>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</si>
  <si>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</si>
  <si>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</si>
  <si>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</si>
  <si>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</si>
  <si>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</si>
  <si>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</si>
  <si>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</si>
  <si>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</si>
  <si>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</si>
  <si>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</si>
  <si>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</si>
  <si>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</si>
  <si>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</si>
  <si>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</si>
  <si>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</si>
  <si>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</si>
  <si>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</si>
  <si>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</si>
  <si>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</si>
  <si>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</si>
  <si>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</si>
  <si>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</si>
  <si>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</si>
  <si>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</si>
  <si>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</si>
  <si>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</si>
  <si>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</si>
  <si>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</si>
  <si>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</si>
  <si>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</si>
  <si>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</si>
  <si>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</si>
  <si>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</si>
  <si>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</si>
  <si>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</si>
  <si>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</si>
  <si>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</si>
  <si>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</si>
  <si>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</si>
  <si>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</si>
  <si>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</si>
  <si>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</si>
  <si>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</si>
  <si>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</si>
  <si>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</si>
  <si>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</si>
  <si>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</si>
  <si>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</si>
  <si>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</si>
  <si>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</si>
  <si>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</si>
  <si>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</si>
  <si>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</si>
  <si>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</si>
  <si>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</si>
  <si>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</si>
  <si>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</si>
  <si>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</si>
  <si>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</si>
  <si>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</si>
  <si>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</si>
  <si>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</si>
  <si>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</si>
  <si>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</si>
  <si>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</si>
  <si>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</si>
  <si>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</si>
  <si>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</si>
  <si>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</si>
  <si>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</si>
  <si>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</si>
  <si>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</si>
  <si>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</si>
  <si>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</si>
  <si>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</si>
  <si>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</si>
  <si>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</si>
  <si>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</si>
  <si>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</si>
  <si>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</si>
  <si>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</si>
  <si>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</si>
  <si>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</si>
  <si>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</si>
  <si>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</si>
  <si>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</si>
  <si>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</si>
  <si>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</si>
  <si>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</si>
  <si>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</si>
  <si>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</si>
  <si>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</si>
  <si>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</si>
  <si>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</si>
  <si>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</si>
  <si>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</si>
  <si>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</si>
  <si>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</si>
  <si>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</si>
  <si>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</si>
  <si>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</si>
  <si>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</si>
  <si>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</si>
  <si>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</si>
  <si>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</si>
  <si>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</si>
  <si>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</si>
  <si>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</si>
  <si>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</si>
  <si>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</si>
  <si>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</si>
  <si>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</si>
  <si>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</si>
  <si>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</si>
  <si>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</si>
  <si>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</si>
  <si>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</si>
  <si>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</si>
  <si>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</si>
  <si>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</si>
  <si>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</si>
  <si>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</si>
  <si>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</si>
  <si>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</si>
  <si>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</si>
  <si>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</si>
  <si>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</si>
  <si>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</si>
  <si>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</si>
  <si>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</si>
  <si>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</si>
  <si>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</si>
  <si>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</si>
  <si>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</si>
  <si>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</si>
  <si>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</si>
  <si>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</si>
  <si>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</si>
  <si>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</si>
  <si>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</si>
  <si>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</si>
  <si>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</si>
  <si>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</si>
  <si>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</si>
  <si>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</si>
  <si>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</si>
  <si>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</si>
  <si>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</si>
  <si>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</si>
  <si>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</si>
  <si>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</si>
  <si>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</si>
  <si>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</si>
  <si>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</si>
  <si>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</si>
  <si>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</si>
  <si>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</si>
  <si>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</si>
  <si>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</si>
  <si>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</si>
  <si>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</si>
  <si>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</si>
  <si>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</si>
  <si>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</si>
  <si>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</si>
  <si>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</si>
  <si>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</si>
  <si>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</si>
  <si>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</si>
  <si>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</si>
  <si>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</si>
  <si>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</si>
  <si>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</si>
  <si>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</si>
  <si>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</si>
  <si>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</si>
  <si>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</si>
  <si>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</si>
  <si>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</si>
  <si>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</si>
  <si>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</si>
  <si>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</si>
  <si>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</si>
  <si>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</si>
  <si>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</si>
  <si>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</si>
  <si>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</si>
  <si>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</si>
  <si>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</si>
  <si>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</si>
  <si>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</si>
  <si>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</si>
  <si>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</si>
  <si>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</si>
  <si>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</si>
  <si>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</si>
  <si>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</si>
  <si>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</si>
  <si>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</si>
  <si>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</si>
  <si>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</si>
  <si>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</si>
  <si>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</si>
  <si>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</si>
  <si>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</si>
  <si>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</si>
  <si>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</si>
  <si>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</si>
  <si>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</si>
  <si>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</si>
  <si>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</si>
  <si>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</si>
  <si>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</si>
  <si>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</si>
  <si>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</si>
  <si>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</si>
  <si>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</si>
  <si>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</si>
  <si>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</si>
  <si>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</si>
  <si>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</si>
  <si>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</si>
  <si>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</si>
  <si>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</si>
  <si>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</si>
  <si>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</si>
  <si>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</si>
  <si>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</si>
  <si>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</si>
  <si>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</si>
  <si>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</si>
  <si>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</si>
  <si>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</si>
  <si>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</si>
  <si>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</si>
  <si>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</si>
  <si>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</si>
  <si>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</si>
  <si>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</si>
  <si>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</si>
  <si>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</si>
  <si>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</si>
  <si>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</si>
  <si>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</si>
  <si>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</si>
  <si>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</si>
  <si>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</si>
  <si>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</si>
  <si>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</si>
  <si>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</si>
  <si>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</si>
  <si>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</si>
  <si>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</si>
  <si>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</si>
  <si>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</si>
  <si>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</si>
  <si>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</si>
  <si>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</si>
  <si>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</si>
  <si>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</si>
  <si>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</si>
  <si>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</si>
  <si>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</si>
  <si>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</si>
  <si>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</si>
  <si>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</si>
  <si>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</si>
  <si>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</si>
  <si>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</si>
  <si>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</si>
  <si>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</si>
  <si>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</si>
  <si>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</si>
  <si>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</si>
  <si>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</si>
  <si>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</si>
  <si>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</si>
  <si>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</si>
  <si>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</si>
  <si>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</si>
  <si>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</si>
  <si>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</si>
  <si>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</si>
  <si>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</si>
  <si>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</si>
  <si>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</si>
  <si>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</si>
  <si>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</si>
  <si>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</si>
  <si>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</si>
  <si>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</si>
  <si>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</si>
  <si>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</si>
  <si>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</si>
  <si>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</si>
  <si>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</si>
  <si>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</si>
  <si>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</si>
  <si>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</si>
  <si>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</si>
  <si>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</si>
  <si>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</si>
  <si>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</si>
  <si>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</si>
  <si>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</si>
  <si>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</si>
  <si>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</si>
  <si>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</si>
  <si>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</si>
  <si>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</si>
  <si>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</si>
  <si>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</si>
  <si>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</si>
  <si>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</si>
  <si>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</si>
  <si>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</si>
  <si>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</si>
  <si>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</si>
  <si>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</si>
  <si>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</si>
  <si>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</si>
  <si>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</si>
  <si>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</si>
  <si>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</si>
  <si>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</si>
  <si>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</si>
  <si>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</si>
  <si>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</si>
  <si>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</si>
  <si>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</si>
  <si>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</si>
  <si>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</si>
  <si>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</si>
  <si>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</si>
  <si>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</si>
  <si>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</si>
  <si>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</si>
  <si>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</si>
  <si>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</si>
  <si>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</si>
  <si>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</si>
  <si>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</si>
  <si>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</si>
  <si>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</si>
  <si>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</si>
  <si>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</si>
  <si>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</si>
  <si>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</si>
  <si>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</si>
  <si>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</si>
  <si>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</si>
  <si>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</si>
  <si>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</si>
  <si>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</si>
  <si>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</si>
  <si>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</si>
  <si>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</si>
  <si>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</si>
  <si>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</si>
  <si>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</si>
  <si>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</si>
  <si>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</si>
  <si>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</si>
  <si>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</si>
  <si>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</si>
  <si>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</si>
  <si>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</si>
  <si>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</si>
  <si>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</si>
  <si>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</si>
  <si>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</si>
  <si>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</si>
  <si>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</si>
  <si>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</si>
  <si>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</si>
  <si>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</si>
  <si>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</si>
  <si>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</si>
  <si>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</si>
  <si>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</si>
  <si>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</si>
  <si>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</si>
  <si>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</si>
  <si>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</si>
  <si>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</si>
  <si>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</si>
  <si>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</si>
  <si>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</si>
  <si>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</si>
  <si>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</si>
  <si>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</si>
  <si>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</si>
  <si>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</si>
  <si>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</si>
  <si>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</si>
  <si>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</si>
  <si>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</si>
  <si>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</si>
  <si>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</si>
  <si>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</si>
  <si>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</si>
  <si>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</si>
  <si>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</si>
  <si>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</si>
  <si>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</si>
  <si>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</si>
  <si>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</si>
  <si>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</si>
  <si>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</si>
  <si>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</si>
  <si>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</si>
  <si>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</si>
  <si>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</si>
  <si>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</si>
  <si>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</si>
  <si>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</si>
  <si>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</si>
  <si>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</si>
  <si>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</si>
  <si>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</si>
  <si>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</si>
  <si>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</si>
  <si>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</si>
  <si>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</si>
  <si>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</si>
  <si>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</si>
  <si>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</si>
  <si>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</si>
  <si>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</si>
  <si>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</si>
  <si>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</si>
  <si>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</si>
  <si>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</si>
  <si>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</si>
  <si>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</si>
  <si>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</si>
  <si>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</si>
  <si>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</si>
  <si>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</si>
  <si>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</si>
  <si>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</si>
  <si>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</si>
  <si>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</si>
  <si>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</si>
  <si>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</si>
  <si>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</si>
  <si>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</si>
  <si>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</si>
  <si>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</si>
  <si>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</si>
  <si>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</si>
  <si>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</si>
  <si>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</si>
  <si>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</si>
  <si>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</si>
  <si>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</si>
  <si>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</si>
  <si>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</si>
  <si>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</si>
  <si>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</si>
  <si>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</si>
  <si>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</si>
  <si>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</si>
  <si>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</si>
  <si>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</si>
  <si>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</si>
  <si>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</si>
  <si>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</si>
  <si>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</si>
  <si>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</si>
  <si>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</si>
  <si>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</si>
  <si>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</si>
  <si>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</si>
  <si>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</si>
  <si>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</si>
  <si>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</si>
  <si>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</si>
  <si>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</si>
  <si>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</si>
  <si>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</si>
  <si>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</si>
  <si>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</si>
  <si>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</si>
  <si>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</si>
  <si>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</si>
  <si>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</si>
  <si>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</si>
  <si>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</si>
  <si>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</si>
  <si>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</si>
  <si>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</si>
  <si>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</si>
  <si>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</si>
  <si>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</si>
  <si>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</si>
  <si>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</si>
  <si>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</si>
  <si>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</si>
  <si>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</si>
  <si>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</si>
  <si>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</si>
  <si>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</si>
  <si>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</si>
  <si>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</si>
  <si>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</si>
  <si>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</si>
  <si>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</si>
  <si>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</si>
  <si>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</si>
  <si>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</si>
  <si>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</si>
  <si>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</si>
  <si>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</si>
  <si>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</si>
  <si>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</si>
  <si>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</si>
  <si>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</si>
  <si>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</si>
  <si>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</si>
  <si>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</si>
  <si>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</si>
  <si>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</si>
  <si>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</si>
  <si>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</si>
  <si>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</si>
  <si>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</si>
  <si>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</si>
  <si>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</si>
  <si>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</si>
  <si>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</si>
  <si>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</si>
  <si>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</si>
  <si>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</si>
  <si>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</si>
  <si>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</si>
  <si>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</si>
  <si>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</si>
  <si>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</si>
  <si>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</si>
  <si>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</si>
  <si>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</si>
  <si>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</si>
  <si>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</si>
  <si>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</si>
  <si>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</si>
  <si>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</si>
  <si>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</si>
  <si>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</si>
  <si>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</si>
  <si>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</si>
  <si>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</si>
  <si>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</si>
  <si>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</si>
  <si>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</si>
  <si>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</si>
  <si>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</si>
  <si>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</si>
  <si>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</si>
  <si>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</si>
  <si>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</si>
  <si>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</si>
  <si>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</si>
  <si>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</si>
  <si>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</si>
  <si>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</si>
  <si>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</si>
  <si>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</si>
  <si>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</si>
  <si>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</si>
  <si>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</si>
  <si>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</si>
  <si>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</si>
  <si>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</si>
  <si>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</si>
  <si>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</si>
  <si>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</si>
  <si>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</si>
  <si>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</si>
  <si>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</si>
  <si>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</si>
  <si>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</si>
  <si>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</si>
  <si>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</si>
  <si>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</si>
  <si>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</si>
  <si>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</si>
  <si>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</si>
  <si>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</si>
  <si>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</si>
  <si>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</si>
  <si>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</si>
  <si>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</si>
  <si>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</si>
  <si>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</si>
  <si>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</si>
  <si>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</si>
  <si>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</si>
  <si>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</si>
  <si>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</si>
  <si>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</si>
  <si>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</si>
  <si>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</si>
  <si>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</si>
  <si>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</si>
  <si>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</si>
  <si>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</si>
  <si>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</si>
  <si>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</si>
  <si>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</si>
  <si>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</si>
  <si>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</si>
  <si>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</si>
  <si>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</si>
  <si>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</si>
  <si>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</si>
  <si>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</si>
  <si>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</si>
  <si>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</si>
  <si>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</si>
  <si>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</si>
  <si>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</si>
  <si>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</si>
  <si>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</si>
  <si>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</si>
  <si>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</si>
  <si>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</si>
  <si>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</si>
  <si>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</si>
  <si>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</si>
  <si>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</si>
  <si>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</si>
  <si>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</si>
  <si>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</si>
  <si>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</si>
  <si>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</si>
  <si>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</si>
  <si>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</si>
  <si>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</si>
  <si>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</si>
  <si>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</si>
  <si>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</si>
  <si>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</si>
  <si>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</si>
  <si>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</si>
  <si>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</si>
  <si>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</si>
  <si>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</si>
  <si>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</si>
  <si>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</si>
  <si>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</si>
  <si>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</si>
  <si>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</si>
  <si>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</si>
  <si>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</si>
  <si>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</si>
  <si>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</si>
  <si>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</si>
  <si>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</si>
  <si>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</si>
  <si>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</si>
  <si>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</si>
  <si>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</si>
  <si>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</si>
  <si>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</si>
  <si>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</si>
  <si>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</si>
  <si>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</si>
  <si>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</si>
  <si>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</si>
  <si>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</si>
  <si>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</si>
  <si>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</si>
  <si>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</si>
  <si>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</si>
  <si>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</si>
  <si>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</si>
  <si>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</si>
  <si>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</si>
  <si>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</si>
  <si>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</si>
  <si>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</si>
  <si>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</si>
  <si>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</si>
  <si>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</si>
  <si>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</si>
  <si>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</si>
  <si>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</si>
  <si>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</si>
  <si>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</si>
  <si>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</si>
  <si>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</si>
  <si>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</si>
  <si>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</si>
  <si>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</si>
  <si>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</si>
  <si>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</si>
  <si>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</si>
  <si>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</si>
  <si>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</si>
  <si>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</si>
  <si>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</si>
  <si>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</si>
  <si>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</si>
  <si>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</si>
  <si>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</si>
  <si>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</si>
  <si>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</si>
  <si>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</si>
  <si>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</si>
  <si>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</si>
  <si>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</si>
  <si>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</si>
  <si>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</si>
  <si>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</si>
  <si>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</si>
  <si>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</si>
  <si>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</si>
  <si>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</si>
  <si>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</si>
  <si>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</si>
  <si>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</si>
  <si>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</si>
  <si>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</si>
  <si>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</si>
  <si>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</si>
  <si>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</si>
  <si>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</si>
  <si>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</si>
  <si>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</si>
  <si>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</si>
  <si>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</si>
  <si>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</si>
  <si>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</si>
  <si>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</si>
  <si>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</si>
  <si>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</si>
  <si>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</si>
  <si>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</si>
  <si>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</si>
  <si>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</si>
  <si>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</si>
  <si>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</si>
  <si>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</si>
  <si>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</si>
  <si>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</si>
  <si>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</si>
  <si>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</si>
  <si>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</si>
  <si>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</si>
  <si>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</si>
  <si>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</si>
  <si>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</si>
  <si>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</si>
  <si>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</si>
  <si>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</si>
  <si>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</si>
  <si>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</si>
  <si>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</si>
  <si>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</si>
  <si>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</si>
  <si>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</si>
  <si>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</si>
  <si>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</si>
  <si>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</si>
  <si>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</si>
  <si>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</si>
  <si>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</si>
  <si>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</si>
  <si>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</si>
  <si>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</si>
  <si>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</si>
  <si>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</si>
  <si>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</si>
  <si>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</si>
  <si>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</si>
  <si>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</si>
  <si>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</si>
  <si>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</si>
  <si>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</si>
  <si>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</si>
  <si>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</si>
  <si>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</si>
  <si>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</si>
  <si>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</si>
  <si>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</si>
  <si>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</si>
  <si>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</si>
  <si>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</si>
  <si>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</si>
  <si>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</si>
  <si>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</si>
  <si>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</si>
  <si>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</si>
  <si>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</si>
  <si>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</si>
  <si>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</si>
  <si>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</si>
  <si>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</si>
  <si>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</si>
  <si>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</si>
  <si>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</si>
  <si>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</si>
  <si>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</si>
  <si>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</si>
  <si>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</si>
  <si>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</si>
  <si>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B1G2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</si>
  <si>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</si>
  <si>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</si>
  <si>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</si>
  <si>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</si>
  <si>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</si>
  <si>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</si>
  <si>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</si>
  <si>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</si>
  <si>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</si>
  <si>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</si>
  <si>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</si>
  <si>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</si>
  <si>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</si>
  <si>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</si>
  <si>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</si>
  <si>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</si>
  <si>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</si>
  <si>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</si>
  <si>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</si>
  <si>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</si>
  <si>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</si>
  <si>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</si>
  <si>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</si>
  <si>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</si>
  <si>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</si>
  <si>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</si>
  <si>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</si>
  <si>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</si>
  <si>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</si>
  <si>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</si>
  <si>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</si>
  <si>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</si>
  <si>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</si>
  <si>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</si>
  <si>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</si>
  <si>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</si>
  <si>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</si>
  <si>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</si>
  <si>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</si>
  <si>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</si>
  <si>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</si>
  <si>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</si>
  <si>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</si>
  <si>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</si>
  <si>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</si>
  <si>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</si>
  <si>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</si>
  <si>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</si>
  <si>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</si>
  <si>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</si>
  <si>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</si>
  <si>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</si>
  <si>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</si>
  <si>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</si>
  <si>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</si>
  <si>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</si>
  <si>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</si>
  <si>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</si>
  <si>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</si>
  <si>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</si>
  <si>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</si>
  <si>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</si>
  <si>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</si>
  <si>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</si>
  <si>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</si>
  <si>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</si>
  <si>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</si>
  <si>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</si>
  <si>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</si>
  <si>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</si>
  <si>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</si>
  <si>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</si>
  <si>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</si>
  <si>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</si>
  <si>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</si>
  <si>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</si>
  <si>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</si>
  <si>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</si>
  <si>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</si>
  <si>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</si>
  <si>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</si>
  <si>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</si>
  <si>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</si>
  <si>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</si>
  <si>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</si>
  <si>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</si>
  <si>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</si>
  <si>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</si>
  <si>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</si>
  <si>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</si>
  <si>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</si>
  <si>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</si>
  <si>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</si>
  <si>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</si>
  <si>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</si>
  <si>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</si>
  <si>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</si>
  <si>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</si>
  <si>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</si>
  <si>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</si>
  <si>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</si>
  <si>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</si>
  <si>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</si>
  <si>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</si>
  <si>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</si>
  <si>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</si>
  <si>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</si>
  <si>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</si>
  <si>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</si>
  <si>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</si>
  <si>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</si>
  <si>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</si>
  <si>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</si>
  <si>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</si>
  <si>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</si>
  <si>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</si>
  <si>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</si>
  <si>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</si>
  <si>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</si>
  <si>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</si>
  <si>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</si>
  <si>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</si>
  <si>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</si>
  <si>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</si>
  <si>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</si>
  <si>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</si>
  <si>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</si>
  <si>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</si>
  <si>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</si>
  <si>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</si>
  <si>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</si>
  <si>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</si>
  <si>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</si>
  <si>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</si>
  <si>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</si>
  <si>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</si>
  <si>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</si>
  <si>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</si>
  <si>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</si>
  <si>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</si>
  <si>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</si>
  <si>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</si>
  <si>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</si>
  <si>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</si>
  <si>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</si>
  <si>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</si>
  <si>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</si>
  <si>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</si>
  <si>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</si>
  <si>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</si>
  <si>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</si>
  <si>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</si>
  <si>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</si>
  <si>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</si>
  <si>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</si>
  <si>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</si>
  <si>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</si>
  <si>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</si>
  <si>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</si>
  <si>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</si>
  <si>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</si>
  <si>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</si>
  <si>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</si>
  <si>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</si>
  <si>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</si>
  <si>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</si>
  <si>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</si>
  <si>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</si>
  <si>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</si>
  <si>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</si>
  <si>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</si>
  <si>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</si>
  <si>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</si>
  <si>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</si>
  <si>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</si>
  <si>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</si>
  <si>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</si>
  <si>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</si>
  <si>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</si>
  <si>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</si>
  <si>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</si>
  <si>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</si>
  <si>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</si>
  <si>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</si>
  <si>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</si>
  <si>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</si>
  <si>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</si>
  <si>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</si>
  <si>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</si>
  <si>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</si>
  <si>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</si>
  <si>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</si>
  <si>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</si>
  <si>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</si>
  <si>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</si>
  <si>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</si>
  <si>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</si>
  <si>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</si>
  <si>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</si>
  <si>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</si>
  <si>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</si>
  <si>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</si>
  <si>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</si>
  <si>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</si>
  <si>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</si>
  <si>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</si>
  <si>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</si>
  <si>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</si>
  <si>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</si>
  <si>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</si>
  <si>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</si>
  <si>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</si>
  <si>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</si>
  <si>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</si>
  <si>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</si>
  <si>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</si>
  <si>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</si>
  <si>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</si>
  <si>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</si>
  <si>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</si>
  <si>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</si>
  <si>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</si>
  <si>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</si>
  <si>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</si>
  <si>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</si>
  <si>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</si>
  <si>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</si>
  <si>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</si>
  <si>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</si>
  <si>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</si>
  <si>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</si>
  <si>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</si>
  <si>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</si>
  <si>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</si>
  <si>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</si>
  <si>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</si>
  <si>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</si>
  <si>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</si>
  <si>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</si>
  <si>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</si>
  <si>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</si>
  <si>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</si>
  <si>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</si>
  <si>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</si>
  <si>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</si>
  <si>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</si>
  <si>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</si>
  <si>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</si>
  <si>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</si>
  <si>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</si>
  <si>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</si>
  <si>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</si>
  <si>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</si>
  <si>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</si>
  <si>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</si>
  <si>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</si>
  <si>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</si>
  <si>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</si>
  <si>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</si>
  <si>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</si>
  <si>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</si>
  <si>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</si>
  <si>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</si>
  <si>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</si>
  <si>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</si>
  <si>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</si>
  <si>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</si>
  <si>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</si>
  <si>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</si>
  <si>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</si>
  <si>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</si>
  <si>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</si>
  <si>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</si>
  <si>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</si>
  <si>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</si>
  <si>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</si>
  <si>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</si>
  <si>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</si>
  <si>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</si>
  <si>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</si>
  <si>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</si>
  <si>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</si>
  <si>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</si>
  <si>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</si>
  <si>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</si>
  <si>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</si>
  <si>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</si>
  <si>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</si>
  <si>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</si>
  <si>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</si>
  <si>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</si>
  <si>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</si>
  <si>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</si>
  <si>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</si>
  <si>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</si>
  <si>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</si>
  <si>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</si>
  <si>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</si>
  <si>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</si>
  <si>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</si>
  <si>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</si>
  <si>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</si>
  <si>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</si>
  <si>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</si>
  <si>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</si>
  <si>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</si>
  <si>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</si>
  <si>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</si>
  <si>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</si>
  <si>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</si>
  <si>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</si>
  <si>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</si>
  <si>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</si>
  <si>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</si>
  <si>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</si>
  <si>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</si>
  <si>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</si>
  <si>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</si>
  <si>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</si>
  <si>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</si>
  <si>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</si>
  <si>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</si>
  <si>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</si>
  <si>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</si>
  <si>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</si>
  <si>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</si>
  <si>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</si>
  <si>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</si>
  <si>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</si>
  <si>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</si>
  <si>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</si>
  <si>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</si>
  <si>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</si>
  <si>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</si>
  <si>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</si>
  <si>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</si>
  <si>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</si>
  <si>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</si>
  <si>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</si>
  <si>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</si>
  <si>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</si>
  <si>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</si>
  <si>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</si>
  <si>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</si>
  <si>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</si>
  <si>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</si>
  <si>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</si>
  <si>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</si>
  <si>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</si>
  <si>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</si>
  <si>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</si>
  <si>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</si>
  <si>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</si>
  <si>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</si>
  <si>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</si>
  <si>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</si>
  <si>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</si>
  <si>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</si>
  <si>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</si>
  <si>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</si>
  <si>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</si>
  <si>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</si>
  <si>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</si>
  <si>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</si>
  <si>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</si>
  <si>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</si>
  <si>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</si>
  <si>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</si>
  <si>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</si>
  <si>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</si>
  <si>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</si>
  <si>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</si>
  <si>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</si>
  <si>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</si>
  <si>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</si>
  <si>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</si>
  <si>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</si>
  <si>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</si>
  <si>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</si>
  <si>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</si>
  <si>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</si>
  <si>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</si>
  <si>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</si>
  <si>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</si>
  <si>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</si>
  <si>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</si>
  <si>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</si>
  <si>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</si>
  <si>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</si>
  <si>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</si>
  <si>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</si>
  <si>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</si>
  <si>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</si>
  <si>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</si>
  <si>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</si>
  <si>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</si>
  <si>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</si>
  <si>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</si>
  <si>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</si>
  <si>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</si>
  <si>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</si>
  <si>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</si>
  <si>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</si>
  <si>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</si>
  <si>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</si>
  <si>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</si>
  <si>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</si>
  <si>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</si>
  <si>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</si>
  <si>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</si>
  <si>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</si>
  <si>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</si>
  <si>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</si>
  <si>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</si>
  <si>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</si>
  <si>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</si>
  <si>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</si>
  <si>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</si>
  <si>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</si>
  <si>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</si>
  <si>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</si>
  <si>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</si>
  <si>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</si>
  <si>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</si>
  <si>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</si>
  <si>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</si>
  <si>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</si>
  <si>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</si>
  <si>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</si>
  <si>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</si>
  <si>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</si>
  <si>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</si>
  <si>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</si>
  <si>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</si>
  <si>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</si>
  <si>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</si>
  <si>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</si>
  <si>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</si>
  <si>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</si>
  <si>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</si>
  <si>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</si>
  <si>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</si>
  <si>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</si>
  <si>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</si>
  <si>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</si>
  <si>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</si>
  <si>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</si>
  <si>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</si>
  <si>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</si>
  <si>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</si>
  <si>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</si>
  <si>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</si>
  <si>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</si>
  <si>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</si>
  <si>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</si>
  <si>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</si>
  <si>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</si>
  <si>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</si>
  <si>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</si>
  <si>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</si>
  <si>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</si>
  <si>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</si>
  <si>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</si>
  <si>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</si>
  <si>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</si>
  <si>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</si>
  <si>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</si>
  <si>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</si>
  <si>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</si>
  <si>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</si>
  <si>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</si>
  <si>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</si>
  <si>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</si>
  <si>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</si>
  <si>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</si>
  <si>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</si>
  <si>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</si>
  <si>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</si>
  <si>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</si>
  <si>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</si>
  <si>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</si>
  <si>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</si>
  <si>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</si>
  <si>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</si>
  <si>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</si>
  <si>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</si>
  <si>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</si>
  <si>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</si>
  <si>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</si>
  <si>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</si>
  <si>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</si>
  <si>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</si>
  <si>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</si>
  <si>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</si>
  <si>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</si>
  <si>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</si>
  <si>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</si>
  <si>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</si>
  <si>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</si>
  <si>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</si>
  <si>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</si>
  <si>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</si>
  <si>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</si>
  <si>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</si>
  <si>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</si>
  <si>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</si>
  <si>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</si>
  <si>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</si>
  <si>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</si>
  <si>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</si>
  <si>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</si>
  <si>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</si>
  <si>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</si>
  <si>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</si>
  <si>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</si>
  <si>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</si>
  <si>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</si>
  <si>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</si>
  <si>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</si>
  <si>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</si>
  <si>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</si>
  <si>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</si>
  <si>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</si>
  <si>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</si>
  <si>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</si>
  <si>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</si>
  <si>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</si>
  <si>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</si>
  <si>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</si>
  <si>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</si>
  <si>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</si>
  <si>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</si>
  <si>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</si>
  <si>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</si>
  <si>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</si>
  <si>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</si>
  <si>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</si>
  <si>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</si>
  <si>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</si>
  <si>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</si>
  <si>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</si>
  <si>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</si>
  <si>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</si>
  <si>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</si>
  <si>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</si>
  <si>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</si>
  <si>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</si>
  <si>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</si>
  <si>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</si>
  <si>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</si>
  <si>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</si>
  <si>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</si>
  <si>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</si>
  <si>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</si>
  <si>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</si>
  <si>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</si>
  <si>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</si>
  <si>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</si>
  <si>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</si>
  <si>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</si>
  <si>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</si>
  <si>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</si>
  <si>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</si>
  <si>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</si>
  <si>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</si>
  <si>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</si>
  <si>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</si>
  <si>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</si>
  <si>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</si>
  <si>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</si>
  <si>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</si>
  <si>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</si>
  <si>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</si>
  <si>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</si>
  <si>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</si>
  <si>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</si>
  <si>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</si>
  <si>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</si>
  <si>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</si>
  <si>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</si>
  <si>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</si>
  <si>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</si>
  <si>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</si>
  <si>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</si>
  <si>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</si>
  <si>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</si>
  <si>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</si>
  <si>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</si>
  <si>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</si>
  <si>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</si>
  <si>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</si>
  <si>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</si>
  <si>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</si>
  <si>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</si>
  <si>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</si>
  <si>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</si>
  <si>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</si>
  <si>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</si>
  <si>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</si>
  <si>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</si>
  <si>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</si>
  <si>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</si>
  <si>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</si>
  <si>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</si>
  <si>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</si>
  <si>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</si>
  <si>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</si>
  <si>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</si>
  <si>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</si>
  <si>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</si>
  <si>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</si>
  <si>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</si>
  <si>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</si>
  <si>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</si>
  <si>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</si>
  <si>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</si>
  <si>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</si>
  <si>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</si>
  <si>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</si>
  <si>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</si>
  <si>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</si>
  <si>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</si>
  <si>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</si>
  <si>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</si>
  <si>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</si>
  <si>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</si>
  <si>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</si>
  <si>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</si>
  <si>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</si>
  <si>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</si>
  <si>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</si>
  <si>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</si>
  <si>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</si>
  <si>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</si>
  <si>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</si>
  <si>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</si>
  <si>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</si>
  <si>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</si>
  <si>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</si>
  <si>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</si>
  <si>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</si>
  <si>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</si>
  <si>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</si>
  <si>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</si>
  <si>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</si>
  <si>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</si>
  <si>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</si>
  <si>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</si>
  <si>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</si>
  <si>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</si>
  <si>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</si>
  <si>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</si>
  <si>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</si>
  <si>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</si>
  <si>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</si>
  <si>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</si>
  <si>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</si>
  <si>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</si>
  <si>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</si>
  <si>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</si>
  <si>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</si>
  <si>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</si>
  <si>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</si>
  <si>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</si>
  <si>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</si>
  <si>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</si>
  <si>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</si>
  <si>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</si>
  <si>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</si>
  <si>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</si>
  <si>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</si>
  <si>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</si>
  <si>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</si>
  <si>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</si>
  <si>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</si>
  <si>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</si>
  <si>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</si>
  <si>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</si>
  <si>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</si>
  <si>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</si>
  <si>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</si>
  <si>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</si>
  <si>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</si>
  <si>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</si>
  <si>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</si>
  <si>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</si>
  <si>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</si>
  <si>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</si>
  <si>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</si>
  <si>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</si>
  <si>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</si>
  <si>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</si>
  <si>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</si>
  <si>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</si>
  <si>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</si>
  <si>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</si>
  <si>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</si>
  <si>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</si>
  <si>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</si>
  <si>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</si>
  <si>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</si>
  <si>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</si>
  <si>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</si>
  <si>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</si>
  <si>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</si>
  <si>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</si>
  <si>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</si>
  <si>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</si>
  <si>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</si>
  <si>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</si>
  <si>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</si>
  <si>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</si>
  <si>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</si>
  <si>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</si>
  <si>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</si>
  <si>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</si>
  <si>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</si>
  <si>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</si>
  <si>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</si>
  <si>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</si>
  <si>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</si>
  <si>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</si>
  <si>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</si>
  <si>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</si>
  <si>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</si>
  <si>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</si>
  <si>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</si>
  <si>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</si>
  <si>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</si>
  <si>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</si>
  <si>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</si>
  <si>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</si>
  <si>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</si>
  <si>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</si>
  <si>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</si>
  <si>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</si>
  <si>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</si>
  <si>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</si>
  <si>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</si>
  <si>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</si>
  <si>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</si>
  <si>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</si>
  <si>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</si>
  <si>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</si>
  <si>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</si>
  <si>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</si>
  <si>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</si>
  <si>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</si>
  <si>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</si>
  <si>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</si>
  <si>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</si>
  <si>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</si>
  <si>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</si>
  <si>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</si>
  <si>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</si>
  <si>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</si>
  <si>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</si>
  <si>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</si>
  <si>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</si>
  <si>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</si>
  <si>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</si>
  <si>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</si>
  <si>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</si>
  <si>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</si>
  <si>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</si>
  <si>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</si>
  <si>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</si>
  <si>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</si>
  <si>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</si>
  <si>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</si>
  <si>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</si>
  <si>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</si>
  <si>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</si>
  <si>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</si>
  <si>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</si>
  <si>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</si>
  <si>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</si>
  <si>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</si>
  <si>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</si>
  <si>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</si>
  <si>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</si>
  <si>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</si>
  <si>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</si>
  <si>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</si>
  <si>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</si>
  <si>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</si>
  <si>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</si>
  <si>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</si>
  <si>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</si>
  <si>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</si>
  <si>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</si>
  <si>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</si>
  <si>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</si>
  <si>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</si>
  <si>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</si>
  <si>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</si>
  <si>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</si>
  <si>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</si>
  <si>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</si>
  <si>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</si>
  <si>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</si>
  <si>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</si>
  <si>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</si>
  <si>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</si>
  <si>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</si>
  <si>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</si>
  <si>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</si>
  <si>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</si>
  <si>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</si>
  <si>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</si>
  <si>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</si>
  <si>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</si>
  <si>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</si>
  <si>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</si>
  <si>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</si>
  <si>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</si>
  <si>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</si>
  <si>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</si>
  <si>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</si>
  <si>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</si>
  <si>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</si>
  <si>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</si>
  <si>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</si>
  <si>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</si>
  <si>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</si>
  <si>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</si>
  <si>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</si>
  <si>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</si>
  <si>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</si>
  <si>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</si>
  <si>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</si>
  <si>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</si>
  <si>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</si>
  <si>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</si>
  <si>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</si>
  <si>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</si>
  <si>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</si>
  <si>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</si>
  <si>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</si>
  <si>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</si>
  <si>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</si>
  <si>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</si>
  <si>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</si>
  <si>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</si>
  <si>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</si>
  <si>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</si>
  <si>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</si>
  <si>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</si>
  <si>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</si>
  <si>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</si>
  <si>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</si>
  <si>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</si>
  <si>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</si>
  <si>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</si>
  <si>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</si>
  <si>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</si>
  <si>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</si>
  <si>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</si>
  <si>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</si>
  <si>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</si>
  <si>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</si>
  <si>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</si>
  <si>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</si>
  <si>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</si>
  <si>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</si>
  <si>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</si>
  <si>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</si>
  <si>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</si>
  <si>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</si>
  <si>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</si>
  <si>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</si>
  <si>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</si>
  <si>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</si>
  <si>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</si>
  <si>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</si>
  <si>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</si>
  <si>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</si>
  <si>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</si>
  <si>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</si>
  <si>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</si>
  <si>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</si>
  <si>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</si>
  <si>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</si>
  <si>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</si>
  <si>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</si>
  <si>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</si>
  <si>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</si>
  <si>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</si>
  <si>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</si>
  <si>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</si>
  <si>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</si>
  <si>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</si>
  <si>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</si>
  <si>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</si>
  <si>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</si>
  <si>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</si>
  <si>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</si>
  <si>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</si>
  <si>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</si>
  <si>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</si>
  <si>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</si>
  <si>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</si>
  <si>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</si>
  <si>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</si>
  <si>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</si>
  <si>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</si>
  <si>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</si>
  <si>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</si>
  <si>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</si>
  <si>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</si>
  <si>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</si>
  <si>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</si>
  <si>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</si>
  <si>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</si>
  <si>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</si>
  <si>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</si>
  <si>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</si>
  <si>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</si>
  <si>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</si>
  <si>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</si>
  <si>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</si>
  <si>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</si>
  <si>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</si>
  <si>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</si>
  <si>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</si>
  <si>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</si>
  <si>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</si>
  <si>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</si>
  <si>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</si>
  <si>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</si>
  <si>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</si>
  <si>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</si>
  <si>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</si>
  <si>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</si>
  <si>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</si>
  <si>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</si>
  <si>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</si>
  <si>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</si>
  <si>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</si>
  <si>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</si>
  <si>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</si>
  <si>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</si>
  <si>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</si>
  <si>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</si>
  <si>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</si>
  <si>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</si>
  <si>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</si>
  <si>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</si>
  <si>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</si>
  <si>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</si>
  <si>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</si>
  <si>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</si>
  <si>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</si>
  <si>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</si>
  <si>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</si>
  <si>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</si>
  <si>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</si>
  <si>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</si>
  <si>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</si>
  <si>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</si>
  <si>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</si>
  <si>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</si>
  <si>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</si>
  <si>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</si>
  <si>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</si>
  <si>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</si>
  <si>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</si>
  <si>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</si>
  <si>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</si>
  <si>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</si>
  <si>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</si>
  <si>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</si>
  <si>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</si>
  <si>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</si>
  <si>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</si>
  <si>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</si>
  <si>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</si>
  <si>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</si>
  <si>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</si>
  <si>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</si>
  <si>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</si>
  <si>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</si>
  <si>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</si>
  <si>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</si>
  <si>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</si>
  <si>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</si>
  <si>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</si>
  <si>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</si>
  <si>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</si>
  <si>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</si>
  <si>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</si>
  <si>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</si>
  <si>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</si>
  <si>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</si>
  <si>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</si>
  <si>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</si>
  <si>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</si>
  <si>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</si>
  <si>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</si>
  <si>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</si>
  <si>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</si>
  <si>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</si>
  <si>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</si>
  <si>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</si>
  <si>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</si>
  <si>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</si>
  <si>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</si>
  <si>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</si>
  <si>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</si>
  <si>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</si>
  <si>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</si>
  <si>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</si>
  <si>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</si>
  <si>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</si>
  <si>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</si>
  <si>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</si>
  <si>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</si>
  <si>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</si>
  <si>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</si>
  <si>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</si>
  <si>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</si>
  <si>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</si>
  <si>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</si>
  <si>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</si>
  <si>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</si>
  <si>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</si>
  <si>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</si>
  <si>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</si>
  <si>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</si>
  <si>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</si>
  <si>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</si>
  <si>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</si>
  <si>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</si>
  <si>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</si>
  <si>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</si>
  <si>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</si>
  <si>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</si>
  <si>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</si>
  <si>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</si>
  <si>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</si>
  <si>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</si>
  <si>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</si>
  <si>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</si>
  <si>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</si>
  <si>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</si>
  <si>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</si>
  <si>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</si>
  <si>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</si>
  <si>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</si>
  <si>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</si>
  <si>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</si>
  <si>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</si>
  <si>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</si>
  <si>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</si>
  <si>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</si>
  <si>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</si>
  <si>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</si>
  <si>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</si>
  <si>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</si>
  <si>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SETBAMI2</t>
  </si>
  <si>
    <t>ONE SET GIRLS BAMBI SETBAMI2:PASTEL YELLOW:24-36:GRAPHIC:TOP - BOTTOM SET</t>
  </si>
  <si>
    <t>ONE SET GIRLS BAMBI SETBAMI2:PASTEL YELLOW:6-12:PRINT:TOP - BOTTOM SET</t>
  </si>
  <si>
    <t>ONE SET GIRLS BAMBI SETBAMI2:PASTEL YELLOW:12-18:PRINT:TOP - BOTTOM SET</t>
  </si>
  <si>
    <t>ONE SET GIRLS BAMBI SETBAMI2:PASTEL YELLOW:18-24:PRINT:TOP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</si>
  <si>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</si>
  <si>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</si>
  <si>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</si>
  <si>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</si>
  <si>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</si>
  <si>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SETPPMIN</t>
  </si>
  <si>
    <t>ONE SET PEPLUM MINNIE SETPPMIN:PASTEL PINK:6-12:GRAPHIC:TOP - BOTTOM SET</t>
  </si>
  <si>
    <t>ONE SET PEPLUM MINNIE SETPPMIN:PASTEL PINK:12-18:GRAPHIC:TOP - BOTTOM SET</t>
  </si>
  <si>
    <t>ONE SET PEPLUM MINNIE SETPPMIN:PASTEL PINK:18-24:GRAPHIC:TOP - BOTTOM SET</t>
  </si>
  <si>
    <t>ONE SET PEPLUM MINNIE SETPPMIN:PASTEL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</si>
  <si>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</si>
  <si>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</si>
  <si>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</si>
  <si>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</si>
  <si>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</si>
  <si>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</si>
  <si>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</si>
  <si>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</si>
  <si>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</si>
  <si>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</si>
  <si>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</si>
  <si>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</si>
  <si>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</si>
  <si>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</si>
  <si>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</si>
  <si>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</si>
  <si>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</si>
  <si>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</si>
  <si>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</si>
  <si>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</si>
  <si>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OVLBAMI</t>
  </si>
  <si>
    <t>OVERALL SS BAMBI OVLBAMI:PASTEL YELLOW:6-12:PRINT:SHORT JUMPSUIT</t>
  </si>
  <si>
    <t>OVERALL SS BAMBI OVLBAMI:PASTEL YELLOW:12-18:PRINT:SHORT JUMPSUIT</t>
  </si>
  <si>
    <t>OVERALL SS BAMBI OVLBAMI:PASTEL YELLOW:18-24:PRINT:SHORT JUMPSUIT</t>
  </si>
  <si>
    <t>OVERALL SS BAMBI OVLBAMI:PASTEL YELLOW:24-36:PRINT:SHORT JUMPSUIT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</si>
  <si>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</si>
  <si>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</si>
  <si>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</si>
  <si>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</si>
  <si>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</si>
  <si>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</si>
  <si>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</si>
  <si>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</si>
  <si>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</si>
  <si>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</si>
  <si>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</si>
  <si>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</si>
  <si>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</si>
  <si>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</si>
  <si>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</si>
  <si>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</si>
  <si>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</si>
  <si>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</si>
  <si>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</si>
  <si>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</si>
  <si>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</si>
  <si>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</si>
  <si>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</si>
  <si>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</si>
  <si>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</si>
  <si>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</si>
  <si>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</si>
  <si>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</si>
  <si>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</si>
  <si>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</si>
  <si>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</si>
  <si>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</si>
  <si>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</si>
  <si>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</si>
  <si>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</si>
  <si>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</si>
  <si>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</si>
  <si>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</si>
  <si>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</si>
  <si>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</si>
  <si>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</si>
  <si>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</si>
  <si>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</si>
  <si>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</si>
  <si>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</si>
  <si>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</si>
  <si>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</si>
  <si>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</si>
  <si>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</si>
  <si>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</si>
  <si>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</si>
  <si>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</si>
  <si>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</si>
  <si>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</si>
  <si>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</si>
  <si>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</si>
  <si>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</si>
  <si>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</si>
  <si>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</si>
  <si>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</si>
  <si>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</si>
  <si>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</si>
  <si>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</si>
  <si>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</si>
  <si>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</si>
  <si>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</si>
  <si>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</si>
  <si>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</si>
  <si>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</si>
  <si>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</si>
  <si>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</si>
  <si>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</si>
  <si>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</si>
  <si>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</si>
  <si>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</si>
  <si>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</si>
  <si>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</si>
  <si>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</si>
  <si>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</si>
  <si>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</si>
  <si>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</si>
  <si>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</si>
  <si>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</si>
  <si>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</si>
  <si>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</si>
  <si>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</si>
  <si>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</si>
  <si>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</si>
  <si>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</si>
  <si>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</si>
  <si>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</si>
  <si>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</si>
  <si>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</si>
  <si>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</si>
  <si>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</si>
  <si>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</si>
  <si>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</si>
  <si>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</si>
  <si>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</si>
  <si>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</si>
  <si>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</si>
  <si>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</si>
  <si>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</si>
  <si>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</si>
  <si>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</si>
  <si>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</si>
  <si>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</si>
  <si>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</si>
  <si>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</si>
  <si>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</si>
  <si>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</si>
  <si>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</si>
  <si>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</si>
  <si>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</si>
  <si>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</si>
  <si>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</si>
  <si>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</si>
  <si>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</si>
  <si>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</si>
  <si>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</si>
  <si>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</si>
  <si>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</si>
  <si>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</si>
  <si>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</si>
  <si>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</si>
  <si>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</si>
  <si>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</si>
  <si>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</si>
  <si>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</si>
  <si>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</si>
  <si>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</si>
  <si>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</si>
  <si>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</si>
  <si>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</si>
  <si>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</si>
  <si>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</si>
  <si>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</si>
  <si>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</si>
  <si>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</si>
  <si>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</si>
  <si>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</si>
  <si>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</si>
  <si>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</si>
  <si>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</si>
  <si>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</si>
  <si>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</si>
  <si>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</si>
  <si>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</si>
  <si>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</si>
  <si>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</si>
  <si>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</si>
  <si>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</si>
  <si>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</si>
  <si>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</si>
  <si>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</si>
  <si>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</si>
  <si>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</si>
  <si>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</si>
  <si>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</si>
  <si>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</si>
  <si>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</si>
  <si>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</si>
  <si>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</si>
  <si>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</si>
  <si>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</si>
  <si>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</si>
  <si>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</si>
  <si>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</si>
  <si>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</si>
  <si>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</si>
  <si>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</si>
  <si>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</si>
  <si>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</si>
  <si>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</si>
  <si>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</si>
  <si>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</si>
  <si>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</si>
  <si>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</si>
  <si>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</si>
  <si>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</si>
  <si>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</si>
  <si>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</si>
  <si>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</si>
  <si>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</si>
  <si>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</si>
  <si>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</si>
  <si>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OVWPOOH2</t>
  </si>
  <si>
    <t>OVERALL MIDI SKIRT GIRLS POOH HAPPY DAYS WV COMB OVWPOOH2:PASTEL PINK:6-12:GRAPHIC:OVERALL MIDI SKIR</t>
  </si>
  <si>
    <t>OVERALL MIDI SKIRT GIRLS POOH HAPPY DAYS WV COMB OVWPOOH2:PASTEL PINK:12-18:GRAPHIC:OVERALL MIDI SKI</t>
  </si>
  <si>
    <t>OVERALL MIDI SKIRT GIRLS POOH HAPPY DAYS WV COMB OVWPOOH2:PASTEL PINK:24-36:GRAPHIC:OVERALL MIDI SKI</t>
  </si>
  <si>
    <t>OVERALL MIDI SKIRT GIRLS POOH HAPPY DAYS WV COMB OVWPOOH2:PASTEL PINK:18-24:GRAPHIC:OVERALL MIDI SKI</t>
  </si>
  <si>
    <t>OVMELION</t>
  </si>
  <si>
    <t>OVERALL MIDI SKIRT LION KING STAY WILD OVMELION:PASTEL GREEN:6-12:GRAPHIC:OVERALL MIDI SKIRT</t>
  </si>
  <si>
    <t>OVERALL MIDI SKIRT LION KING STAY WILD OVMELION:PASTEL GREEN:12-18:GRAPHIC:OVERALL MIDI SKIRT</t>
  </si>
  <si>
    <t>OVERALL MIDI SKIRT LION KING STAY WILD OVMELION:PASTEL GREEN:18-24:GRAPHIC:OVERALL MIDI SKIRT</t>
  </si>
  <si>
    <t>OVERALL MIDI SKIRT LION KING STAY WILD OVMELION:PASTEL GREEN:24-36:GRAPHIC:OVERALL MIDI SKIRT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</si>
  <si>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</si>
  <si>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</si>
  <si>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</si>
  <si>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</si>
  <si>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</si>
  <si>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</si>
  <si>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</si>
  <si>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</si>
  <si>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</si>
  <si>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</si>
  <si>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</si>
  <si>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</si>
  <si>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</si>
  <si>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</si>
  <si>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</si>
  <si>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</si>
  <si>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</si>
  <si>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</si>
  <si>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</si>
  <si>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</si>
  <si>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</si>
  <si>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</si>
  <si>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</si>
  <si>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</si>
  <si>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</si>
  <si>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</si>
  <si>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</si>
  <si>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</si>
  <si>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</si>
  <si>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</si>
  <si>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</si>
  <si>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</si>
  <si>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</si>
  <si>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</si>
  <si>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</si>
  <si>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</si>
  <si>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</si>
  <si>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</si>
  <si>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</si>
  <si>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</si>
  <si>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</si>
  <si>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</si>
  <si>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</si>
  <si>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</si>
  <si>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</si>
  <si>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</si>
  <si>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</si>
  <si>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</si>
  <si>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</si>
  <si>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</si>
  <si>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SETMELION</t>
  </si>
  <si>
    <t>TOP - BOTTOM SET LION KING BE BRAVE SETMELION:PASTEL GREEN:6-12:PRINT:TOP - BOTTOM SET</t>
  </si>
  <si>
    <t>TOP - BOTTOM SET LION KING BE BRAVE SETMELION:PASTEL GREEN:12-18:PRINT:TOP - BOTTOM SET</t>
  </si>
  <si>
    <t>TOP - BOTTOM SET LION KING BE BRAVE SETMELION:PASTEL GREEN:18-24:PRINT:TOP - BOTTOM SET</t>
  </si>
  <si>
    <t>TOP - BOTTOM SET LION KING BE BRAVE SETMELION:PASTEL GREEN:24-36:PRINT:TOP - BOTTOM SET</t>
  </si>
  <si>
    <t>SETPPBAM</t>
  </si>
  <si>
    <t>TOP - BOTTOM SET PEPLUM BAMBI SETPPBAM:PASTEL PINK:6-12:GRAPHIC:TOP - BOTTOM SET</t>
  </si>
  <si>
    <t>TOP - BOTTOM SET PEPLUM BAMBI SETPPBAM:PASTEL PINK:12-18:GRAPHIC:TOP - BOTTOM SET</t>
  </si>
  <si>
    <t>TOP - BOTTOM SET PEPLUM BAMBI SETPPBAM:PASTEL PINK:18-24:GRAPHIC:TOP - BOTTOM SET</t>
  </si>
  <si>
    <t>TOP - BOTTOM SET PEPLUM BAMBI SETPPBAM:PASTEL PINK:24-36:GRAPHIC:TOP - BOTTOM SET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</si>
  <si>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</si>
  <si>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</si>
  <si>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</si>
  <si>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</si>
  <si>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</si>
  <si>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</si>
  <si>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</si>
  <si>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</si>
  <si>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</si>
  <si>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</si>
  <si>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</si>
  <si>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</si>
  <si>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</si>
  <si>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</si>
  <si>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</si>
  <si>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</si>
  <si>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</si>
  <si>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</si>
  <si>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</si>
  <si>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</si>
  <si>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</si>
  <si>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</si>
  <si>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</si>
  <si>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</si>
  <si>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</si>
  <si>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</si>
  <si>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</si>
  <si>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</si>
  <si>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</si>
  <si>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</si>
  <si>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</si>
  <si>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</si>
  <si>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</si>
  <si>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</si>
  <si>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</si>
  <si>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</si>
  <si>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</si>
  <si>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</si>
  <si>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</si>
  <si>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</si>
  <si>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</si>
  <si>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</si>
  <si>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</si>
  <si>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</si>
  <si>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</si>
  <si>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</si>
  <si>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</si>
  <si>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</si>
  <si>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</si>
  <si>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</si>
  <si>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</si>
  <si>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</si>
  <si>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</si>
  <si>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</si>
  <si>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</si>
  <si>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</si>
  <si>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</si>
  <si>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</si>
  <si>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</si>
  <si>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</si>
  <si>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</si>
  <si>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</si>
  <si>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</si>
  <si>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</si>
  <si>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</si>
  <si>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</si>
  <si>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</si>
  <si>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</si>
  <si>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</si>
  <si>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</si>
  <si>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</si>
  <si>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OVGMMIN</t>
  </si>
  <si>
    <t>SHORT JUMPSUIT OVERALL GIRLS MINNIE OVGMMIN:PASTEL PINK:6-12:GRAPHIC:SHORT JUMPSUIT</t>
  </si>
  <si>
    <t>SHORT JUMPSUIT OVERALL GIRLS MINNIE OVGMMIN:PASTEL PINK:12-18:GRAPHIC:SHORT JUMPSUIT</t>
  </si>
  <si>
    <t>SHORT JUMPSUIT OVERALL GIRLS MINNIE OVGMMIN:PASTEL PINK:18-24:GRAPHIC:SHORT JUMPSUIT</t>
  </si>
  <si>
    <t>SHORT JUMPSUIT OVERALL GIRLS MINNIE OVGMMIN:PASTEL PINK:24-36:GRAPHIC:SHORT JUMPSUIT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</si>
  <si>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</si>
  <si>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</si>
  <si>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</si>
  <si>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</si>
  <si>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</si>
  <si>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</si>
  <si>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</si>
  <si>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</si>
  <si>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</si>
  <si>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</si>
  <si>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</si>
  <si>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</si>
  <si>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</si>
  <si>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</si>
  <si>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</si>
  <si>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</si>
  <si>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</si>
  <si>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</si>
  <si>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</si>
  <si>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</si>
  <si>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</si>
  <si>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</si>
  <si>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</si>
  <si>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</si>
  <si>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</si>
  <si>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</si>
  <si>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</si>
  <si>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</si>
  <si>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</si>
  <si>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</si>
  <si>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</si>
  <si>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</si>
  <si>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</si>
  <si>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</si>
  <si>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</si>
  <si>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</si>
  <si>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</si>
  <si>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</si>
  <si>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</si>
  <si>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</si>
  <si>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</si>
  <si>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</si>
  <si>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</si>
  <si>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</si>
  <si>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</si>
  <si>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</si>
  <si>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</si>
  <si>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</si>
  <si>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</si>
  <si>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</si>
  <si>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</si>
  <si>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</si>
  <si>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</si>
  <si>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</si>
  <si>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</si>
  <si>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</si>
  <si>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</si>
  <si>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</si>
  <si>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</si>
  <si>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</si>
  <si>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</si>
  <si>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</si>
  <si>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</si>
  <si>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</si>
  <si>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</si>
  <si>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</si>
  <si>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</si>
  <si>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</si>
  <si>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</si>
  <si>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</si>
  <si>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DSOBAMB</t>
  </si>
  <si>
    <t>SS MIDI DRESS OVL BAMBI DSOBAMB:PASTEL GREEN:6-12:PRINT:SS MIDI DRESS</t>
  </si>
  <si>
    <t>SS MIDI DRESS OVL BAMBI DSOBAMB:PASTEL GREEN:12-18:PRINT:SS MIDI DRESS</t>
  </si>
  <si>
    <t>SS MIDI DRESS OVL BAMBI DSOBAMB:PASTEL GREEN:18-24:PRINT:SS MIDI DRESS</t>
  </si>
  <si>
    <t>SS MIDI DRESS OVL BAMBI DSOBAMB:PASTEL GREEN:24-36:PRINT:SS MIDI DRESS</t>
  </si>
  <si>
    <t>DSWPOOH2</t>
  </si>
  <si>
    <t>SS MIDI DRESS POOH MY LITTLE BUTTERFLY WV COMB DSWPOOH2:PASTEL PINK:6-12:PRINT:SS MIDI DRESS</t>
  </si>
  <si>
    <t>SS MIDI DRESS POOH MY LITTLE BUTTERFLY WV COMB DSWPOOH2:PASTEL PINK:12-18:PRINT:SS MIDI DRESS</t>
  </si>
  <si>
    <t>SS MIDI DRESS POOH MY LITTLE BUTTERFLY WV COMB DSWPOOH2:PASTEL PINK:18-24:PRINT:SS MIDI DRESS</t>
  </si>
  <si>
    <t>SS MIDI DRESS POOH MY LITTLE BUTTERFLY WV COMB DSWPOOH2:PASTEL PINK:24-36:PRINT:SS MIDI DRESS</t>
  </si>
  <si>
    <t>DSORFBAM2</t>
  </si>
  <si>
    <t>SS MIDI DRESS OVERALL BAMBI DSORFBAM2:PASTEL PINK:6-12:PRINT:SS MIDI DRESS</t>
  </si>
  <si>
    <t>SS MIDI DRESS OVERALL BAMBI DSORFBAM2:PASTEL PINK:12-18:PRINT:SS MIDI DRESS</t>
  </si>
  <si>
    <t>SS MIDI DRESS OVERALL BAMBI DSORFBAM2:PASTEL PINK:18-24:PRINT:SS MIDI DRESS</t>
  </si>
  <si>
    <t>SS MIDI DRESS OVERALL BAMBI DSORFBAM2:PASTEL PINK:24-36:PRINT:SS MIDI DRESS</t>
  </si>
  <si>
    <t>DSOPTMIN</t>
  </si>
  <si>
    <t>SS MIDI DRESS OVERALL MINNIE DSOPTMIN:MEDIUM DENIM:6-12:PRINT:SS MIDI DRESS</t>
  </si>
  <si>
    <t>SS MIDI DRESS OVERALL MINNIE DSOPTMIN:MEDIUM DENIM:12-18:PRINT:SS MIDI DRESS</t>
  </si>
  <si>
    <t>SS MIDI DRESS OVERALL MINNIE DSOPTMIN:MEDIUM DENIM:24-36:PRINT:SS MIDI DRESS</t>
  </si>
  <si>
    <t>SS MIDI DRESS OVERALL MINNIE DSOPTMIN:MEDIUM DENIM:18-24:PRINT:SS MIDI DRESS</t>
  </si>
  <si>
    <t>DSSPTMIN</t>
  </si>
  <si>
    <t>SS MIDI DRESS WOVEN PITA MINNIE DSSPTMIN:PASTEL BLUE:6-12:PRINT:SS MIDI DRESS</t>
  </si>
  <si>
    <t>SS MIDI DRESS WOVEN PITA MINNIE DSSPTMIN:PASTEL BLUE:12-18:PRINT:SS MIDI DRESS</t>
  </si>
  <si>
    <t>SS MIDI DRESS WOVEN PITA MINNIE DSSPTMIN:PASTEL BLUE:18-24:PRINT:SS MIDI DRESS</t>
  </si>
  <si>
    <t>SS MIDI DRESS WOVEN PITA MINNIE DSSPTMIN:PASTEL BLUE:24-36:PRINT:SS MIDI DRESS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</si>
  <si>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</si>
  <si>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</si>
  <si>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</si>
  <si>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</si>
  <si>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</si>
  <si>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</si>
  <si>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</si>
  <si>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</si>
  <si>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</si>
  <si>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</si>
  <si>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</si>
  <si>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</si>
  <si>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</si>
  <si>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</si>
  <si>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</si>
  <si>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</si>
  <si>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</si>
  <si>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</si>
  <si>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</si>
  <si>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</si>
  <si>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</si>
  <si>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</si>
  <si>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</si>
  <si>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</si>
  <si>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</si>
  <si>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</si>
  <si>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</si>
  <si>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</si>
  <si>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</si>
  <si>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</si>
  <si>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</si>
  <si>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</si>
  <si>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</si>
  <si>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</si>
  <si>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</si>
  <si>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</si>
  <si>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</si>
  <si>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</si>
  <si>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</si>
  <si>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</si>
  <si>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</si>
  <si>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</si>
  <si>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</si>
  <si>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</si>
  <si>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</si>
  <si>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</si>
  <si>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</si>
  <si>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</si>
  <si>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</si>
  <si>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</si>
  <si>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</si>
  <si>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</si>
  <si>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</si>
  <si>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</si>
  <si>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</si>
  <si>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</si>
  <si>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</si>
  <si>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</si>
  <si>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</si>
  <si>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</si>
  <si>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</si>
  <si>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</si>
  <si>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</si>
  <si>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</si>
  <si>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</si>
  <si>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</si>
  <si>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</si>
  <si>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</si>
  <si>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</si>
  <si>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</si>
  <si>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</si>
  <si>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</si>
  <si>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</si>
  <si>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</si>
  <si>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</si>
  <si>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</si>
  <si>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</si>
  <si>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</si>
  <si>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</si>
  <si>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</si>
  <si>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</si>
  <si>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</si>
  <si>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</si>
  <si>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</si>
  <si>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</si>
  <si>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</si>
  <si>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</si>
  <si>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</si>
  <si>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</si>
  <si>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</si>
  <si>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</si>
  <si>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</si>
  <si>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</si>
  <si>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</si>
  <si>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</si>
  <si>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</si>
  <si>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</si>
  <si>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</si>
  <si>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</si>
  <si>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</si>
  <si>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</si>
  <si>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</si>
  <si>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</si>
  <si>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</si>
  <si>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</si>
  <si>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</si>
  <si>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</si>
  <si>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</si>
  <si>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</si>
  <si>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</si>
  <si>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</si>
  <si>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</si>
  <si>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</si>
  <si>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</si>
  <si>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</si>
  <si>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</si>
  <si>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</si>
  <si>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</si>
  <si>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</si>
  <si>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</si>
  <si>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</si>
  <si>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</si>
  <si>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</si>
  <si>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</si>
  <si>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</si>
  <si>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</si>
  <si>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</si>
  <si>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</si>
  <si>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</si>
  <si>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</si>
  <si>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</si>
  <si>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</si>
  <si>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</si>
  <si>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</si>
  <si>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</si>
  <si>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</si>
  <si>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</si>
  <si>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</si>
  <si>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</si>
  <si>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</si>
  <si>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</si>
  <si>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</si>
  <si>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</si>
  <si>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</si>
  <si>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</si>
  <si>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</si>
  <si>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</si>
  <si>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</si>
  <si>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</si>
  <si>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</si>
  <si>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</si>
  <si>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</si>
  <si>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</si>
  <si>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</si>
  <si>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</si>
  <si>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</si>
  <si>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</si>
  <si>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</si>
  <si>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</si>
  <si>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</si>
  <si>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</si>
  <si>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</si>
  <si>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</si>
  <si>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</si>
  <si>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</si>
  <si>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</si>
  <si>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</si>
  <si>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</si>
  <si>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</si>
  <si>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</si>
  <si>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</si>
  <si>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</si>
  <si>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</si>
  <si>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</si>
  <si>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</si>
  <si>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</si>
  <si>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</si>
  <si>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</si>
  <si>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</si>
  <si>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</si>
  <si>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</si>
  <si>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</si>
  <si>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</si>
  <si>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</si>
  <si>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</si>
  <si>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</si>
  <si>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</si>
  <si>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</si>
  <si>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</si>
  <si>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</si>
  <si>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</si>
  <si>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</si>
  <si>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</si>
  <si>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</si>
  <si>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</si>
  <si>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</si>
  <si>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</si>
  <si>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</si>
  <si>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</si>
  <si>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</si>
  <si>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</si>
  <si>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</si>
  <si>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</si>
  <si>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</si>
  <si>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</si>
  <si>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</si>
  <si>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</si>
  <si>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</si>
  <si>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</si>
  <si>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</si>
  <si>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</si>
  <si>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</si>
  <si>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</si>
  <si>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</si>
  <si>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</si>
  <si>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</si>
  <si>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</si>
  <si>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</si>
  <si>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</si>
  <si>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</si>
  <si>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</si>
  <si>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</si>
  <si>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</si>
  <si>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</si>
  <si>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</si>
  <si>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</si>
  <si>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</si>
  <si>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</si>
  <si>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TSREX</t>
  </si>
  <si>
    <t>SS T-SHIRT TS APL REX TSREX:PASTEL YELLOW:24-36:PRINT:SS T-SHIRT</t>
  </si>
  <si>
    <t>SS T-SHIRT TS APL REX TSREX:PASTEL YELLOW:18-24:PRINT:SS T-SHIRT</t>
  </si>
  <si>
    <t>SS T-SHIRT TS APL REX TSREX:PASTEL YELLOW:6-12:PRINT:SS T-SHIRT</t>
  </si>
  <si>
    <t>SS T-SHIRT TS APL REX TSREX:PASTEL YELLOW:12-18:PRINT:SS T-SHIRT</t>
  </si>
  <si>
    <t>JKREX</t>
  </si>
  <si>
    <t>JACKET APL REX JKREX:NAVY BLUE:6-12:PRINT:JACKET</t>
  </si>
  <si>
    <t>JACKET APL REX JKREX:NAVY BLUE:12-18:PRINT:JACKET</t>
  </si>
  <si>
    <t>JACKET APL REX JKREX:NAVY BLUE:18-24:PRINT:JACKET</t>
  </si>
  <si>
    <t>JACKET APL REX JKREX:NAVY BLUE:24-36:PRINT:JACKET</t>
  </si>
  <si>
    <t>JGREX</t>
  </si>
  <si>
    <t>JOGGER APL REX JGREX:NAVY BLUE:6-12:PRINT:JOGGER</t>
  </si>
  <si>
    <t>JOGGER APL REX JGREX:NAVY BLUE:12-18:PRINT:JOGGER</t>
  </si>
  <si>
    <t>JOGGER APL REX JGREX:NAVY BLUE:18-24:PRINT:JOGGER</t>
  </si>
  <si>
    <t>JOGGER APL REX JGREX:NAVY BLUE:24-36:PRINT:JOGGER</t>
  </si>
  <si>
    <t>SETREX</t>
  </si>
  <si>
    <t>TOP - BOTTOM SET APL REX SETREX:PASTEL GREEN:6-12:PRINT:TOP - BOTTOM SET</t>
  </si>
  <si>
    <t>TOP - BOTTOM SET APL REX SETREX:PASTEL GREEN:12-18:PRINT:TOP - BOTTOM SET</t>
  </si>
  <si>
    <t>TOP - BOTTOM SET APL REX SETREX:PASTEL GREEN:18-24:PRINT:TOP - BOTTOM SET</t>
  </si>
  <si>
    <t>TOP - BOTTOM SET APL REX SETREX:PASTEL GREEN:24-36:PRINT:TOP - BOTTOM SET</t>
  </si>
  <si>
    <t>OVREX</t>
  </si>
  <si>
    <t>SHORT JUMPSUIT OVERALL APL REX OVREX:NAVY BLUE:6-12:PRINT:SHORT JUMPSUIT</t>
  </si>
  <si>
    <t>SHORT JUMPSUIT OVERALL APL REX OVREX:NAVY BLUE:12-18:PRINT:SHORT JUMPSUIT</t>
  </si>
  <si>
    <t>SHORT JUMPSUIT OVERALL APL REX OVREX:NAVY BLUE:18-24:PRINT:SHORT JUMPSUIT</t>
  </si>
  <si>
    <t>SHORT JUMPSUIT OVERALL APL REX OVREX:NAVY BLUE:24-36:PRINT:SHORT JUMPSUIT</t>
  </si>
  <si>
    <t>SETWFREX</t>
  </si>
  <si>
    <t>TOP - BOTTOM SET WAFEL REX SETWFREX:PASTEL GREEN:18-24:PRINT:TOP - BOTTOM SET</t>
  </si>
  <si>
    <t>TOP - BOTTOM SET WAFEL REX SETWFREX:PASTEL GREEN:24-36:PRINT:TOP - BOTTOM SET</t>
  </si>
  <si>
    <t>TOP - BOTTOM SET WAFEL REX SETWFREX:PASTEL GREEN:6-12:PRINT:TOP - BOTTOM SET</t>
  </si>
  <si>
    <t>TOP - BOTTOM SET WAFEL REX SETWFREX:PASTEL GREEN:12-18:PRINT:TOP - BOTTOM SET</t>
  </si>
  <si>
    <t>OVWFREX</t>
  </si>
  <si>
    <t>SHORT JUMPSUIT OVERALL WAFEL REX OVWFREX:PASTEL GREEN:18-24:PRINT:SHORT JUMPSUIT</t>
  </si>
  <si>
    <t>SHORT JUMPSUIT OVERALL WAFEL REX OVWFREX:PASTEL GREEN:24-36:PRINT:SHORT JUMPSUIT</t>
  </si>
  <si>
    <t>SHORT JUMPSUIT OVERALL WAFEL REX OVWFREX:PASTEL GREEN:6-12:PRINT:SHORT JUMPSUIT</t>
  </si>
  <si>
    <t>SHORT JUMPSUIT OVERALL WAFEL REX OVWFREX:PASTEL GREEN:12-18:PRINT:SHORT JUMPSUIT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</si>
  <si>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</si>
  <si>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</si>
  <si>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</si>
  <si>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</si>
  <si>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</si>
  <si>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</si>
  <si>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</si>
  <si>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</si>
  <si>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</si>
  <si>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</si>
  <si>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</si>
  <si>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</si>
  <si>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</si>
  <si>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</si>
  <si>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</si>
  <si>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</si>
  <si>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</si>
  <si>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</si>
  <si>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</si>
  <si>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</si>
  <si>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</si>
  <si>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</si>
  <si>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</si>
  <si>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</si>
  <si>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</si>
  <si>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</si>
  <si>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</si>
  <si>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</si>
  <si>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</si>
  <si>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</si>
  <si>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</si>
  <si>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</si>
  <si>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</si>
  <si>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</si>
  <si>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</si>
  <si>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</si>
  <si>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</si>
  <si>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</si>
  <si>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</si>
  <si>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</si>
  <si>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</si>
  <si>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</si>
  <si>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</si>
  <si>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</si>
  <si>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</si>
  <si>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</si>
  <si>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</si>
  <si>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</si>
  <si>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</si>
  <si>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</si>
  <si>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</si>
  <si>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</si>
  <si>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</si>
  <si>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</si>
  <si>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</si>
  <si>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</si>
  <si>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</si>
  <si>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</si>
  <si>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</si>
  <si>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</si>
  <si>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</si>
  <si>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</si>
  <si>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</si>
  <si>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</si>
  <si>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</si>
  <si>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</si>
  <si>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</si>
  <si>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</si>
  <si>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</si>
  <si>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</si>
  <si>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</si>
  <si>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</si>
  <si>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</si>
  <si>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</si>
  <si>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</si>
  <si>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</si>
  <si>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</si>
  <si>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</si>
  <si>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</si>
  <si>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</si>
  <si>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</si>
  <si>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</si>
  <si>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</si>
  <si>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</si>
  <si>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</si>
  <si>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</si>
  <si>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</si>
  <si>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</si>
  <si>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</si>
  <si>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</si>
  <si>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</si>
  <si>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</si>
  <si>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</si>
  <si>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</si>
  <si>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</si>
  <si>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</si>
  <si>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DSKMIN</t>
  </si>
  <si>
    <t>SS MIDI DRESS KERAH MARIE DSKMIN:PASTEL PINK:6-12:PRINT:SS MIDI DRESS</t>
  </si>
  <si>
    <t>SS MIDI DRESS KERAH MARIE DSKMIN:PASTEL PINK:12-18:PRINT:SS MIDI DRESS</t>
  </si>
  <si>
    <t>SS MIDI DRESS KERAH MARIE DSKMIN:PASTEL PINK:24-36:PRINT:SS MIDI DRESS</t>
  </si>
  <si>
    <t>SS MIDI DRESS KERAH MARIE DSKMIN:PASTEL PINK:18-24:PRINT:SS MIDI DRESS</t>
  </si>
  <si>
    <t>TSDCMIN</t>
  </si>
  <si>
    <t>SS T-SHIRT MINNIE TINY DANCER TSDCMIN:PASTEL PINK:18-24:PRINT:SS T-SHIRT</t>
  </si>
  <si>
    <t>SS T-SHIRT MINNIE TINY DANCER TSDCMIN:PASTEL PINK:6-12:PRINT:SS T-SHIRT</t>
  </si>
  <si>
    <t>SS T-SHIRT MINNIE TINY DANCER TSDCMIN:PASTEL PINK:12-18:PRINT:SS T-SHIRT</t>
  </si>
  <si>
    <t>SS T-SHIRT MINNIE TINY DANCER TSDCMIN:PASTEL PINK:24-36:PRINT:SS T-SHIRT</t>
  </si>
  <si>
    <t>DSDCMIN</t>
  </si>
  <si>
    <t>SS MIDI DRESS ULLE MINNIE TINY DANCER DSDCMIN:PASTEL PINK:6-12:PRINT:SS MIDI DRESS</t>
  </si>
  <si>
    <t>SS MIDI DRESS ULLE MINNIE TINY DANCER DSDCMIN:PASTEL PINK:18-24:PRINT:SS MIDI DRESS</t>
  </si>
  <si>
    <t>SS MIDI DRESS ULLE MINNIE TINY DANCER DSDCMIN:PASTEL PINK:12-18:PRINT:SS MIDI DRESS</t>
  </si>
  <si>
    <t>SS MIDI DRESS ULLE MINNIE TINY DANCER DSDCMIN:PASTEL PINK:24-36:PRINT:SS MIDI DRESS</t>
  </si>
  <si>
    <t>OVRMAR</t>
  </si>
  <si>
    <t>SHORT JUMPSUIT OVERALL MARIE OVRMAR:PASTEL PINK:24-36:PRINT:SHORT JUMPSUIT</t>
  </si>
  <si>
    <t>SHORT JUMPSUIT OVERALL MARIE OVRMAR:PASTEL PINK:6-12:PRINT:SHORT JUMPSUIT</t>
  </si>
  <si>
    <t>SHORT JUMPSUIT OVERALL MARIE OVRMAR:PASTEL PINK:12-18:PRINT:SHORT JUMPSUIT</t>
  </si>
  <si>
    <t>SHORT JUMPSUIT OVERALL MARIE OVRMAR:PASTEL PINK:18-24:PRINT:SHORT JUMPSUIT</t>
  </si>
  <si>
    <t>JKDCMIN</t>
  </si>
  <si>
    <t>JACKET MINNIE TINY DANCER JKDCMIN:PASTEL PINK:24-36:PRINT:JACKET</t>
  </si>
  <si>
    <t>JACKET MINNIE TINY DANCER JKDCMIN:PASTEL PINK:6-12:PRINT:JACKET</t>
  </si>
  <si>
    <t>JACKET MINNIE TINY DANCER JKDCMIN:PASTEL PINK:18-24:PRINT:JACKET</t>
  </si>
  <si>
    <t>JACKET MINNIE TINY DANCER JKDCMIN:PASTEL PINK:12-18:PRINT:JACKET</t>
  </si>
  <si>
    <t>JGDCMIN</t>
  </si>
  <si>
    <t>JOGGER MINNIE TINY DANCER JGDCMIN:PASTEL PINK:24-36:PRINT:JOGGER</t>
  </si>
  <si>
    <t>JOGGER MINNIE TINY DANCER JGDCMIN:PASTEL PINK:12-18:PRINT:JOGGER</t>
  </si>
  <si>
    <t>JOGGER MINNIE TINY DANCER JGDCMIN:PASTEL PINK:6-12:PRINT:JOGGER</t>
  </si>
  <si>
    <t>JOGGER MINNIE TINY DANCER JGDCMIN:PASTEL PINK:18-24:PRINT:JOGGER</t>
  </si>
  <si>
    <t>SETDCMIN</t>
  </si>
  <si>
    <t>TOP - BOTTOM SET MINNIE TINY DANCER KOMBI WVN SETDCMIN:PASTEL PINK:18-24:PRINT:TOP - BOTTOM SET</t>
  </si>
  <si>
    <t>TOP - BOTTOM SET MINNIE TINY DANCER KOMBI WVN SETDCMIN:PASTEL PINK:24-36:PRINT:TOP - BOTTOM SET</t>
  </si>
  <si>
    <t>TOP - BOTTOM SET MINNIE TINY DANCER KOMBI WVN SETDCMIN:PASTEL PINK:6-12:PRINT:TOP - BOTTOM SET</t>
  </si>
  <si>
    <t>TOP - BOTTOM SET MINNIE TINY DANCER KOMBI WVN SETDCMIN:PASTEL PINK:12-18:PRINT:TOP - BOTTOM SET</t>
  </si>
  <si>
    <t>DSODCMIN</t>
  </si>
  <si>
    <t>SS MIDI DRESS OVERALL MINNIE TINY DANCER DSODCMIN:PASTEL PINK:6-12:PRINT:SS MIDI DRESS</t>
  </si>
  <si>
    <t>SS MIDI DRESS OVERALL MINNIE TINY DANCER DSODCMIN:PASTEL PINK:18-24:PRINT:SS MIDI DRESS</t>
  </si>
  <si>
    <t>SS MIDI DRESS OVERALL MINNIE TINY DANCER DSODCMIN:PASTEL PINK:12-18:PRINT:SS MIDI DRESS</t>
  </si>
  <si>
    <t>SS MIDI DRESS OVERALL MINNIE TINY DANCER DSODCMIN:PASTEL PINK:24-36:PRINT:SS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</si>
  <si>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</si>
  <si>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</si>
  <si>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</si>
  <si>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</si>
  <si>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</si>
  <si>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</si>
  <si>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</si>
  <si>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</si>
  <si>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</si>
  <si>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</si>
  <si>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</si>
  <si>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</si>
  <si>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</si>
  <si>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</si>
  <si>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</si>
  <si>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</si>
  <si>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</si>
  <si>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</si>
  <si>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</si>
  <si>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</si>
  <si>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</si>
  <si>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SETBUTBAM</t>
  </si>
  <si>
    <t>TOP - BOTTOM SET BAMBI BUTTERFLY SETBUTBAM:OFF WHITE:12-18:PRINT:TOP - BOTTOM SET</t>
  </si>
  <si>
    <t>TOP - BOTTOM SET BAMBI BUTTERFLY SETBUTBAM:OFF WHITE:18-24:PRINT:TOP - BOTTOM SET</t>
  </si>
  <si>
    <t>TOP - BOTTOM SET BAMBI BUTTERFLY SETBUTBAM:OFF WHITE:6-12:PRINT:TOP - BOTTOM SET</t>
  </si>
  <si>
    <t>TOP - BOTTOM SET BAMBI BUTTERFLY SETBUTBAM:OFF WHITE:24-36:PRINT:TOP - BOTTOM SET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</si>
  <si>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</si>
  <si>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</si>
  <si>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</si>
  <si>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</si>
  <si>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</si>
  <si>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</si>
  <si>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</si>
  <si>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</si>
  <si>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</si>
  <si>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</si>
  <si>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</si>
  <si>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</si>
  <si>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</si>
  <si>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</si>
  <si>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</si>
  <si>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</si>
  <si>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</si>
  <si>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</si>
  <si>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</si>
  <si>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</si>
  <si>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</si>
  <si>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</si>
  <si>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</si>
  <si>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</si>
  <si>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</si>
  <si>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</si>
  <si>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</si>
  <si>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</si>
  <si>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</si>
  <si>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</si>
  <si>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</si>
  <si>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</si>
  <si>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</si>
  <si>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</si>
  <si>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</si>
  <si>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</si>
  <si>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</si>
  <si>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</si>
  <si>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</si>
  <si>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</si>
  <si>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</si>
  <si>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</si>
  <si>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</si>
  <si>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</si>
  <si>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</si>
  <si>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</si>
  <si>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</si>
  <si>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</si>
  <si>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</si>
  <si>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</si>
  <si>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</si>
  <si>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</si>
  <si>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</si>
  <si>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</si>
  <si>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</si>
  <si>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</si>
  <si>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</si>
  <si>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</si>
  <si>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</si>
  <si>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</si>
  <si>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</si>
  <si>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</si>
  <si>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</si>
  <si>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</si>
  <si>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</si>
  <si>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</si>
  <si>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</si>
  <si>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</si>
  <si>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</si>
  <si>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</si>
  <si>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</si>
  <si>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</si>
  <si>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</si>
  <si>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</si>
  <si>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</si>
  <si>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</si>
  <si>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</si>
  <si>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</si>
  <si>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</si>
  <si>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</si>
  <si>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</si>
  <si>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</si>
  <si>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</si>
  <si>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</si>
  <si>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</si>
  <si>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</si>
  <si>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</si>
  <si>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</si>
  <si>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</si>
  <si>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</si>
  <si>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</si>
  <si>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</si>
  <si>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</si>
  <si>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</si>
  <si>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</si>
  <si>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</si>
  <si>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</si>
  <si>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</si>
  <si>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</si>
  <si>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</si>
  <si>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</si>
  <si>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</si>
  <si>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</si>
  <si>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</si>
  <si>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</si>
  <si>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</si>
  <si>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</si>
  <si>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</si>
  <si>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</si>
  <si>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</si>
  <si>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</si>
  <si>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</si>
  <si>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</si>
  <si>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</si>
  <si>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</si>
  <si>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</si>
  <si>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</si>
  <si>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</si>
  <si>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</si>
  <si>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</si>
  <si>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</si>
  <si>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</si>
  <si>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</si>
  <si>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</si>
  <si>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</si>
  <si>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</si>
  <si>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</si>
  <si>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</si>
  <si>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</si>
  <si>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</si>
  <si>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</si>
  <si>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</si>
  <si>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</si>
  <si>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</si>
  <si>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</si>
  <si>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</si>
  <si>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</si>
  <si>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</si>
  <si>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</si>
  <si>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</si>
  <si>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</si>
  <si>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</si>
  <si>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</si>
  <si>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</si>
  <si>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</si>
  <si>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</si>
  <si>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</si>
  <si>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</si>
  <si>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</si>
  <si>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</si>
  <si>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</si>
  <si>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</si>
  <si>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</si>
  <si>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</si>
  <si>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</si>
  <si>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</si>
  <si>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</si>
  <si>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</si>
  <si>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</si>
  <si>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</si>
  <si>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</si>
  <si>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</si>
  <si>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</si>
  <si>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</si>
  <si>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</si>
  <si>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</si>
  <si>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</si>
  <si>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</si>
  <si>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</si>
  <si>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</si>
  <si>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</si>
  <si>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</si>
  <si>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</si>
  <si>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</si>
  <si>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</si>
  <si>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</si>
  <si>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</si>
  <si>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</si>
  <si>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</si>
  <si>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</si>
  <si>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</si>
  <si>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</si>
  <si>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</si>
  <si>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</si>
  <si>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</si>
  <si>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</si>
  <si>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</si>
  <si>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</si>
  <si>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</si>
  <si>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</si>
  <si>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</si>
  <si>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</si>
  <si>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</si>
  <si>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</si>
  <si>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</si>
  <si>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</si>
  <si>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</si>
  <si>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</si>
  <si>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</si>
  <si>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</si>
  <si>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</si>
  <si>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</si>
  <si>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</si>
  <si>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</si>
  <si>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</si>
  <si>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</si>
  <si>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</si>
  <si>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</si>
  <si>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</si>
  <si>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</si>
  <si>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</si>
  <si>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</si>
  <si>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</si>
  <si>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</si>
  <si>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</si>
  <si>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</si>
  <si>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</si>
  <si>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</si>
  <si>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</si>
  <si>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</si>
  <si>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</si>
  <si>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</si>
  <si>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</si>
  <si>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</si>
  <si>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</si>
  <si>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</si>
  <si>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</si>
  <si>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</si>
  <si>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</si>
  <si>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</si>
  <si>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</si>
  <si>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</si>
  <si>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</si>
  <si>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</si>
  <si>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</si>
  <si>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</si>
  <si>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</si>
  <si>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</si>
  <si>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</si>
  <si>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</si>
  <si>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</si>
  <si>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</si>
  <si>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</si>
  <si>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</si>
  <si>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</si>
  <si>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</si>
  <si>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</si>
  <si>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</si>
  <si>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</si>
  <si>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</si>
  <si>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</si>
  <si>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</si>
  <si>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</si>
  <si>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</si>
  <si>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</si>
  <si>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</si>
  <si>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</si>
  <si>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</si>
  <si>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</si>
  <si>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</si>
  <si>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</si>
  <si>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</si>
  <si>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</si>
  <si>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</si>
  <si>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</si>
  <si>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</si>
  <si>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</si>
  <si>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</si>
  <si>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</si>
  <si>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</si>
  <si>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</si>
  <si>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</si>
  <si>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</si>
  <si>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</si>
  <si>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</si>
  <si>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</si>
  <si>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</si>
  <si>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</si>
  <si>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</si>
  <si>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</si>
  <si>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</si>
  <si>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</si>
  <si>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</si>
  <si>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</si>
  <si>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</si>
  <si>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</si>
  <si>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</si>
  <si>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</si>
  <si>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</si>
  <si>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</si>
  <si>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</si>
  <si>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</si>
  <si>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</si>
  <si>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</si>
  <si>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</si>
  <si>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</si>
  <si>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</si>
  <si>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</si>
  <si>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</si>
  <si>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</si>
  <si>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</si>
  <si>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</si>
  <si>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</si>
  <si>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</si>
  <si>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</si>
  <si>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</si>
  <si>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</si>
  <si>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</si>
  <si>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</si>
  <si>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</si>
  <si>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</si>
  <si>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</si>
  <si>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</si>
  <si>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</si>
  <si>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</si>
  <si>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</si>
  <si>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</si>
  <si>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</si>
  <si>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</si>
  <si>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</si>
  <si>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</si>
  <si>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</si>
  <si>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</si>
  <si>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</si>
  <si>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</si>
  <si>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</si>
  <si>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</si>
  <si>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</si>
  <si>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</si>
  <si>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</si>
  <si>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</si>
  <si>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</si>
  <si>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</si>
  <si>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</si>
  <si>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</si>
  <si>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</si>
  <si>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</si>
  <si>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</si>
  <si>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</si>
  <si>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</si>
  <si>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</si>
  <si>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</si>
  <si>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</si>
  <si>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</si>
  <si>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</si>
  <si>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</si>
  <si>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</si>
  <si>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</si>
  <si>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</si>
  <si>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</si>
  <si>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</si>
  <si>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</si>
  <si>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</si>
  <si>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</si>
  <si>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</si>
  <si>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</si>
  <si>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</si>
  <si>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</si>
  <si>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</si>
  <si>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</si>
  <si>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</si>
  <si>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</si>
  <si>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</si>
  <si>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</si>
  <si>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</si>
  <si>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</si>
  <si>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</si>
  <si>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</si>
  <si>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</si>
  <si>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</si>
  <si>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</si>
  <si>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</si>
  <si>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</si>
  <si>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</si>
  <si>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</si>
  <si>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</si>
  <si>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</si>
  <si>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</si>
  <si>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</si>
  <si>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</si>
  <si>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</si>
  <si>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</si>
  <si>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</si>
  <si>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</si>
  <si>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</si>
  <si>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</si>
  <si>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</si>
  <si>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</si>
  <si>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</si>
  <si>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</si>
  <si>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</si>
  <si>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</si>
  <si>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</si>
  <si>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</si>
  <si>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</si>
  <si>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</si>
  <si>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</si>
  <si>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</si>
  <si>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</si>
  <si>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</si>
  <si>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</si>
  <si>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</si>
  <si>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</si>
  <si>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</si>
  <si>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</si>
  <si>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</si>
  <si>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</si>
  <si>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</si>
  <si>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</si>
  <si>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</si>
  <si>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</si>
  <si>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</si>
  <si>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</si>
  <si>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</si>
  <si>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</si>
  <si>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</si>
  <si>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</si>
  <si>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</si>
  <si>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</si>
  <si>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</si>
  <si>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</si>
  <si>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</si>
  <si>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</si>
  <si>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</si>
  <si>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</si>
  <si>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</si>
  <si>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</si>
  <si>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</si>
  <si>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</si>
  <si>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</si>
  <si>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</si>
  <si>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</si>
  <si>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</si>
  <si>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</si>
  <si>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</si>
  <si>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</si>
  <si>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</si>
  <si>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</si>
  <si>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</si>
  <si>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</si>
  <si>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</si>
  <si>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</si>
  <si>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</si>
  <si>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CHARACTER GIRL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</si>
  <si>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</si>
  <si>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</si>
  <si>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</si>
  <si>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</si>
  <si>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</si>
  <si>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</si>
  <si>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</si>
  <si>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</si>
  <si>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</si>
  <si>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</si>
  <si>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</si>
  <si>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</si>
  <si>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</si>
  <si>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</si>
  <si>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</si>
  <si>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</si>
  <si>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</si>
  <si>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</si>
  <si>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</si>
  <si>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</si>
  <si>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</si>
  <si>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</si>
  <si>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</si>
  <si>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</si>
  <si>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</si>
  <si>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</si>
  <si>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</si>
  <si>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</si>
  <si>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</si>
  <si>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</si>
  <si>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</si>
  <si>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</si>
  <si>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</si>
  <si>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</si>
  <si>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</si>
  <si>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</si>
  <si>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</si>
  <si>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</si>
  <si>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</si>
  <si>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</si>
  <si>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</si>
  <si>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</si>
  <si>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</si>
  <si>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</si>
  <si>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</si>
  <si>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</si>
  <si>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</si>
  <si>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</si>
  <si>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</si>
  <si>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</si>
  <si>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</si>
  <si>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</si>
  <si>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</si>
  <si>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</si>
  <si>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</si>
  <si>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</si>
  <si>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</si>
  <si>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</si>
  <si>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</si>
  <si>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</si>
  <si>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</si>
  <si>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</si>
  <si>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</si>
  <si>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</si>
  <si>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</si>
  <si>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</si>
  <si>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</si>
  <si>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</si>
  <si>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</si>
  <si>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</si>
  <si>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</si>
  <si>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</si>
  <si>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</si>
  <si>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</si>
  <si>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</si>
  <si>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</si>
  <si>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</si>
  <si>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</si>
  <si>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</si>
  <si>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</si>
  <si>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</si>
  <si>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</si>
  <si>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</si>
  <si>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</si>
  <si>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</si>
  <si>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</si>
  <si>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</si>
  <si>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</si>
  <si>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</si>
  <si>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</si>
  <si>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</si>
  <si>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</si>
  <si>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</si>
  <si>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</si>
  <si>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</si>
  <si>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</si>
  <si>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</si>
  <si>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</si>
  <si>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</si>
  <si>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</si>
  <si>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</si>
  <si>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</si>
  <si>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</si>
  <si>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</si>
  <si>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</si>
  <si>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</si>
  <si>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</si>
  <si>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</si>
  <si>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</si>
  <si>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</si>
  <si>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</si>
  <si>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</si>
  <si>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</si>
  <si>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</si>
  <si>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</si>
  <si>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</si>
  <si>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</si>
  <si>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</si>
  <si>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</si>
  <si>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</si>
  <si>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</si>
  <si>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</si>
  <si>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</si>
  <si>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</si>
  <si>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</si>
  <si>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</si>
  <si>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</si>
  <si>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</si>
  <si>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</si>
  <si>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</si>
  <si>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</si>
  <si>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</si>
  <si>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</si>
  <si>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</si>
  <si>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</si>
  <si>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</si>
  <si>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</si>
  <si>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</si>
  <si>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</si>
  <si>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</si>
  <si>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</si>
  <si>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</si>
  <si>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</si>
  <si>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</si>
  <si>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</si>
  <si>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</si>
  <si>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</si>
  <si>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</si>
  <si>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</si>
  <si>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</si>
  <si>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</si>
  <si>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</si>
  <si>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</si>
  <si>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</si>
  <si>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</si>
  <si>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</si>
  <si>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</si>
  <si>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</si>
  <si>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</si>
  <si>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</si>
  <si>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</si>
  <si>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</si>
  <si>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</si>
  <si>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</si>
  <si>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</si>
  <si>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</si>
  <si>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</si>
  <si>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</si>
  <si>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</si>
  <si>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</si>
  <si>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</si>
  <si>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</si>
  <si>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</si>
  <si>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</si>
  <si>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</si>
  <si>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</si>
  <si>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</si>
  <si>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</si>
  <si>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</si>
  <si>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</si>
  <si>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</si>
  <si>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</si>
  <si>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</si>
  <si>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</si>
  <si>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</si>
  <si>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</si>
  <si>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</si>
  <si>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</si>
  <si>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</si>
  <si>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</si>
  <si>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</si>
  <si>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</si>
  <si>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</si>
  <si>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</si>
  <si>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</si>
  <si>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</si>
  <si>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</si>
  <si>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</si>
  <si>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</si>
  <si>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</si>
  <si>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</si>
  <si>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</si>
  <si>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</si>
  <si>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</si>
  <si>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</si>
  <si>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</si>
  <si>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</si>
  <si>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</si>
  <si>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</si>
  <si>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</si>
  <si>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</si>
  <si>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</si>
  <si>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</si>
  <si>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</si>
  <si>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</si>
  <si>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</si>
  <si>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</si>
  <si>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</si>
  <si>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</si>
  <si>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</si>
  <si>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</si>
  <si>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</si>
  <si>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</si>
  <si>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</si>
  <si>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</si>
  <si>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</si>
  <si>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</si>
  <si>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</si>
  <si>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</si>
  <si>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</si>
  <si>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</si>
  <si>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</si>
  <si>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</si>
  <si>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</si>
  <si>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</si>
  <si>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</si>
  <si>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</si>
  <si>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</si>
  <si>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</si>
  <si>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</si>
  <si>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</si>
  <si>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</si>
  <si>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</si>
  <si>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</si>
  <si>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</si>
  <si>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</si>
  <si>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</si>
  <si>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</si>
  <si>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</si>
  <si>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</si>
  <si>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</si>
  <si>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</si>
  <si>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</si>
  <si>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</si>
  <si>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</si>
  <si>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</si>
  <si>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</si>
  <si>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</si>
  <si>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</si>
  <si>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</si>
  <si>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</si>
  <si>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</si>
  <si>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</si>
  <si>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</si>
  <si>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</si>
  <si>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</si>
  <si>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</si>
  <si>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</si>
  <si>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</si>
  <si>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</si>
  <si>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</si>
  <si>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</si>
  <si>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</si>
  <si>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</si>
  <si>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</si>
  <si>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</si>
  <si>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</si>
  <si>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</si>
  <si>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</si>
  <si>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</si>
  <si>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</si>
  <si>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</si>
  <si>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</si>
  <si>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</si>
  <si>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</si>
  <si>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</si>
  <si>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</si>
  <si>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</si>
  <si>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</si>
  <si>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</si>
  <si>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</si>
  <si>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</si>
  <si>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</si>
  <si>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</si>
  <si>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</si>
  <si>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</si>
  <si>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</si>
  <si>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</si>
  <si>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</si>
  <si>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</si>
  <si>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</si>
  <si>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</si>
  <si>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</si>
  <si>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</si>
  <si>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</si>
  <si>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</si>
  <si>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</si>
  <si>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</si>
  <si>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</si>
  <si>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</si>
  <si>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</si>
  <si>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</si>
  <si>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</si>
  <si>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</si>
  <si>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</si>
  <si>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</si>
  <si>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</si>
  <si>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</si>
  <si>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</si>
  <si>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</si>
  <si>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</si>
  <si>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</si>
  <si>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</si>
  <si>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</si>
  <si>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</si>
  <si>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</si>
  <si>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</si>
  <si>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</si>
  <si>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</si>
  <si>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</si>
  <si>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</si>
  <si>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</si>
  <si>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</si>
  <si>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</si>
  <si>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</si>
  <si>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</si>
  <si>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</si>
  <si>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</si>
  <si>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</si>
  <si>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</si>
  <si>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</si>
  <si>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</si>
  <si>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</si>
  <si>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</si>
  <si>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</si>
  <si>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</si>
  <si>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</si>
  <si>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</si>
  <si>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</si>
  <si>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</si>
  <si>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</si>
  <si>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</si>
  <si>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</si>
  <si>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</si>
  <si>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</si>
  <si>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</si>
  <si>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</si>
  <si>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</si>
  <si>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HK-AM1</t>
  </si>
  <si>
    <t>TOP - BOTTOM SET HELLO KITTY SAKURA LEGGING HK-AM1:PASTEL PINK:3-6:PRINT:TOP - BOTTOM SET</t>
  </si>
  <si>
    <t>TOP - BOTTOM SET HELLO KITTY SAKURA LEGGING HK-AM1:PASTEL PINK:6-12:PRINT:TOP - BOTTOM SET</t>
  </si>
  <si>
    <t>TOP - BOTTOM SET HELLO KITTY SAKURA LEGGING HK-AM1:PASTEL PINK:12-18:PRINT:TOP - BOTTOM SET</t>
  </si>
  <si>
    <t>TOP - BOTTOM SET HELLO KITTY SAKURA LEGGING HK-AM1:PASTEL PINK:18-24:PRINT:TOP - BOTTOM SET</t>
  </si>
  <si>
    <t>TOP - BOTTOM SET HELLO KITTY SAKURA LEGGING HK-AM1:PASTEL PINK:24-36:PRINT:TOP - BOTTOM SET</t>
  </si>
  <si>
    <t>HK-AM2</t>
  </si>
  <si>
    <t>SHORT JUMPSUIT OVERALL PANTS ICON HELLO KITTY HK-AM2:FUSCHIA:3-6:GRAPHIC:SHORT JUMPSUIT</t>
  </si>
  <si>
    <t>SHORT JUMPSUIT OVERALL PANTS ICON HELLO KITTY HK-AM2:FUSCHIA:6-12:GRAPHIC:SHORT JUMPSUIT</t>
  </si>
  <si>
    <t>SHORT JUMPSUIT OVERALL PANTS ICON HELLO KITTY HK-AM2:FUSCHIA:12-18:GRAPHIC:SHORT JUMPSUIT</t>
  </si>
  <si>
    <t>SHORT JUMPSUIT OVERALL PANTS ICON HELLO KITTY HK-AM2:FUSCHIA:18-24:GRAPHIC:SHORT JUMPSUIT</t>
  </si>
  <si>
    <t>SHORT JUMPSUIT OVERALL PANTS ICON HELLO KITTY HK-AM2:FUSCHIA:24-36:GRAPHIC:SHORT JUMPSUIT</t>
  </si>
  <si>
    <t>HK-AM3</t>
  </si>
  <si>
    <t>SS MIDI DRESS HELLO KITTY SAKURA FP HK-AM3:PASTEL PINK:3-6:PRINT:SS MIDI DRESS</t>
  </si>
  <si>
    <t>SS MIDI DRESS HELLO KITTY SAKURA FP HK-AM3:PASTEL PINK:6-12:PRINT:SS MIDI DRESS</t>
  </si>
  <si>
    <t>SS MIDI DRESS HELLO KITTY SAKURA FP HK-AM3:PASTEL PINK:12-18:PRINT:SS MIDI DRESS</t>
  </si>
  <si>
    <t>SS MIDI DRESS HELLO KITTY SAKURA FP HK-AM3:PASTEL PINK:18-24:PRINT:SS MIDI DRESS</t>
  </si>
  <si>
    <t>SS MIDI DRESS HELLO KITTY SAKURA FP HK-AM3:PASTEL PINK:24-36:PRINT:SS MIDI DRESS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</si>
  <si>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</si>
  <si>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</si>
  <si>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</si>
  <si>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</si>
  <si>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</si>
  <si>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</si>
  <si>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</si>
  <si>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</si>
  <si>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</si>
  <si>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</si>
  <si>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</si>
  <si>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</si>
  <si>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</si>
  <si>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</si>
  <si>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</si>
  <si>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</si>
  <si>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</si>
  <si>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</si>
  <si>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</si>
  <si>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</si>
  <si>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</si>
  <si>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</si>
  <si>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</si>
  <si>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</si>
  <si>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GGSETS1</t>
  </si>
  <si>
    <t>SET SHORT PANTS CNS SUPERMAN 1 GGSETS1:ASSORTIVE COLOR:3-6:GRAPHIC:TOP - BOTTOM SET</t>
  </si>
  <si>
    <t>SET SHORT PANTS CNS SUPERMAN 1 GGSETS1:ASSORTIVE COLOR:6-12:GRAPHIC:TOP - BOTTOM SET</t>
  </si>
  <si>
    <t>SET SHORT PANTS CNS SUPERMAN 1 GGSETS1:ASSORTIVE COLOR:12-18:GRAPHIC:TOP - BOTTOM SET</t>
  </si>
  <si>
    <t>SET SHORT PANTS CNS SUPERMAN 1 GGSETS1:ASSORTIVE COLOR:18-24:GRAPHIC:TOP - BOTTOM SET</t>
  </si>
  <si>
    <t>SET SHORT PANTS CNS SUPERMAN 1 GGSETS1:ASSORTIVE COLOR:24-36:GRAPHIC:TOP - BOTTOM SET</t>
  </si>
  <si>
    <t>GGSETS2</t>
  </si>
  <si>
    <t>SET SHORT PANTS CNS SUPERMAN 2 GGSETS2:ASSORTIVE COLOR:3-6:GRAPHIC:TOP - BOTTOM SET</t>
  </si>
  <si>
    <t>SET SHORT PANTS CNS SUPERMAN 2 GGSETS2:ASSORTIVE COLOR:6-12:GRAPHIC:TOP - BOTTOM SET</t>
  </si>
  <si>
    <t>SET SHORT PANTS CNS SUPERMAN 2 GGSETS2:ASSORTIVE COLOR:12-18:GRAPHIC:TOP - BOTTOM SET</t>
  </si>
  <si>
    <t>SET SHORT PANTS CNS SUPERMAN 2 GGSETS2:ASSORTIVE COLOR:18-24:GRAPHIC:TOP - BOTTOM SET</t>
  </si>
  <si>
    <t>SET SHORT PANTS CNS SUPERMAN 2 GGSETS2:ASSORTIVE COLOR:24-36:GRAPHIC:TOP - BOTTOM SET</t>
  </si>
  <si>
    <t>GGSETS3</t>
  </si>
  <si>
    <t>SET SHORT PANTS SUPERHERO GGSETS3:ASSORTIVE COLOR:3-6:GRAPHIC:TOP - BOTTOM SET</t>
  </si>
  <si>
    <t>SET SHORT PANTS SUPERHERO GGSETS3:ASSORTIVE COLOR:6-12:GRAPHIC:TOP - BOTTOM SET</t>
  </si>
  <si>
    <t>SET SHORT PANTS SUPERHERO GGSETS3:ASSORTIVE COLOR:12-18:GRAPHIC:TOP - BOTTOM SET</t>
  </si>
  <si>
    <t>SET SHORT PANTS SUPERHERO GGSETS3:ASSORTIVE COLOR:18-24:GRAPHIC:TOP - BOTTOM SET</t>
  </si>
  <si>
    <t>SET SHORT PANTS SUPERHERO GGSETS3:ASSORTIVE COLOR:24-36:GRAPHIC:TOP - BOTTOM SET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</si>
  <si>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</si>
  <si>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</si>
  <si>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</si>
  <si>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</si>
  <si>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</si>
  <si>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</si>
  <si>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</si>
  <si>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</si>
  <si>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</si>
  <si>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</si>
  <si>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</si>
  <si>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</si>
  <si>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</si>
  <si>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</si>
  <si>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</si>
  <si>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</si>
  <si>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</si>
  <si>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</si>
  <si>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</si>
  <si>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</si>
  <si>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</si>
  <si>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</si>
  <si>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</si>
  <si>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</si>
  <si>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</si>
  <si>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</si>
  <si>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</si>
  <si>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</si>
  <si>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</si>
  <si>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</si>
  <si>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</si>
  <si>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</si>
  <si>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</si>
  <si>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</si>
  <si>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</si>
  <si>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</si>
  <si>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</si>
  <si>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</si>
  <si>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</si>
  <si>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</si>
  <si>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</si>
  <si>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</si>
  <si>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</si>
  <si>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</si>
  <si>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</si>
  <si>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</si>
  <si>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</si>
  <si>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</si>
  <si>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</si>
  <si>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</si>
  <si>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</si>
  <si>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</si>
  <si>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</si>
  <si>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</si>
  <si>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</si>
  <si>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</si>
  <si>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</si>
  <si>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</si>
  <si>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</si>
  <si>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</si>
  <si>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</si>
  <si>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</si>
  <si>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</si>
  <si>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</si>
  <si>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</si>
  <si>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</si>
  <si>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</si>
  <si>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</si>
  <si>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</si>
  <si>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</si>
  <si>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</si>
  <si>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</si>
  <si>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</si>
  <si>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</si>
  <si>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</si>
  <si>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</si>
  <si>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</si>
  <si>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</si>
  <si>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</si>
  <si>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</si>
  <si>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</si>
  <si>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</si>
  <si>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</si>
  <si>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</si>
  <si>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</si>
  <si>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</si>
  <si>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</si>
  <si>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</si>
  <si>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</si>
  <si>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</si>
  <si>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</si>
  <si>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</si>
  <si>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</si>
  <si>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</si>
  <si>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</si>
  <si>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</si>
  <si>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</si>
  <si>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</si>
  <si>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</si>
  <si>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</si>
  <si>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</si>
  <si>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</si>
  <si>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</si>
  <si>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</si>
  <si>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</si>
  <si>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</si>
  <si>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</si>
  <si>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</si>
  <si>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</si>
  <si>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</si>
  <si>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</si>
  <si>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</si>
  <si>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</si>
  <si>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</si>
  <si>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</si>
  <si>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</si>
  <si>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</si>
  <si>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</si>
  <si>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</si>
  <si>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</si>
  <si>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</si>
  <si>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</si>
  <si>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</si>
  <si>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</si>
  <si>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</si>
  <si>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</si>
  <si>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</si>
  <si>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</si>
  <si>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</si>
  <si>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</si>
  <si>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</si>
  <si>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</si>
  <si>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</si>
  <si>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</si>
  <si>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</si>
  <si>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</si>
  <si>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</si>
  <si>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</si>
  <si>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</si>
  <si>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</si>
  <si>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</si>
  <si>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</si>
  <si>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</si>
  <si>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</si>
  <si>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</si>
  <si>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</si>
  <si>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</si>
  <si>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</si>
  <si>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</si>
  <si>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</si>
  <si>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</si>
  <si>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</si>
  <si>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</si>
  <si>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</si>
  <si>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</si>
  <si>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</si>
  <si>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</si>
  <si>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</si>
  <si>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</si>
  <si>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</si>
  <si>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</si>
  <si>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</si>
  <si>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</si>
  <si>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</si>
  <si>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</si>
  <si>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</si>
  <si>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</si>
  <si>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</si>
  <si>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</si>
  <si>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</si>
  <si>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</si>
  <si>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</si>
  <si>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</si>
  <si>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</si>
  <si>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</si>
  <si>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</si>
  <si>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</si>
  <si>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</si>
  <si>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</si>
  <si>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</si>
  <si>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</si>
  <si>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</si>
  <si>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</si>
  <si>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</si>
  <si>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</si>
  <si>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</si>
  <si>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</si>
  <si>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</si>
  <si>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</si>
  <si>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</si>
  <si>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</si>
  <si>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</si>
  <si>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</si>
  <si>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</si>
  <si>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</si>
  <si>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</si>
  <si>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</si>
  <si>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</si>
  <si>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</si>
  <si>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</si>
  <si>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</si>
  <si>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</si>
  <si>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</si>
  <si>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</si>
  <si>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</si>
  <si>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</si>
  <si>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</si>
  <si>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</si>
  <si>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</si>
  <si>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</si>
  <si>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</si>
  <si>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</si>
  <si>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</si>
  <si>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</si>
  <si>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</si>
  <si>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</si>
  <si>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</si>
  <si>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</si>
  <si>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</si>
  <si>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</si>
  <si>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</si>
  <si>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</si>
  <si>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</si>
  <si>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</si>
  <si>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</si>
  <si>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</si>
  <si>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</si>
  <si>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</si>
  <si>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</si>
  <si>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</si>
  <si>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</si>
  <si>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</si>
  <si>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</si>
  <si>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</si>
  <si>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</si>
  <si>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</si>
  <si>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</si>
  <si>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</si>
  <si>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</si>
  <si>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</si>
  <si>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</si>
  <si>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</si>
  <si>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</si>
  <si>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</si>
  <si>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</si>
  <si>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</si>
  <si>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</si>
  <si>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</si>
  <si>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</si>
  <si>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</si>
  <si>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</si>
  <si>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</si>
  <si>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</si>
  <si>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</si>
  <si>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</si>
  <si>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</si>
  <si>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</si>
  <si>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</si>
  <si>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</si>
  <si>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</si>
  <si>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</si>
  <si>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</si>
  <si>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</si>
  <si>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</si>
  <si>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</si>
  <si>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</si>
  <si>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</si>
  <si>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</si>
  <si>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</si>
  <si>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</si>
  <si>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</si>
  <si>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</si>
  <si>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</si>
  <si>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</si>
  <si>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</si>
  <si>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</si>
  <si>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</si>
  <si>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</si>
  <si>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</si>
  <si>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</si>
  <si>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</si>
  <si>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</si>
  <si>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</si>
  <si>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</si>
  <si>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</si>
  <si>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</si>
  <si>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</si>
  <si>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</si>
  <si>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</si>
  <si>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</si>
  <si>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</si>
  <si>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</si>
  <si>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</si>
  <si>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</si>
  <si>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</si>
  <si>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</si>
  <si>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</si>
  <si>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</si>
  <si>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</si>
  <si>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</si>
  <si>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</si>
  <si>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</si>
  <si>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</si>
  <si>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</si>
  <si>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</si>
  <si>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</si>
  <si>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</si>
  <si>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</si>
  <si>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</si>
  <si>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</si>
  <si>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</si>
  <si>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</si>
  <si>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</si>
  <si>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</si>
  <si>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</si>
  <si>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</si>
  <si>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</si>
  <si>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</si>
  <si>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</si>
  <si>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</si>
  <si>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</si>
  <si>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</si>
  <si>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</si>
  <si>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</si>
  <si>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</si>
  <si>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</si>
  <si>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</si>
  <si>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</si>
  <si>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</si>
  <si>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</si>
  <si>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</si>
  <si>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</si>
  <si>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</si>
  <si>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</si>
  <si>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</si>
  <si>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</si>
  <si>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</si>
  <si>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</si>
  <si>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</si>
  <si>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</si>
  <si>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</si>
  <si>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</si>
  <si>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</si>
  <si>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</si>
  <si>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</si>
  <si>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</si>
  <si>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</si>
  <si>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</si>
  <si>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</si>
  <si>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</si>
  <si>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</si>
  <si>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</si>
  <si>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</si>
  <si>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</si>
  <si>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</si>
  <si>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</si>
  <si>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</si>
  <si>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</si>
  <si>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</si>
  <si>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</si>
  <si>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</si>
  <si>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</si>
  <si>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</si>
  <si>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</si>
  <si>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</si>
  <si>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</si>
  <si>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</si>
  <si>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</si>
  <si>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</si>
  <si>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</si>
  <si>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</si>
  <si>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</si>
  <si>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</si>
  <si>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</si>
  <si>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</si>
  <si>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</si>
  <si>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</si>
  <si>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</si>
  <si>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</si>
  <si>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</si>
  <si>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</si>
  <si>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</si>
  <si>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</si>
  <si>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</si>
  <si>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</si>
  <si>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</si>
  <si>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</si>
  <si>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</si>
  <si>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</si>
  <si>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</si>
  <si>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</si>
  <si>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</si>
  <si>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</si>
  <si>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</si>
  <si>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</si>
  <si>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</si>
  <si>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</si>
  <si>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</si>
  <si>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</si>
  <si>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</si>
  <si>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</si>
  <si>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</si>
  <si>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</si>
  <si>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</si>
  <si>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</si>
  <si>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</si>
  <si>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</si>
  <si>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</si>
  <si>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</si>
  <si>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</si>
  <si>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</si>
  <si>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</si>
  <si>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</si>
  <si>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</si>
  <si>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</si>
  <si>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</si>
  <si>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</si>
  <si>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</si>
  <si>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</si>
  <si>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</si>
  <si>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</si>
  <si>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</si>
  <si>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</si>
  <si>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</si>
  <si>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</si>
  <si>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</si>
  <si>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</si>
  <si>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</si>
  <si>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</si>
  <si>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</si>
  <si>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</si>
  <si>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</si>
  <si>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</si>
  <si>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</si>
  <si>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</si>
  <si>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</si>
  <si>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</si>
  <si>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</si>
  <si>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</si>
  <si>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</si>
  <si>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</si>
  <si>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</si>
  <si>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</si>
  <si>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</si>
  <si>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</si>
  <si>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</si>
  <si>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</si>
  <si>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</si>
  <si>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</si>
  <si>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</si>
  <si>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</si>
  <si>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</si>
  <si>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</si>
  <si>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</si>
  <si>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</si>
  <si>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</si>
  <si>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</si>
  <si>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</si>
  <si>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</si>
  <si>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</si>
  <si>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</si>
  <si>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</si>
  <si>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</si>
  <si>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</si>
  <si>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</si>
  <si>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</si>
  <si>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</si>
  <si>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</si>
  <si>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</si>
  <si>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</si>
  <si>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</si>
  <si>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</si>
  <si>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</si>
  <si>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</si>
  <si>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</si>
  <si>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</si>
  <si>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</si>
  <si>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</si>
  <si>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</si>
  <si>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</si>
  <si>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</si>
  <si>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</si>
  <si>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</si>
  <si>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</si>
  <si>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</si>
  <si>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</si>
  <si>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</si>
  <si>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</si>
  <si>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</si>
  <si>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</si>
  <si>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</si>
  <si>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</si>
  <si>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</si>
  <si>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</si>
  <si>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</si>
  <si>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</si>
  <si>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</si>
  <si>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</si>
  <si>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</si>
  <si>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</si>
  <si>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</si>
  <si>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</si>
  <si>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</si>
  <si>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</si>
  <si>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</si>
  <si>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</si>
  <si>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</si>
  <si>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</si>
  <si>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</si>
  <si>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</si>
  <si>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</si>
  <si>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</si>
  <si>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</si>
  <si>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</si>
  <si>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</si>
  <si>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</si>
  <si>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</si>
  <si>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</si>
  <si>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</si>
  <si>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</si>
  <si>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</si>
  <si>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</si>
  <si>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</si>
  <si>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</si>
  <si>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</si>
  <si>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</si>
  <si>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</si>
  <si>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</si>
  <si>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</si>
  <si>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</si>
  <si>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</si>
  <si>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</si>
  <si>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</si>
  <si>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</si>
  <si>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</si>
  <si>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</si>
  <si>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</si>
  <si>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</si>
  <si>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</si>
  <si>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</si>
  <si>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</si>
  <si>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</si>
  <si>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</si>
  <si>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</si>
  <si>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</si>
  <si>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</si>
  <si>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</si>
  <si>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</si>
  <si>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</si>
  <si>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</si>
  <si>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</si>
  <si>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</si>
  <si>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</si>
  <si>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</si>
  <si>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</si>
  <si>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</si>
  <si>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</si>
  <si>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</si>
  <si>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</si>
  <si>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</si>
  <si>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</si>
  <si>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</si>
  <si>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</si>
  <si>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</si>
  <si>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</si>
  <si>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</si>
  <si>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</si>
  <si>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</si>
  <si>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</si>
  <si>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</si>
  <si>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</si>
  <si>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</si>
  <si>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</si>
  <si>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</si>
  <si>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</si>
  <si>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</si>
  <si>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</si>
  <si>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</si>
  <si>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</si>
  <si>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</si>
  <si>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</si>
  <si>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</si>
  <si>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</si>
  <si>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</si>
  <si>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</si>
  <si>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</si>
  <si>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</si>
  <si>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</si>
  <si>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</si>
  <si>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</si>
  <si>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</si>
  <si>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</si>
  <si>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</si>
  <si>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</si>
  <si>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</si>
  <si>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</si>
  <si>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</si>
  <si>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</si>
  <si>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</si>
  <si>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</si>
  <si>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</si>
  <si>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</si>
  <si>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</si>
  <si>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</si>
  <si>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</si>
  <si>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</si>
  <si>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</si>
  <si>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</si>
  <si>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</si>
  <si>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</si>
  <si>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</si>
  <si>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</si>
  <si>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</si>
  <si>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</si>
  <si>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</si>
  <si>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</si>
  <si>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</si>
  <si>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</si>
  <si>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</si>
  <si>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</si>
  <si>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</si>
  <si>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</si>
  <si>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</si>
  <si>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</si>
  <si>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</si>
  <si>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</si>
  <si>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</si>
  <si>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</si>
  <si>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</si>
  <si>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</si>
  <si>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</si>
  <si>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</si>
  <si>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</si>
  <si>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</si>
  <si>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</si>
  <si>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</si>
  <si>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</si>
  <si>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</si>
  <si>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</si>
  <si>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</si>
  <si>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</si>
  <si>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</si>
  <si>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</si>
  <si>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</si>
  <si>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</si>
  <si>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</si>
  <si>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</si>
  <si>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</si>
  <si>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</si>
  <si>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</si>
  <si>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</si>
  <si>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</si>
  <si>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</si>
  <si>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</si>
  <si>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</si>
  <si>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</si>
  <si>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</si>
  <si>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</si>
  <si>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</si>
  <si>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</si>
  <si>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</si>
  <si>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</si>
  <si>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</si>
  <si>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</si>
  <si>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</si>
  <si>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</si>
  <si>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</si>
  <si>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</si>
  <si>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</si>
  <si>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</si>
  <si>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</si>
  <si>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</si>
  <si>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</si>
  <si>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</si>
  <si>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</si>
  <si>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</si>
  <si>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</si>
  <si>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</si>
  <si>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</si>
  <si>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</si>
  <si>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</si>
  <si>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</si>
  <si>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</si>
  <si>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</si>
  <si>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</si>
  <si>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</si>
  <si>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</si>
  <si>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</si>
  <si>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</si>
  <si>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</si>
  <si>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</si>
  <si>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</si>
  <si>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</si>
  <si>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</si>
  <si>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</si>
  <si>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</si>
  <si>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</si>
  <si>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</si>
  <si>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</si>
  <si>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</si>
  <si>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</si>
  <si>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</si>
  <si>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</si>
  <si>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</si>
  <si>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</si>
  <si>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</si>
  <si>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</si>
  <si>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</si>
  <si>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</si>
  <si>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</si>
  <si>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</si>
  <si>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</si>
  <si>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</si>
  <si>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</si>
  <si>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</si>
  <si>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</si>
  <si>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</si>
  <si>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</si>
  <si>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</si>
  <si>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</si>
  <si>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</si>
  <si>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</si>
  <si>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</si>
  <si>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</si>
  <si>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</si>
  <si>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</si>
  <si>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</si>
  <si>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</si>
  <si>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</si>
  <si>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</si>
  <si>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</si>
  <si>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</si>
  <si>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</si>
  <si>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</si>
  <si>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</si>
  <si>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</si>
  <si>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</si>
  <si>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</si>
  <si>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</si>
  <si>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</si>
  <si>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</si>
  <si>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</si>
  <si>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</si>
  <si>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</si>
  <si>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</si>
  <si>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</si>
  <si>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</si>
  <si>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</si>
  <si>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</si>
  <si>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</si>
  <si>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</si>
  <si>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</si>
  <si>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</si>
  <si>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</si>
  <si>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WHITE:4:GRAPHIC:SS T-SHIRT</t>
  </si>
  <si>
    <t>SS T-SHIRT MINNIE TS3MIN3:OFF WHITE:5:GRAPHIC:SS T-SHIRT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</si>
  <si>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</si>
  <si>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</si>
  <si>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</si>
  <si>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</si>
  <si>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</si>
  <si>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</si>
  <si>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</si>
  <si>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</si>
  <si>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</si>
  <si>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</si>
  <si>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</si>
  <si>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</si>
  <si>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</si>
  <si>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</si>
  <si>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</si>
  <si>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</si>
  <si>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</si>
  <si>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</si>
  <si>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</si>
  <si>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</si>
  <si>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</si>
  <si>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</si>
  <si>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</si>
  <si>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</si>
  <si>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</si>
  <si>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</si>
  <si>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</si>
  <si>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</si>
  <si>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</si>
  <si>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</si>
  <si>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</si>
  <si>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</si>
  <si>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</si>
  <si>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</si>
  <si>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</si>
  <si>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</si>
  <si>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</si>
  <si>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</si>
  <si>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</si>
  <si>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</si>
  <si>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</si>
  <si>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</si>
  <si>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</si>
  <si>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</si>
  <si>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</si>
  <si>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</si>
  <si>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</si>
  <si>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</si>
  <si>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</si>
  <si>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</si>
  <si>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</si>
  <si>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</si>
  <si>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</si>
  <si>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</si>
  <si>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</si>
  <si>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</si>
  <si>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</si>
  <si>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</si>
  <si>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</si>
  <si>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</si>
  <si>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</si>
  <si>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</si>
  <si>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</si>
  <si>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</si>
  <si>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</si>
  <si>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</si>
  <si>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</si>
  <si>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</si>
  <si>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</si>
  <si>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</si>
  <si>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</si>
  <si>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</si>
  <si>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</si>
  <si>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</si>
  <si>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</si>
  <si>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</si>
  <si>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</si>
  <si>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</si>
  <si>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</si>
  <si>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</si>
  <si>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</si>
  <si>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</si>
  <si>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</si>
  <si>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</si>
  <si>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</si>
  <si>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</si>
  <si>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</si>
  <si>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</si>
  <si>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</si>
  <si>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</si>
  <si>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</si>
  <si>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</si>
  <si>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</si>
  <si>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</si>
  <si>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</si>
  <si>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</si>
  <si>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</si>
  <si>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</si>
  <si>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</si>
  <si>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</si>
  <si>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</si>
  <si>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</si>
  <si>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</si>
  <si>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</si>
  <si>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</si>
  <si>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</si>
  <si>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</si>
  <si>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</si>
  <si>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</si>
  <si>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</si>
  <si>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</si>
  <si>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</si>
  <si>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</si>
  <si>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</si>
  <si>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</si>
  <si>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</si>
  <si>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</si>
  <si>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</si>
  <si>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</si>
  <si>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</si>
  <si>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</si>
  <si>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</si>
  <si>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</si>
  <si>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</si>
  <si>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</si>
  <si>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</si>
  <si>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</si>
  <si>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</si>
  <si>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</si>
  <si>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</si>
  <si>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</si>
  <si>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</si>
  <si>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</si>
  <si>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</si>
  <si>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</si>
  <si>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</si>
  <si>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</si>
  <si>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</si>
  <si>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</si>
  <si>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</si>
  <si>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</si>
  <si>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</si>
  <si>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</si>
  <si>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</si>
  <si>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</si>
  <si>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</si>
  <si>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</si>
  <si>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</si>
  <si>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</si>
  <si>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</si>
  <si>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</si>
  <si>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</si>
  <si>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</si>
  <si>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</si>
  <si>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</si>
  <si>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</si>
  <si>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</si>
  <si>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</si>
  <si>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</si>
  <si>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</si>
  <si>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</si>
  <si>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</si>
  <si>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</si>
  <si>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</si>
  <si>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</si>
  <si>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</si>
  <si>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</si>
  <si>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</si>
  <si>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</si>
  <si>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</si>
  <si>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</si>
  <si>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</si>
  <si>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</si>
  <si>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</si>
  <si>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</si>
  <si>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</si>
  <si>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</si>
  <si>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</si>
  <si>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</si>
  <si>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</si>
  <si>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</si>
  <si>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</si>
  <si>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</si>
  <si>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</si>
  <si>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</si>
  <si>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</si>
  <si>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</si>
  <si>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</si>
  <si>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</si>
  <si>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</si>
  <si>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</si>
  <si>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</si>
  <si>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</si>
  <si>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</si>
  <si>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</si>
  <si>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</si>
  <si>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</si>
  <si>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</si>
  <si>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</si>
  <si>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</si>
  <si>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</si>
  <si>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</si>
  <si>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</si>
  <si>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</si>
  <si>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</si>
  <si>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</si>
  <si>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</si>
  <si>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</si>
  <si>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</si>
  <si>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</si>
  <si>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</si>
  <si>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</si>
  <si>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</si>
  <si>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</si>
  <si>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</si>
  <si>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</si>
  <si>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</si>
  <si>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</si>
  <si>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</si>
  <si>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</si>
  <si>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</si>
  <si>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</si>
  <si>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</si>
  <si>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</si>
  <si>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</si>
  <si>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</si>
  <si>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</si>
  <si>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</si>
  <si>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</si>
  <si>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</si>
  <si>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</si>
  <si>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</si>
  <si>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</si>
  <si>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</si>
  <si>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</si>
  <si>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</si>
  <si>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</si>
  <si>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</si>
  <si>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</si>
  <si>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</si>
  <si>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</si>
  <si>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</si>
  <si>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</si>
  <si>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</si>
  <si>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</si>
  <si>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</si>
  <si>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</si>
  <si>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COLOR:L:GRAPHIC:BRIEF</t>
  </si>
  <si>
    <t>BRIEF PACK OF 3 UW TOY STORY MP425TSTG:ASSORTIVE COLOR:XL:GRAPHIC:BRIEF</t>
  </si>
  <si>
    <t>BRIEF PACK OF 3 UW TOY STORY MP425TSTG:ASSORTIVE COLOR:S:GRAPHIC:BRIEF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</si>
  <si>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</si>
  <si>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</si>
  <si>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</si>
  <si>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</si>
  <si>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</si>
  <si>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</si>
  <si>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</si>
  <si>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</si>
  <si>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</si>
  <si>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</si>
  <si>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</si>
  <si>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</si>
  <si>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</si>
  <si>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</si>
  <si>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</si>
  <si>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</si>
  <si>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</si>
  <si>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</si>
  <si>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</si>
  <si>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</si>
  <si>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</si>
  <si>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</si>
  <si>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</si>
  <si>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</si>
  <si>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</si>
  <si>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</si>
  <si>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</si>
  <si>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</si>
  <si>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</si>
  <si>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</si>
  <si>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</si>
  <si>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</si>
  <si>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</si>
  <si>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</si>
  <si>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</si>
  <si>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</si>
  <si>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</si>
  <si>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</si>
  <si>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</si>
  <si>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COLOR:S:GRAPHIC:BRIEF</t>
  </si>
  <si>
    <t>BRIEF PACK OF 3 UW TOY STORY MP425TSTB:ASSORTIVE COLOR:XL:GRAPHIC:BRIEF</t>
  </si>
  <si>
    <t>BRIEF PACK OF 3 UW TOY STORY MP425TSTB:ASSORTIVE COLOR:L:GRAPHIC:BRIEF</t>
  </si>
  <si>
    <t>BRIEF PACK OF 3 UW TOY STORY MP425TSTB:ASSORTIVE COLOR:M:GRAPHIC:BRIEF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</si>
  <si>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</si>
  <si>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</si>
  <si>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</si>
  <si>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</si>
  <si>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</si>
  <si>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</si>
  <si>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</si>
  <si>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</si>
  <si>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</si>
  <si>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</si>
  <si>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</si>
  <si>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</si>
  <si>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</si>
  <si>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</si>
  <si>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</si>
  <si>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</si>
  <si>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</si>
  <si>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</si>
  <si>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</si>
  <si>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</si>
  <si>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</si>
  <si>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</si>
  <si>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</si>
  <si>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</si>
  <si>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</si>
  <si>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</si>
  <si>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</si>
  <si>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</si>
  <si>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</si>
  <si>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</si>
  <si>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</si>
  <si>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</si>
  <si>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</si>
  <si>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</si>
  <si>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</si>
  <si>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</si>
  <si>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</si>
  <si>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</si>
  <si>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</si>
  <si>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</si>
  <si>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</si>
  <si>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TRUNK PACK OF 3 UW CAPTAIN AMERICA MP3UMCAP:ASSORTIVE COLOR:S:PRINT:TRUNK</t>
  </si>
  <si>
    <t>TRUNK PACK OF 3 UW CAPTAIN AMERICA MP3UMCAP:ASSORTIVE COLOR:M:PRINT:TRUNK</t>
  </si>
  <si>
    <t>TRUNK PACK OF 3 UW CAPTAIN AMERICA MP3UMCAP:ASSORTIVE COLOR:L:PRINT:TRUNK</t>
  </si>
  <si>
    <t>TRUNK PACK OF 3 UW CAPTAIN AMERICA MP3UMCAP:ASSORTIVE COLOR:XL:PRINT:TRUNK</t>
  </si>
  <si>
    <t>LS PYJAMA PANTS PACK OF 3 BOYS UW SPIDERMAN BEYOND AMAZING MP3BASPD:ASSORTIVE COLOR:S:PRINT:LS PYJAM</t>
  </si>
  <si>
    <t>LS PYJAMA PANTS PACK OF 3 BOYS UW SPIDERMAN BEYOND AMAZING MP3BASPD:ASSORTIVE COLOR:M:PRINT:LS PYJAM</t>
  </si>
  <si>
    <t>LS PYJAMA PANTS PACK OF 3 BOYS UW SPIDERMAN BEYOND AMAZING MP3BASPD:ASSORTIVE COLOR:L:PRINT:LS PYJAM</t>
  </si>
  <si>
    <t>LS PYJAMA PANTS PACK OF 3 BOYS UW SPIDERMAN BEYOND AMAZING MP3BASPD:ASSORTIVE COLOR:XL:PRINT:LS PYJA</t>
  </si>
  <si>
    <t>BRIEF PACK OF 3 UW AVENGERS MP3UMAV:ASSORTIVE COLOR:S:PRINT:BRIEF</t>
  </si>
  <si>
    <t>BRIEF PACK OF 3 UW AVENGERS MP3UMAV:ASSORTIVE COLOR:M:PRINT:BRIEF</t>
  </si>
  <si>
    <t>BRIEF PACK OF 3 UW AVENGERS MP3UMAV:ASSORTIVE COLOR:L:PRINT:BRIEF</t>
  </si>
  <si>
    <t>BRIEF PACK OF 3 UW AVENGERS MP3UMAV:ASSORTIVE COLOR:XL:PRINT:BRIEF</t>
  </si>
  <si>
    <t>BRIEF PACK OF 3 UW CINNAMOROLL MP34CNM:ASSORTIVE COLOR:S:PRINT:BRIEF</t>
  </si>
  <si>
    <t>BRIEF PACK OF 3 UW CINNAMOROLL MP34CNM:ASSORTIVE COLOR:M:PRINT:BRIEF</t>
  </si>
  <si>
    <t>BRIEF PACK OF 3 UW CINNAMOROLL MP34CNM:ASSORTIVE COLOR:L:PRINT:BRIEF</t>
  </si>
  <si>
    <t>BRIEF PACK OF 3 UW CINNAMOROLL MP34CNM:ASSORTIVE COLOR:XL:PRINT:BRIEF</t>
  </si>
  <si>
    <t>MP3GSTT</t>
  </si>
  <si>
    <t>MP3UMCAP</t>
  </si>
  <si>
    <t>MP3BASPD</t>
  </si>
  <si>
    <t>MP3UMAV</t>
  </si>
  <si>
    <t>MP34CNM</t>
  </si>
  <si>
    <t>2025 JAN-MEI B1G2</t>
  </si>
  <si>
    <t>2025 JAN MEI B1G2</t>
  </si>
  <si>
    <t>2025 JUN B1G1</t>
  </si>
  <si>
    <t>2025 JAN-MAR B1G2 LICENSE ESS</t>
  </si>
  <si>
    <t>2025 APR-JUN B1G1 LICENSE ESS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</si>
  <si>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</si>
  <si>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</si>
  <si>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</si>
  <si>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</si>
  <si>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</si>
  <si>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</si>
  <si>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</si>
  <si>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</si>
  <si>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</si>
  <si>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</si>
  <si>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</si>
  <si>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</si>
  <si>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</si>
  <si>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</si>
  <si>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</si>
  <si>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</si>
  <si>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</si>
  <si>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</si>
  <si>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</si>
  <si>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</si>
  <si>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</si>
  <si>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</si>
  <si>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</si>
  <si>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</si>
  <si>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</si>
  <si>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</si>
  <si>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</si>
  <si>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</si>
  <si>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</si>
  <si>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</si>
  <si>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</si>
  <si>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</si>
  <si>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</si>
  <si>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</si>
  <si>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</si>
  <si>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</si>
  <si>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</si>
  <si>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</si>
  <si>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</si>
  <si>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</si>
  <si>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</si>
  <si>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</si>
  <si>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</si>
  <si>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</si>
  <si>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</si>
  <si>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</si>
  <si>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</si>
  <si>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</si>
  <si>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</si>
  <si>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</si>
  <si>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</si>
  <si>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</si>
  <si>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</si>
  <si>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</si>
  <si>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</si>
  <si>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</si>
  <si>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</si>
  <si>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</si>
  <si>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</si>
  <si>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</si>
  <si>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</si>
  <si>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</si>
  <si>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</si>
  <si>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</si>
  <si>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</si>
  <si>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</si>
  <si>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</si>
  <si>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</si>
  <si>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</si>
  <si>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</si>
  <si>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</si>
  <si>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</si>
  <si>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</si>
  <si>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</si>
  <si>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</si>
  <si>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</si>
  <si>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</si>
  <si>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</si>
  <si>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</si>
  <si>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</si>
  <si>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</si>
  <si>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</si>
  <si>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</si>
  <si>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</si>
  <si>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</si>
  <si>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</si>
  <si>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</si>
  <si>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</si>
  <si>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</si>
  <si>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</si>
  <si>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</si>
  <si>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</si>
  <si>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</si>
  <si>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</si>
  <si>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</si>
  <si>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</si>
  <si>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</si>
  <si>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</si>
  <si>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</si>
  <si>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</si>
  <si>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</si>
  <si>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</si>
  <si>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</si>
  <si>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</si>
  <si>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</si>
  <si>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</si>
  <si>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</si>
  <si>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</si>
  <si>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</si>
  <si>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</si>
  <si>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</si>
  <si>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</si>
  <si>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</si>
  <si>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</si>
  <si>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</si>
  <si>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</si>
  <si>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</si>
  <si>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</si>
  <si>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</si>
  <si>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</si>
  <si>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</si>
  <si>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</si>
  <si>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</si>
  <si>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</si>
  <si>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</si>
  <si>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</si>
  <si>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</si>
  <si>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</si>
  <si>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</si>
  <si>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2025 JUL B1G1</t>
  </si>
  <si>
    <t>2025 JUL B1G1 - 3281</t>
  </si>
  <si>
    <t>2025 JULY B1G1 - 3284</t>
  </si>
  <si>
    <t>2025 JULI B1G1 - 3287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</si>
  <si>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</si>
  <si>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</si>
  <si>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</si>
  <si>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</si>
  <si>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</si>
  <si>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</si>
  <si>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</si>
  <si>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</si>
  <si>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</si>
  <si>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</si>
  <si>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</si>
  <si>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</si>
  <si>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</si>
  <si>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</si>
  <si>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</si>
  <si>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</si>
  <si>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</si>
  <si>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</si>
  <si>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</si>
  <si>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</si>
  <si>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</si>
  <si>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</si>
  <si>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</si>
  <si>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</si>
  <si>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</si>
  <si>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</si>
  <si>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</si>
  <si>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</si>
  <si>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</si>
  <si>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</si>
  <si>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</si>
  <si>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BLUE:5:PRINT:TOP - BOTTOM SET</t>
  </si>
  <si>
    <t>TOP - BOTTOM SET LSLP PIYAMA FROZEN SW425FZA:PASTEL BLUE:6:PRINT:TOP - BOTTOM SET</t>
  </si>
  <si>
    <t>TOP - BOTTOM SET LSLP PIYAMA FROZEN SW425FZA:PASTEL BLUE:7:PRINT:TOP - BOTTOM SET</t>
  </si>
  <si>
    <t>TOP - BOTTOM SET LSLP PIYAMA FROZEN SW425FZA:PASTEL BLUE:8:PRINT:TOP - BOTTOM SET</t>
  </si>
  <si>
    <t>TOP - BOTTOM SET LSLP PIYAMA FROZEN SW425FZA:PASTEL BLUE:10:PRINT:TOP - BOTTOM SET</t>
  </si>
  <si>
    <t>TOP - BOTTOM SET LSLP PIYAMA FROZEN SW425FZA:PASTEL BLUE:12:PRINT:TOP - BOTTOM SET</t>
  </si>
  <si>
    <t>TOP - BOTTOM SET LSLP PIYAMA FROZEN SW425FZA:PASTEL BLUE:14:PRINT:TOP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</si>
  <si>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</si>
  <si>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</si>
  <si>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</si>
  <si>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</si>
  <si>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</si>
  <si>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</si>
  <si>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</si>
  <si>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</si>
  <si>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PINK:4:PRINT:TOP - BOTTOM SET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</si>
  <si>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</si>
  <si>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</si>
  <si>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</si>
  <si>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</si>
  <si>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</si>
  <si>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</si>
  <si>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</si>
  <si>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</si>
  <si>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</si>
  <si>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</si>
  <si>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</si>
  <si>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</si>
  <si>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</si>
  <si>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</si>
  <si>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</si>
  <si>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</si>
  <si>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</si>
  <si>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</si>
  <si>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</si>
  <si>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</si>
  <si>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</si>
  <si>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</si>
  <si>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</si>
  <si>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</si>
  <si>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</si>
  <si>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</si>
  <si>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</si>
  <si>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</si>
  <si>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</si>
  <si>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</si>
  <si>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</si>
  <si>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</si>
  <si>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</si>
  <si>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</si>
  <si>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</si>
  <si>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</si>
  <si>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</si>
  <si>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</si>
  <si>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</si>
  <si>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</si>
  <si>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</si>
  <si>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</si>
  <si>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</si>
  <si>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</si>
  <si>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</si>
  <si>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</si>
  <si>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2025 AUG B1G1</t>
  </si>
  <si>
    <t>2025 AUG B1G1 - 3281</t>
  </si>
  <si>
    <t>2025 AUG B1G1 LICENSE ESS</t>
  </si>
  <si>
    <t>2025 OCT  SHARP PRICE</t>
  </si>
  <si>
    <t>SHARP PRICE</t>
  </si>
  <si>
    <t>AMOUNT</t>
  </si>
  <si>
    <t>2025 SEPT B1 30%</t>
  </si>
  <si>
    <t>2025 OCT SHARP PRICE</t>
  </si>
  <si>
    <t>2025 SEPT B1 30% LICENSE ESS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</si>
  <si>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</si>
  <si>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</si>
  <si>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</si>
  <si>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</si>
  <si>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</si>
  <si>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2024 JAN-JUN DISC 70%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</si>
  <si>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</si>
  <si>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</si>
  <si>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</si>
  <si>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</si>
  <si>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</si>
  <si>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</si>
  <si>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</si>
  <si>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</si>
  <si>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</si>
  <si>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</si>
  <si>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</si>
  <si>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</si>
  <si>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</si>
  <si>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</si>
  <si>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</si>
  <si>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</si>
  <si>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</si>
  <si>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</si>
  <si>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</si>
  <si>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</si>
  <si>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</si>
  <si>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</si>
  <si>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</si>
  <si>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</si>
  <si>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</si>
  <si>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</si>
  <si>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2024 JULY-DEC B1G2</t>
  </si>
  <si>
    <t>2024 JUL-DEC B1G2 LICENSE ESS</t>
  </si>
  <si>
    <t>2024 JAN-JUN DISC 70 LICENSE ESS</t>
  </si>
  <si>
    <t xml:space="preserve"> 2024 JAN-JUN D70 LICENSE BABY</t>
  </si>
  <si>
    <t xml:space="preserve"> 2024 JUL-DEC B1G2 LICENSE BABY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</si>
  <si>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</si>
  <si>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</si>
  <si>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</si>
  <si>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</si>
  <si>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</si>
  <si>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</si>
  <si>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</si>
  <si>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</si>
  <si>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</si>
  <si>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</si>
  <si>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</si>
  <si>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</si>
  <si>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</si>
  <si>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</si>
  <si>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</si>
  <si>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</si>
  <si>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T-SHIRT SERUT LKG CINNAMOROLL TSSRTCN:INDIGO BLUE:13-14:GRAPHIC:SS T-SHIRT</t>
  </si>
  <si>
    <t>TSSRTCN</t>
  </si>
  <si>
    <t>SS T-SHIRT SERUT LKG CINNAMOROLL TSSRTCN:INDIGO BLUE:11-12:GRAPHIC:SS T-SHIRT</t>
  </si>
  <si>
    <t>SS T-SHIRT SERUT LKG CINNAMOROLL TSSRTCN:INDIGO BLUE:9-10:GRAPHIC:SS T-SHIRT</t>
  </si>
  <si>
    <t>SS T-SHIRT SERUT LKG CINNAMOROLL TSSRTCN:INDIGO BLUE:7-8:GRAPHIC:SS T-SHIRT</t>
  </si>
  <si>
    <t>SS T-SHIRT SERUT LKG CINNAMOROLL TSSRTCN:INDIGO BLUE:6:GRAPHIC:SS T-SHIRT</t>
  </si>
  <si>
    <t>SS T-SHIRT SERUT LKG CINNAMOROLL TSSRTCN:INDIGO BLUE:5:GRAPHIC:SS T-SHIRT</t>
  </si>
  <si>
    <t>SS T-SHIRT SERUT LKG CINNAMOROLL TSSRTCN:INDIGO BLUE:4:GRAPHIC:SS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</si>
  <si>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</si>
  <si>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</si>
  <si>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</si>
  <si>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</si>
  <si>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</si>
  <si>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</si>
  <si>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</si>
  <si>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</si>
  <si>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MIX WVN BALON MY MELODY PRETTY SAVAGE DSPSMM:DUSTY PINK:7-8:GRAPHIC:SS MIDI DRESS</t>
  </si>
  <si>
    <t>DSPSMM</t>
  </si>
  <si>
    <t>SS MIDI DRESS MIX WVN BALON MY MELODY PRETTY SAVAGE DSPSMM:DUSTY PINK:6:GRAPHIC:SS MIDI DRESS</t>
  </si>
  <si>
    <t>SS MIDI DRESS MIX WVN BALON MY MELODY PRETTY SAVAGE DSPSMM:DUSTY PINK:5:GRAPHIC:SS MIDI DRESS</t>
  </si>
  <si>
    <t>SS MIDI DRESS MIX WVN BALON MY MELODY PRETTY SAVAGE DSPSMM:DUSTY PINK:4:GRAPHIC:SS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</si>
  <si>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</si>
  <si>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</si>
  <si>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</si>
  <si>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</si>
  <si>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</si>
  <si>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</si>
  <si>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</si>
  <si>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</si>
  <si>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</si>
  <si>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</si>
  <si>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</si>
  <si>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</si>
  <si>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</si>
  <si>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</si>
  <si>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</si>
  <si>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</si>
  <si>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</si>
  <si>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</si>
  <si>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</si>
  <si>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</si>
  <si>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</si>
  <si>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</si>
  <si>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</si>
  <si>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</si>
  <si>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</si>
  <si>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</si>
  <si>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</si>
  <si>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</si>
  <si>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</si>
  <si>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</si>
  <si>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</si>
  <si>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</si>
  <si>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</si>
  <si>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</si>
  <si>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</si>
  <si>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</si>
  <si>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</si>
  <si>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</si>
  <si>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</si>
  <si>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MY MELODY LENGAN RUFFLE TS4MLD:PASTEL PINK:7-8:GRAPHIC:SS T-SHIRT</t>
  </si>
  <si>
    <t>TS4MLD</t>
  </si>
  <si>
    <t>SS T-SHIRT MY MELODY LENGAN RUFFLE TS4MLD:PASTEL PINK:6:GRAPHIC:SS T-SHIRT</t>
  </si>
  <si>
    <t>SS T-SHIRT MY MELODY LENGAN RUFFLE TS4MLD:PASTEL PINK:5:GRAPHIC:SS T-SHIRT</t>
  </si>
  <si>
    <t>SS T-SHIRT MY MELODY LENGAN RUFFLE TS4MLD:PASTEL PINK:4:GRAPHIC:SS T-SHIRT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</si>
  <si>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</si>
  <si>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</si>
  <si>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</si>
  <si>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</si>
  <si>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</si>
  <si>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</si>
  <si>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</si>
  <si>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</si>
  <si>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</si>
  <si>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</si>
  <si>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</si>
  <si>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</si>
  <si>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</si>
  <si>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</si>
  <si>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</si>
  <si>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</si>
  <si>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</si>
  <si>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</si>
  <si>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</si>
  <si>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</si>
  <si>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</si>
  <si>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</si>
  <si>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</si>
  <si>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</si>
  <si>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</si>
  <si>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</si>
  <si>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B3 DISC 10%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</si>
  <si>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</si>
  <si>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</si>
  <si>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</si>
  <si>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</si>
  <si>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</si>
  <si>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</si>
  <si>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</si>
  <si>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</si>
  <si>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</si>
  <si>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</si>
  <si>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</si>
  <si>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</si>
  <si>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</si>
  <si>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</si>
  <si>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</si>
  <si>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</si>
  <si>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</si>
  <si>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</si>
  <si>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</si>
  <si>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</si>
  <si>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</si>
  <si>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</si>
  <si>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</si>
  <si>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</si>
  <si>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</si>
  <si>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</si>
  <si>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</si>
  <si>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</si>
  <si>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</si>
  <si>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</si>
  <si>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</si>
  <si>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</si>
  <si>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</si>
  <si>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</si>
  <si>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</si>
  <si>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</si>
  <si>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</si>
  <si>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</si>
  <si>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</si>
  <si>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</si>
  <si>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</si>
  <si>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</si>
  <si>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</si>
  <si>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</si>
  <si>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</si>
  <si>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</si>
  <si>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</si>
  <si>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</si>
  <si>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</si>
  <si>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</si>
  <si>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</si>
  <si>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</si>
  <si>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</si>
  <si>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</si>
  <si>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</si>
  <si>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</si>
  <si>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</si>
  <si>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</si>
  <si>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</si>
  <si>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</si>
  <si>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</si>
  <si>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</si>
  <si>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</si>
  <si>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</si>
  <si>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</si>
  <si>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</si>
  <si>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</si>
  <si>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</si>
  <si>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</si>
  <si>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</si>
  <si>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</si>
  <si>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</si>
  <si>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</si>
  <si>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</si>
  <si>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</si>
  <si>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</si>
  <si>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</si>
  <si>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</si>
  <si>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</si>
  <si>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</si>
  <si>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</si>
  <si>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</si>
  <si>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</si>
  <si>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</si>
  <si>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</si>
  <si>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</si>
  <si>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</si>
  <si>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</si>
  <si>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</si>
  <si>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2026 NOV-FEB B3 DISC 10%</t>
  </si>
  <si>
    <t>TOP - BOTTOM SET MINNIE SNACK CLUB SETSCMIN:OFF WHITE:7-8:GRAPHIC:TOP - BOTTOM SET</t>
  </si>
  <si>
    <t>SETSCMIN</t>
  </si>
  <si>
    <t>TOP - BOTTOM SET MINNIE SNACK CLUB SETSCMIN:OFF WHITE:6:GRAPHIC:TOP - BOTTOM SET</t>
  </si>
  <si>
    <t>TOP - BOTTOM SET MINNIE SNACK CLUB SETSCMIN:OFF WHITE:5:GRAPHIC:TOP - BOTTOM SET</t>
  </si>
  <si>
    <t>TOP - BOTTOM SET MINNIE SNACK CLUB SETSCMIN:OFF WHITE:4:GRAPHIC:TOP - BOTTOM SET</t>
  </si>
  <si>
    <t>SS T-SHIRT MINNIE SNACK CLUB SSSCMIN:OFF WHITE:7-8:GRAPHIC:SS T-SHIRT</t>
  </si>
  <si>
    <t>SSSCMIN</t>
  </si>
  <si>
    <t>SS T-SHIRT MINNIE SNACK CLUB SSSCMIN:OFF WHITE:6:GRAPHIC:SS T-SHIRT</t>
  </si>
  <si>
    <t>SS T-SHIRT MINNIE SNACK CLUB SSSCMIN:OFF WHITE:5:GRAPHIC:SS T-SHIRT</t>
  </si>
  <si>
    <t>SS T-SHIRT MINNIE SNACK CLUB SSSCMIN:OFF WHITE:4:GRAPHIC:SS T-SHIRT</t>
  </si>
  <si>
    <t>SS MIDI DRESS FROZEN PRINT SAKURA DSPFZA:PASTEL BLUE:7-8:PRINT:SS MIDI DRESS</t>
  </si>
  <si>
    <t>DSPFZA</t>
  </si>
  <si>
    <t>SS MIDI DRESS FROZEN PRINT SAKURA DSPFZA:PASTEL BLUE:6:PRINT:SS MIDI DRESS</t>
  </si>
  <si>
    <t>SS MIDI DRESS FROZEN PRINT SAKURA DSPFZA:PASTEL BLUE:5:PRINT:SS MIDI DRESS</t>
  </si>
  <si>
    <t>SS MIDI DRESS FROZEN PRINT SAKURA DSPFZA:PASTEL BLUE:4:PRINT:SS MIDI DRESS</t>
  </si>
  <si>
    <t>SS MIDI DRESS WOVEN POOH DSWVPOO:PASTEL PINK:13-14:GRAPHIC:SS MIDI DRESS</t>
  </si>
  <si>
    <t>DSWVPOO</t>
  </si>
  <si>
    <t>SS MIDI DRESS WOVEN POOH DSWVPOO:PASTEL PINK:11-12:GRAPHIC:SS MIDI DRESS</t>
  </si>
  <si>
    <t>SS MIDI DRESS WOVEN POOH DSWVPOO:PASTEL PINK:9-10:GRAPHIC:SS MIDI DRESS</t>
  </si>
  <si>
    <t>SS MIDI DRESS WOVEN POOH DSWVPOO:PASTEL PINK:7-8:GRAPHIC:SS MIDI DRESS</t>
  </si>
  <si>
    <t>SS MIDI DRESS WOVEN POOH DSWVPOO:PASTEL PINK:6:GRAPHIC:SS MIDI DRESS</t>
  </si>
  <si>
    <t>SS MIDI DRESS WOVEN POOH DSWVPOO:PASTEL PINK:5:GRAPHIC:SS MIDI DRESS</t>
  </si>
  <si>
    <t>SS MIDI DRESS WOVEN POOH DSWVPOO:PASTEL PINK:4:GRAPHIC:SS MIDI DRESS</t>
  </si>
  <si>
    <t>LONG PANTS WIDE LEG WOVEN POOH LPWVPOO:KHAKI:13-14:GRAPHIC:LONG PANTS</t>
  </si>
  <si>
    <t>LPWVPOO</t>
  </si>
  <si>
    <t>LONG PANTS WIDE LEG WOVEN POOH LPWVPOO:KHAKI:11-12:GRAPHIC:LONG PANTS</t>
  </si>
  <si>
    <t>LONG PANTS WIDE LEG WOVEN POOH LPWVPOO:KHAKI:9-10:GRAPHIC:LONG PANTS</t>
  </si>
  <si>
    <t>LONG PANTS WIDE LEG WOVEN POOH LPWVPOO:KHAKI:7-8:GRAPHIC:LONG PANTS</t>
  </si>
  <si>
    <t>LONG PANTS WIDE LEG WOVEN POOH LPWVPOO:KHAKI:6:GRAPHIC:LONG PANTS</t>
  </si>
  <si>
    <t>LONG PANTS WIDE LEG WOVEN POOH LPWVPOO:KHAKI:5:GRAPHIC:LONG PANTS</t>
  </si>
  <si>
    <t>LONG PANTS WIDE LEG WOVEN POOH LPWVPOO:KHAKI:4:GRAPHIC:LONG PANTS</t>
  </si>
  <si>
    <t>SKORT WOVEN POOH CIGRT SKPOO:PASTEL YELLOW:13-14:GRAPHIC:SKORT</t>
  </si>
  <si>
    <t>SKPOO</t>
  </si>
  <si>
    <t>SKORT WOVEN POOH CIGRT SKPOO:PASTEL YELLOW:11-12:GRAPHIC:SKORT</t>
  </si>
  <si>
    <t>SKORT WOVEN POOH CIGRT SKPOO:PASTEL YELLOW:9-10:GRAPHIC:SKORT</t>
  </si>
  <si>
    <t>SKORT WOVEN POOH CIGRT SKPOO:PASTEL YELLOW:7-8:GRAPHIC:SKORT</t>
  </si>
  <si>
    <t>SKORT WOVEN POOH CIGRT SKPOO:PASTEL YELLOW:6:GRAPHIC:SKORT</t>
  </si>
  <si>
    <t>SKORT WOVEN POOH CIGRT SKPOO:PASTEL YELLOW:5:GRAPHIC:SKORT</t>
  </si>
  <si>
    <t>SKORT WOVEN POOH CIGRT SKPOO:PASTEL YELLOW:4:GRAPHIC:SKORT</t>
  </si>
  <si>
    <t>SS SHIRT WOVEN PITA POOH SSPITPOO:OFF WHITE:13-14:GRAPHIC:SS SHIRT</t>
  </si>
  <si>
    <t>SSPITPOO</t>
  </si>
  <si>
    <t>SS SHIRT WOVEN PITA POOH SSPITPOO:OFF WHITE:11-12:GRAPHIC:SS SHIRT</t>
  </si>
  <si>
    <t>SS SHIRT WOVEN PITA POOH SSPITPOO:OFF WHITE:9-10:GRAPHIC:SS SHIRT</t>
  </si>
  <si>
    <t>SS SHIRT WOVEN PITA POOH SSPITPOO:OFF WHITE:7-8:GRAPHIC:SS SHIRT</t>
  </si>
  <si>
    <t>SS SHIRT WOVEN PITA POOH SSPITPOO:OFF WHITE:6:GRAPHIC:SS SHIRT</t>
  </si>
  <si>
    <t>SS SHIRT WOVEN PITA POOH SSPITPOO:OFF WHITE:5:GRAPHIC:SS SHIRT</t>
  </si>
  <si>
    <t>SS SHIRT WOVEN PITA POOH SSPITPOO:OFF WHITE:4:GRAPHIC:SS SHIRT</t>
  </si>
  <si>
    <t>SS SHIRT WOVEN OVERAL POOH SSOVPOO:MUSTARD:13-14:GRAPHIC:SS SHIRT</t>
  </si>
  <si>
    <t>SSOVPOO</t>
  </si>
  <si>
    <t>SS SHIRT WOVEN OVERAL POOH SSOVPOO:MUSTARD:11-12:GRAPHIC:SS SHIRT</t>
  </si>
  <si>
    <t>SS SHIRT WOVEN OVERAL POOH SSOVPOO:MUSTARD:9-10:GRAPHIC:SS SHIRT</t>
  </si>
  <si>
    <t>SS SHIRT WOVEN OVERAL POOH SSOVPOO:MUSTARD:7-8:GRAPHIC:SS SHIRT</t>
  </si>
  <si>
    <t>SS SHIRT WOVEN OVERAL POOH SSOVPOO:MUSTARD:6:GRAPHIC:SS SHIRT</t>
  </si>
  <si>
    <t>SS SHIRT WOVEN OVERAL POOH SSOVPOO:MUSTARD:5:GRAPHIC:SS SHIRT</t>
  </si>
  <si>
    <t>SS SHIRT WOVEN OVERAL POOH SSOVPOO:MUSTARD:4:GRAPHIC:SS 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</si>
  <si>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</si>
  <si>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</si>
  <si>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</si>
  <si>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</si>
  <si>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</si>
  <si>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</si>
  <si>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</si>
  <si>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</si>
  <si>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</si>
  <si>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</si>
  <si>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</si>
  <si>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</si>
  <si>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</si>
  <si>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</si>
  <si>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</si>
  <si>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</si>
  <si>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</si>
  <si>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</si>
  <si>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</si>
  <si>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</si>
  <si>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</si>
  <si>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</si>
  <si>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</si>
  <si>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</si>
  <si>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</si>
  <si>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</si>
  <si>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</si>
  <si>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</si>
  <si>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</si>
  <si>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</si>
  <si>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</si>
  <si>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</si>
  <si>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</si>
  <si>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</si>
  <si>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</si>
  <si>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</si>
  <si>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</si>
  <si>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</si>
  <si>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</si>
  <si>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</si>
  <si>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</si>
  <si>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</si>
  <si>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</si>
  <si>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</si>
  <si>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</si>
  <si>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</si>
  <si>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</si>
  <si>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</si>
  <si>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</si>
  <si>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</si>
  <si>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</si>
  <si>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</si>
  <si>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</si>
  <si>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</si>
  <si>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</si>
  <si>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</si>
  <si>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</si>
  <si>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</si>
  <si>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</si>
  <si>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</si>
  <si>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</si>
  <si>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</si>
  <si>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</si>
  <si>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</si>
  <si>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</si>
  <si>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</si>
  <si>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</si>
  <si>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</si>
  <si>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</si>
  <si>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</si>
  <si>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</si>
  <si>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</si>
  <si>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</si>
  <si>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</si>
  <si>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</si>
  <si>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</si>
  <si>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</si>
  <si>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</si>
  <si>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</si>
  <si>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</si>
  <si>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</si>
  <si>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</si>
  <si>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</si>
  <si>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</si>
  <si>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</si>
  <si>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</si>
  <si>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</si>
  <si>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</si>
  <si>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</si>
  <si>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</si>
  <si>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</si>
  <si>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</si>
  <si>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</si>
  <si>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</si>
  <si>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</si>
  <si>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</si>
  <si>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</si>
  <si>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</si>
  <si>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</si>
  <si>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</si>
  <si>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</si>
  <si>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</si>
  <si>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</si>
  <si>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</si>
  <si>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</si>
  <si>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</si>
  <si>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</si>
  <si>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</si>
  <si>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</si>
  <si>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</si>
  <si>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</si>
  <si>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</si>
  <si>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</si>
  <si>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</si>
  <si>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</si>
  <si>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</si>
  <si>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</si>
  <si>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</si>
  <si>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</si>
  <si>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</si>
  <si>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</si>
  <si>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</si>
  <si>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</si>
  <si>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</si>
  <si>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</si>
  <si>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</si>
  <si>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</si>
  <si>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</si>
  <si>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</si>
  <si>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</si>
  <si>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</si>
  <si>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</si>
  <si>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</si>
  <si>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</si>
  <si>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</si>
  <si>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</si>
  <si>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</si>
  <si>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</si>
  <si>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</si>
  <si>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</si>
  <si>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</si>
  <si>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</si>
  <si>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</si>
  <si>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TOP - BOTTOM SET LSLP SW OBL AOP MARVEL SW01MV:FROST GREY:12:PRINT:TOP - BOTTOM SET</t>
  </si>
  <si>
    <t>TOP - BOTTOM SET LSLP SW OBL AOP MARVEL SW01MV:FROST GREY:10:PRINT:TOP - BOTTOM SET</t>
  </si>
  <si>
    <t>TOP - BOTTOM SET LSLP SW OBL AOP MARVEL SW01MV:FROST GREY:8:PRINT:TOP - BOTTOM SET</t>
  </si>
  <si>
    <t>TOP - BOTTOM SET LSLP SW OBL AOP MARVEL SW01MV:FROST GREY:7:PRINT:TOP - BOTTOM SET</t>
  </si>
  <si>
    <t>TOP - BOTTOM SET LSLP SW OBL AOP MARVEL SW01MV:FROST GREY:6:PRINT:TOP - BOTTOM SET</t>
  </si>
  <si>
    <t>TOP - BOTTOM SET LSLP SW OBL AOP MARVEL SW01MV:FROST GREY:5:PRINT:TOP - BOTTOM SET</t>
  </si>
  <si>
    <t>TOP - BOTTOM SET LSLP SW OBL AOP MARVEL SW01MV:FROST GREY:4:PRINT:TOP - BOTTOM SET</t>
  </si>
  <si>
    <t>TOP - BOTTOM SET LSLP OBL SW GIRLS CINNAMOROLL SW126CN:LIGHT BLUE:14:PRINT:TOP - BOTTOM SET</t>
  </si>
  <si>
    <t>SW126CN</t>
  </si>
  <si>
    <t>TOP - BOTTOM SET LSLP OBL SW GIRLS CINNAMOROLL SW126CN:LIGHT BLUE:12:PRINT:TOP - BOTTOM SET</t>
  </si>
  <si>
    <t>TOP - BOTTOM SET LSLP OBL SW GIRLS CINNAMOROLL SW126CN:LIGHT BLUE:10:PRINT:TOP - BOTTOM SET</t>
  </si>
  <si>
    <t>TOP - BOTTOM SET LSLP OBL SW GIRLS CINNAMOROLL SW126CN:LIGHT BLUE:8:PRINT:TOP - BOTTOM SET</t>
  </si>
  <si>
    <t>TOP - BOTTOM SET LSLP OBL SW GIRLS CINNAMOROLL SW126CN:LIGHT BLUE:7:PRINT:TOP - BOTTOM SET</t>
  </si>
  <si>
    <t>TOP - BOTTOM SET LSLP OBL SW GIRLS CINNAMOROLL SW126CN:LIGHT BLUE:6:PRINT:TOP - BOTTOM SET</t>
  </si>
  <si>
    <t>TOP - BOTTOM SET LSLP OBL SW GIRLS CINNAMOROLL SW126CN:LIGHT BLUE:5:PRINT:TOP - BOTTOM SET</t>
  </si>
  <si>
    <t>TOP - BOTTOM SET LSLP OBL SW GIRLS CINNAMOROLL SW126CN:LIGHT BLUE:4:PRINT:TOP - BOTTOM SET</t>
  </si>
  <si>
    <t>TOP - BOTTOM SET LSLP CINNAMOROLL PYM126CN:LIGHT BLUE:14:PRINT:TOP - BOTTOM SET</t>
  </si>
  <si>
    <t>PYM126CN</t>
  </si>
  <si>
    <t>TOP - BOTTOM SET LSLP CINNAMOROLL PYM126CN:LIGHT BLUE:12:PRINT:TOP - BOTTOM SET</t>
  </si>
  <si>
    <t>TOP - BOTTOM SET LSLP CINNAMOROLL PYM126CN:LIGHT BLUE:10:PRINT:TOP - BOTTOM SET</t>
  </si>
  <si>
    <t>TOP - BOTTOM SET LSLP CINNAMOROLL PYM126CN:LIGHT BLUE:8:PRINT:TOP - BOTTOM SET</t>
  </si>
  <si>
    <t>TOP - BOTTOM SET LSLP CINNAMOROLL PYM126CN:LIGHT BLUE:7:PRINT:TOP - BOTTOM SET</t>
  </si>
  <si>
    <t>TOP - BOTTOM SET LSLP CINNAMOROLL PYM126CN:LIGHT BLUE:6:PRINT:TOP - BOTTOM SET</t>
  </si>
  <si>
    <t>TOP - BOTTOM SET LSLP CINNAMOROLL PYM126CN:LIGHT BLUE:5:PRINT:TOP - BOTTOM SET</t>
  </si>
  <si>
    <t>TOP - BOTTOM SET LSLP CINNAMOROLL PYM126CN:LIGHT BLUE:4:PRINT:TOP - BOTTOM SET</t>
  </si>
  <si>
    <t>SOCKS KKB SPIDERMAN FP KK1SPD2:BLACK:20-22:PRINT:SOCKS</t>
  </si>
  <si>
    <t>KK1SPD2</t>
  </si>
  <si>
    <t>SOCKS KKB SPIDERMAN FP KK1SPD2:BLACK:18-20:PRINT:SOCKS</t>
  </si>
  <si>
    <t>SOCKS KKB SPIDERMAN FP KK1SPD2:BLACK:14-16:PRINT:SOCKS</t>
  </si>
  <si>
    <t>SOCKS KKG CINNAMOROLL BIG STRIPE KKCN7:PASTEL GREEN:20-22:PRINT:SOCKS</t>
  </si>
  <si>
    <t>KKCN7</t>
  </si>
  <si>
    <t>SOCKS KKG CINNAMOROLL BIG STRIPE KKCN7:PASTEL GREEN:18-20:PRINT:SOCKS</t>
  </si>
  <si>
    <t>SOCKS KKG CINNAMOROLL BIG STRIPE KKCN7:PASTEL GREEN:14-16:PRINT:SOCKS</t>
  </si>
  <si>
    <t>TOP - BOTTOM SET LSLP AVENGERS ASSEMBLE SWM4AVG:MISTY MEDIUM GREY:14:PRINT:TOP - BOTTOM SET</t>
  </si>
  <si>
    <t>SWM4AVG</t>
  </si>
  <si>
    <t>TOP - BOTTOM SET LSLP AVENGERS ASSEMBLE SWM4AVG:MISTY MEDIUM GREY:12:PRINT:TOP - BOTTOM SET</t>
  </si>
  <si>
    <t>TOP - BOTTOM SET LSLP AVENGERS ASSEMBLE SWM4AVG:MISTY MEDIUM GREY:10:PRINT:TOP - BOTTOM SET</t>
  </si>
  <si>
    <t>TOP - BOTTOM SET LSLP AVENGERS ASSEMBLE SWM4AVG:MISTY MEDIUM GREY:8:PRINT:TOP - BOTTOM SET</t>
  </si>
  <si>
    <t>TOP - BOTTOM SET LSLP AVENGERS ASSEMBLE SWM4AVG:MISTY MEDIUM GREY:7:PRINT:TOP - BOTTOM SET</t>
  </si>
  <si>
    <t>TOP - BOTTOM SET LSLP AVENGERS ASSEMBLE SWM4AVG:MISTY MEDIUM GREY:6:PRINT:TOP - BOTTOM SET</t>
  </si>
  <si>
    <t>TOP - BOTTOM SET LSLP AVENGERS ASSEMBLE SWM4AVG:MISTY MEDIUM GREY:5:PRINT:TOP - BOTTOM SET</t>
  </si>
  <si>
    <t>TOP - BOTTOM SET LSLP AVENGERS ASSEMBLE SWM4AVG:MISTY MEDIUM GREY:4:PRINT:TOP - BOTTOM SET</t>
  </si>
  <si>
    <t>DSSAMM</t>
  </si>
  <si>
    <t>JGLISCN</t>
  </si>
  <si>
    <t>JKPRSKU</t>
  </si>
  <si>
    <t>JKSRTCN</t>
  </si>
  <si>
    <t>LPKKT</t>
  </si>
  <si>
    <t>LPPRSKU</t>
  </si>
  <si>
    <t>SSIKATKU</t>
  </si>
  <si>
    <t>SSRIBKT</t>
  </si>
  <si>
    <t>SSWVKT</t>
  </si>
  <si>
    <t>TSPLCN</t>
  </si>
  <si>
    <t>TSSRTKU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</si>
  <si>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</si>
  <si>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</si>
  <si>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</si>
  <si>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</si>
  <si>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</si>
  <si>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</si>
  <si>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</si>
  <si>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JOGGER LIS CINNAMOROLL JGLISCN:KHAKI:4:GRAPHIC:JOGGER</t>
  </si>
  <si>
    <t>JOGGER LIS CINNAMOROLL JGLISCN:KHAKI:5:GRAPHIC:JOGGER</t>
  </si>
  <si>
    <t>JOGGER LIS CINNAMOROLL JGLISCN:KHAKI:6:GRAPHIC:JOGGER</t>
  </si>
  <si>
    <t>JOGGER LIS CINNAMOROLL JGLISCN:KHAKI:7-8:GRAPHIC:JOGGER</t>
  </si>
  <si>
    <t>JOGGER LIS CINNAMOROLL JGLISCN:KHAKI:9-10:GRAPHIC:JOGGER</t>
  </si>
  <si>
    <t>JOGGER LIS CINNAMOROLL JGLISCN:KHAKI:11-12:GRAPHIC:JOGGER</t>
  </si>
  <si>
    <t>JOGGER LIS CINNAMOROLL JGLISCN:KHAKI:13-14:GRAPHIC:JOGGER</t>
  </si>
  <si>
    <t>JACKET HOODIE PARASUE KUROMI JKPRSKU:PASTEL GREY:4:GRAPHIC:JACKET</t>
  </si>
  <si>
    <t>JACKET HOODIE PARASUE KUROMI JKPRSKU:PASTEL GREY:5:GRAPHIC:JACKET</t>
  </si>
  <si>
    <t>JACKET HOODIE PARASUE KUROMI JKPRSKU:PASTEL GREY:6:GRAPHIC:JACKET</t>
  </si>
  <si>
    <t>JACKET HOODIE PARASUE KUROMI JKPRSKU:PASTEL GREY:7-8:GRAPHIC:JACKET</t>
  </si>
  <si>
    <t>JACKET HOODIE PARASUE KUROMI JKPRSKU:PASTEL GREY:9-10:GRAPHIC:JACKET</t>
  </si>
  <si>
    <t>JACKET HOODIE PARASUE KUROMI JKPRSKU:PASTEL GREY:11-12:GRAPHIC:JACKET</t>
  </si>
  <si>
    <t>JACKET HOODIE PARASUE KUROMI JKPRSKU:PASTEL GREY:13-14:GRAPHIC:JACKET</t>
  </si>
  <si>
    <t>JACKET HOODIE SERUT CINNAMOROLL JKSRTCN:KHAKI:4:GRAPHIC:JACKET</t>
  </si>
  <si>
    <t>JACKET HOODIE SERUT CINNAMOROLL JKSRTCN:KHAKI:5:GRAPHIC:JACKET</t>
  </si>
  <si>
    <t>JACKET HOODIE SERUT CINNAMOROLL JKSRTCN:KHAKI:6:GRAPHIC:JACKET</t>
  </si>
  <si>
    <t>JACKET HOODIE SERUT CINNAMOROLL JKSRTCN:KHAKI:7-8:GRAPHIC:JACKET</t>
  </si>
  <si>
    <t>JACKET HOODIE SERUT CINNAMOROLL JKSRTCN:KHAKI:9-10:GRAPHIC:JACKET</t>
  </si>
  <si>
    <t>JACKET HOODIE SERUT CINNAMOROLL JKSRTCN:KHAKI:11-12:GRAPHIC:JACKET</t>
  </si>
  <si>
    <t>JACKET HOODIE SERUT CINNAMOROLL JKSRTCN:KHAKI:13-14:GRAPHIC:JACKET</t>
  </si>
  <si>
    <t>LONG PANTS WIDE LEG 4 KTG HELLO KITTY LPKKT:DUSTY PINK:7-8:GRAPHIC:LONG PANTS</t>
  </si>
  <si>
    <t>LONG PANTS WIDE LEG 4 KTG HELLO KITTY LPKKT:DUSTY PINK:9-10:GRAPHIC:LONG PANTS</t>
  </si>
  <si>
    <t>LONG PANTS WIDE LEG 4 KTG HELLO KITTY LPKKT:DUSTY PINK:11-12:GRAPHIC:LONG PANTS</t>
  </si>
  <si>
    <t>LONG PANTS WIDE LEG 4 KTG HELLO KITTY LPKKT:DUSTY PINK:13-14:GRAPHIC:LONG PANTS</t>
  </si>
  <si>
    <t>LONG PANTS WIDE LEG 4 KTG HELLO KITTY LPKKT:DUSTY PINK:15-16:GRAPHIC:LONG PANTS</t>
  </si>
  <si>
    <t>LONG PANTS CARGO PARASUT KUROMI LPPRSKU:BLACK:4:GRAPHIC:LONG PANTS</t>
  </si>
  <si>
    <t>LONG PANTS CARGO PARASUT KUROMI LPPRSKU:BLACK:5:GRAPHIC:LONG PANTS</t>
  </si>
  <si>
    <t>LONG PANTS CARGO PARASUT KUROMI LPPRSKU:BLACK:6:GRAPHIC:LONG PANTS</t>
  </si>
  <si>
    <t>LONG PANTS CARGO PARASUT KUROMI LPPRSKU:BLACK:7-8:GRAPHIC:LONG PANTS</t>
  </si>
  <si>
    <t>LONG PANTS CARGO PARASUT KUROMI LPPRSKU:BLACK:9-10:GRAPHIC:LONG PANTS</t>
  </si>
  <si>
    <t>LONG PANTS CARGO PARASUT KUROMI LPPRSKU:BLACK:11-12:GRAPHIC:LONG PANTS</t>
  </si>
  <si>
    <t>LONG PANTS CARGO PARASUT KUROMI LPPRSKU:BLACK:13-14:GRAPHIC:LONG PANTS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</si>
  <si>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</si>
  <si>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</si>
  <si>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</si>
  <si>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</si>
  <si>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</si>
  <si>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</si>
  <si>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</si>
  <si>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T-SHIRT EMBRO HELLO KITTY SSRIBKT:OFF WHITE:4:GRAPHIC:SS T-SHIRT</t>
  </si>
  <si>
    <t>SS T-SHIRT EMBRO HELLO KITTY SSRIBKT:OFF WHITE:5:GRAPHIC:SS T-SHIRT</t>
  </si>
  <si>
    <t>SS T-SHIRT EMBRO HELLO KITTY SSRIBKT:OFF WHITE:6:GRAPHIC:SS T-SHIRT</t>
  </si>
  <si>
    <t>SS T-SHIRT EMBRO HELLO KITTY SSRIBKT:OFF WHITE:7-8:GRAPHIC:SS T-SHIRT</t>
  </si>
  <si>
    <t>SS T-SHIRT RIB EMBRO HELLO KITTY SSRIBKT:OFF WHITE:9-10:GRAPHIC:SS T-SHIRT</t>
  </si>
  <si>
    <t>SS T-SHIRT RIB EMBRO HELLO KITTY SSRIBKT:OFF WHITE:11-12:GRAPHIC:SS T-SHIRT</t>
  </si>
  <si>
    <t>SS T-SHIRT RIB EMBRO HELLO KITTY SSRIBKT:OFF WHITE:13-14:GRAPHIC:SS T-SHIRT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</si>
  <si>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</si>
  <si>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</si>
  <si>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</si>
  <si>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</si>
  <si>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</si>
  <si>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</si>
  <si>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</si>
  <si>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SS POLO SHIRT CINNAMOROLL TSPLCN:PASTEL PURPLE:4:GRAPHIC:SS POLO SHIRT</t>
  </si>
  <si>
    <t>SS POLO SHIRT CINNAMOROLL TSPLCN:PASTEL PURPLE:5:GRAPHIC:SS POLO SHIRT</t>
  </si>
  <si>
    <t>SS POLO SHIRT CINNAMOROLL TSPLCN:PASTEL PURPLE:6:GRAPHIC:SS POLO SHIRT</t>
  </si>
  <si>
    <t>SS POLO SHIRT CINNAMOROLL TSPLCN:PASTEL PURPLE:7-8:GRAPHIC:SS POLO SHIRT</t>
  </si>
  <si>
    <t>SS POLO SHIRT CINNAMOROLL TSPLCN:PASTEL PURPLE:9-10:GRAPHIC:SS POLO SHIRT</t>
  </si>
  <si>
    <t>SS POLO SHIRT CINNAMOROLL TSPLCN:PASTEL PURPLE:11-12:GRAPHIC:SS POLO SHIRT</t>
  </si>
  <si>
    <t>SS POLO SHIRT CINNAMOROLL TSPLCN:PASTEL PURPLE:13-14:GRAPHIC:SS POLO SHIRT</t>
  </si>
  <si>
    <t>SS T-SHIRT SERUT STOPPER KUROMI TSSRTKU:PASTEL GREY:4:GRAPHIC:SS T-SHIRT</t>
  </si>
  <si>
    <t>SS T-SHIRT SERUT STOPPER KUROMI TSSRTKU:PASTEL GREY:5:GRAPHIC:SS T-SHIRT</t>
  </si>
  <si>
    <t>SS T-SHIRT SERUT STOPPER KUROMI TSSRTKU:PASTEL GREY:6:GRAPHIC:SS T-SHIRT</t>
  </si>
  <si>
    <t>SS T-SHIRT SERUT STOPPER KUROMI TSSRTKU:PASTEL GREY:7-8:GRAPHIC:SS T-SHIRT</t>
  </si>
  <si>
    <t>SS T-SHIRT SERUT STOPPER KUROMI TSSRTKU:PASTEL GREY:9-10:GRAPHIC:SS T-SHIRT</t>
  </si>
  <si>
    <t>SS T-SHIRT SERUT STOPPER KUROMI TSSRTKU:PASTEL GREY:11-12:GRAPHIC:SS T-SHIRT</t>
  </si>
  <si>
    <t>SS T-SHIRT SERUT STOPPER KUROMI TSSRTKU:PASTEL GREY:13-14:GRAPHIC:SS T-SHIRT</t>
  </si>
  <si>
    <t>2024 JULY-SEP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</si>
</sst>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  <xf numFmtId="165" fontId="0" fillId="0" borderId="1" xfId="0" applyNumberForma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3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3" fontId="2" fillId="2" borderId="4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/>
    <xf numFmtId="3" fontId="0" fillId="0" borderId="6" xfId="0" applyNumberFormat="1" applyBorder="1"/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1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1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242"/>
  <sheetViews>
    <sheetView zoomScale="75" zoomScaleNormal="71" workbookViewId="0">
      <pane ySplit="1" topLeftCell="A2" activePane="bottomLeft" state="frozen"/>
      <selection activeCell="N270" sqref="N270"/>
      <selection pane="bottomLeft" activeCell="A239" sqref="A239"/>
    </sheetView>
  </sheetViews>
  <sheetFormatPr defaultColWidth="8.81640625" defaultRowHeight="14.5" x14ac:dyDescent="0.35"/>
  <cols>
    <col min="1" max="1" width="30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12" style="28" customWidth="1"/>
    <col min="15" max="15" width="22.54296875" style="39" customWidth="1"/>
    <col min="16" max="16" width="17.17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D80 - 3321'!B4</f>
        <v>46086</v>
      </c>
      <c r="C2" s="35">
        <f>'2025 HILITE D80 - 3321'!C4</f>
        <v>46092</v>
      </c>
      <c r="D2" s="34">
        <v>3321</v>
      </c>
      <c r="E2" s="34">
        <v>337</v>
      </c>
      <c r="F2" s="34">
        <v>4</v>
      </c>
      <c r="G2" s="70">
        <v>1</v>
      </c>
      <c r="H2" s="25">
        <v>81588</v>
      </c>
      <c r="I2" s="34" t="s">
        <v>2690</v>
      </c>
      <c r="J2" s="70">
        <v>61549064</v>
      </c>
      <c r="K2" s="70" t="s">
        <v>6981</v>
      </c>
      <c r="L2" s="85" t="s">
        <v>6984</v>
      </c>
      <c r="M2" s="84">
        <v>129900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46086</v>
      </c>
      <c r="C3" s="35">
        <f t="shared" ref="C3:C34" si="2">C2</f>
        <v>46092</v>
      </c>
      <c r="D3" s="34">
        <v>3321</v>
      </c>
      <c r="E3" s="34">
        <v>337</v>
      </c>
      <c r="F3" s="34">
        <v>4</v>
      </c>
      <c r="G3" s="70">
        <v>1</v>
      </c>
      <c r="H3" s="25">
        <v>81588</v>
      </c>
      <c r="I3" s="34" t="s">
        <v>2690</v>
      </c>
      <c r="J3" s="70">
        <v>61549073</v>
      </c>
      <c r="K3" s="70" t="s">
        <v>6981</v>
      </c>
      <c r="L3" s="85" t="s">
        <v>6983</v>
      </c>
      <c r="M3" s="84">
        <v>129900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46086</v>
      </c>
      <c r="C4" s="35">
        <f t="shared" si="2"/>
        <v>46092</v>
      </c>
      <c r="D4" s="34">
        <v>3321</v>
      </c>
      <c r="E4" s="34">
        <v>337</v>
      </c>
      <c r="F4" s="34">
        <v>4</v>
      </c>
      <c r="G4" s="70">
        <v>1</v>
      </c>
      <c r="H4" s="25">
        <v>81588</v>
      </c>
      <c r="I4" s="34" t="s">
        <v>2690</v>
      </c>
      <c r="J4" s="70">
        <v>61549082</v>
      </c>
      <c r="K4" s="70" t="s">
        <v>6981</v>
      </c>
      <c r="L4" s="85" t="s">
        <v>6982</v>
      </c>
      <c r="M4" s="84">
        <v>129900</v>
      </c>
      <c r="N4" s="34" t="s">
        <v>2569</v>
      </c>
      <c r="O4" s="36" t="str">
        <f>O3</f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46086</v>
      </c>
      <c r="C5" s="35">
        <f t="shared" si="2"/>
        <v>46092</v>
      </c>
      <c r="D5" s="34">
        <v>3321</v>
      </c>
      <c r="E5" s="34">
        <v>337</v>
      </c>
      <c r="F5" s="34">
        <v>4</v>
      </c>
      <c r="G5" s="70">
        <v>1</v>
      </c>
      <c r="H5" s="25">
        <v>81588</v>
      </c>
      <c r="I5" s="34" t="s">
        <v>2690</v>
      </c>
      <c r="J5" s="70">
        <v>61549091</v>
      </c>
      <c r="K5" s="70" t="s">
        <v>6981</v>
      </c>
      <c r="L5" s="85" t="s">
        <v>6980</v>
      </c>
      <c r="M5" s="84">
        <v>99900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46086</v>
      </c>
      <c r="C6" s="35">
        <f t="shared" si="2"/>
        <v>46092</v>
      </c>
      <c r="D6" s="34">
        <v>3321</v>
      </c>
      <c r="E6" s="34">
        <v>337</v>
      </c>
      <c r="F6" s="34">
        <v>4</v>
      </c>
      <c r="G6" s="70">
        <v>1</v>
      </c>
      <c r="H6" s="25">
        <v>81588</v>
      </c>
      <c r="I6" s="34" t="s">
        <v>2690</v>
      </c>
      <c r="J6" s="70">
        <v>61549028</v>
      </c>
      <c r="K6" s="70" t="s">
        <v>5630</v>
      </c>
      <c r="L6" s="85" t="s">
        <v>6979</v>
      </c>
      <c r="M6" s="84">
        <v>99900</v>
      </c>
      <c r="N6" s="34" t="s">
        <v>2569</v>
      </c>
      <c r="O6" s="36" t="str">
        <f>O5</f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46086</v>
      </c>
      <c r="C7" s="35">
        <f t="shared" si="2"/>
        <v>46092</v>
      </c>
      <c r="D7" s="34">
        <v>3321</v>
      </c>
      <c r="E7" s="34">
        <v>337</v>
      </c>
      <c r="F7" s="34">
        <v>4</v>
      </c>
      <c r="G7" s="70">
        <v>1</v>
      </c>
      <c r="H7" s="25">
        <v>81588</v>
      </c>
      <c r="I7" s="34" t="s">
        <v>2690</v>
      </c>
      <c r="J7" s="70">
        <v>61549037</v>
      </c>
      <c r="K7" s="70" t="s">
        <v>5630</v>
      </c>
      <c r="L7" s="85" t="s">
        <v>6978</v>
      </c>
      <c r="M7" s="84">
        <v>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46086</v>
      </c>
      <c r="C8" s="35">
        <f t="shared" si="2"/>
        <v>46092</v>
      </c>
      <c r="D8" s="34">
        <v>3321</v>
      </c>
      <c r="E8" s="34">
        <v>337</v>
      </c>
      <c r="F8" s="34">
        <v>4</v>
      </c>
      <c r="G8" s="70">
        <v>1</v>
      </c>
      <c r="H8" s="25">
        <v>81588</v>
      </c>
      <c r="I8" s="34" t="s">
        <v>2690</v>
      </c>
      <c r="J8" s="70">
        <v>61549046</v>
      </c>
      <c r="K8" s="70" t="s">
        <v>5630</v>
      </c>
      <c r="L8" s="85" t="s">
        <v>6977</v>
      </c>
      <c r="M8" s="84">
        <v>99900</v>
      </c>
      <c r="N8" s="34" t="s">
        <v>2569</v>
      </c>
      <c r="O8" s="36" t="str">
        <f>O7</f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46086</v>
      </c>
      <c r="C9" s="35">
        <f t="shared" si="2"/>
        <v>46092</v>
      </c>
      <c r="D9" s="34">
        <v>3321</v>
      </c>
      <c r="E9" s="34">
        <v>337</v>
      </c>
      <c r="F9" s="34">
        <v>4</v>
      </c>
      <c r="G9" s="70">
        <v>1</v>
      </c>
      <c r="H9" s="25">
        <v>81588</v>
      </c>
      <c r="I9" s="34" t="s">
        <v>2690</v>
      </c>
      <c r="J9" s="70">
        <v>61549055</v>
      </c>
      <c r="K9" s="70" t="s">
        <v>5630</v>
      </c>
      <c r="L9" s="85" t="s">
        <v>6976</v>
      </c>
      <c r="M9" s="84">
        <v>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46086</v>
      </c>
      <c r="C10" s="35">
        <f t="shared" si="2"/>
        <v>46092</v>
      </c>
      <c r="D10" s="34">
        <v>3321</v>
      </c>
      <c r="E10" s="34">
        <v>337</v>
      </c>
      <c r="F10" s="34">
        <v>4</v>
      </c>
      <c r="G10" s="70">
        <v>1</v>
      </c>
      <c r="H10" s="25">
        <v>81588</v>
      </c>
      <c r="I10" s="34" t="s">
        <v>2690</v>
      </c>
      <c r="J10" s="70">
        <v>61548985</v>
      </c>
      <c r="K10" s="70" t="s">
        <v>5627</v>
      </c>
      <c r="L10" s="85" t="s">
        <v>6975</v>
      </c>
      <c r="M10" s="84">
        <v>99900</v>
      </c>
      <c r="N10" s="34" t="s">
        <v>2569</v>
      </c>
      <c r="O10" s="36" t="str">
        <f>O9</f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46086</v>
      </c>
      <c r="C11" s="35">
        <f t="shared" si="2"/>
        <v>46092</v>
      </c>
      <c r="D11" s="34">
        <v>3321</v>
      </c>
      <c r="E11" s="34">
        <v>337</v>
      </c>
      <c r="F11" s="34">
        <v>4</v>
      </c>
      <c r="G11" s="70">
        <v>1</v>
      </c>
      <c r="H11" s="25">
        <v>81588</v>
      </c>
      <c r="I11" s="34" t="s">
        <v>2690</v>
      </c>
      <c r="J11" s="70">
        <v>61548994</v>
      </c>
      <c r="K11" s="70" t="s">
        <v>5627</v>
      </c>
      <c r="L11" s="85" t="s">
        <v>6974</v>
      </c>
      <c r="M11" s="8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46086</v>
      </c>
      <c r="C12" s="35">
        <f t="shared" si="2"/>
        <v>46092</v>
      </c>
      <c r="D12" s="34">
        <v>3321</v>
      </c>
      <c r="E12" s="34">
        <v>337</v>
      </c>
      <c r="F12" s="34">
        <v>4</v>
      </c>
      <c r="G12" s="70">
        <v>1</v>
      </c>
      <c r="H12" s="25">
        <v>81588</v>
      </c>
      <c r="I12" s="34" t="s">
        <v>2690</v>
      </c>
      <c r="J12" s="70">
        <v>61549000</v>
      </c>
      <c r="K12" s="70" t="s">
        <v>5627</v>
      </c>
      <c r="L12" s="85" t="s">
        <v>6973</v>
      </c>
      <c r="M12" s="84">
        <v>99900</v>
      </c>
      <c r="N12" s="34" t="s">
        <v>2569</v>
      </c>
      <c r="O12" s="36" t="str">
        <f>O11</f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46086</v>
      </c>
      <c r="C13" s="35">
        <f t="shared" si="2"/>
        <v>46092</v>
      </c>
      <c r="D13" s="34">
        <v>3321</v>
      </c>
      <c r="E13" s="34">
        <v>337</v>
      </c>
      <c r="F13" s="34">
        <v>4</v>
      </c>
      <c r="G13" s="70">
        <v>1</v>
      </c>
      <c r="H13" s="25">
        <v>81588</v>
      </c>
      <c r="I13" s="34" t="s">
        <v>2690</v>
      </c>
      <c r="J13" s="70">
        <v>61549019</v>
      </c>
      <c r="K13" s="70" t="s">
        <v>5627</v>
      </c>
      <c r="L13" s="85" t="s">
        <v>6972</v>
      </c>
      <c r="M13" s="8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46086</v>
      </c>
      <c r="C14" s="35">
        <f t="shared" si="2"/>
        <v>46092</v>
      </c>
      <c r="D14" s="34">
        <v>3321</v>
      </c>
      <c r="E14" s="34">
        <v>337</v>
      </c>
      <c r="F14" s="34">
        <v>4</v>
      </c>
      <c r="G14" s="70">
        <v>1</v>
      </c>
      <c r="H14" s="25">
        <v>81679</v>
      </c>
      <c r="I14" s="34" t="s">
        <v>2690</v>
      </c>
      <c r="J14" s="70">
        <v>61549288</v>
      </c>
      <c r="K14" s="70" t="s">
        <v>6966</v>
      </c>
      <c r="L14" s="85" t="s">
        <v>6971</v>
      </c>
      <c r="M14" s="84">
        <v>99900</v>
      </c>
      <c r="N14" s="34" t="s">
        <v>2569</v>
      </c>
      <c r="O14" s="36" t="str">
        <f>O13</f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46086</v>
      </c>
      <c r="C15" s="35">
        <f t="shared" si="2"/>
        <v>46092</v>
      </c>
      <c r="D15" s="34">
        <v>3321</v>
      </c>
      <c r="E15" s="34">
        <v>337</v>
      </c>
      <c r="F15" s="34">
        <v>4</v>
      </c>
      <c r="G15" s="70">
        <v>1</v>
      </c>
      <c r="H15" s="25">
        <v>81679</v>
      </c>
      <c r="I15" s="34" t="s">
        <v>2690</v>
      </c>
      <c r="J15" s="70">
        <v>61549297</v>
      </c>
      <c r="K15" s="70" t="s">
        <v>6966</v>
      </c>
      <c r="L15" s="85" t="s">
        <v>6970</v>
      </c>
      <c r="M15" s="84">
        <v>99900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46086</v>
      </c>
      <c r="C16" s="35">
        <f t="shared" si="2"/>
        <v>46092</v>
      </c>
      <c r="D16" s="34">
        <v>3321</v>
      </c>
      <c r="E16" s="34">
        <v>337</v>
      </c>
      <c r="F16" s="34">
        <v>4</v>
      </c>
      <c r="G16" s="70">
        <v>1</v>
      </c>
      <c r="H16" s="25">
        <v>81679</v>
      </c>
      <c r="I16" s="34" t="s">
        <v>2690</v>
      </c>
      <c r="J16" s="70">
        <v>61549304</v>
      </c>
      <c r="K16" s="70" t="s">
        <v>6966</v>
      </c>
      <c r="L16" s="85" t="s">
        <v>6969</v>
      </c>
      <c r="M16" s="84">
        <v>99900</v>
      </c>
      <c r="N16" s="34" t="s">
        <v>2569</v>
      </c>
      <c r="O16" s="36" t="str">
        <f>O15</f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46086</v>
      </c>
      <c r="C17" s="35">
        <f t="shared" si="2"/>
        <v>46092</v>
      </c>
      <c r="D17" s="34">
        <v>3321</v>
      </c>
      <c r="E17" s="34">
        <v>337</v>
      </c>
      <c r="F17" s="34">
        <v>4</v>
      </c>
      <c r="G17" s="70">
        <v>1</v>
      </c>
      <c r="H17" s="25">
        <v>81679</v>
      </c>
      <c r="I17" s="34" t="s">
        <v>2690</v>
      </c>
      <c r="J17" s="70">
        <v>61549313</v>
      </c>
      <c r="K17" s="70" t="s">
        <v>6966</v>
      </c>
      <c r="L17" s="85" t="s">
        <v>6968</v>
      </c>
      <c r="M17" s="84">
        <v>99900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46086</v>
      </c>
      <c r="C18" s="35">
        <f t="shared" si="2"/>
        <v>46092</v>
      </c>
      <c r="D18" s="34">
        <v>3321</v>
      </c>
      <c r="E18" s="34">
        <v>337</v>
      </c>
      <c r="F18" s="34">
        <v>4</v>
      </c>
      <c r="G18" s="70">
        <v>1</v>
      </c>
      <c r="H18" s="25">
        <v>81679</v>
      </c>
      <c r="I18" s="34" t="s">
        <v>2690</v>
      </c>
      <c r="J18" s="70">
        <v>61549322</v>
      </c>
      <c r="K18" s="70" t="s">
        <v>6966</v>
      </c>
      <c r="L18" s="85" t="s">
        <v>6967</v>
      </c>
      <c r="M18" s="84">
        <v>99900</v>
      </c>
      <c r="N18" s="34" t="s">
        <v>2569</v>
      </c>
      <c r="O18" s="36" t="str">
        <f>O17</f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46086</v>
      </c>
      <c r="C19" s="35">
        <f t="shared" si="2"/>
        <v>46092</v>
      </c>
      <c r="D19" s="34">
        <v>3321</v>
      </c>
      <c r="E19" s="34">
        <v>337</v>
      </c>
      <c r="F19" s="34">
        <v>4</v>
      </c>
      <c r="G19" s="70">
        <v>1</v>
      </c>
      <c r="H19" s="25">
        <v>81679</v>
      </c>
      <c r="I19" s="34" t="s">
        <v>2690</v>
      </c>
      <c r="J19" s="70">
        <v>61549331</v>
      </c>
      <c r="K19" s="70" t="s">
        <v>6966</v>
      </c>
      <c r="L19" s="85" t="s">
        <v>6965</v>
      </c>
      <c r="M19" s="84">
        <v>99900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46086</v>
      </c>
      <c r="C20" s="35">
        <f t="shared" si="2"/>
        <v>46092</v>
      </c>
      <c r="D20" s="34">
        <v>3321</v>
      </c>
      <c r="E20" s="34">
        <v>337</v>
      </c>
      <c r="F20" s="34">
        <v>4</v>
      </c>
      <c r="G20" s="70">
        <v>1</v>
      </c>
      <c r="H20" s="25">
        <v>81679</v>
      </c>
      <c r="I20" s="34" t="s">
        <v>2690</v>
      </c>
      <c r="J20" s="70">
        <v>61549224</v>
      </c>
      <c r="K20" s="70" t="s">
        <v>6959</v>
      </c>
      <c r="L20" s="85" t="s">
        <v>6964</v>
      </c>
      <c r="M20" s="84">
        <v>99900</v>
      </c>
      <c r="N20" s="34" t="s">
        <v>2569</v>
      </c>
      <c r="O20" s="36" t="str">
        <f>O19</f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46086</v>
      </c>
      <c r="C21" s="35">
        <f t="shared" si="2"/>
        <v>46092</v>
      </c>
      <c r="D21" s="34">
        <v>3321</v>
      </c>
      <c r="E21" s="34">
        <v>337</v>
      </c>
      <c r="F21" s="34">
        <v>4</v>
      </c>
      <c r="G21" s="70">
        <v>1</v>
      </c>
      <c r="H21" s="25">
        <v>81679</v>
      </c>
      <c r="I21" s="34" t="s">
        <v>2690</v>
      </c>
      <c r="J21" s="70">
        <v>61549233</v>
      </c>
      <c r="K21" s="70" t="s">
        <v>6959</v>
      </c>
      <c r="L21" s="85" t="s">
        <v>6963</v>
      </c>
      <c r="M21" s="84">
        <v>99900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46086</v>
      </c>
      <c r="C22" s="35">
        <f t="shared" si="2"/>
        <v>46092</v>
      </c>
      <c r="D22" s="34">
        <v>3321</v>
      </c>
      <c r="E22" s="34">
        <v>337</v>
      </c>
      <c r="F22" s="34">
        <v>4</v>
      </c>
      <c r="G22" s="70">
        <v>1</v>
      </c>
      <c r="H22" s="25">
        <v>81679</v>
      </c>
      <c r="I22" s="34" t="s">
        <v>2690</v>
      </c>
      <c r="J22" s="70">
        <v>61549242</v>
      </c>
      <c r="K22" s="70" t="s">
        <v>6959</v>
      </c>
      <c r="L22" s="85" t="s">
        <v>6962</v>
      </c>
      <c r="M22" s="84">
        <v>99900</v>
      </c>
      <c r="N22" s="34" t="s">
        <v>2569</v>
      </c>
      <c r="O22" s="36" t="str">
        <f>O21</f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46086</v>
      </c>
      <c r="C23" s="35">
        <f t="shared" si="2"/>
        <v>46092</v>
      </c>
      <c r="D23" s="34">
        <v>3321</v>
      </c>
      <c r="E23" s="34">
        <v>337</v>
      </c>
      <c r="F23" s="34">
        <v>4</v>
      </c>
      <c r="G23" s="70">
        <v>1</v>
      </c>
      <c r="H23" s="25">
        <v>81679</v>
      </c>
      <c r="I23" s="34" t="s">
        <v>2690</v>
      </c>
      <c r="J23" s="70">
        <v>61549251</v>
      </c>
      <c r="K23" s="70" t="s">
        <v>6959</v>
      </c>
      <c r="L23" s="85" t="s">
        <v>6961</v>
      </c>
      <c r="M23" s="84">
        <v>99900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46086</v>
      </c>
      <c r="C24" s="35">
        <f t="shared" si="2"/>
        <v>46092</v>
      </c>
      <c r="D24" s="34">
        <v>3321</v>
      </c>
      <c r="E24" s="34">
        <v>337</v>
      </c>
      <c r="F24" s="34">
        <v>4</v>
      </c>
      <c r="G24" s="70">
        <v>1</v>
      </c>
      <c r="H24" s="25">
        <v>81679</v>
      </c>
      <c r="I24" s="34" t="s">
        <v>2690</v>
      </c>
      <c r="J24" s="70">
        <v>61549260</v>
      </c>
      <c r="K24" s="70" t="s">
        <v>6959</v>
      </c>
      <c r="L24" s="85" t="s">
        <v>6960</v>
      </c>
      <c r="M24" s="84">
        <v>99900</v>
      </c>
      <c r="N24" s="34" t="s">
        <v>2569</v>
      </c>
      <c r="O24" s="36" t="str">
        <f>O23</f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46086</v>
      </c>
      <c r="C25" s="35">
        <f t="shared" si="2"/>
        <v>46092</v>
      </c>
      <c r="D25" s="34">
        <v>3321</v>
      </c>
      <c r="E25" s="34">
        <v>337</v>
      </c>
      <c r="F25" s="34">
        <v>4</v>
      </c>
      <c r="G25" s="70">
        <v>1</v>
      </c>
      <c r="H25" s="25">
        <v>81679</v>
      </c>
      <c r="I25" s="34" t="s">
        <v>2690</v>
      </c>
      <c r="J25" s="70">
        <v>61549279</v>
      </c>
      <c r="K25" s="70" t="s">
        <v>6959</v>
      </c>
      <c r="L25" s="85" t="s">
        <v>6958</v>
      </c>
      <c r="M25" s="84">
        <v>99900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46086</v>
      </c>
      <c r="C26" s="35">
        <f t="shared" si="2"/>
        <v>46092</v>
      </c>
      <c r="D26" s="34">
        <v>3321</v>
      </c>
      <c r="E26" s="34">
        <v>337</v>
      </c>
      <c r="F26" s="34">
        <v>4</v>
      </c>
      <c r="G26" s="70">
        <v>1</v>
      </c>
      <c r="H26" s="25">
        <v>81679</v>
      </c>
      <c r="I26" s="34" t="s">
        <v>2690</v>
      </c>
      <c r="J26" s="70">
        <v>61549108</v>
      </c>
      <c r="K26" s="70" t="s">
        <v>6952</v>
      </c>
      <c r="L26" s="85" t="s">
        <v>6957</v>
      </c>
      <c r="M26" s="84">
        <v>99900</v>
      </c>
      <c r="N26" s="34" t="s">
        <v>2569</v>
      </c>
      <c r="O26" s="36" t="str">
        <f>O25</f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46086</v>
      </c>
      <c r="C27" s="35">
        <f t="shared" si="2"/>
        <v>46092</v>
      </c>
      <c r="D27" s="34">
        <v>3321</v>
      </c>
      <c r="E27" s="34">
        <v>337</v>
      </c>
      <c r="F27" s="34">
        <v>4</v>
      </c>
      <c r="G27" s="70">
        <v>1</v>
      </c>
      <c r="H27" s="25">
        <v>81679</v>
      </c>
      <c r="I27" s="34" t="s">
        <v>2690</v>
      </c>
      <c r="J27" s="70">
        <v>61549117</v>
      </c>
      <c r="K27" s="70" t="s">
        <v>6952</v>
      </c>
      <c r="L27" s="85" t="s">
        <v>6956</v>
      </c>
      <c r="M27" s="84">
        <v>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46086</v>
      </c>
      <c r="C28" s="35">
        <f t="shared" si="2"/>
        <v>46092</v>
      </c>
      <c r="D28" s="34">
        <v>3321</v>
      </c>
      <c r="E28" s="34">
        <v>337</v>
      </c>
      <c r="F28" s="34">
        <v>4</v>
      </c>
      <c r="G28" s="70">
        <v>1</v>
      </c>
      <c r="H28" s="25">
        <v>81679</v>
      </c>
      <c r="I28" s="34" t="s">
        <v>2690</v>
      </c>
      <c r="J28" s="70">
        <v>61549126</v>
      </c>
      <c r="K28" s="70" t="s">
        <v>6952</v>
      </c>
      <c r="L28" s="85" t="s">
        <v>6955</v>
      </c>
      <c r="M28" s="84">
        <v>99900</v>
      </c>
      <c r="N28" s="34" t="s">
        <v>2569</v>
      </c>
      <c r="O28" s="36" t="str">
        <f>O27</f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46086</v>
      </c>
      <c r="C29" s="35">
        <f t="shared" si="2"/>
        <v>46092</v>
      </c>
      <c r="D29" s="34">
        <v>3321</v>
      </c>
      <c r="E29" s="34">
        <v>337</v>
      </c>
      <c r="F29" s="34">
        <v>4</v>
      </c>
      <c r="G29" s="70">
        <v>1</v>
      </c>
      <c r="H29" s="25">
        <v>81679</v>
      </c>
      <c r="I29" s="34" t="s">
        <v>2690</v>
      </c>
      <c r="J29" s="70">
        <v>61549135</v>
      </c>
      <c r="K29" s="70" t="s">
        <v>6952</v>
      </c>
      <c r="L29" s="85" t="s">
        <v>6954</v>
      </c>
      <c r="M29" s="84">
        <v>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46086</v>
      </c>
      <c r="C30" s="35">
        <f t="shared" si="2"/>
        <v>46092</v>
      </c>
      <c r="D30" s="34">
        <v>3321</v>
      </c>
      <c r="E30" s="34">
        <v>337</v>
      </c>
      <c r="F30" s="34">
        <v>4</v>
      </c>
      <c r="G30" s="70">
        <v>1</v>
      </c>
      <c r="H30" s="25">
        <v>81679</v>
      </c>
      <c r="I30" s="34" t="s">
        <v>2690</v>
      </c>
      <c r="J30" s="70">
        <v>61549144</v>
      </c>
      <c r="K30" s="70" t="s">
        <v>6952</v>
      </c>
      <c r="L30" s="85" t="s">
        <v>6953</v>
      </c>
      <c r="M30" s="84">
        <v>99900</v>
      </c>
      <c r="N30" s="34" t="s">
        <v>2569</v>
      </c>
      <c r="O30" s="36" t="str">
        <f>O29</f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46086</v>
      </c>
      <c r="C31" s="35">
        <f t="shared" si="2"/>
        <v>46092</v>
      </c>
      <c r="D31" s="34">
        <v>3321</v>
      </c>
      <c r="E31" s="34">
        <v>337</v>
      </c>
      <c r="F31" s="34">
        <v>4</v>
      </c>
      <c r="G31" s="70">
        <v>1</v>
      </c>
      <c r="H31" s="25">
        <v>81679</v>
      </c>
      <c r="I31" s="34" t="s">
        <v>2690</v>
      </c>
      <c r="J31" s="70">
        <v>61549153</v>
      </c>
      <c r="K31" s="70" t="s">
        <v>6952</v>
      </c>
      <c r="L31" s="85" t="s">
        <v>6951</v>
      </c>
      <c r="M31" s="84">
        <v>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46086</v>
      </c>
      <c r="C32" s="35">
        <f t="shared" si="2"/>
        <v>46092</v>
      </c>
      <c r="D32" s="34">
        <v>3321</v>
      </c>
      <c r="E32" s="34">
        <v>337</v>
      </c>
      <c r="F32" s="34">
        <v>4</v>
      </c>
      <c r="G32" s="70">
        <v>1</v>
      </c>
      <c r="H32" s="25">
        <v>81679</v>
      </c>
      <c r="I32" s="34" t="s">
        <v>2690</v>
      </c>
      <c r="J32" s="70">
        <v>61549162</v>
      </c>
      <c r="K32" s="70" t="s">
        <v>6945</v>
      </c>
      <c r="L32" s="85" t="s">
        <v>6950</v>
      </c>
      <c r="M32" s="84">
        <v>99900</v>
      </c>
      <c r="N32" s="34" t="s">
        <v>2569</v>
      </c>
      <c r="O32" s="36" t="str">
        <f>O31</f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46086</v>
      </c>
      <c r="C33" s="35">
        <f t="shared" si="2"/>
        <v>46092</v>
      </c>
      <c r="D33" s="34">
        <v>3321</v>
      </c>
      <c r="E33" s="34">
        <v>337</v>
      </c>
      <c r="F33" s="34">
        <v>4</v>
      </c>
      <c r="G33" s="70">
        <v>1</v>
      </c>
      <c r="H33" s="25">
        <v>81679</v>
      </c>
      <c r="I33" s="34" t="s">
        <v>2690</v>
      </c>
      <c r="J33" s="70">
        <v>61549171</v>
      </c>
      <c r="K33" s="70" t="s">
        <v>6945</v>
      </c>
      <c r="L33" s="85" t="s">
        <v>6949</v>
      </c>
      <c r="M33" s="84">
        <v>99900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46086</v>
      </c>
      <c r="C34" s="35">
        <f t="shared" si="2"/>
        <v>46092</v>
      </c>
      <c r="D34" s="34">
        <v>3321</v>
      </c>
      <c r="E34" s="34">
        <v>337</v>
      </c>
      <c r="F34" s="34">
        <v>4</v>
      </c>
      <c r="G34" s="70">
        <v>1</v>
      </c>
      <c r="H34" s="25">
        <v>81679</v>
      </c>
      <c r="I34" s="34" t="s">
        <v>2690</v>
      </c>
      <c r="J34" s="70">
        <v>61549180</v>
      </c>
      <c r="K34" s="70" t="s">
        <v>6945</v>
      </c>
      <c r="L34" s="85" t="s">
        <v>6948</v>
      </c>
      <c r="M34" s="84">
        <v>99900</v>
      </c>
      <c r="N34" s="34" t="s">
        <v>2569</v>
      </c>
      <c r="O34" s="36" t="str">
        <f>O33</f>
        <v>B3 DISC 10%</v>
      </c>
      <c r="P34" s="34" t="s">
        <v>2569</v>
      </c>
    </row>
    <row r="35" spans="1:16" x14ac:dyDescent="0.35">
      <c r="A35" s="34" t="str">
        <f t="shared" ref="A35:A66" si="3">A34</f>
        <v>2026 NOV-FEB B3 DISC 10%</v>
      </c>
      <c r="B35" s="35">
        <f t="shared" ref="B35:B66" si="4">B34</f>
        <v>46086</v>
      </c>
      <c r="C35" s="35">
        <f t="shared" ref="C35:C66" si="5">C34</f>
        <v>46092</v>
      </c>
      <c r="D35" s="34">
        <v>3321</v>
      </c>
      <c r="E35" s="34">
        <v>337</v>
      </c>
      <c r="F35" s="34">
        <v>4</v>
      </c>
      <c r="G35" s="70">
        <v>1</v>
      </c>
      <c r="H35" s="25">
        <v>81679</v>
      </c>
      <c r="I35" s="34" t="s">
        <v>2690</v>
      </c>
      <c r="J35" s="70">
        <v>61549199</v>
      </c>
      <c r="K35" s="70" t="s">
        <v>6945</v>
      </c>
      <c r="L35" s="85" t="s">
        <v>6947</v>
      </c>
      <c r="M35" s="84">
        <v>99900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3"/>
        <v>2026 NOV-FEB B3 DISC 10%</v>
      </c>
      <c r="B36" s="35">
        <f t="shared" si="4"/>
        <v>46086</v>
      </c>
      <c r="C36" s="35">
        <f t="shared" si="5"/>
        <v>46092</v>
      </c>
      <c r="D36" s="34">
        <v>3321</v>
      </c>
      <c r="E36" s="34">
        <v>337</v>
      </c>
      <c r="F36" s="34">
        <v>4</v>
      </c>
      <c r="G36" s="70">
        <v>1</v>
      </c>
      <c r="H36" s="25">
        <v>81679</v>
      </c>
      <c r="I36" s="34" t="s">
        <v>2690</v>
      </c>
      <c r="J36" s="70">
        <v>61549206</v>
      </c>
      <c r="K36" s="70" t="s">
        <v>6945</v>
      </c>
      <c r="L36" s="85" t="s">
        <v>6946</v>
      </c>
      <c r="M36" s="84">
        <v>99900</v>
      </c>
      <c r="N36" s="34" t="s">
        <v>2569</v>
      </c>
      <c r="O36" s="36" t="str">
        <f>O35</f>
        <v>B3 DISC 10%</v>
      </c>
      <c r="P36" s="34" t="s">
        <v>2569</v>
      </c>
    </row>
    <row r="37" spans="1:16" x14ac:dyDescent="0.35">
      <c r="A37" s="34" t="str">
        <f t="shared" si="3"/>
        <v>2026 NOV-FEB B3 DISC 10%</v>
      </c>
      <c r="B37" s="35">
        <f t="shared" si="4"/>
        <v>46086</v>
      </c>
      <c r="C37" s="35">
        <f t="shared" si="5"/>
        <v>46092</v>
      </c>
      <c r="D37" s="34">
        <v>3321</v>
      </c>
      <c r="E37" s="34">
        <v>337</v>
      </c>
      <c r="F37" s="34">
        <v>4</v>
      </c>
      <c r="G37" s="70">
        <v>3</v>
      </c>
      <c r="H37" s="25">
        <v>81679</v>
      </c>
      <c r="I37" s="34" t="s">
        <v>2690</v>
      </c>
      <c r="J37" s="70">
        <v>61549215</v>
      </c>
      <c r="K37" s="70" t="s">
        <v>6945</v>
      </c>
      <c r="L37" s="85" t="s">
        <v>6944</v>
      </c>
      <c r="M37" s="84">
        <v>229900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3"/>
        <v>2026 NOV-FEB B3 DISC 10%</v>
      </c>
      <c r="B38" s="35">
        <f t="shared" si="4"/>
        <v>46086</v>
      </c>
      <c r="C38" s="35">
        <f t="shared" si="5"/>
        <v>46092</v>
      </c>
      <c r="D38" s="34">
        <v>3321</v>
      </c>
      <c r="E38" s="34">
        <v>337</v>
      </c>
      <c r="F38" s="34">
        <v>4</v>
      </c>
      <c r="G38" s="70">
        <v>3</v>
      </c>
      <c r="H38" s="25">
        <v>81588</v>
      </c>
      <c r="I38" s="34" t="s">
        <v>2690</v>
      </c>
      <c r="J38" s="70">
        <v>61550025</v>
      </c>
      <c r="K38" s="70" t="s">
        <v>6940</v>
      </c>
      <c r="L38" s="85" t="s">
        <v>6943</v>
      </c>
      <c r="M38" s="84">
        <v>229900</v>
      </c>
      <c r="N38" s="34" t="s">
        <v>2569</v>
      </c>
      <c r="O38" s="36" t="str">
        <f>O37</f>
        <v>B3 DISC 10%</v>
      </c>
      <c r="P38" s="34" t="s">
        <v>2569</v>
      </c>
    </row>
    <row r="39" spans="1:16" x14ac:dyDescent="0.35">
      <c r="A39" s="34" t="str">
        <f t="shared" si="3"/>
        <v>2026 NOV-FEB B3 DISC 10%</v>
      </c>
      <c r="B39" s="35">
        <f t="shared" si="4"/>
        <v>46086</v>
      </c>
      <c r="C39" s="35">
        <f t="shared" si="5"/>
        <v>46092</v>
      </c>
      <c r="D39" s="34">
        <v>3321</v>
      </c>
      <c r="E39" s="34">
        <v>337</v>
      </c>
      <c r="F39" s="34">
        <v>4</v>
      </c>
      <c r="G39" s="70">
        <v>3</v>
      </c>
      <c r="H39" s="25">
        <v>81588</v>
      </c>
      <c r="I39" s="34" t="s">
        <v>2690</v>
      </c>
      <c r="J39" s="70">
        <v>61550034</v>
      </c>
      <c r="K39" s="70" t="s">
        <v>6940</v>
      </c>
      <c r="L39" s="85" t="s">
        <v>6942</v>
      </c>
      <c r="M39" s="84">
        <v>229900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3"/>
        <v>2026 NOV-FEB B3 DISC 10%</v>
      </c>
      <c r="B40" s="35">
        <f t="shared" si="4"/>
        <v>46086</v>
      </c>
      <c r="C40" s="35">
        <f t="shared" si="5"/>
        <v>46092</v>
      </c>
      <c r="D40" s="34">
        <v>3321</v>
      </c>
      <c r="E40" s="34">
        <v>337</v>
      </c>
      <c r="F40" s="34">
        <v>4</v>
      </c>
      <c r="G40" s="70">
        <v>3</v>
      </c>
      <c r="H40" s="25">
        <v>81588</v>
      </c>
      <c r="I40" s="34" t="s">
        <v>2690</v>
      </c>
      <c r="J40" s="70">
        <v>61550043</v>
      </c>
      <c r="K40" s="70" t="s">
        <v>6940</v>
      </c>
      <c r="L40" s="85" t="s">
        <v>6941</v>
      </c>
      <c r="M40" s="84">
        <v>229900</v>
      </c>
      <c r="N40" s="34" t="s">
        <v>2569</v>
      </c>
      <c r="O40" s="36" t="str">
        <f>O39</f>
        <v>B3 DISC 10%</v>
      </c>
      <c r="P40" s="34" t="s">
        <v>2569</v>
      </c>
    </row>
    <row r="41" spans="1:16" x14ac:dyDescent="0.35">
      <c r="A41" s="34" t="str">
        <f t="shared" si="3"/>
        <v>2026 NOV-FEB B3 DISC 10%</v>
      </c>
      <c r="B41" s="35">
        <f t="shared" si="4"/>
        <v>46086</v>
      </c>
      <c r="C41" s="35">
        <f t="shared" si="5"/>
        <v>46092</v>
      </c>
      <c r="D41" s="34">
        <v>3321</v>
      </c>
      <c r="E41" s="34">
        <v>337</v>
      </c>
      <c r="F41" s="34">
        <v>4</v>
      </c>
      <c r="G41" s="70">
        <v>3</v>
      </c>
      <c r="H41" s="25">
        <v>81588</v>
      </c>
      <c r="I41" s="34" t="s">
        <v>2690</v>
      </c>
      <c r="J41" s="70">
        <v>61550052</v>
      </c>
      <c r="K41" s="70" t="s">
        <v>6940</v>
      </c>
      <c r="L41" s="85" t="s">
        <v>6939</v>
      </c>
      <c r="M41" s="84">
        <v>199900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3"/>
        <v>2026 NOV-FEB B3 DISC 10%</v>
      </c>
      <c r="B42" s="35">
        <f t="shared" si="4"/>
        <v>46086</v>
      </c>
      <c r="C42" s="35">
        <f t="shared" si="5"/>
        <v>46092</v>
      </c>
      <c r="D42" s="34">
        <v>3321</v>
      </c>
      <c r="E42" s="34">
        <v>337</v>
      </c>
      <c r="F42" s="34">
        <v>4</v>
      </c>
      <c r="G42" s="70">
        <v>3</v>
      </c>
      <c r="H42" s="25">
        <v>81679</v>
      </c>
      <c r="I42" s="34" t="s">
        <v>2690</v>
      </c>
      <c r="J42" s="70">
        <v>61549340</v>
      </c>
      <c r="K42" s="70" t="s">
        <v>6933</v>
      </c>
      <c r="L42" s="85" t="s">
        <v>6938</v>
      </c>
      <c r="M42" s="84">
        <v>199900</v>
      </c>
      <c r="N42" s="34" t="s">
        <v>2569</v>
      </c>
      <c r="O42" s="36" t="str">
        <f>O41</f>
        <v>B3 DISC 10%</v>
      </c>
      <c r="P42" s="34" t="s">
        <v>2569</v>
      </c>
    </row>
    <row r="43" spans="1:16" x14ac:dyDescent="0.35">
      <c r="A43" s="34" t="str">
        <f t="shared" si="3"/>
        <v>2026 NOV-FEB B3 DISC 10%</v>
      </c>
      <c r="B43" s="35">
        <f t="shared" si="4"/>
        <v>46086</v>
      </c>
      <c r="C43" s="35">
        <f t="shared" si="5"/>
        <v>46092</v>
      </c>
      <c r="D43" s="34">
        <v>3321</v>
      </c>
      <c r="E43" s="34">
        <v>337</v>
      </c>
      <c r="F43" s="34">
        <v>4</v>
      </c>
      <c r="G43" s="70">
        <v>3</v>
      </c>
      <c r="H43" s="25">
        <v>81679</v>
      </c>
      <c r="I43" s="34" t="s">
        <v>2690</v>
      </c>
      <c r="J43" s="70">
        <v>61549359</v>
      </c>
      <c r="K43" s="70" t="s">
        <v>6933</v>
      </c>
      <c r="L43" s="85" t="s">
        <v>6937</v>
      </c>
      <c r="M43" s="84">
        <v>199900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3"/>
        <v>2026 NOV-FEB B3 DISC 10%</v>
      </c>
      <c r="B44" s="35">
        <f t="shared" si="4"/>
        <v>46086</v>
      </c>
      <c r="C44" s="35">
        <f t="shared" si="5"/>
        <v>46092</v>
      </c>
      <c r="D44" s="34">
        <v>3321</v>
      </c>
      <c r="E44" s="34">
        <v>337</v>
      </c>
      <c r="F44" s="34">
        <v>4</v>
      </c>
      <c r="G44" s="70">
        <v>3</v>
      </c>
      <c r="H44" s="25">
        <v>81679</v>
      </c>
      <c r="I44" s="34" t="s">
        <v>2690</v>
      </c>
      <c r="J44" s="70">
        <v>61549368</v>
      </c>
      <c r="K44" s="70" t="s">
        <v>6933</v>
      </c>
      <c r="L44" s="85" t="s">
        <v>6936</v>
      </c>
      <c r="M44" s="84">
        <v>199900</v>
      </c>
      <c r="N44" s="34" t="s">
        <v>2569</v>
      </c>
      <c r="O44" s="36" t="str">
        <f>O43</f>
        <v>B3 DISC 10%</v>
      </c>
      <c r="P44" s="34" t="s">
        <v>2569</v>
      </c>
    </row>
    <row r="45" spans="1:16" x14ac:dyDescent="0.35">
      <c r="A45" s="34" t="str">
        <f t="shared" si="3"/>
        <v>2026 NOV-FEB B3 DISC 10%</v>
      </c>
      <c r="B45" s="35">
        <f t="shared" si="4"/>
        <v>46086</v>
      </c>
      <c r="C45" s="35">
        <f t="shared" si="5"/>
        <v>46092</v>
      </c>
      <c r="D45" s="34">
        <v>3321</v>
      </c>
      <c r="E45" s="34">
        <v>337</v>
      </c>
      <c r="F45" s="34">
        <v>4</v>
      </c>
      <c r="G45" s="70">
        <v>3</v>
      </c>
      <c r="H45" s="25">
        <v>81679</v>
      </c>
      <c r="I45" s="34" t="s">
        <v>2690</v>
      </c>
      <c r="J45" s="70">
        <v>61549377</v>
      </c>
      <c r="K45" s="70" t="s">
        <v>6933</v>
      </c>
      <c r="L45" s="85" t="s">
        <v>6935</v>
      </c>
      <c r="M45" s="84">
        <v>199900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3"/>
        <v>2026 NOV-FEB B3 DISC 10%</v>
      </c>
      <c r="B46" s="35">
        <f t="shared" si="4"/>
        <v>46086</v>
      </c>
      <c r="C46" s="35">
        <f t="shared" si="5"/>
        <v>46092</v>
      </c>
      <c r="D46" s="34">
        <v>3321</v>
      </c>
      <c r="E46" s="34">
        <v>337</v>
      </c>
      <c r="F46" s="34">
        <v>4</v>
      </c>
      <c r="G46" s="70">
        <v>3</v>
      </c>
      <c r="H46" s="25">
        <v>81679</v>
      </c>
      <c r="I46" s="34" t="s">
        <v>2690</v>
      </c>
      <c r="J46" s="70">
        <v>61549386</v>
      </c>
      <c r="K46" s="70" t="s">
        <v>6933</v>
      </c>
      <c r="L46" s="85" t="s">
        <v>6934</v>
      </c>
      <c r="M46" s="84">
        <v>199900</v>
      </c>
      <c r="N46" s="34" t="s">
        <v>2569</v>
      </c>
      <c r="O46" s="36" t="str">
        <f>O45</f>
        <v>B3 DISC 10%</v>
      </c>
      <c r="P46" s="34" t="s">
        <v>2569</v>
      </c>
    </row>
    <row r="47" spans="1:16" x14ac:dyDescent="0.35">
      <c r="A47" s="34" t="str">
        <f t="shared" si="3"/>
        <v>2026 NOV-FEB B3 DISC 10%</v>
      </c>
      <c r="B47" s="35">
        <f t="shared" si="4"/>
        <v>46086</v>
      </c>
      <c r="C47" s="35">
        <f t="shared" si="5"/>
        <v>46092</v>
      </c>
      <c r="D47" s="34">
        <v>3321</v>
      </c>
      <c r="E47" s="34">
        <v>337</v>
      </c>
      <c r="F47" s="34">
        <v>4</v>
      </c>
      <c r="G47" s="70">
        <v>4</v>
      </c>
      <c r="H47" s="25">
        <v>81679</v>
      </c>
      <c r="I47" s="34" t="s">
        <v>2690</v>
      </c>
      <c r="J47" s="70">
        <v>61549395</v>
      </c>
      <c r="K47" s="70" t="s">
        <v>6933</v>
      </c>
      <c r="L47" s="85" t="s">
        <v>6932</v>
      </c>
      <c r="M47" s="84">
        <v>129900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3"/>
        <v>2026 NOV-FEB B3 DISC 10%</v>
      </c>
      <c r="B48" s="35">
        <f t="shared" si="4"/>
        <v>46086</v>
      </c>
      <c r="C48" s="35">
        <f t="shared" si="5"/>
        <v>46092</v>
      </c>
      <c r="D48" s="34">
        <v>3321</v>
      </c>
      <c r="E48" s="34">
        <v>337</v>
      </c>
      <c r="F48" s="34">
        <v>4</v>
      </c>
      <c r="G48" s="70">
        <v>4</v>
      </c>
      <c r="H48" s="25">
        <v>81588</v>
      </c>
      <c r="I48" s="34" t="s">
        <v>2690</v>
      </c>
      <c r="J48" s="70">
        <v>61550061</v>
      </c>
      <c r="K48" s="70" t="s">
        <v>6928</v>
      </c>
      <c r="L48" s="85" t="s">
        <v>6931</v>
      </c>
      <c r="M48" s="84">
        <v>129900</v>
      </c>
      <c r="N48" s="34" t="s">
        <v>2569</v>
      </c>
      <c r="O48" s="36" t="str">
        <f>O47</f>
        <v>B3 DISC 10%</v>
      </c>
      <c r="P48" s="34" t="s">
        <v>2569</v>
      </c>
    </row>
    <row r="49" spans="1:16" x14ac:dyDescent="0.35">
      <c r="A49" s="34" t="str">
        <f t="shared" si="3"/>
        <v>2026 NOV-FEB B3 DISC 10%</v>
      </c>
      <c r="B49" s="35">
        <f t="shared" si="4"/>
        <v>46086</v>
      </c>
      <c r="C49" s="35">
        <f t="shared" si="5"/>
        <v>46092</v>
      </c>
      <c r="D49" s="34">
        <v>3321</v>
      </c>
      <c r="E49" s="34">
        <v>337</v>
      </c>
      <c r="F49" s="34">
        <v>4</v>
      </c>
      <c r="G49" s="70">
        <v>4</v>
      </c>
      <c r="H49" s="25">
        <v>81588</v>
      </c>
      <c r="I49" s="34" t="s">
        <v>2690</v>
      </c>
      <c r="J49" s="70">
        <v>61550070</v>
      </c>
      <c r="K49" s="70" t="s">
        <v>6928</v>
      </c>
      <c r="L49" s="85" t="s">
        <v>6930</v>
      </c>
      <c r="M49" s="84">
        <v>129900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3"/>
        <v>2026 NOV-FEB B3 DISC 10%</v>
      </c>
      <c r="B50" s="35">
        <f t="shared" si="4"/>
        <v>46086</v>
      </c>
      <c r="C50" s="35">
        <f t="shared" si="5"/>
        <v>46092</v>
      </c>
      <c r="D50" s="34">
        <v>3321</v>
      </c>
      <c r="E50" s="34">
        <v>337</v>
      </c>
      <c r="F50" s="34">
        <v>4</v>
      </c>
      <c r="G50" s="70">
        <v>4</v>
      </c>
      <c r="H50" s="25">
        <v>81588</v>
      </c>
      <c r="I50" s="34" t="s">
        <v>2690</v>
      </c>
      <c r="J50" s="70">
        <v>61550089</v>
      </c>
      <c r="K50" s="70" t="s">
        <v>6928</v>
      </c>
      <c r="L50" s="85" t="s">
        <v>6929</v>
      </c>
      <c r="M50" s="84">
        <v>129900</v>
      </c>
      <c r="N50" s="34" t="s">
        <v>2569</v>
      </c>
      <c r="O50" s="36" t="str">
        <f>O49</f>
        <v>B3 DISC 10%</v>
      </c>
      <c r="P50" s="34" t="s">
        <v>2569</v>
      </c>
    </row>
    <row r="51" spans="1:16" x14ac:dyDescent="0.35">
      <c r="A51" s="34" t="str">
        <f t="shared" si="3"/>
        <v>2026 NOV-FEB B3 DISC 10%</v>
      </c>
      <c r="B51" s="35">
        <f t="shared" si="4"/>
        <v>46086</v>
      </c>
      <c r="C51" s="35">
        <f t="shared" si="5"/>
        <v>46092</v>
      </c>
      <c r="D51" s="34">
        <v>3321</v>
      </c>
      <c r="E51" s="34">
        <v>337</v>
      </c>
      <c r="F51" s="34">
        <v>4</v>
      </c>
      <c r="G51" s="70">
        <v>4</v>
      </c>
      <c r="H51" s="25">
        <v>81588</v>
      </c>
      <c r="I51" s="34" t="s">
        <v>2690</v>
      </c>
      <c r="J51" s="70">
        <v>61550098</v>
      </c>
      <c r="K51" s="70" t="s">
        <v>6928</v>
      </c>
      <c r="L51" s="85" t="s">
        <v>6927</v>
      </c>
      <c r="M51" s="84">
        <v>99900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3"/>
        <v>2026 NOV-FEB B3 DISC 10%</v>
      </c>
      <c r="B52" s="35">
        <f t="shared" si="4"/>
        <v>46086</v>
      </c>
      <c r="C52" s="35">
        <f t="shared" si="5"/>
        <v>46092</v>
      </c>
      <c r="D52" s="34">
        <v>3321</v>
      </c>
      <c r="E52" s="34">
        <v>337</v>
      </c>
      <c r="F52" s="34">
        <v>4</v>
      </c>
      <c r="G52" s="70">
        <v>4</v>
      </c>
      <c r="H52" s="25">
        <v>81679</v>
      </c>
      <c r="I52" s="34" t="s">
        <v>2690</v>
      </c>
      <c r="J52" s="70">
        <v>61549402</v>
      </c>
      <c r="K52" s="70" t="s">
        <v>6921</v>
      </c>
      <c r="L52" s="85" t="s">
        <v>6926</v>
      </c>
      <c r="M52" s="84">
        <v>99900</v>
      </c>
      <c r="N52" s="34" t="s">
        <v>2569</v>
      </c>
      <c r="O52" s="36" t="str">
        <f>O51</f>
        <v>B3 DISC 10%</v>
      </c>
      <c r="P52" s="34" t="s">
        <v>2569</v>
      </c>
    </row>
    <row r="53" spans="1:16" x14ac:dyDescent="0.35">
      <c r="A53" s="34" t="str">
        <f t="shared" si="3"/>
        <v>2026 NOV-FEB B3 DISC 10%</v>
      </c>
      <c r="B53" s="35">
        <f t="shared" si="4"/>
        <v>46086</v>
      </c>
      <c r="C53" s="35">
        <f t="shared" si="5"/>
        <v>46092</v>
      </c>
      <c r="D53" s="34">
        <v>3321</v>
      </c>
      <c r="E53" s="34">
        <v>337</v>
      </c>
      <c r="F53" s="34">
        <v>4</v>
      </c>
      <c r="G53" s="70">
        <v>4</v>
      </c>
      <c r="H53" s="25">
        <v>81679</v>
      </c>
      <c r="I53" s="34" t="s">
        <v>2690</v>
      </c>
      <c r="J53" s="70">
        <v>61549411</v>
      </c>
      <c r="K53" s="70" t="s">
        <v>6921</v>
      </c>
      <c r="L53" s="85" t="s">
        <v>6925</v>
      </c>
      <c r="M53" s="84">
        <v>99900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3"/>
        <v>2026 NOV-FEB B3 DISC 10%</v>
      </c>
      <c r="B54" s="35">
        <f t="shared" si="4"/>
        <v>46086</v>
      </c>
      <c r="C54" s="35">
        <f t="shared" si="5"/>
        <v>46092</v>
      </c>
      <c r="D54" s="34">
        <v>3321</v>
      </c>
      <c r="E54" s="34">
        <v>337</v>
      </c>
      <c r="F54" s="34">
        <v>4</v>
      </c>
      <c r="G54" s="70">
        <v>4</v>
      </c>
      <c r="H54" s="25">
        <v>81679</v>
      </c>
      <c r="I54" s="34" t="s">
        <v>2690</v>
      </c>
      <c r="J54" s="70">
        <v>61549420</v>
      </c>
      <c r="K54" s="70" t="s">
        <v>6921</v>
      </c>
      <c r="L54" s="85" t="s">
        <v>6924</v>
      </c>
      <c r="M54" s="84">
        <v>99900</v>
      </c>
      <c r="N54" s="34" t="s">
        <v>2569</v>
      </c>
      <c r="O54" s="36" t="str">
        <f>O53</f>
        <v>B3 DISC 10%</v>
      </c>
      <c r="P54" s="34" t="s">
        <v>2569</v>
      </c>
    </row>
    <row r="55" spans="1:16" x14ac:dyDescent="0.35">
      <c r="A55" s="34" t="str">
        <f t="shared" si="3"/>
        <v>2026 NOV-FEB B3 DISC 10%</v>
      </c>
      <c r="B55" s="35">
        <f t="shared" si="4"/>
        <v>46086</v>
      </c>
      <c r="C55" s="35">
        <f t="shared" si="5"/>
        <v>46092</v>
      </c>
      <c r="D55" s="34">
        <v>3321</v>
      </c>
      <c r="E55" s="34">
        <v>337</v>
      </c>
      <c r="F55" s="34">
        <v>4</v>
      </c>
      <c r="G55" s="70">
        <v>4</v>
      </c>
      <c r="H55" s="25">
        <v>81679</v>
      </c>
      <c r="I55" s="34" t="s">
        <v>2690</v>
      </c>
      <c r="J55" s="70">
        <v>61549439</v>
      </c>
      <c r="K55" s="70" t="s">
        <v>6921</v>
      </c>
      <c r="L55" s="85" t="s">
        <v>6923</v>
      </c>
      <c r="M55" s="84">
        <v>99900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3"/>
        <v>2026 NOV-FEB B3 DISC 10%</v>
      </c>
      <c r="B56" s="35">
        <f t="shared" si="4"/>
        <v>46086</v>
      </c>
      <c r="C56" s="35">
        <f t="shared" si="5"/>
        <v>46092</v>
      </c>
      <c r="D56" s="34">
        <v>3321</v>
      </c>
      <c r="E56" s="34">
        <v>337</v>
      </c>
      <c r="F56" s="34">
        <v>4</v>
      </c>
      <c r="G56" s="70">
        <v>4</v>
      </c>
      <c r="H56" s="25">
        <v>81679</v>
      </c>
      <c r="I56" s="34" t="s">
        <v>2690</v>
      </c>
      <c r="J56" s="70">
        <v>61549448</v>
      </c>
      <c r="K56" s="70" t="s">
        <v>6921</v>
      </c>
      <c r="L56" s="85" t="s">
        <v>6922</v>
      </c>
      <c r="M56" s="84">
        <v>99900</v>
      </c>
      <c r="N56" s="34" t="s">
        <v>2569</v>
      </c>
      <c r="O56" s="36" t="str">
        <f>O55</f>
        <v>B3 DISC 10%</v>
      </c>
      <c r="P56" s="34" t="s">
        <v>2569</v>
      </c>
    </row>
    <row r="57" spans="1:16" x14ac:dyDescent="0.35">
      <c r="A57" s="34" t="str">
        <f t="shared" si="3"/>
        <v>2026 NOV-FEB B3 DISC 10%</v>
      </c>
      <c r="B57" s="35">
        <f t="shared" si="4"/>
        <v>46086</v>
      </c>
      <c r="C57" s="35">
        <f t="shared" si="5"/>
        <v>46092</v>
      </c>
      <c r="D57" s="34">
        <v>3321</v>
      </c>
      <c r="E57" s="34">
        <v>337</v>
      </c>
      <c r="F57" s="34">
        <v>4</v>
      </c>
      <c r="G57" s="70">
        <v>5</v>
      </c>
      <c r="H57" s="25">
        <v>81679</v>
      </c>
      <c r="I57" s="34" t="s">
        <v>2690</v>
      </c>
      <c r="J57" s="70">
        <v>61549457</v>
      </c>
      <c r="K57" s="70" t="s">
        <v>6921</v>
      </c>
      <c r="L57" s="85" t="s">
        <v>6920</v>
      </c>
      <c r="M57" s="8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3"/>
        <v>2026 NOV-FEB B3 DISC 10%</v>
      </c>
      <c r="B58" s="35">
        <f t="shared" si="4"/>
        <v>46086</v>
      </c>
      <c r="C58" s="35">
        <f t="shared" si="5"/>
        <v>46092</v>
      </c>
      <c r="D58" s="34">
        <v>3321</v>
      </c>
      <c r="E58" s="34">
        <v>337</v>
      </c>
      <c r="F58" s="34">
        <v>4</v>
      </c>
      <c r="G58" s="70">
        <v>5</v>
      </c>
      <c r="H58" s="25">
        <v>81005</v>
      </c>
      <c r="I58" s="34" t="s">
        <v>2690</v>
      </c>
      <c r="J58" s="70">
        <v>59168284</v>
      </c>
      <c r="K58" s="70" t="s">
        <v>6916</v>
      </c>
      <c r="L58" s="85" t="s">
        <v>6919</v>
      </c>
      <c r="M58" s="84">
        <v>179900</v>
      </c>
      <c r="N58" s="34" t="s">
        <v>2569</v>
      </c>
      <c r="O58" s="36" t="str">
        <f>O57</f>
        <v>B3 DISC 10%</v>
      </c>
      <c r="P58" s="34" t="s">
        <v>2569</v>
      </c>
    </row>
    <row r="59" spans="1:16" x14ac:dyDescent="0.35">
      <c r="A59" s="34" t="str">
        <f t="shared" si="3"/>
        <v>2026 NOV-FEB B3 DISC 10%</v>
      </c>
      <c r="B59" s="35">
        <f t="shared" si="4"/>
        <v>46086</v>
      </c>
      <c r="C59" s="35">
        <f t="shared" si="5"/>
        <v>46092</v>
      </c>
      <c r="D59" s="34">
        <v>3321</v>
      </c>
      <c r="E59" s="34">
        <v>337</v>
      </c>
      <c r="F59" s="34">
        <v>4</v>
      </c>
      <c r="G59" s="70">
        <v>5</v>
      </c>
      <c r="H59" s="25">
        <v>81005</v>
      </c>
      <c r="I59" s="34" t="s">
        <v>2690</v>
      </c>
      <c r="J59" s="70">
        <v>59168293</v>
      </c>
      <c r="K59" s="70" t="s">
        <v>6916</v>
      </c>
      <c r="L59" s="85" t="s">
        <v>6918</v>
      </c>
      <c r="M59" s="8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3"/>
        <v>2026 NOV-FEB B3 DISC 10%</v>
      </c>
      <c r="B60" s="35">
        <f t="shared" si="4"/>
        <v>46086</v>
      </c>
      <c r="C60" s="35">
        <f t="shared" si="5"/>
        <v>46092</v>
      </c>
      <c r="D60" s="34">
        <v>3321</v>
      </c>
      <c r="E60" s="34">
        <v>337</v>
      </c>
      <c r="F60" s="34">
        <v>4</v>
      </c>
      <c r="G60" s="70">
        <v>5</v>
      </c>
      <c r="H60" s="25">
        <v>81005</v>
      </c>
      <c r="I60" s="34" t="s">
        <v>2690</v>
      </c>
      <c r="J60" s="70">
        <v>59168300</v>
      </c>
      <c r="K60" s="70" t="s">
        <v>6916</v>
      </c>
      <c r="L60" s="85" t="s">
        <v>6917</v>
      </c>
      <c r="M60" s="84">
        <v>179900</v>
      </c>
      <c r="N60" s="34" t="s">
        <v>2569</v>
      </c>
      <c r="O60" s="36" t="str">
        <f>O59</f>
        <v>B3 DISC 10%</v>
      </c>
      <c r="P60" s="34" t="s">
        <v>2569</v>
      </c>
    </row>
    <row r="61" spans="1:16" x14ac:dyDescent="0.35">
      <c r="A61" s="34" t="str">
        <f t="shared" si="3"/>
        <v>2026 NOV-FEB B3 DISC 10%</v>
      </c>
      <c r="B61" s="35">
        <f t="shared" si="4"/>
        <v>46086</v>
      </c>
      <c r="C61" s="35">
        <f t="shared" si="5"/>
        <v>46092</v>
      </c>
      <c r="D61" s="34">
        <v>3321</v>
      </c>
      <c r="E61" s="34">
        <v>337</v>
      </c>
      <c r="F61" s="34">
        <v>4</v>
      </c>
      <c r="G61" s="70">
        <v>1</v>
      </c>
      <c r="H61" s="25">
        <v>81005</v>
      </c>
      <c r="I61" s="34" t="s">
        <v>2690</v>
      </c>
      <c r="J61" s="70">
        <v>59168319</v>
      </c>
      <c r="K61" s="70" t="s">
        <v>6916</v>
      </c>
      <c r="L61" s="85" t="s">
        <v>6915</v>
      </c>
      <c r="M61" s="84">
        <v>99900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3"/>
        <v>2026 NOV-FEB B3 DISC 10%</v>
      </c>
      <c r="B62" s="35">
        <f t="shared" si="4"/>
        <v>46086</v>
      </c>
      <c r="C62" s="35">
        <f t="shared" si="5"/>
        <v>46092</v>
      </c>
      <c r="D62" s="34">
        <v>3321</v>
      </c>
      <c r="E62" s="34">
        <v>337</v>
      </c>
      <c r="F62" s="34">
        <v>4</v>
      </c>
      <c r="G62" s="70">
        <v>1</v>
      </c>
      <c r="H62" s="25">
        <v>81588</v>
      </c>
      <c r="I62" s="34" t="s">
        <v>2690</v>
      </c>
      <c r="J62" s="70">
        <v>63152158</v>
      </c>
      <c r="K62" s="70" t="s">
        <v>6909</v>
      </c>
      <c r="L62" s="85" t="s">
        <v>6914</v>
      </c>
      <c r="M62" s="84">
        <v>99900</v>
      </c>
      <c r="N62" s="34" t="s">
        <v>2569</v>
      </c>
      <c r="O62" s="36" t="str">
        <f>O61</f>
        <v>B3 DISC 10%</v>
      </c>
      <c r="P62" s="34" t="s">
        <v>2569</v>
      </c>
    </row>
    <row r="63" spans="1:16" x14ac:dyDescent="0.35">
      <c r="A63" s="34" t="str">
        <f t="shared" si="3"/>
        <v>2026 NOV-FEB B3 DISC 10%</v>
      </c>
      <c r="B63" s="35">
        <f t="shared" si="4"/>
        <v>46086</v>
      </c>
      <c r="C63" s="35">
        <f t="shared" si="5"/>
        <v>46092</v>
      </c>
      <c r="D63" s="34">
        <v>3321</v>
      </c>
      <c r="E63" s="34">
        <v>337</v>
      </c>
      <c r="F63" s="34">
        <v>4</v>
      </c>
      <c r="G63" s="70">
        <v>1</v>
      </c>
      <c r="H63" s="25">
        <v>81588</v>
      </c>
      <c r="I63" s="34" t="s">
        <v>2690</v>
      </c>
      <c r="J63" s="72">
        <v>63152167</v>
      </c>
      <c r="K63" s="72" t="s">
        <v>6909</v>
      </c>
      <c r="L63" s="86" t="s">
        <v>6913</v>
      </c>
      <c r="M63" s="84">
        <v>99900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3"/>
        <v>2026 NOV-FEB B3 DISC 10%</v>
      </c>
      <c r="B64" s="35">
        <f t="shared" si="4"/>
        <v>46086</v>
      </c>
      <c r="C64" s="35">
        <f t="shared" si="5"/>
        <v>46092</v>
      </c>
      <c r="D64" s="34">
        <v>3321</v>
      </c>
      <c r="E64" s="34">
        <v>337</v>
      </c>
      <c r="F64" s="34">
        <v>4</v>
      </c>
      <c r="G64" s="70">
        <v>1</v>
      </c>
      <c r="H64" s="25">
        <v>81588</v>
      </c>
      <c r="I64" s="34" t="s">
        <v>2690</v>
      </c>
      <c r="J64" s="72">
        <v>63152176</v>
      </c>
      <c r="K64" s="72" t="s">
        <v>6909</v>
      </c>
      <c r="L64" s="86" t="s">
        <v>6912</v>
      </c>
      <c r="M64" s="84">
        <v>99900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3"/>
        <v>2026 NOV-FEB B3 DISC 10%</v>
      </c>
      <c r="B65" s="35">
        <f t="shared" si="4"/>
        <v>46086</v>
      </c>
      <c r="C65" s="35">
        <f t="shared" si="5"/>
        <v>46092</v>
      </c>
      <c r="D65" s="34">
        <v>3321</v>
      </c>
      <c r="E65" s="34">
        <v>337</v>
      </c>
      <c r="F65" s="34">
        <v>4</v>
      </c>
      <c r="G65" s="70">
        <v>1</v>
      </c>
      <c r="H65" s="25">
        <v>81588</v>
      </c>
      <c r="I65" s="34" t="s">
        <v>2690</v>
      </c>
      <c r="J65" s="72">
        <v>63152185</v>
      </c>
      <c r="K65" s="72" t="s">
        <v>6909</v>
      </c>
      <c r="L65" s="86" t="s">
        <v>6911</v>
      </c>
      <c r="M65" s="84">
        <v>99900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3"/>
        <v>2026 NOV-FEB B3 DISC 10%</v>
      </c>
      <c r="B66" s="35">
        <f t="shared" si="4"/>
        <v>46086</v>
      </c>
      <c r="C66" s="35">
        <f t="shared" si="5"/>
        <v>46092</v>
      </c>
      <c r="D66" s="34">
        <v>3321</v>
      </c>
      <c r="E66" s="34">
        <v>337</v>
      </c>
      <c r="F66" s="34">
        <v>4</v>
      </c>
      <c r="G66" s="70">
        <v>1</v>
      </c>
      <c r="H66" s="25">
        <v>81588</v>
      </c>
      <c r="I66" s="34" t="s">
        <v>2690</v>
      </c>
      <c r="J66" s="72">
        <v>63152194</v>
      </c>
      <c r="K66" s="72" t="s">
        <v>6909</v>
      </c>
      <c r="L66" s="86" t="s">
        <v>6910</v>
      </c>
      <c r="M66" s="84">
        <v>99900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ref="A67:A103" si="6">A66</f>
        <v>2026 NOV-FEB B3 DISC 10%</v>
      </c>
      <c r="B67" s="35">
        <f t="shared" ref="B67:B103" si="7">B66</f>
        <v>46086</v>
      </c>
      <c r="C67" s="35">
        <f t="shared" ref="C67:C103" si="8">C66</f>
        <v>46092</v>
      </c>
      <c r="D67" s="34">
        <v>3321</v>
      </c>
      <c r="E67" s="34">
        <v>337</v>
      </c>
      <c r="F67" s="34">
        <v>4</v>
      </c>
      <c r="G67" s="70">
        <v>1</v>
      </c>
      <c r="H67" s="25">
        <v>81588</v>
      </c>
      <c r="I67" s="34" t="s">
        <v>2690</v>
      </c>
      <c r="J67" s="72">
        <v>63152201</v>
      </c>
      <c r="K67" s="72" t="s">
        <v>6909</v>
      </c>
      <c r="L67" s="86" t="s">
        <v>6908</v>
      </c>
      <c r="M67" s="84">
        <v>99900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6"/>
        <v>2026 NOV-FEB B3 DISC 10%</v>
      </c>
      <c r="B68" s="35">
        <f t="shared" si="7"/>
        <v>46086</v>
      </c>
      <c r="C68" s="35">
        <f t="shared" si="8"/>
        <v>46092</v>
      </c>
      <c r="D68" s="34">
        <v>3321</v>
      </c>
      <c r="E68" s="34">
        <v>337</v>
      </c>
      <c r="F68" s="34">
        <v>4</v>
      </c>
      <c r="G68" s="70">
        <v>1</v>
      </c>
      <c r="H68" s="25">
        <v>81588</v>
      </c>
      <c r="I68" s="34" t="s">
        <v>2690</v>
      </c>
      <c r="J68" s="72">
        <v>63152078</v>
      </c>
      <c r="K68" s="72" t="s">
        <v>6904</v>
      </c>
      <c r="L68" s="86" t="s">
        <v>6907</v>
      </c>
      <c r="M68" s="84">
        <v>99900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6"/>
        <v>2026 NOV-FEB B3 DISC 10%</v>
      </c>
      <c r="B69" s="35">
        <f t="shared" si="7"/>
        <v>46086</v>
      </c>
      <c r="C69" s="35">
        <f t="shared" si="8"/>
        <v>46092</v>
      </c>
      <c r="D69" s="34">
        <v>3321</v>
      </c>
      <c r="E69" s="34">
        <v>337</v>
      </c>
      <c r="F69" s="34">
        <v>4</v>
      </c>
      <c r="G69" s="70">
        <v>1</v>
      </c>
      <c r="H69" s="25">
        <v>81588</v>
      </c>
      <c r="I69" s="34" t="s">
        <v>2690</v>
      </c>
      <c r="J69" s="72">
        <v>63152087</v>
      </c>
      <c r="K69" s="72" t="s">
        <v>6904</v>
      </c>
      <c r="L69" s="86" t="s">
        <v>6906</v>
      </c>
      <c r="M69" s="84">
        <v>99900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si="6"/>
        <v>2026 NOV-FEB B3 DISC 10%</v>
      </c>
      <c r="B70" s="35">
        <f t="shared" si="7"/>
        <v>46086</v>
      </c>
      <c r="C70" s="35">
        <f t="shared" si="8"/>
        <v>46092</v>
      </c>
      <c r="D70" s="34">
        <v>3321</v>
      </c>
      <c r="E70" s="34">
        <v>337</v>
      </c>
      <c r="F70" s="34">
        <v>4</v>
      </c>
      <c r="G70" s="70">
        <v>1</v>
      </c>
      <c r="H70" s="25">
        <v>81588</v>
      </c>
      <c r="I70" s="34" t="s">
        <v>2690</v>
      </c>
      <c r="J70" s="72">
        <v>63152096</v>
      </c>
      <c r="K70" s="72" t="s">
        <v>6904</v>
      </c>
      <c r="L70" s="86" t="s">
        <v>6905</v>
      </c>
      <c r="M70" s="84">
        <v>99900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6"/>
        <v>2026 NOV-FEB B3 DISC 10%</v>
      </c>
      <c r="B71" s="35">
        <f t="shared" si="7"/>
        <v>46086</v>
      </c>
      <c r="C71" s="35">
        <f t="shared" si="8"/>
        <v>46092</v>
      </c>
      <c r="D71" s="34">
        <v>3321</v>
      </c>
      <c r="E71" s="34">
        <v>337</v>
      </c>
      <c r="F71" s="34">
        <v>4</v>
      </c>
      <c r="G71" s="70">
        <v>3</v>
      </c>
      <c r="H71" s="25">
        <v>81588</v>
      </c>
      <c r="I71" s="34" t="s">
        <v>2690</v>
      </c>
      <c r="J71" s="72">
        <v>63152103</v>
      </c>
      <c r="K71" s="72" t="s">
        <v>6904</v>
      </c>
      <c r="L71" s="86" t="s">
        <v>6903</v>
      </c>
      <c r="M71" s="84">
        <v>199900</v>
      </c>
      <c r="N71" s="34" t="s">
        <v>2569</v>
      </c>
      <c r="O71" s="36" t="s">
        <v>6895</v>
      </c>
      <c r="P71" s="34" t="s">
        <v>2569</v>
      </c>
    </row>
    <row r="72" spans="1:16" x14ac:dyDescent="0.35">
      <c r="A72" s="34" t="str">
        <f t="shared" si="6"/>
        <v>2026 NOV-FEB B3 DISC 10%</v>
      </c>
      <c r="B72" s="35">
        <f t="shared" si="7"/>
        <v>46086</v>
      </c>
      <c r="C72" s="35">
        <f t="shared" si="8"/>
        <v>46092</v>
      </c>
      <c r="D72" s="34">
        <v>3321</v>
      </c>
      <c r="E72" s="34">
        <v>337</v>
      </c>
      <c r="F72" s="34">
        <v>4</v>
      </c>
      <c r="G72" s="70">
        <v>3</v>
      </c>
      <c r="H72" s="25">
        <v>81005</v>
      </c>
      <c r="I72" s="34" t="s">
        <v>2690</v>
      </c>
      <c r="J72" s="70">
        <v>63152274</v>
      </c>
      <c r="K72" s="70" t="s">
        <v>6897</v>
      </c>
      <c r="L72" s="85" t="s">
        <v>6902</v>
      </c>
      <c r="M72" s="84">
        <v>199900</v>
      </c>
      <c r="N72" s="34" t="s">
        <v>2569</v>
      </c>
      <c r="O72" s="36" t="str">
        <f>O71</f>
        <v>B3 DISC 10%</v>
      </c>
      <c r="P72" s="34" t="s">
        <v>2569</v>
      </c>
    </row>
    <row r="73" spans="1:16" x14ac:dyDescent="0.35">
      <c r="A73" s="34" t="str">
        <f t="shared" si="6"/>
        <v>2026 NOV-FEB B3 DISC 10%</v>
      </c>
      <c r="B73" s="35">
        <f t="shared" si="7"/>
        <v>46086</v>
      </c>
      <c r="C73" s="35">
        <f t="shared" si="8"/>
        <v>46092</v>
      </c>
      <c r="D73" s="34">
        <v>3321</v>
      </c>
      <c r="E73" s="34">
        <v>337</v>
      </c>
      <c r="F73" s="34">
        <v>4</v>
      </c>
      <c r="G73" s="70">
        <v>3</v>
      </c>
      <c r="H73" s="25">
        <v>81005</v>
      </c>
      <c r="I73" s="34" t="s">
        <v>2690</v>
      </c>
      <c r="J73" s="70">
        <v>63152283</v>
      </c>
      <c r="K73" s="70" t="s">
        <v>6897</v>
      </c>
      <c r="L73" s="85" t="s">
        <v>6901</v>
      </c>
      <c r="M73" s="84">
        <v>199900</v>
      </c>
      <c r="N73" s="34" t="s">
        <v>2569</v>
      </c>
      <c r="O73" s="36" t="s">
        <v>6895</v>
      </c>
      <c r="P73" s="34" t="s">
        <v>2569</v>
      </c>
    </row>
    <row r="74" spans="1:16" x14ac:dyDescent="0.35">
      <c r="A74" s="34" t="str">
        <f t="shared" si="6"/>
        <v>2026 NOV-FEB B3 DISC 10%</v>
      </c>
      <c r="B74" s="35">
        <f t="shared" si="7"/>
        <v>46086</v>
      </c>
      <c r="C74" s="35">
        <f t="shared" si="8"/>
        <v>46092</v>
      </c>
      <c r="D74" s="34">
        <v>3321</v>
      </c>
      <c r="E74" s="34">
        <v>337</v>
      </c>
      <c r="F74" s="34">
        <v>4</v>
      </c>
      <c r="G74" s="70">
        <v>3</v>
      </c>
      <c r="H74" s="25">
        <v>81005</v>
      </c>
      <c r="I74" s="34" t="s">
        <v>2690</v>
      </c>
      <c r="J74" s="70">
        <v>63152292</v>
      </c>
      <c r="K74" s="70" t="s">
        <v>6897</v>
      </c>
      <c r="L74" s="85" t="s">
        <v>6900</v>
      </c>
      <c r="M74" s="84">
        <v>199900</v>
      </c>
      <c r="N74" s="34" t="s">
        <v>2569</v>
      </c>
      <c r="O74" s="36" t="str">
        <f>O73</f>
        <v>B3 DISC 10%</v>
      </c>
      <c r="P74" s="34" t="s">
        <v>2569</v>
      </c>
    </row>
    <row r="75" spans="1:16" x14ac:dyDescent="0.35">
      <c r="A75" s="34" t="str">
        <f t="shared" si="6"/>
        <v>2026 NOV-FEB B3 DISC 10%</v>
      </c>
      <c r="B75" s="35">
        <f t="shared" si="7"/>
        <v>46086</v>
      </c>
      <c r="C75" s="35">
        <f t="shared" si="8"/>
        <v>46092</v>
      </c>
      <c r="D75" s="34">
        <v>3321</v>
      </c>
      <c r="E75" s="34">
        <v>337</v>
      </c>
      <c r="F75" s="34">
        <v>4</v>
      </c>
      <c r="G75" s="70">
        <v>3</v>
      </c>
      <c r="H75" s="25">
        <v>81005</v>
      </c>
      <c r="I75" s="34" t="s">
        <v>2690</v>
      </c>
      <c r="J75" s="70">
        <v>63152309</v>
      </c>
      <c r="K75" s="70" t="s">
        <v>6897</v>
      </c>
      <c r="L75" s="85" t="s">
        <v>6899</v>
      </c>
      <c r="M75" s="84">
        <v>199900</v>
      </c>
      <c r="N75" s="34" t="s">
        <v>2569</v>
      </c>
      <c r="O75" s="36" t="s">
        <v>6895</v>
      </c>
      <c r="P75" s="34" t="s">
        <v>2569</v>
      </c>
    </row>
    <row r="76" spans="1:16" x14ac:dyDescent="0.35">
      <c r="A76" s="34" t="str">
        <f t="shared" si="6"/>
        <v>2026 NOV-FEB B3 DISC 10%</v>
      </c>
      <c r="B76" s="35">
        <f t="shared" si="7"/>
        <v>46086</v>
      </c>
      <c r="C76" s="35">
        <f t="shared" si="8"/>
        <v>46092</v>
      </c>
      <c r="D76" s="34">
        <v>3321</v>
      </c>
      <c r="E76" s="34">
        <v>337</v>
      </c>
      <c r="F76" s="34">
        <v>4</v>
      </c>
      <c r="G76" s="70">
        <v>3</v>
      </c>
      <c r="H76" s="25">
        <v>81005</v>
      </c>
      <c r="I76" s="34" t="s">
        <v>2690</v>
      </c>
      <c r="J76" s="70">
        <v>63152318</v>
      </c>
      <c r="K76" s="70" t="s">
        <v>6897</v>
      </c>
      <c r="L76" s="85" t="s">
        <v>6898</v>
      </c>
      <c r="M76" s="84">
        <v>199900</v>
      </c>
      <c r="N76" s="34" t="s">
        <v>2569</v>
      </c>
      <c r="O76" s="36" t="str">
        <f>O75</f>
        <v>B3 DISC 10%</v>
      </c>
      <c r="P76" s="34" t="s">
        <v>2569</v>
      </c>
    </row>
    <row r="77" spans="1:16" x14ac:dyDescent="0.35">
      <c r="A77" s="34" t="str">
        <f t="shared" si="6"/>
        <v>2026 NOV-FEB B3 DISC 10%</v>
      </c>
      <c r="B77" s="35">
        <f t="shared" si="7"/>
        <v>46086</v>
      </c>
      <c r="C77" s="35">
        <f t="shared" si="8"/>
        <v>46092</v>
      </c>
      <c r="D77" s="34">
        <v>3321</v>
      </c>
      <c r="E77" s="34">
        <v>337</v>
      </c>
      <c r="F77" s="34">
        <v>4</v>
      </c>
      <c r="G77" s="70">
        <v>4</v>
      </c>
      <c r="H77" s="25">
        <v>81005</v>
      </c>
      <c r="I77" s="34" t="s">
        <v>2690</v>
      </c>
      <c r="J77" s="70">
        <v>63152327</v>
      </c>
      <c r="K77" s="70" t="s">
        <v>6897</v>
      </c>
      <c r="L77" s="85" t="s">
        <v>6896</v>
      </c>
      <c r="M77" s="84">
        <v>149900</v>
      </c>
      <c r="N77" s="34" t="s">
        <v>2569</v>
      </c>
      <c r="O77" s="36" t="s">
        <v>6895</v>
      </c>
      <c r="P77" s="34" t="s">
        <v>2569</v>
      </c>
    </row>
    <row r="78" spans="1:16" x14ac:dyDescent="0.35">
      <c r="A78" s="34" t="str">
        <f t="shared" si="6"/>
        <v>2026 NOV-FEB B3 DISC 10%</v>
      </c>
      <c r="B78" s="35">
        <f t="shared" si="7"/>
        <v>46086</v>
      </c>
      <c r="C78" s="35">
        <f t="shared" si="8"/>
        <v>46092</v>
      </c>
      <c r="D78" s="34">
        <v>3321</v>
      </c>
      <c r="E78" s="34">
        <v>337</v>
      </c>
      <c r="F78" s="34">
        <v>4</v>
      </c>
      <c r="G78" s="70">
        <v>4</v>
      </c>
      <c r="H78" s="25">
        <v>81588</v>
      </c>
      <c r="I78" s="34" t="s">
        <v>2690</v>
      </c>
      <c r="J78" s="70">
        <v>63151971</v>
      </c>
      <c r="K78" s="70" t="s">
        <v>6889</v>
      </c>
      <c r="L78" s="85" t="s">
        <v>6894</v>
      </c>
      <c r="M78" s="84">
        <v>149900</v>
      </c>
      <c r="N78" s="34" t="s">
        <v>2569</v>
      </c>
      <c r="O78" s="36" t="str">
        <f t="shared" ref="O78:O103" si="9">O77</f>
        <v>B3 DISC 10%</v>
      </c>
      <c r="P78" s="34" t="s">
        <v>2569</v>
      </c>
    </row>
    <row r="79" spans="1:16" x14ac:dyDescent="0.35">
      <c r="A79" s="34" t="str">
        <f t="shared" si="6"/>
        <v>2026 NOV-FEB B3 DISC 10%</v>
      </c>
      <c r="B79" s="35">
        <f t="shared" si="7"/>
        <v>46086</v>
      </c>
      <c r="C79" s="35">
        <f t="shared" si="8"/>
        <v>46092</v>
      </c>
      <c r="D79" s="34">
        <v>3321</v>
      </c>
      <c r="E79" s="34">
        <v>337</v>
      </c>
      <c r="F79" s="34">
        <v>4</v>
      </c>
      <c r="G79" s="70">
        <v>4</v>
      </c>
      <c r="H79" s="25">
        <v>81588</v>
      </c>
      <c r="I79" s="34" t="s">
        <v>2690</v>
      </c>
      <c r="J79" s="70">
        <v>63151980</v>
      </c>
      <c r="K79" s="70" t="s">
        <v>6889</v>
      </c>
      <c r="L79" s="85" t="s">
        <v>6893</v>
      </c>
      <c r="M79" s="84">
        <v>149900</v>
      </c>
      <c r="N79" s="34" t="s">
        <v>2569</v>
      </c>
      <c r="O79" s="36" t="str">
        <f t="shared" si="9"/>
        <v>B3 DISC 10%</v>
      </c>
      <c r="P79" s="34" t="s">
        <v>2569</v>
      </c>
    </row>
    <row r="80" spans="1:16" x14ac:dyDescent="0.35">
      <c r="A80" s="34" t="str">
        <f t="shared" si="6"/>
        <v>2026 NOV-FEB B3 DISC 10%</v>
      </c>
      <c r="B80" s="35">
        <f t="shared" si="7"/>
        <v>46086</v>
      </c>
      <c r="C80" s="35">
        <f t="shared" si="8"/>
        <v>46092</v>
      </c>
      <c r="D80" s="34">
        <v>3321</v>
      </c>
      <c r="E80" s="34">
        <v>337</v>
      </c>
      <c r="F80" s="34">
        <v>4</v>
      </c>
      <c r="G80" s="70">
        <v>4</v>
      </c>
      <c r="H80" s="25">
        <v>81588</v>
      </c>
      <c r="I80" s="34" t="s">
        <v>2690</v>
      </c>
      <c r="J80" s="70">
        <v>63151999</v>
      </c>
      <c r="K80" s="70" t="s">
        <v>6889</v>
      </c>
      <c r="L80" s="85" t="s">
        <v>6892</v>
      </c>
      <c r="M80" s="84">
        <v>149900</v>
      </c>
      <c r="N80" s="34" t="s">
        <v>2569</v>
      </c>
      <c r="O80" s="36" t="str">
        <f t="shared" si="9"/>
        <v>B3 DISC 10%</v>
      </c>
      <c r="P80" s="34" t="s">
        <v>2569</v>
      </c>
    </row>
    <row r="81" spans="1:16" x14ac:dyDescent="0.35">
      <c r="A81" s="34" t="str">
        <f t="shared" si="6"/>
        <v>2026 NOV-FEB B3 DISC 10%</v>
      </c>
      <c r="B81" s="35">
        <f t="shared" si="7"/>
        <v>46086</v>
      </c>
      <c r="C81" s="35">
        <f t="shared" si="8"/>
        <v>46092</v>
      </c>
      <c r="D81" s="34">
        <v>3321</v>
      </c>
      <c r="E81" s="34">
        <v>337</v>
      </c>
      <c r="F81" s="34">
        <v>4</v>
      </c>
      <c r="G81" s="70">
        <v>4</v>
      </c>
      <c r="H81" s="25">
        <v>81588</v>
      </c>
      <c r="I81" s="34" t="s">
        <v>2690</v>
      </c>
      <c r="J81" s="70">
        <v>63152005</v>
      </c>
      <c r="K81" s="70" t="s">
        <v>6889</v>
      </c>
      <c r="L81" s="85" t="s">
        <v>6891</v>
      </c>
      <c r="M81" s="84">
        <v>149900</v>
      </c>
      <c r="N81" s="34" t="s">
        <v>2569</v>
      </c>
      <c r="O81" s="36" t="str">
        <f t="shared" si="9"/>
        <v>B3 DISC 10%</v>
      </c>
      <c r="P81" s="34" t="s">
        <v>2569</v>
      </c>
    </row>
    <row r="82" spans="1:16" x14ac:dyDescent="0.35">
      <c r="A82" s="34" t="str">
        <f t="shared" si="6"/>
        <v>2026 NOV-FEB B3 DISC 10%</v>
      </c>
      <c r="B82" s="35">
        <f t="shared" si="7"/>
        <v>46086</v>
      </c>
      <c r="C82" s="35">
        <f t="shared" si="8"/>
        <v>46092</v>
      </c>
      <c r="D82" s="34">
        <v>3321</v>
      </c>
      <c r="E82" s="34">
        <v>337</v>
      </c>
      <c r="F82" s="34">
        <v>4</v>
      </c>
      <c r="G82" s="70">
        <v>4</v>
      </c>
      <c r="H82" s="25">
        <v>81588</v>
      </c>
      <c r="I82" s="34" t="s">
        <v>2690</v>
      </c>
      <c r="J82" s="70">
        <v>63152014</v>
      </c>
      <c r="K82" s="70" t="s">
        <v>6889</v>
      </c>
      <c r="L82" s="85" t="s">
        <v>6890</v>
      </c>
      <c r="M82" s="84">
        <v>149900</v>
      </c>
      <c r="N82" s="34" t="s">
        <v>2569</v>
      </c>
      <c r="O82" s="36" t="str">
        <f t="shared" si="9"/>
        <v>B3 DISC 10%</v>
      </c>
      <c r="P82" s="34" t="s">
        <v>2569</v>
      </c>
    </row>
    <row r="83" spans="1:16" x14ac:dyDescent="0.35">
      <c r="A83" s="34" t="str">
        <f t="shared" si="6"/>
        <v>2026 NOV-FEB B3 DISC 10%</v>
      </c>
      <c r="B83" s="35">
        <f t="shared" si="7"/>
        <v>46086</v>
      </c>
      <c r="C83" s="35">
        <f t="shared" si="8"/>
        <v>46092</v>
      </c>
      <c r="D83" s="34">
        <v>3321</v>
      </c>
      <c r="E83" s="34">
        <v>337</v>
      </c>
      <c r="F83" s="34">
        <v>4</v>
      </c>
      <c r="G83" s="70">
        <v>4</v>
      </c>
      <c r="H83" s="25">
        <v>81588</v>
      </c>
      <c r="I83" s="34" t="s">
        <v>2690</v>
      </c>
      <c r="J83" s="70">
        <v>63152023</v>
      </c>
      <c r="K83" s="70" t="s">
        <v>6889</v>
      </c>
      <c r="L83" s="85" t="s">
        <v>6888</v>
      </c>
      <c r="M83" s="84">
        <v>149900</v>
      </c>
      <c r="N83" s="34" t="s">
        <v>2569</v>
      </c>
      <c r="O83" s="36" t="str">
        <f t="shared" si="9"/>
        <v>B3 DISC 10%</v>
      </c>
      <c r="P83" s="34" t="s">
        <v>2569</v>
      </c>
    </row>
    <row r="84" spans="1:16" x14ac:dyDescent="0.35">
      <c r="A84" s="34" t="str">
        <f t="shared" si="6"/>
        <v>2026 NOV-FEB B3 DISC 10%</v>
      </c>
      <c r="B84" s="35">
        <f t="shared" si="7"/>
        <v>46086</v>
      </c>
      <c r="C84" s="35">
        <f t="shared" si="8"/>
        <v>46092</v>
      </c>
      <c r="D84" s="34">
        <v>3321</v>
      </c>
      <c r="E84" s="34">
        <v>337</v>
      </c>
      <c r="F84" s="34">
        <v>4</v>
      </c>
      <c r="G84" s="70">
        <v>4</v>
      </c>
      <c r="H84" s="25">
        <v>81588</v>
      </c>
      <c r="I84" s="34" t="s">
        <v>2690</v>
      </c>
      <c r="J84" s="70">
        <v>63152112</v>
      </c>
      <c r="K84" s="70" t="s">
        <v>6884</v>
      </c>
      <c r="L84" s="85" t="s">
        <v>6887</v>
      </c>
      <c r="M84" s="84">
        <v>149900</v>
      </c>
      <c r="N84" s="34" t="s">
        <v>2569</v>
      </c>
      <c r="O84" s="36" t="str">
        <f t="shared" si="9"/>
        <v>B3 DISC 10%</v>
      </c>
      <c r="P84" s="34" t="s">
        <v>2569</v>
      </c>
    </row>
    <row r="85" spans="1:16" x14ac:dyDescent="0.35">
      <c r="A85" s="34" t="str">
        <f t="shared" si="6"/>
        <v>2026 NOV-FEB B3 DISC 10%</v>
      </c>
      <c r="B85" s="35">
        <f t="shared" si="7"/>
        <v>46086</v>
      </c>
      <c r="C85" s="35">
        <f t="shared" si="8"/>
        <v>46092</v>
      </c>
      <c r="D85" s="34">
        <v>3321</v>
      </c>
      <c r="E85" s="34">
        <v>337</v>
      </c>
      <c r="F85" s="34">
        <v>4</v>
      </c>
      <c r="G85" s="70">
        <v>4</v>
      </c>
      <c r="H85" s="25">
        <v>81588</v>
      </c>
      <c r="I85" s="34" t="s">
        <v>2690</v>
      </c>
      <c r="J85" s="70">
        <v>63152121</v>
      </c>
      <c r="K85" s="70" t="s">
        <v>6884</v>
      </c>
      <c r="L85" s="85" t="s">
        <v>6886</v>
      </c>
      <c r="M85" s="84">
        <v>149900</v>
      </c>
      <c r="N85" s="34" t="s">
        <v>2569</v>
      </c>
      <c r="O85" s="36" t="str">
        <f t="shared" si="9"/>
        <v>B3 DISC 10%</v>
      </c>
      <c r="P85" s="34" t="s">
        <v>2569</v>
      </c>
    </row>
    <row r="86" spans="1:16" x14ac:dyDescent="0.35">
      <c r="A86" s="34" t="str">
        <f t="shared" si="6"/>
        <v>2026 NOV-FEB B3 DISC 10%</v>
      </c>
      <c r="B86" s="35">
        <f t="shared" si="7"/>
        <v>46086</v>
      </c>
      <c r="C86" s="35">
        <f t="shared" si="8"/>
        <v>46092</v>
      </c>
      <c r="D86" s="34">
        <v>3321</v>
      </c>
      <c r="E86" s="34">
        <v>337</v>
      </c>
      <c r="F86" s="34">
        <v>4</v>
      </c>
      <c r="G86" s="70">
        <v>4</v>
      </c>
      <c r="H86" s="25">
        <v>81588</v>
      </c>
      <c r="I86" s="34" t="s">
        <v>2690</v>
      </c>
      <c r="J86" s="70">
        <v>63152130</v>
      </c>
      <c r="K86" s="70" t="s">
        <v>6884</v>
      </c>
      <c r="L86" s="85" t="s">
        <v>6885</v>
      </c>
      <c r="M86" s="84">
        <v>149900</v>
      </c>
      <c r="N86" s="34" t="s">
        <v>2569</v>
      </c>
      <c r="O86" s="36" t="str">
        <f t="shared" si="9"/>
        <v>B3 DISC 10%</v>
      </c>
      <c r="P86" s="34" t="s">
        <v>2569</v>
      </c>
    </row>
    <row r="87" spans="1:16" x14ac:dyDescent="0.35">
      <c r="A87" s="34" t="str">
        <f t="shared" si="6"/>
        <v>2026 NOV-FEB B3 DISC 10%</v>
      </c>
      <c r="B87" s="35">
        <f t="shared" si="7"/>
        <v>46086</v>
      </c>
      <c r="C87" s="35">
        <f t="shared" si="8"/>
        <v>46092</v>
      </c>
      <c r="D87" s="34">
        <v>3321</v>
      </c>
      <c r="E87" s="34">
        <v>337</v>
      </c>
      <c r="F87" s="34">
        <v>4</v>
      </c>
      <c r="G87" s="70">
        <v>4</v>
      </c>
      <c r="H87" s="25">
        <v>81588</v>
      </c>
      <c r="I87" s="34" t="s">
        <v>2690</v>
      </c>
      <c r="J87" s="70">
        <v>63152149</v>
      </c>
      <c r="K87" s="70" t="s">
        <v>6884</v>
      </c>
      <c r="L87" s="85" t="s">
        <v>6883</v>
      </c>
      <c r="M87" s="84">
        <v>149900</v>
      </c>
      <c r="N87" s="34" t="s">
        <v>2569</v>
      </c>
      <c r="O87" s="36" t="str">
        <f t="shared" si="9"/>
        <v>B3 DISC 10%</v>
      </c>
      <c r="P87" s="34" t="s">
        <v>2569</v>
      </c>
    </row>
    <row r="88" spans="1:16" x14ac:dyDescent="0.35">
      <c r="A88" s="34" t="str">
        <f t="shared" si="6"/>
        <v>2026 NOV-FEB B3 DISC 10%</v>
      </c>
      <c r="B88" s="35">
        <f t="shared" si="7"/>
        <v>46086</v>
      </c>
      <c r="C88" s="35">
        <f t="shared" si="8"/>
        <v>46092</v>
      </c>
      <c r="D88" s="34">
        <v>3321</v>
      </c>
      <c r="E88" s="34">
        <v>337</v>
      </c>
      <c r="F88" s="34">
        <v>4</v>
      </c>
      <c r="G88" s="70">
        <v>5</v>
      </c>
      <c r="H88" s="25">
        <v>81588</v>
      </c>
      <c r="I88" s="34" t="s">
        <v>2690</v>
      </c>
      <c r="J88" s="70">
        <v>63152210</v>
      </c>
      <c r="K88" s="70" t="s">
        <v>6877</v>
      </c>
      <c r="L88" s="85" t="s">
        <v>6882</v>
      </c>
      <c r="M88" s="84">
        <v>149900</v>
      </c>
      <c r="N88" s="34" t="s">
        <v>2569</v>
      </c>
      <c r="O88" s="36" t="str">
        <f t="shared" si="9"/>
        <v>B3 DISC 10%</v>
      </c>
      <c r="P88" s="34" t="s">
        <v>2569</v>
      </c>
    </row>
    <row r="89" spans="1:16" x14ac:dyDescent="0.35">
      <c r="A89" s="34" t="str">
        <f t="shared" si="6"/>
        <v>2026 NOV-FEB B3 DISC 10%</v>
      </c>
      <c r="B89" s="35">
        <f t="shared" si="7"/>
        <v>46086</v>
      </c>
      <c r="C89" s="35">
        <f t="shared" si="8"/>
        <v>46092</v>
      </c>
      <c r="D89" s="34">
        <v>3321</v>
      </c>
      <c r="E89" s="34">
        <v>337</v>
      </c>
      <c r="F89" s="34">
        <v>4</v>
      </c>
      <c r="G89" s="70">
        <v>5</v>
      </c>
      <c r="H89" s="25">
        <v>81588</v>
      </c>
      <c r="I89" s="34" t="s">
        <v>2690</v>
      </c>
      <c r="J89" s="70">
        <v>63152229</v>
      </c>
      <c r="K89" s="70" t="s">
        <v>6877</v>
      </c>
      <c r="L89" s="85" t="s">
        <v>6881</v>
      </c>
      <c r="M89" s="84">
        <v>149900</v>
      </c>
      <c r="N89" s="34" t="s">
        <v>2569</v>
      </c>
      <c r="O89" s="36" t="str">
        <f t="shared" si="9"/>
        <v>B3 DISC 10%</v>
      </c>
      <c r="P89" s="34" t="s">
        <v>2569</v>
      </c>
    </row>
    <row r="90" spans="1:16" x14ac:dyDescent="0.35">
      <c r="A90" s="34" t="str">
        <f t="shared" si="6"/>
        <v>2026 NOV-FEB B3 DISC 10%</v>
      </c>
      <c r="B90" s="35">
        <f t="shared" si="7"/>
        <v>46086</v>
      </c>
      <c r="C90" s="35">
        <f t="shared" si="8"/>
        <v>46092</v>
      </c>
      <c r="D90" s="34">
        <v>3321</v>
      </c>
      <c r="E90" s="34">
        <v>337</v>
      </c>
      <c r="F90" s="34">
        <v>4</v>
      </c>
      <c r="G90" s="70">
        <v>5</v>
      </c>
      <c r="H90" s="25">
        <v>81588</v>
      </c>
      <c r="I90" s="34" t="s">
        <v>2690</v>
      </c>
      <c r="J90" s="70">
        <v>63152238</v>
      </c>
      <c r="K90" s="70" t="s">
        <v>6877</v>
      </c>
      <c r="L90" s="85" t="s">
        <v>6880</v>
      </c>
      <c r="M90" s="84">
        <v>149900</v>
      </c>
      <c r="N90" s="34" t="s">
        <v>2569</v>
      </c>
      <c r="O90" s="36" t="str">
        <f t="shared" si="9"/>
        <v>B3 DISC 10%</v>
      </c>
      <c r="P90" s="34" t="s">
        <v>2569</v>
      </c>
    </row>
    <row r="91" spans="1:16" x14ac:dyDescent="0.35">
      <c r="A91" s="34" t="str">
        <f t="shared" si="6"/>
        <v>2026 NOV-FEB B3 DISC 10%</v>
      </c>
      <c r="B91" s="35">
        <f t="shared" si="7"/>
        <v>46086</v>
      </c>
      <c r="C91" s="35">
        <f t="shared" si="8"/>
        <v>46092</v>
      </c>
      <c r="D91" s="34">
        <v>3321</v>
      </c>
      <c r="E91" s="34">
        <v>337</v>
      </c>
      <c r="F91" s="34">
        <v>4</v>
      </c>
      <c r="G91" s="70">
        <v>5</v>
      </c>
      <c r="H91" s="25">
        <v>81588</v>
      </c>
      <c r="I91" s="34" t="s">
        <v>2690</v>
      </c>
      <c r="J91" s="70">
        <v>63152247</v>
      </c>
      <c r="K91" s="70" t="s">
        <v>6877</v>
      </c>
      <c r="L91" s="85" t="s">
        <v>6879</v>
      </c>
      <c r="M91" s="84">
        <v>149900</v>
      </c>
      <c r="N91" s="34" t="s">
        <v>2569</v>
      </c>
      <c r="O91" s="36" t="str">
        <f t="shared" si="9"/>
        <v>B3 DISC 10%</v>
      </c>
      <c r="P91" s="34" t="s">
        <v>2569</v>
      </c>
    </row>
    <row r="92" spans="1:16" x14ac:dyDescent="0.35">
      <c r="A92" s="34" t="str">
        <f t="shared" si="6"/>
        <v>2026 NOV-FEB B3 DISC 10%</v>
      </c>
      <c r="B92" s="35">
        <f t="shared" si="7"/>
        <v>46086</v>
      </c>
      <c r="C92" s="35">
        <f t="shared" si="8"/>
        <v>46092</v>
      </c>
      <c r="D92" s="34">
        <v>3321</v>
      </c>
      <c r="E92" s="34">
        <v>337</v>
      </c>
      <c r="F92" s="34">
        <v>4</v>
      </c>
      <c r="G92" s="70">
        <v>5</v>
      </c>
      <c r="H92" s="25">
        <v>81588</v>
      </c>
      <c r="I92" s="34" t="s">
        <v>2690</v>
      </c>
      <c r="J92" s="70">
        <v>63152256</v>
      </c>
      <c r="K92" s="70" t="s">
        <v>6877</v>
      </c>
      <c r="L92" s="85" t="s">
        <v>6878</v>
      </c>
      <c r="M92" s="84">
        <v>149900</v>
      </c>
      <c r="N92" s="34" t="s">
        <v>2569</v>
      </c>
      <c r="O92" s="36" t="str">
        <f t="shared" si="9"/>
        <v>B3 DISC 10%</v>
      </c>
      <c r="P92" s="34" t="s">
        <v>2569</v>
      </c>
    </row>
    <row r="93" spans="1:16" x14ac:dyDescent="0.35">
      <c r="A93" s="34" t="str">
        <f t="shared" si="6"/>
        <v>2026 NOV-FEB B3 DISC 10%</v>
      </c>
      <c r="B93" s="35">
        <f t="shared" si="7"/>
        <v>46086</v>
      </c>
      <c r="C93" s="35">
        <f t="shared" si="8"/>
        <v>46092</v>
      </c>
      <c r="D93" s="34">
        <v>3321</v>
      </c>
      <c r="E93" s="34">
        <v>337</v>
      </c>
      <c r="F93" s="34">
        <v>4</v>
      </c>
      <c r="G93" s="70">
        <v>5</v>
      </c>
      <c r="H93" s="25">
        <v>81588</v>
      </c>
      <c r="I93" s="34" t="s">
        <v>2690</v>
      </c>
      <c r="J93" s="70">
        <v>63152265</v>
      </c>
      <c r="K93" s="70" t="s">
        <v>6877</v>
      </c>
      <c r="L93" s="85" t="s">
        <v>6876</v>
      </c>
      <c r="M93" s="84">
        <v>149900</v>
      </c>
      <c r="N93" s="34" t="s">
        <v>2569</v>
      </c>
      <c r="O93" s="36" t="str">
        <f t="shared" si="9"/>
        <v>B3 DISC 10%</v>
      </c>
      <c r="P93" s="34" t="s">
        <v>2569</v>
      </c>
    </row>
    <row r="94" spans="1:16" x14ac:dyDescent="0.35">
      <c r="A94" s="34" t="str">
        <f t="shared" si="6"/>
        <v>2026 NOV-FEB B3 DISC 10%</v>
      </c>
      <c r="B94" s="35">
        <f t="shared" si="7"/>
        <v>46086</v>
      </c>
      <c r="C94" s="35">
        <f t="shared" si="8"/>
        <v>46092</v>
      </c>
      <c r="D94" s="34">
        <v>3321</v>
      </c>
      <c r="E94" s="34">
        <v>337</v>
      </c>
      <c r="F94" s="34">
        <v>4</v>
      </c>
      <c r="G94" s="70">
        <v>1</v>
      </c>
      <c r="H94" s="25">
        <v>81588</v>
      </c>
      <c r="I94" s="34" t="s">
        <v>2690</v>
      </c>
      <c r="J94" s="70">
        <v>63151873</v>
      </c>
      <c r="K94" s="70" t="s">
        <v>6870</v>
      </c>
      <c r="L94" s="85" t="s">
        <v>6875</v>
      </c>
      <c r="M94" s="84">
        <v>99900</v>
      </c>
      <c r="N94" s="34" t="s">
        <v>2569</v>
      </c>
      <c r="O94" s="36" t="str">
        <f t="shared" si="9"/>
        <v>B3 DISC 10%</v>
      </c>
      <c r="P94" s="34" t="s">
        <v>2569</v>
      </c>
    </row>
    <row r="95" spans="1:16" x14ac:dyDescent="0.35">
      <c r="A95" s="34" t="str">
        <f t="shared" si="6"/>
        <v>2026 NOV-FEB B3 DISC 10%</v>
      </c>
      <c r="B95" s="35">
        <f t="shared" si="7"/>
        <v>46086</v>
      </c>
      <c r="C95" s="35">
        <f t="shared" si="8"/>
        <v>46092</v>
      </c>
      <c r="D95" s="34">
        <v>3321</v>
      </c>
      <c r="E95" s="34">
        <v>337</v>
      </c>
      <c r="F95" s="34">
        <v>4</v>
      </c>
      <c r="G95" s="70">
        <v>1</v>
      </c>
      <c r="H95" s="25">
        <v>81588</v>
      </c>
      <c r="I95" s="34" t="s">
        <v>2690</v>
      </c>
      <c r="J95" s="70">
        <v>63151882</v>
      </c>
      <c r="K95" s="70" t="s">
        <v>6870</v>
      </c>
      <c r="L95" s="85" t="s">
        <v>6874</v>
      </c>
      <c r="M95" s="84">
        <v>99900</v>
      </c>
      <c r="N95" s="34" t="s">
        <v>2569</v>
      </c>
      <c r="O95" s="36" t="str">
        <f t="shared" si="9"/>
        <v>B3 DISC 10%</v>
      </c>
      <c r="P95" s="34" t="s">
        <v>2569</v>
      </c>
    </row>
    <row r="96" spans="1:16" x14ac:dyDescent="0.35">
      <c r="A96" s="34" t="str">
        <f t="shared" si="6"/>
        <v>2026 NOV-FEB B3 DISC 10%</v>
      </c>
      <c r="B96" s="35">
        <f t="shared" si="7"/>
        <v>46086</v>
      </c>
      <c r="C96" s="35">
        <f t="shared" si="8"/>
        <v>46092</v>
      </c>
      <c r="D96" s="34">
        <v>3321</v>
      </c>
      <c r="E96" s="34">
        <v>337</v>
      </c>
      <c r="F96" s="34">
        <v>4</v>
      </c>
      <c r="G96" s="70">
        <v>1</v>
      </c>
      <c r="H96" s="25">
        <v>81588</v>
      </c>
      <c r="I96" s="34" t="s">
        <v>2690</v>
      </c>
      <c r="J96" s="70">
        <v>63151891</v>
      </c>
      <c r="K96" s="70" t="s">
        <v>6870</v>
      </c>
      <c r="L96" s="85" t="s">
        <v>6873</v>
      </c>
      <c r="M96" s="84">
        <v>99900</v>
      </c>
      <c r="N96" s="34" t="s">
        <v>2569</v>
      </c>
      <c r="O96" s="36" t="str">
        <f t="shared" si="9"/>
        <v>B3 DISC 10%</v>
      </c>
      <c r="P96" s="34" t="s">
        <v>2569</v>
      </c>
    </row>
    <row r="97" spans="1:16" x14ac:dyDescent="0.35">
      <c r="A97" s="34" t="str">
        <f t="shared" si="6"/>
        <v>2026 NOV-FEB B3 DISC 10%</v>
      </c>
      <c r="B97" s="35">
        <f t="shared" si="7"/>
        <v>46086</v>
      </c>
      <c r="C97" s="35">
        <f t="shared" si="8"/>
        <v>46092</v>
      </c>
      <c r="D97" s="34">
        <v>3321</v>
      </c>
      <c r="E97" s="34">
        <v>337</v>
      </c>
      <c r="F97" s="34">
        <v>4</v>
      </c>
      <c r="G97" s="70">
        <v>1</v>
      </c>
      <c r="H97" s="25">
        <v>81588</v>
      </c>
      <c r="I97" s="34" t="s">
        <v>2690</v>
      </c>
      <c r="J97" s="70">
        <v>63151908</v>
      </c>
      <c r="K97" s="70" t="s">
        <v>6870</v>
      </c>
      <c r="L97" s="85" t="s">
        <v>6872</v>
      </c>
      <c r="M97" s="84">
        <v>99900</v>
      </c>
      <c r="N97" s="34" t="s">
        <v>2569</v>
      </c>
      <c r="O97" s="36" t="str">
        <f t="shared" si="9"/>
        <v>B3 DISC 10%</v>
      </c>
      <c r="P97" s="34" t="s">
        <v>2569</v>
      </c>
    </row>
    <row r="98" spans="1:16" x14ac:dyDescent="0.35">
      <c r="A98" s="34" t="str">
        <f t="shared" si="6"/>
        <v>2026 NOV-FEB B3 DISC 10%</v>
      </c>
      <c r="B98" s="35">
        <f t="shared" si="7"/>
        <v>46086</v>
      </c>
      <c r="C98" s="35">
        <f t="shared" si="8"/>
        <v>46092</v>
      </c>
      <c r="D98" s="34">
        <v>3321</v>
      </c>
      <c r="E98" s="34">
        <v>337</v>
      </c>
      <c r="F98" s="34">
        <v>4</v>
      </c>
      <c r="G98" s="70">
        <v>1</v>
      </c>
      <c r="H98" s="25">
        <v>81588</v>
      </c>
      <c r="I98" s="34" t="s">
        <v>2690</v>
      </c>
      <c r="J98" s="70">
        <v>63151917</v>
      </c>
      <c r="K98" s="70" t="s">
        <v>6870</v>
      </c>
      <c r="L98" s="85" t="s">
        <v>6871</v>
      </c>
      <c r="M98" s="84">
        <v>99900</v>
      </c>
      <c r="N98" s="34" t="s">
        <v>2569</v>
      </c>
      <c r="O98" s="36" t="str">
        <f t="shared" si="9"/>
        <v>B3 DISC 10%</v>
      </c>
      <c r="P98" s="34" t="s">
        <v>2569</v>
      </c>
    </row>
    <row r="99" spans="1:16" x14ac:dyDescent="0.35">
      <c r="A99" s="34" t="str">
        <f t="shared" si="6"/>
        <v>2026 NOV-FEB B3 DISC 10%</v>
      </c>
      <c r="B99" s="35">
        <f t="shared" si="7"/>
        <v>46086</v>
      </c>
      <c r="C99" s="35">
        <f t="shared" si="8"/>
        <v>46092</v>
      </c>
      <c r="D99" s="34">
        <v>3321</v>
      </c>
      <c r="E99" s="34">
        <v>337</v>
      </c>
      <c r="F99" s="34">
        <v>4</v>
      </c>
      <c r="G99" s="70">
        <v>1</v>
      </c>
      <c r="H99" s="25">
        <v>81588</v>
      </c>
      <c r="I99" s="34" t="s">
        <v>2690</v>
      </c>
      <c r="J99" s="70">
        <v>63151926</v>
      </c>
      <c r="K99" s="70" t="s">
        <v>6870</v>
      </c>
      <c r="L99" s="85" t="s">
        <v>6869</v>
      </c>
      <c r="M99" s="84">
        <v>99900</v>
      </c>
      <c r="N99" s="34" t="s">
        <v>2569</v>
      </c>
      <c r="O99" s="36" t="str">
        <f t="shared" si="9"/>
        <v>B3 DISC 10%</v>
      </c>
      <c r="P99" s="34" t="s">
        <v>2569</v>
      </c>
    </row>
    <row r="100" spans="1:16" x14ac:dyDescent="0.35">
      <c r="A100" s="34" t="str">
        <f t="shared" si="6"/>
        <v>2026 NOV-FEB B3 DISC 10%</v>
      </c>
      <c r="B100" s="35">
        <f t="shared" si="7"/>
        <v>46086</v>
      </c>
      <c r="C100" s="35">
        <f t="shared" si="8"/>
        <v>46092</v>
      </c>
      <c r="D100" s="34">
        <v>3321</v>
      </c>
      <c r="E100" s="34">
        <v>337</v>
      </c>
      <c r="F100" s="34">
        <v>4</v>
      </c>
      <c r="G100" s="70">
        <v>1</v>
      </c>
      <c r="H100" s="25">
        <v>81588</v>
      </c>
      <c r="I100" s="34" t="s">
        <v>2690</v>
      </c>
      <c r="J100" s="70">
        <v>68022002</v>
      </c>
      <c r="K100" s="70" t="s">
        <v>6865</v>
      </c>
      <c r="L100" s="85" t="s">
        <v>6868</v>
      </c>
      <c r="M100" s="84">
        <v>99900</v>
      </c>
      <c r="N100" s="34" t="s">
        <v>2569</v>
      </c>
      <c r="O100" s="36" t="str">
        <f t="shared" si="9"/>
        <v>B3 DISC 10%</v>
      </c>
      <c r="P100" s="34" t="s">
        <v>2569</v>
      </c>
    </row>
    <row r="101" spans="1:16" x14ac:dyDescent="0.35">
      <c r="A101" s="34" t="str">
        <f t="shared" si="6"/>
        <v>2026 NOV-FEB B3 DISC 10%</v>
      </c>
      <c r="B101" s="35">
        <f t="shared" si="7"/>
        <v>46086</v>
      </c>
      <c r="C101" s="35">
        <f t="shared" si="8"/>
        <v>46092</v>
      </c>
      <c r="D101" s="34">
        <v>3321</v>
      </c>
      <c r="E101" s="34">
        <v>337</v>
      </c>
      <c r="F101" s="34">
        <v>4</v>
      </c>
      <c r="G101" s="70">
        <v>1</v>
      </c>
      <c r="H101" s="25">
        <v>81588</v>
      </c>
      <c r="I101" s="34" t="s">
        <v>2690</v>
      </c>
      <c r="J101" s="70">
        <v>68022011</v>
      </c>
      <c r="K101" s="70" t="s">
        <v>6865</v>
      </c>
      <c r="L101" s="85" t="s">
        <v>6867</v>
      </c>
      <c r="M101" s="84">
        <v>99900</v>
      </c>
      <c r="N101" s="34" t="s">
        <v>2569</v>
      </c>
      <c r="O101" s="36" t="str">
        <f t="shared" si="9"/>
        <v>B3 DISC 10%</v>
      </c>
      <c r="P101" s="34" t="s">
        <v>2569</v>
      </c>
    </row>
    <row r="102" spans="1:16" x14ac:dyDescent="0.35">
      <c r="A102" s="34" t="str">
        <f t="shared" si="6"/>
        <v>2026 NOV-FEB B3 DISC 10%</v>
      </c>
      <c r="B102" s="35">
        <f t="shared" si="7"/>
        <v>46086</v>
      </c>
      <c r="C102" s="35">
        <f t="shared" si="8"/>
        <v>46092</v>
      </c>
      <c r="D102" s="34">
        <v>3321</v>
      </c>
      <c r="E102" s="34">
        <v>337</v>
      </c>
      <c r="F102" s="34">
        <v>4</v>
      </c>
      <c r="G102" s="70">
        <v>1</v>
      </c>
      <c r="H102" s="25">
        <v>81588</v>
      </c>
      <c r="I102" s="34" t="s">
        <v>2690</v>
      </c>
      <c r="J102" s="70">
        <v>68022020</v>
      </c>
      <c r="K102" s="70" t="s">
        <v>6865</v>
      </c>
      <c r="L102" s="85" t="s">
        <v>6866</v>
      </c>
      <c r="M102" s="84">
        <v>99900</v>
      </c>
      <c r="N102" s="34" t="s">
        <v>2569</v>
      </c>
      <c r="O102" s="36" t="str">
        <f t="shared" si="9"/>
        <v>B3 DISC 10%</v>
      </c>
      <c r="P102" s="34" t="s">
        <v>2569</v>
      </c>
    </row>
    <row r="103" spans="1:16" x14ac:dyDescent="0.35">
      <c r="A103" s="34" t="str">
        <f t="shared" si="6"/>
        <v>2026 NOV-FEB B3 DISC 10%</v>
      </c>
      <c r="B103" s="35">
        <f t="shared" si="7"/>
        <v>46086</v>
      </c>
      <c r="C103" s="35">
        <f t="shared" si="8"/>
        <v>46092</v>
      </c>
      <c r="D103" s="34">
        <v>3321</v>
      </c>
      <c r="E103" s="34">
        <v>337</v>
      </c>
      <c r="F103" s="34">
        <v>4</v>
      </c>
      <c r="G103" s="70">
        <v>1</v>
      </c>
      <c r="H103" s="25">
        <v>81588</v>
      </c>
      <c r="I103" s="34" t="s">
        <v>2690</v>
      </c>
      <c r="J103" s="70">
        <v>68022039</v>
      </c>
      <c r="K103" s="70" t="s">
        <v>6865</v>
      </c>
      <c r="L103" s="85" t="s">
        <v>6864</v>
      </c>
      <c r="M103" s="84">
        <v>99900</v>
      </c>
      <c r="N103" s="34" t="s">
        <v>2569</v>
      </c>
      <c r="O103" s="36" t="str">
        <f t="shared" si="9"/>
        <v>B3 DISC 10%</v>
      </c>
      <c r="P103" s="34" t="s">
        <v>2569</v>
      </c>
    </row>
    <row r="104" spans="1:16" x14ac:dyDescent="0.35">
      <c r="A104" s="34" t="str">
        <f t="shared" ref="A104:A167" si="10">A103</f>
        <v>2026 NOV-FEB B3 DISC 10%</v>
      </c>
      <c r="B104" s="35">
        <f t="shared" ref="B104:B167" si="11">B103</f>
        <v>46086</v>
      </c>
      <c r="C104" s="35">
        <f t="shared" ref="C104:C167" si="12">C103</f>
        <v>46092</v>
      </c>
      <c r="D104" s="34">
        <v>3321</v>
      </c>
      <c r="E104" s="34">
        <v>337</v>
      </c>
      <c r="F104" s="34">
        <v>4</v>
      </c>
      <c r="G104" s="70">
        <v>5</v>
      </c>
      <c r="H104" s="25">
        <v>190</v>
      </c>
      <c r="I104" s="34" t="s">
        <v>2690</v>
      </c>
      <c r="J104" s="70">
        <v>63152390</v>
      </c>
      <c r="K104" s="70" t="s">
        <v>6853</v>
      </c>
      <c r="L104" s="85" t="s">
        <v>6858</v>
      </c>
      <c r="M104" s="84">
        <v>179900</v>
      </c>
      <c r="N104" s="34" t="s">
        <v>2569</v>
      </c>
      <c r="O104" s="36" t="str">
        <f t="shared" ref="O104:O163" si="13">O103</f>
        <v>B3 DISC 10%</v>
      </c>
      <c r="P104" s="34" t="s">
        <v>2569</v>
      </c>
    </row>
    <row r="105" spans="1:16" x14ac:dyDescent="0.35">
      <c r="A105" s="34" t="str">
        <f t="shared" si="10"/>
        <v>2026 NOV-FEB B3 DISC 10%</v>
      </c>
      <c r="B105" s="35">
        <f t="shared" si="11"/>
        <v>46086</v>
      </c>
      <c r="C105" s="35">
        <f t="shared" si="12"/>
        <v>46092</v>
      </c>
      <c r="D105" s="34">
        <v>3321</v>
      </c>
      <c r="E105" s="34">
        <v>337</v>
      </c>
      <c r="F105" s="34">
        <v>4</v>
      </c>
      <c r="G105" s="70">
        <v>5</v>
      </c>
      <c r="H105" s="25">
        <v>190</v>
      </c>
      <c r="I105" s="34" t="s">
        <v>2690</v>
      </c>
      <c r="J105" s="70">
        <v>63152407</v>
      </c>
      <c r="K105" s="70" t="s">
        <v>6853</v>
      </c>
      <c r="L105" s="85" t="s">
        <v>6857</v>
      </c>
      <c r="M105" s="84">
        <v>179900</v>
      </c>
      <c r="N105" s="34" t="s">
        <v>2569</v>
      </c>
      <c r="O105" s="36" t="str">
        <f t="shared" si="13"/>
        <v>B3 DISC 10%</v>
      </c>
      <c r="P105" s="34" t="s">
        <v>2569</v>
      </c>
    </row>
    <row r="106" spans="1:16" x14ac:dyDescent="0.35">
      <c r="A106" s="34" t="str">
        <f t="shared" si="10"/>
        <v>2026 NOV-FEB B3 DISC 10%</v>
      </c>
      <c r="B106" s="35">
        <f t="shared" si="11"/>
        <v>46086</v>
      </c>
      <c r="C106" s="35">
        <f t="shared" si="12"/>
        <v>46092</v>
      </c>
      <c r="D106" s="34">
        <v>3321</v>
      </c>
      <c r="E106" s="34">
        <v>337</v>
      </c>
      <c r="F106" s="34">
        <v>4</v>
      </c>
      <c r="G106" s="70">
        <v>5</v>
      </c>
      <c r="H106" s="25">
        <v>190</v>
      </c>
      <c r="I106" s="34" t="s">
        <v>2690</v>
      </c>
      <c r="J106" s="70">
        <v>63152416</v>
      </c>
      <c r="K106" s="70" t="s">
        <v>6853</v>
      </c>
      <c r="L106" s="85" t="s">
        <v>6856</v>
      </c>
      <c r="M106" s="84">
        <v>179900</v>
      </c>
      <c r="N106" s="34" t="s">
        <v>2569</v>
      </c>
      <c r="O106" s="36" t="str">
        <f t="shared" si="13"/>
        <v>B3 DISC 10%</v>
      </c>
      <c r="P106" s="34" t="s">
        <v>2569</v>
      </c>
    </row>
    <row r="107" spans="1:16" x14ac:dyDescent="0.35">
      <c r="A107" s="34" t="str">
        <f t="shared" si="10"/>
        <v>2026 NOV-FEB B3 DISC 10%</v>
      </c>
      <c r="B107" s="35">
        <f t="shared" si="11"/>
        <v>46086</v>
      </c>
      <c r="C107" s="35">
        <f t="shared" si="12"/>
        <v>46092</v>
      </c>
      <c r="D107" s="34">
        <v>3321</v>
      </c>
      <c r="E107" s="34">
        <v>337</v>
      </c>
      <c r="F107" s="34">
        <v>4</v>
      </c>
      <c r="G107" s="70">
        <v>5</v>
      </c>
      <c r="H107" s="25">
        <v>190</v>
      </c>
      <c r="I107" s="34" t="s">
        <v>2690</v>
      </c>
      <c r="J107" s="70">
        <v>63152425</v>
      </c>
      <c r="K107" s="70" t="s">
        <v>6853</v>
      </c>
      <c r="L107" s="85" t="s">
        <v>6855</v>
      </c>
      <c r="M107" s="84">
        <v>179900</v>
      </c>
      <c r="N107" s="34" t="s">
        <v>2569</v>
      </c>
      <c r="O107" s="36" t="str">
        <f t="shared" si="13"/>
        <v>B3 DISC 10%</v>
      </c>
      <c r="P107" s="34" t="s">
        <v>2569</v>
      </c>
    </row>
    <row r="108" spans="1:16" x14ac:dyDescent="0.35">
      <c r="A108" s="34" t="str">
        <f t="shared" si="10"/>
        <v>2026 NOV-FEB B3 DISC 10%</v>
      </c>
      <c r="B108" s="35">
        <f t="shared" si="11"/>
        <v>46086</v>
      </c>
      <c r="C108" s="35">
        <f t="shared" si="12"/>
        <v>46092</v>
      </c>
      <c r="D108" s="34">
        <v>3321</v>
      </c>
      <c r="E108" s="34">
        <v>337</v>
      </c>
      <c r="F108" s="34">
        <v>4</v>
      </c>
      <c r="G108" s="70">
        <v>5</v>
      </c>
      <c r="H108" s="25">
        <v>190</v>
      </c>
      <c r="I108" s="34" t="s">
        <v>2690</v>
      </c>
      <c r="J108" s="70">
        <v>63152434</v>
      </c>
      <c r="K108" s="70" t="s">
        <v>6853</v>
      </c>
      <c r="L108" s="85" t="s">
        <v>6854</v>
      </c>
      <c r="M108" s="84">
        <v>179900</v>
      </c>
      <c r="N108" s="34" t="s">
        <v>2569</v>
      </c>
      <c r="O108" s="36" t="str">
        <f t="shared" si="13"/>
        <v>B3 DISC 10%</v>
      </c>
      <c r="P108" s="34" t="s">
        <v>2569</v>
      </c>
    </row>
    <row r="109" spans="1:16" x14ac:dyDescent="0.35">
      <c r="A109" s="34" t="str">
        <f t="shared" si="10"/>
        <v>2026 NOV-FEB B3 DISC 10%</v>
      </c>
      <c r="B109" s="35">
        <f t="shared" si="11"/>
        <v>46086</v>
      </c>
      <c r="C109" s="35">
        <f t="shared" si="12"/>
        <v>46092</v>
      </c>
      <c r="D109" s="34">
        <v>3321</v>
      </c>
      <c r="E109" s="34">
        <v>337</v>
      </c>
      <c r="F109" s="34">
        <v>4</v>
      </c>
      <c r="G109" s="70">
        <v>5</v>
      </c>
      <c r="H109" s="25">
        <v>190</v>
      </c>
      <c r="I109" s="34" t="s">
        <v>2690</v>
      </c>
      <c r="J109" s="70">
        <v>63152443</v>
      </c>
      <c r="K109" s="70" t="s">
        <v>6853</v>
      </c>
      <c r="L109" s="85" t="s">
        <v>6852</v>
      </c>
      <c r="M109" s="84">
        <v>179900</v>
      </c>
      <c r="N109" s="34" t="s">
        <v>2569</v>
      </c>
      <c r="O109" s="36" t="str">
        <f t="shared" si="13"/>
        <v>B3 DISC 10%</v>
      </c>
      <c r="P109" s="34" t="s">
        <v>2569</v>
      </c>
    </row>
    <row r="110" spans="1:16" x14ac:dyDescent="0.35">
      <c r="A110" s="34" t="str">
        <f t="shared" si="10"/>
        <v>2026 NOV-FEB B3 DISC 10%</v>
      </c>
      <c r="B110" s="35">
        <f t="shared" si="11"/>
        <v>46086</v>
      </c>
      <c r="C110" s="35">
        <f t="shared" si="12"/>
        <v>46092</v>
      </c>
      <c r="D110" s="34">
        <v>3321</v>
      </c>
      <c r="E110" s="34">
        <v>337</v>
      </c>
      <c r="F110" s="34">
        <v>4</v>
      </c>
      <c r="G110" s="70">
        <v>5</v>
      </c>
      <c r="H110" s="25">
        <v>190</v>
      </c>
      <c r="I110" s="34" t="s">
        <v>2690</v>
      </c>
      <c r="J110" s="70">
        <v>63152336</v>
      </c>
      <c r="K110" s="70" t="s">
        <v>6846</v>
      </c>
      <c r="L110" s="85" t="s">
        <v>6851</v>
      </c>
      <c r="M110" s="84">
        <v>179900</v>
      </c>
      <c r="N110" s="34" t="s">
        <v>2569</v>
      </c>
      <c r="O110" s="36" t="str">
        <f t="shared" si="13"/>
        <v>B3 DISC 10%</v>
      </c>
      <c r="P110" s="34" t="s">
        <v>2569</v>
      </c>
    </row>
    <row r="111" spans="1:16" x14ac:dyDescent="0.35">
      <c r="A111" s="34" t="str">
        <f t="shared" si="10"/>
        <v>2026 NOV-FEB B3 DISC 10%</v>
      </c>
      <c r="B111" s="35">
        <f t="shared" si="11"/>
        <v>46086</v>
      </c>
      <c r="C111" s="35">
        <f t="shared" si="12"/>
        <v>46092</v>
      </c>
      <c r="D111" s="34">
        <v>3321</v>
      </c>
      <c r="E111" s="34">
        <v>337</v>
      </c>
      <c r="F111" s="34">
        <v>4</v>
      </c>
      <c r="G111" s="70">
        <v>5</v>
      </c>
      <c r="H111" s="25">
        <v>190</v>
      </c>
      <c r="I111" s="34" t="s">
        <v>2690</v>
      </c>
      <c r="J111" s="70">
        <v>63152345</v>
      </c>
      <c r="K111" s="70" t="s">
        <v>6846</v>
      </c>
      <c r="L111" s="85" t="s">
        <v>6850</v>
      </c>
      <c r="M111" s="84">
        <v>179900</v>
      </c>
      <c r="N111" s="34" t="s">
        <v>2569</v>
      </c>
      <c r="O111" s="36" t="str">
        <f t="shared" si="13"/>
        <v>B3 DISC 10%</v>
      </c>
      <c r="P111" s="34" t="s">
        <v>2569</v>
      </c>
    </row>
    <row r="112" spans="1:16" x14ac:dyDescent="0.35">
      <c r="A112" s="34" t="str">
        <f t="shared" si="10"/>
        <v>2026 NOV-FEB B3 DISC 10%</v>
      </c>
      <c r="B112" s="35">
        <f t="shared" si="11"/>
        <v>46086</v>
      </c>
      <c r="C112" s="35">
        <f t="shared" si="12"/>
        <v>46092</v>
      </c>
      <c r="D112" s="34">
        <v>3321</v>
      </c>
      <c r="E112" s="34">
        <v>337</v>
      </c>
      <c r="F112" s="34">
        <v>4</v>
      </c>
      <c r="G112" s="70">
        <v>5</v>
      </c>
      <c r="H112" s="25">
        <v>190</v>
      </c>
      <c r="I112" s="34" t="s">
        <v>2690</v>
      </c>
      <c r="J112" s="70">
        <v>63152354</v>
      </c>
      <c r="K112" s="70" t="s">
        <v>6846</v>
      </c>
      <c r="L112" s="85" t="s">
        <v>6849</v>
      </c>
      <c r="M112" s="84">
        <v>179900</v>
      </c>
      <c r="N112" s="34" t="s">
        <v>2569</v>
      </c>
      <c r="O112" s="36" t="str">
        <f t="shared" si="13"/>
        <v>B3 DISC 10%</v>
      </c>
      <c r="P112" s="34" t="s">
        <v>2569</v>
      </c>
    </row>
    <row r="113" spans="1:16" x14ac:dyDescent="0.35">
      <c r="A113" s="34" t="str">
        <f t="shared" si="10"/>
        <v>2026 NOV-FEB B3 DISC 10%</v>
      </c>
      <c r="B113" s="35">
        <f t="shared" si="11"/>
        <v>46086</v>
      </c>
      <c r="C113" s="35">
        <f t="shared" si="12"/>
        <v>46092</v>
      </c>
      <c r="D113" s="34">
        <v>3321</v>
      </c>
      <c r="E113" s="34">
        <v>337</v>
      </c>
      <c r="F113" s="34">
        <v>4</v>
      </c>
      <c r="G113" s="70">
        <v>5</v>
      </c>
      <c r="H113" s="25">
        <v>190</v>
      </c>
      <c r="I113" s="34" t="s">
        <v>2690</v>
      </c>
      <c r="J113" s="70">
        <v>63152363</v>
      </c>
      <c r="K113" s="70" t="s">
        <v>6846</v>
      </c>
      <c r="L113" s="85" t="s">
        <v>6848</v>
      </c>
      <c r="M113" s="84">
        <v>179900</v>
      </c>
      <c r="N113" s="34" t="s">
        <v>2569</v>
      </c>
      <c r="O113" s="36" t="str">
        <f t="shared" si="13"/>
        <v>B3 DISC 10%</v>
      </c>
      <c r="P113" s="34" t="s">
        <v>2569</v>
      </c>
    </row>
    <row r="114" spans="1:16" x14ac:dyDescent="0.35">
      <c r="A114" s="34" t="str">
        <f t="shared" si="10"/>
        <v>2026 NOV-FEB B3 DISC 10%</v>
      </c>
      <c r="B114" s="35">
        <f t="shared" si="11"/>
        <v>46086</v>
      </c>
      <c r="C114" s="35">
        <f t="shared" si="12"/>
        <v>46092</v>
      </c>
      <c r="D114" s="34">
        <v>3321</v>
      </c>
      <c r="E114" s="34">
        <v>337</v>
      </c>
      <c r="F114" s="34">
        <v>4</v>
      </c>
      <c r="G114" s="70">
        <v>5</v>
      </c>
      <c r="H114" s="25">
        <v>190</v>
      </c>
      <c r="I114" s="34" t="s">
        <v>2690</v>
      </c>
      <c r="J114" s="70">
        <v>63152372</v>
      </c>
      <c r="K114" s="70" t="s">
        <v>6846</v>
      </c>
      <c r="L114" s="85" t="s">
        <v>6847</v>
      </c>
      <c r="M114" s="84">
        <v>179900</v>
      </c>
      <c r="N114" s="34" t="s">
        <v>2569</v>
      </c>
      <c r="O114" s="36" t="str">
        <f t="shared" si="13"/>
        <v>B3 DISC 10%</v>
      </c>
      <c r="P114" s="34" t="s">
        <v>2569</v>
      </c>
    </row>
    <row r="115" spans="1:16" x14ac:dyDescent="0.35">
      <c r="A115" s="34" t="str">
        <f t="shared" si="10"/>
        <v>2026 NOV-FEB B3 DISC 10%</v>
      </c>
      <c r="B115" s="35">
        <f t="shared" si="11"/>
        <v>46086</v>
      </c>
      <c r="C115" s="35">
        <f t="shared" si="12"/>
        <v>46092</v>
      </c>
      <c r="D115" s="34">
        <v>3321</v>
      </c>
      <c r="E115" s="34">
        <v>337</v>
      </c>
      <c r="F115" s="34">
        <v>4</v>
      </c>
      <c r="G115" s="70">
        <v>1</v>
      </c>
      <c r="H115" s="25">
        <v>190</v>
      </c>
      <c r="I115" s="34" t="s">
        <v>2690</v>
      </c>
      <c r="J115" s="70">
        <v>63152381</v>
      </c>
      <c r="K115" s="70" t="s">
        <v>6846</v>
      </c>
      <c r="L115" s="85" t="s">
        <v>6845</v>
      </c>
      <c r="M115" s="84">
        <v>99900</v>
      </c>
      <c r="N115" s="34" t="s">
        <v>2569</v>
      </c>
      <c r="O115" s="36" t="str">
        <f t="shared" si="13"/>
        <v>B3 DISC 10%</v>
      </c>
      <c r="P115" s="34" t="s">
        <v>2569</v>
      </c>
    </row>
    <row r="116" spans="1:16" x14ac:dyDescent="0.35">
      <c r="A116" s="34" t="str">
        <f t="shared" si="10"/>
        <v>2026 NOV-FEB B3 DISC 10%</v>
      </c>
      <c r="B116" s="35">
        <f t="shared" si="11"/>
        <v>46086</v>
      </c>
      <c r="C116" s="35">
        <f t="shared" si="12"/>
        <v>46092</v>
      </c>
      <c r="D116" s="34">
        <v>3321</v>
      </c>
      <c r="E116" s="34">
        <v>337</v>
      </c>
      <c r="F116" s="34">
        <v>4</v>
      </c>
      <c r="G116" s="70">
        <v>1</v>
      </c>
      <c r="H116" s="25">
        <v>81588</v>
      </c>
      <c r="I116" s="34" t="s">
        <v>2690</v>
      </c>
      <c r="J116" s="70">
        <v>63152032</v>
      </c>
      <c r="K116" s="70" t="s">
        <v>6841</v>
      </c>
      <c r="L116" s="85" t="s">
        <v>6844</v>
      </c>
      <c r="M116" s="84">
        <v>99900</v>
      </c>
      <c r="N116" s="34" t="s">
        <v>2569</v>
      </c>
      <c r="O116" s="36" t="str">
        <f t="shared" si="13"/>
        <v>B3 DISC 10%</v>
      </c>
      <c r="P116" s="34" t="s">
        <v>2569</v>
      </c>
    </row>
    <row r="117" spans="1:16" x14ac:dyDescent="0.35">
      <c r="A117" s="34" t="str">
        <f t="shared" si="10"/>
        <v>2026 NOV-FEB B3 DISC 10%</v>
      </c>
      <c r="B117" s="35">
        <f t="shared" si="11"/>
        <v>46086</v>
      </c>
      <c r="C117" s="35">
        <f t="shared" si="12"/>
        <v>46092</v>
      </c>
      <c r="D117" s="34">
        <v>3321</v>
      </c>
      <c r="E117" s="34">
        <v>337</v>
      </c>
      <c r="F117" s="34">
        <v>4</v>
      </c>
      <c r="G117" s="70">
        <v>1</v>
      </c>
      <c r="H117" s="25">
        <v>81588</v>
      </c>
      <c r="I117" s="34" t="s">
        <v>2690</v>
      </c>
      <c r="J117" s="70">
        <v>63152041</v>
      </c>
      <c r="K117" s="70" t="s">
        <v>6841</v>
      </c>
      <c r="L117" s="85" t="s">
        <v>6843</v>
      </c>
      <c r="M117" s="84">
        <v>99900</v>
      </c>
      <c r="N117" s="34" t="s">
        <v>2569</v>
      </c>
      <c r="O117" s="36" t="str">
        <f t="shared" si="13"/>
        <v>B3 DISC 10%</v>
      </c>
      <c r="P117" s="34" t="s">
        <v>2569</v>
      </c>
    </row>
    <row r="118" spans="1:16" x14ac:dyDescent="0.35">
      <c r="A118" s="34" t="str">
        <f t="shared" si="10"/>
        <v>2026 NOV-FEB B3 DISC 10%</v>
      </c>
      <c r="B118" s="35">
        <f t="shared" si="11"/>
        <v>46086</v>
      </c>
      <c r="C118" s="35">
        <f t="shared" si="12"/>
        <v>46092</v>
      </c>
      <c r="D118" s="34">
        <v>3321</v>
      </c>
      <c r="E118" s="34">
        <v>337</v>
      </c>
      <c r="F118" s="34">
        <v>4</v>
      </c>
      <c r="G118" s="70">
        <v>1</v>
      </c>
      <c r="H118" s="25">
        <v>81588</v>
      </c>
      <c r="I118" s="34" t="s">
        <v>2690</v>
      </c>
      <c r="J118" s="70">
        <v>63152050</v>
      </c>
      <c r="K118" s="70" t="s">
        <v>6841</v>
      </c>
      <c r="L118" s="85" t="s">
        <v>6842</v>
      </c>
      <c r="M118" s="84">
        <v>99900</v>
      </c>
      <c r="N118" s="34" t="s">
        <v>2569</v>
      </c>
      <c r="O118" s="36" t="str">
        <f t="shared" si="13"/>
        <v>B3 DISC 10%</v>
      </c>
      <c r="P118" s="34" t="s">
        <v>2569</v>
      </c>
    </row>
    <row r="119" spans="1:16" x14ac:dyDescent="0.35">
      <c r="A119" s="34" t="str">
        <f t="shared" si="10"/>
        <v>2026 NOV-FEB B3 DISC 10%</v>
      </c>
      <c r="B119" s="35">
        <f t="shared" si="11"/>
        <v>46086</v>
      </c>
      <c r="C119" s="35">
        <f t="shared" si="12"/>
        <v>46092</v>
      </c>
      <c r="D119" s="34">
        <v>3321</v>
      </c>
      <c r="E119" s="34">
        <v>337</v>
      </c>
      <c r="F119" s="34">
        <v>4</v>
      </c>
      <c r="G119" s="70">
        <v>1</v>
      </c>
      <c r="H119" s="25">
        <v>81588</v>
      </c>
      <c r="I119" s="34" t="s">
        <v>2690</v>
      </c>
      <c r="J119" s="70">
        <v>63152069</v>
      </c>
      <c r="K119" s="70" t="s">
        <v>6841</v>
      </c>
      <c r="L119" s="85" t="s">
        <v>6840</v>
      </c>
      <c r="M119" s="84">
        <v>99900</v>
      </c>
      <c r="N119" s="34" t="s">
        <v>2569</v>
      </c>
      <c r="O119" s="36" t="str">
        <f t="shared" si="13"/>
        <v>B3 DISC 10%</v>
      </c>
      <c r="P119" s="34" t="s">
        <v>2569</v>
      </c>
    </row>
    <row r="120" spans="1:16" x14ac:dyDescent="0.35">
      <c r="A120" s="34" t="str">
        <f t="shared" si="10"/>
        <v>2026 NOV-FEB B3 DISC 10%</v>
      </c>
      <c r="B120" s="35">
        <f t="shared" si="11"/>
        <v>46086</v>
      </c>
      <c r="C120" s="35">
        <f t="shared" si="12"/>
        <v>46092</v>
      </c>
      <c r="D120" s="34">
        <v>3321</v>
      </c>
      <c r="E120" s="34">
        <v>337</v>
      </c>
      <c r="F120" s="34">
        <v>4</v>
      </c>
      <c r="G120" s="70">
        <v>5</v>
      </c>
      <c r="H120" s="25">
        <v>81588</v>
      </c>
      <c r="I120" s="34" t="s">
        <v>2690</v>
      </c>
      <c r="J120" s="70">
        <v>63151935</v>
      </c>
      <c r="K120" s="70" t="s">
        <v>6836</v>
      </c>
      <c r="L120" s="85" t="s">
        <v>6839</v>
      </c>
      <c r="M120" s="84">
        <v>149900</v>
      </c>
      <c r="N120" s="34" t="s">
        <v>2569</v>
      </c>
      <c r="O120" s="36" t="str">
        <f t="shared" si="13"/>
        <v>B3 DISC 10%</v>
      </c>
      <c r="P120" s="34" t="s">
        <v>2569</v>
      </c>
    </row>
    <row r="121" spans="1:16" x14ac:dyDescent="0.35">
      <c r="A121" s="34" t="str">
        <f t="shared" si="10"/>
        <v>2026 NOV-FEB B3 DISC 10%</v>
      </c>
      <c r="B121" s="35">
        <f t="shared" si="11"/>
        <v>46086</v>
      </c>
      <c r="C121" s="35">
        <f t="shared" si="12"/>
        <v>46092</v>
      </c>
      <c r="D121" s="34">
        <v>3321</v>
      </c>
      <c r="E121" s="34">
        <v>337</v>
      </c>
      <c r="F121" s="34">
        <v>4</v>
      </c>
      <c r="G121" s="70">
        <v>5</v>
      </c>
      <c r="H121" s="25">
        <v>81588</v>
      </c>
      <c r="I121" s="34" t="s">
        <v>2690</v>
      </c>
      <c r="J121" s="70">
        <v>63151944</v>
      </c>
      <c r="K121" s="70" t="s">
        <v>6836</v>
      </c>
      <c r="L121" s="85" t="s">
        <v>6838</v>
      </c>
      <c r="M121" s="84">
        <v>149900</v>
      </c>
      <c r="N121" s="34" t="s">
        <v>2569</v>
      </c>
      <c r="O121" s="36" t="str">
        <f t="shared" si="13"/>
        <v>B3 DISC 10%</v>
      </c>
      <c r="P121" s="34" t="s">
        <v>2569</v>
      </c>
    </row>
    <row r="122" spans="1:16" x14ac:dyDescent="0.35">
      <c r="A122" s="34" t="str">
        <f t="shared" si="10"/>
        <v>2026 NOV-FEB B3 DISC 10%</v>
      </c>
      <c r="B122" s="35">
        <f t="shared" si="11"/>
        <v>46086</v>
      </c>
      <c r="C122" s="35">
        <f t="shared" si="12"/>
        <v>46092</v>
      </c>
      <c r="D122" s="34">
        <v>3321</v>
      </c>
      <c r="E122" s="34">
        <v>337</v>
      </c>
      <c r="F122" s="34">
        <v>4</v>
      </c>
      <c r="G122" s="70">
        <v>5</v>
      </c>
      <c r="H122" s="25">
        <v>81588</v>
      </c>
      <c r="I122" s="34" t="s">
        <v>2690</v>
      </c>
      <c r="J122" s="70">
        <v>63151953</v>
      </c>
      <c r="K122" s="70" t="s">
        <v>6836</v>
      </c>
      <c r="L122" s="85" t="s">
        <v>6837</v>
      </c>
      <c r="M122" s="84">
        <v>149900</v>
      </c>
      <c r="N122" s="34" t="s">
        <v>2569</v>
      </c>
      <c r="O122" s="36" t="str">
        <f t="shared" si="13"/>
        <v>B3 DISC 10%</v>
      </c>
      <c r="P122" s="34" t="s">
        <v>2569</v>
      </c>
    </row>
    <row r="123" spans="1:16" x14ac:dyDescent="0.35">
      <c r="A123" s="34" t="str">
        <f t="shared" si="10"/>
        <v>2026 NOV-FEB B3 DISC 10%</v>
      </c>
      <c r="B123" s="35">
        <f t="shared" si="11"/>
        <v>46086</v>
      </c>
      <c r="C123" s="35">
        <f t="shared" si="12"/>
        <v>46092</v>
      </c>
      <c r="D123" s="34">
        <v>3321</v>
      </c>
      <c r="E123" s="34">
        <v>337</v>
      </c>
      <c r="F123" s="34">
        <v>4</v>
      </c>
      <c r="G123" s="70">
        <v>3</v>
      </c>
      <c r="H123" s="25">
        <v>81588</v>
      </c>
      <c r="I123" s="34" t="s">
        <v>2690</v>
      </c>
      <c r="J123" s="70">
        <v>63151962</v>
      </c>
      <c r="K123" s="70" t="s">
        <v>6836</v>
      </c>
      <c r="L123" s="85" t="s">
        <v>6835</v>
      </c>
      <c r="M123" s="84">
        <v>199900</v>
      </c>
      <c r="N123" s="34" t="s">
        <v>2569</v>
      </c>
      <c r="O123" s="36" t="str">
        <f t="shared" si="13"/>
        <v>B3 DISC 10%</v>
      </c>
      <c r="P123" s="34" t="s">
        <v>2569</v>
      </c>
    </row>
    <row r="124" spans="1:16" x14ac:dyDescent="0.35">
      <c r="A124" s="34" t="str">
        <f t="shared" si="10"/>
        <v>2026 NOV-FEB B3 DISC 10%</v>
      </c>
      <c r="B124" s="35">
        <f t="shared" si="11"/>
        <v>46086</v>
      </c>
      <c r="C124" s="35">
        <f t="shared" si="12"/>
        <v>46092</v>
      </c>
      <c r="D124" s="34">
        <v>3321</v>
      </c>
      <c r="E124" s="34">
        <v>337</v>
      </c>
      <c r="F124" s="34">
        <v>4</v>
      </c>
      <c r="G124" s="70">
        <v>3</v>
      </c>
      <c r="H124" s="25">
        <v>81588</v>
      </c>
      <c r="I124" s="34" t="s">
        <v>2690</v>
      </c>
      <c r="J124" s="70">
        <v>63151837</v>
      </c>
      <c r="K124" s="70" t="s">
        <v>6831</v>
      </c>
      <c r="L124" s="85" t="s">
        <v>6834</v>
      </c>
      <c r="M124" s="84">
        <v>199900</v>
      </c>
      <c r="N124" s="34" t="s">
        <v>2569</v>
      </c>
      <c r="O124" s="36" t="str">
        <f t="shared" si="13"/>
        <v>B3 DISC 10%</v>
      </c>
      <c r="P124" s="34" t="s">
        <v>2569</v>
      </c>
    </row>
    <row r="125" spans="1:16" x14ac:dyDescent="0.35">
      <c r="A125" s="34" t="str">
        <f t="shared" si="10"/>
        <v>2026 NOV-FEB B3 DISC 10%</v>
      </c>
      <c r="B125" s="35">
        <f t="shared" si="11"/>
        <v>46086</v>
      </c>
      <c r="C125" s="35">
        <f t="shared" si="12"/>
        <v>46092</v>
      </c>
      <c r="D125" s="34">
        <v>3321</v>
      </c>
      <c r="E125" s="34">
        <v>337</v>
      </c>
      <c r="F125" s="34">
        <v>4</v>
      </c>
      <c r="G125" s="70">
        <v>3</v>
      </c>
      <c r="H125" s="25">
        <v>81588</v>
      </c>
      <c r="I125" s="34" t="s">
        <v>2690</v>
      </c>
      <c r="J125" s="70">
        <v>63151846</v>
      </c>
      <c r="K125" s="70" t="s">
        <v>6831</v>
      </c>
      <c r="L125" s="85" t="s">
        <v>6833</v>
      </c>
      <c r="M125" s="84">
        <v>199900</v>
      </c>
      <c r="N125" s="34" t="s">
        <v>2569</v>
      </c>
      <c r="O125" s="36" t="str">
        <f t="shared" si="13"/>
        <v>B3 DISC 10%</v>
      </c>
      <c r="P125" s="34" t="s">
        <v>2569</v>
      </c>
    </row>
    <row r="126" spans="1:16" x14ac:dyDescent="0.35">
      <c r="A126" s="34" t="str">
        <f t="shared" si="10"/>
        <v>2026 NOV-FEB B3 DISC 10%</v>
      </c>
      <c r="B126" s="35">
        <f t="shared" si="11"/>
        <v>46086</v>
      </c>
      <c r="C126" s="35">
        <f t="shared" si="12"/>
        <v>46092</v>
      </c>
      <c r="D126" s="34">
        <v>3321</v>
      </c>
      <c r="E126" s="34">
        <v>337</v>
      </c>
      <c r="F126" s="34">
        <v>4</v>
      </c>
      <c r="G126" s="70">
        <v>3</v>
      </c>
      <c r="H126" s="25">
        <v>81588</v>
      </c>
      <c r="I126" s="34" t="s">
        <v>2690</v>
      </c>
      <c r="J126" s="70">
        <v>63151855</v>
      </c>
      <c r="K126" s="70" t="s">
        <v>6831</v>
      </c>
      <c r="L126" s="85" t="s">
        <v>6832</v>
      </c>
      <c r="M126" s="84">
        <v>199900</v>
      </c>
      <c r="N126" s="34" t="s">
        <v>2569</v>
      </c>
      <c r="O126" s="36" t="str">
        <f t="shared" si="13"/>
        <v>B3 DISC 10%</v>
      </c>
      <c r="P126" s="34" t="s">
        <v>2569</v>
      </c>
    </row>
    <row r="127" spans="1:16" x14ac:dyDescent="0.35">
      <c r="A127" s="34" t="str">
        <f t="shared" si="10"/>
        <v>2026 NOV-FEB B3 DISC 10%</v>
      </c>
      <c r="B127" s="35">
        <f t="shared" si="11"/>
        <v>46086</v>
      </c>
      <c r="C127" s="35">
        <f t="shared" si="12"/>
        <v>46092</v>
      </c>
      <c r="D127" s="34">
        <v>3321</v>
      </c>
      <c r="E127" s="34">
        <v>337</v>
      </c>
      <c r="F127" s="34">
        <v>4</v>
      </c>
      <c r="G127" s="70">
        <v>5</v>
      </c>
      <c r="H127" s="25">
        <v>81588</v>
      </c>
      <c r="I127" s="34" t="s">
        <v>2690</v>
      </c>
      <c r="J127" s="70">
        <v>63151864</v>
      </c>
      <c r="K127" s="70" t="s">
        <v>6831</v>
      </c>
      <c r="L127" s="85" t="s">
        <v>6830</v>
      </c>
      <c r="M127" s="84">
        <v>179900</v>
      </c>
      <c r="N127" s="34" t="s">
        <v>2569</v>
      </c>
      <c r="O127" s="36" t="str">
        <f t="shared" si="13"/>
        <v>B3 DISC 10%</v>
      </c>
      <c r="P127" s="34" t="s">
        <v>2569</v>
      </c>
    </row>
    <row r="128" spans="1:16" x14ac:dyDescent="0.35">
      <c r="A128" s="34" t="str">
        <f t="shared" si="10"/>
        <v>2026 NOV-FEB B3 DISC 10%</v>
      </c>
      <c r="B128" s="35">
        <f t="shared" si="11"/>
        <v>46086</v>
      </c>
      <c r="C128" s="35">
        <f t="shared" si="12"/>
        <v>46092</v>
      </c>
      <c r="D128" s="34">
        <v>3321</v>
      </c>
      <c r="E128" s="34">
        <v>337</v>
      </c>
      <c r="F128" s="34">
        <v>4</v>
      </c>
      <c r="G128" s="70">
        <v>5</v>
      </c>
      <c r="H128" s="25">
        <v>81588</v>
      </c>
      <c r="I128" s="34" t="s">
        <v>2690</v>
      </c>
      <c r="J128" s="70">
        <v>66253383</v>
      </c>
      <c r="K128" s="70" t="s">
        <v>6826</v>
      </c>
      <c r="L128" s="85" t="s">
        <v>6829</v>
      </c>
      <c r="M128" s="84">
        <v>179900</v>
      </c>
      <c r="N128" s="34" t="s">
        <v>2569</v>
      </c>
      <c r="O128" s="36" t="str">
        <f t="shared" si="13"/>
        <v>B3 DISC 10%</v>
      </c>
      <c r="P128" s="34" t="s">
        <v>2569</v>
      </c>
    </row>
    <row r="129" spans="1:16" x14ac:dyDescent="0.35">
      <c r="A129" s="34" t="str">
        <f t="shared" si="10"/>
        <v>2026 NOV-FEB B3 DISC 10%</v>
      </c>
      <c r="B129" s="35">
        <f t="shared" si="11"/>
        <v>46086</v>
      </c>
      <c r="C129" s="35">
        <f t="shared" si="12"/>
        <v>46092</v>
      </c>
      <c r="D129" s="34">
        <v>3321</v>
      </c>
      <c r="E129" s="34">
        <v>337</v>
      </c>
      <c r="F129" s="34">
        <v>4</v>
      </c>
      <c r="G129" s="70">
        <v>5</v>
      </c>
      <c r="H129" s="25">
        <v>81588</v>
      </c>
      <c r="I129" s="34" t="s">
        <v>2690</v>
      </c>
      <c r="J129" s="70">
        <v>66253392</v>
      </c>
      <c r="K129" s="70" t="s">
        <v>6826</v>
      </c>
      <c r="L129" s="85" t="s">
        <v>6828</v>
      </c>
      <c r="M129" s="84">
        <v>179900</v>
      </c>
      <c r="N129" s="34" t="s">
        <v>2569</v>
      </c>
      <c r="O129" s="36" t="str">
        <f t="shared" si="13"/>
        <v>B3 DISC 10%</v>
      </c>
      <c r="P129" s="34" t="s">
        <v>2569</v>
      </c>
    </row>
    <row r="130" spans="1:16" x14ac:dyDescent="0.35">
      <c r="A130" s="34" t="str">
        <f t="shared" si="10"/>
        <v>2026 NOV-FEB B3 DISC 10%</v>
      </c>
      <c r="B130" s="35">
        <f t="shared" si="11"/>
        <v>46086</v>
      </c>
      <c r="C130" s="35">
        <f t="shared" si="12"/>
        <v>46092</v>
      </c>
      <c r="D130" s="34">
        <v>3321</v>
      </c>
      <c r="E130" s="34">
        <v>337</v>
      </c>
      <c r="F130" s="34">
        <v>4</v>
      </c>
      <c r="G130" s="70">
        <v>5</v>
      </c>
      <c r="H130" s="25">
        <v>81588</v>
      </c>
      <c r="I130" s="34" t="s">
        <v>2690</v>
      </c>
      <c r="J130" s="70">
        <v>66253409</v>
      </c>
      <c r="K130" s="70" t="s">
        <v>6826</v>
      </c>
      <c r="L130" s="85" t="s">
        <v>6827</v>
      </c>
      <c r="M130" s="84">
        <v>179900</v>
      </c>
      <c r="N130" s="34" t="s">
        <v>2569</v>
      </c>
      <c r="O130" s="36" t="str">
        <f t="shared" si="13"/>
        <v>B3 DISC 10%</v>
      </c>
      <c r="P130" s="34" t="s">
        <v>2569</v>
      </c>
    </row>
    <row r="131" spans="1:16" x14ac:dyDescent="0.35">
      <c r="A131" s="34" t="str">
        <f t="shared" si="10"/>
        <v>2026 NOV-FEB B3 DISC 10%</v>
      </c>
      <c r="B131" s="35">
        <f t="shared" si="11"/>
        <v>46086</v>
      </c>
      <c r="C131" s="35">
        <f t="shared" si="12"/>
        <v>46092</v>
      </c>
      <c r="D131" s="34">
        <v>3321</v>
      </c>
      <c r="E131" s="34">
        <v>337</v>
      </c>
      <c r="F131" s="34">
        <v>4</v>
      </c>
      <c r="G131" s="70">
        <v>5</v>
      </c>
      <c r="H131" s="25">
        <v>81588</v>
      </c>
      <c r="I131" s="34" t="s">
        <v>2690</v>
      </c>
      <c r="J131" s="70">
        <v>66253418</v>
      </c>
      <c r="K131" s="70" t="s">
        <v>6826</v>
      </c>
      <c r="L131" s="85" t="s">
        <v>6825</v>
      </c>
      <c r="M131" s="84">
        <v>179900</v>
      </c>
      <c r="N131" s="34" t="s">
        <v>2569</v>
      </c>
      <c r="O131" s="36" t="str">
        <f t="shared" si="13"/>
        <v>B3 DISC 10%</v>
      </c>
      <c r="P131" s="34" t="s">
        <v>2569</v>
      </c>
    </row>
    <row r="132" spans="1:16" x14ac:dyDescent="0.35">
      <c r="A132" s="34" t="str">
        <f t="shared" si="10"/>
        <v>2026 NOV-FEB B3 DISC 10%</v>
      </c>
      <c r="B132" s="35">
        <f t="shared" si="11"/>
        <v>46086</v>
      </c>
      <c r="C132" s="35">
        <f t="shared" si="12"/>
        <v>46092</v>
      </c>
      <c r="D132" s="34">
        <v>3321</v>
      </c>
      <c r="E132" s="34">
        <v>337</v>
      </c>
      <c r="F132" s="34">
        <v>4</v>
      </c>
      <c r="G132" s="70">
        <v>5</v>
      </c>
      <c r="H132" s="25">
        <v>81506</v>
      </c>
      <c r="I132" s="34" t="s">
        <v>2690</v>
      </c>
      <c r="J132" s="70">
        <v>68783940</v>
      </c>
      <c r="K132" s="70" t="s">
        <v>6821</v>
      </c>
      <c r="L132" s="85" t="s">
        <v>6824</v>
      </c>
      <c r="M132" s="84">
        <v>179900</v>
      </c>
      <c r="N132" s="34" t="s">
        <v>2569</v>
      </c>
      <c r="O132" s="36" t="str">
        <f t="shared" si="13"/>
        <v>B3 DISC 10%</v>
      </c>
      <c r="P132" s="34" t="s">
        <v>2569</v>
      </c>
    </row>
    <row r="133" spans="1:16" x14ac:dyDescent="0.35">
      <c r="A133" s="34" t="str">
        <f t="shared" si="10"/>
        <v>2026 NOV-FEB B3 DISC 10%</v>
      </c>
      <c r="B133" s="35">
        <f t="shared" si="11"/>
        <v>46086</v>
      </c>
      <c r="C133" s="35">
        <f t="shared" si="12"/>
        <v>46092</v>
      </c>
      <c r="D133" s="34">
        <v>3321</v>
      </c>
      <c r="E133" s="34">
        <v>337</v>
      </c>
      <c r="F133" s="34">
        <v>4</v>
      </c>
      <c r="G133" s="70">
        <v>5</v>
      </c>
      <c r="H133" s="25">
        <v>81506</v>
      </c>
      <c r="I133" s="34" t="s">
        <v>2690</v>
      </c>
      <c r="J133" s="70">
        <v>68783959</v>
      </c>
      <c r="K133" s="70" t="s">
        <v>6821</v>
      </c>
      <c r="L133" s="85" t="s">
        <v>6823</v>
      </c>
      <c r="M133" s="84">
        <v>179900</v>
      </c>
      <c r="N133" s="34" t="s">
        <v>2569</v>
      </c>
      <c r="O133" s="36" t="str">
        <f t="shared" si="13"/>
        <v>B3 DISC 10%</v>
      </c>
      <c r="P133" s="34" t="s">
        <v>2569</v>
      </c>
    </row>
    <row r="134" spans="1:16" x14ac:dyDescent="0.35">
      <c r="A134" s="34" t="str">
        <f t="shared" si="10"/>
        <v>2026 NOV-FEB B3 DISC 10%</v>
      </c>
      <c r="B134" s="35">
        <f t="shared" si="11"/>
        <v>46086</v>
      </c>
      <c r="C134" s="35">
        <f t="shared" si="12"/>
        <v>46092</v>
      </c>
      <c r="D134" s="34">
        <v>3321</v>
      </c>
      <c r="E134" s="34">
        <v>337</v>
      </c>
      <c r="F134" s="34">
        <v>4</v>
      </c>
      <c r="G134" s="70">
        <v>5</v>
      </c>
      <c r="H134" s="25">
        <v>81506</v>
      </c>
      <c r="I134" s="34" t="s">
        <v>2690</v>
      </c>
      <c r="J134" s="70">
        <v>68783968</v>
      </c>
      <c r="K134" s="70" t="s">
        <v>6821</v>
      </c>
      <c r="L134" s="85" t="s">
        <v>6822</v>
      </c>
      <c r="M134" s="84">
        <v>179900</v>
      </c>
      <c r="N134" s="34" t="s">
        <v>2569</v>
      </c>
      <c r="O134" s="36" t="str">
        <f t="shared" si="13"/>
        <v>B3 DISC 10%</v>
      </c>
      <c r="P134" s="34" t="s">
        <v>2569</v>
      </c>
    </row>
    <row r="135" spans="1:16" x14ac:dyDescent="0.35">
      <c r="A135" s="34" t="str">
        <f t="shared" si="10"/>
        <v>2026 NOV-FEB B3 DISC 10%</v>
      </c>
      <c r="B135" s="35">
        <f t="shared" si="11"/>
        <v>46086</v>
      </c>
      <c r="C135" s="35">
        <f t="shared" si="12"/>
        <v>46092</v>
      </c>
      <c r="D135" s="34">
        <v>3321</v>
      </c>
      <c r="E135" s="34">
        <v>337</v>
      </c>
      <c r="F135" s="34">
        <v>4</v>
      </c>
      <c r="G135" s="70">
        <v>5</v>
      </c>
      <c r="H135" s="25">
        <v>81506</v>
      </c>
      <c r="I135" s="34" t="s">
        <v>2690</v>
      </c>
      <c r="J135" s="70">
        <v>68783977</v>
      </c>
      <c r="K135" s="70" t="s">
        <v>6821</v>
      </c>
      <c r="L135" s="85" t="s">
        <v>6820</v>
      </c>
      <c r="M135" s="84">
        <v>179900</v>
      </c>
      <c r="N135" s="34" t="s">
        <v>2569</v>
      </c>
      <c r="O135" s="36" t="str">
        <f t="shared" si="13"/>
        <v>B3 DISC 10%</v>
      </c>
      <c r="P135" s="34" t="s">
        <v>2569</v>
      </c>
    </row>
    <row r="136" spans="1:16" x14ac:dyDescent="0.35">
      <c r="A136" s="34" t="str">
        <f t="shared" si="10"/>
        <v>2026 NOV-FEB B3 DISC 10%</v>
      </c>
      <c r="B136" s="35">
        <f t="shared" si="11"/>
        <v>46086</v>
      </c>
      <c r="C136" s="35">
        <f t="shared" si="12"/>
        <v>46092</v>
      </c>
      <c r="D136" s="34">
        <v>3321</v>
      </c>
      <c r="E136" s="34">
        <v>337</v>
      </c>
      <c r="F136" s="34">
        <v>4</v>
      </c>
      <c r="G136" s="70">
        <v>5</v>
      </c>
      <c r="H136" s="25">
        <v>81005</v>
      </c>
      <c r="I136" s="34" t="s">
        <v>2690</v>
      </c>
      <c r="J136" s="70">
        <v>68784350</v>
      </c>
      <c r="K136" s="70" t="s">
        <v>6813</v>
      </c>
      <c r="L136" s="85" t="s">
        <v>6819</v>
      </c>
      <c r="M136" s="84">
        <v>179900</v>
      </c>
      <c r="N136" s="34" t="s">
        <v>2569</v>
      </c>
      <c r="O136" s="36" t="str">
        <f t="shared" si="13"/>
        <v>B3 DISC 10%</v>
      </c>
      <c r="P136" s="34" t="s">
        <v>2569</v>
      </c>
    </row>
    <row r="137" spans="1:16" x14ac:dyDescent="0.35">
      <c r="A137" s="34" t="str">
        <f t="shared" si="10"/>
        <v>2026 NOV-FEB B3 DISC 10%</v>
      </c>
      <c r="B137" s="35">
        <f t="shared" si="11"/>
        <v>46086</v>
      </c>
      <c r="C137" s="35">
        <f t="shared" si="12"/>
        <v>46092</v>
      </c>
      <c r="D137" s="34">
        <v>3321</v>
      </c>
      <c r="E137" s="34">
        <v>337</v>
      </c>
      <c r="F137" s="34">
        <v>4</v>
      </c>
      <c r="G137" s="70">
        <v>5</v>
      </c>
      <c r="H137" s="25">
        <v>81005</v>
      </c>
      <c r="I137" s="34" t="s">
        <v>2690</v>
      </c>
      <c r="J137" s="70">
        <v>68784369</v>
      </c>
      <c r="K137" s="70" t="s">
        <v>6813</v>
      </c>
      <c r="L137" s="85" t="s">
        <v>6818</v>
      </c>
      <c r="M137" s="84">
        <v>179900</v>
      </c>
      <c r="N137" s="34" t="s">
        <v>2569</v>
      </c>
      <c r="O137" s="36" t="str">
        <f t="shared" si="13"/>
        <v>B3 DISC 10%</v>
      </c>
      <c r="P137" s="34" t="s">
        <v>2569</v>
      </c>
    </row>
    <row r="138" spans="1:16" x14ac:dyDescent="0.35">
      <c r="A138" s="34" t="str">
        <f t="shared" si="10"/>
        <v>2026 NOV-FEB B3 DISC 10%</v>
      </c>
      <c r="B138" s="35">
        <f t="shared" si="11"/>
        <v>46086</v>
      </c>
      <c r="C138" s="35">
        <f t="shared" si="12"/>
        <v>46092</v>
      </c>
      <c r="D138" s="34">
        <v>3321</v>
      </c>
      <c r="E138" s="34">
        <v>337</v>
      </c>
      <c r="F138" s="34">
        <v>4</v>
      </c>
      <c r="G138" s="70">
        <v>5</v>
      </c>
      <c r="H138" s="25">
        <v>81005</v>
      </c>
      <c r="I138" s="34" t="s">
        <v>2690</v>
      </c>
      <c r="J138" s="70">
        <v>68784378</v>
      </c>
      <c r="K138" s="70" t="s">
        <v>6813</v>
      </c>
      <c r="L138" s="85" t="s">
        <v>6817</v>
      </c>
      <c r="M138" s="84">
        <v>179900</v>
      </c>
      <c r="N138" s="34" t="s">
        <v>2569</v>
      </c>
      <c r="O138" s="36" t="str">
        <f t="shared" si="13"/>
        <v>B3 DISC 10%</v>
      </c>
      <c r="P138" s="34" t="s">
        <v>2569</v>
      </c>
    </row>
    <row r="139" spans="1:16" x14ac:dyDescent="0.35">
      <c r="A139" s="34" t="str">
        <f t="shared" si="10"/>
        <v>2026 NOV-FEB B3 DISC 10%</v>
      </c>
      <c r="B139" s="35">
        <f t="shared" si="11"/>
        <v>46086</v>
      </c>
      <c r="C139" s="35">
        <f t="shared" si="12"/>
        <v>46092</v>
      </c>
      <c r="D139" s="34">
        <v>3321</v>
      </c>
      <c r="E139" s="34">
        <v>337</v>
      </c>
      <c r="F139" s="34">
        <v>4</v>
      </c>
      <c r="G139" s="70">
        <v>5</v>
      </c>
      <c r="H139" s="25">
        <v>81005</v>
      </c>
      <c r="I139" s="34" t="s">
        <v>2690</v>
      </c>
      <c r="J139" s="70">
        <v>68784387</v>
      </c>
      <c r="K139" s="70" t="s">
        <v>6813</v>
      </c>
      <c r="L139" s="85" t="s">
        <v>6816</v>
      </c>
      <c r="M139" s="84">
        <v>179900</v>
      </c>
      <c r="N139" s="34" t="s">
        <v>2569</v>
      </c>
      <c r="O139" s="36" t="str">
        <f t="shared" si="13"/>
        <v>B3 DISC 10%</v>
      </c>
      <c r="P139" s="34" t="s">
        <v>2569</v>
      </c>
    </row>
    <row r="140" spans="1:16" x14ac:dyDescent="0.35">
      <c r="A140" s="34" t="str">
        <f t="shared" si="10"/>
        <v>2026 NOV-FEB B3 DISC 10%</v>
      </c>
      <c r="B140" s="35">
        <f t="shared" si="11"/>
        <v>46086</v>
      </c>
      <c r="C140" s="35">
        <f t="shared" si="12"/>
        <v>46092</v>
      </c>
      <c r="D140" s="34">
        <v>3321</v>
      </c>
      <c r="E140" s="34">
        <v>337</v>
      </c>
      <c r="F140" s="34">
        <v>4</v>
      </c>
      <c r="G140" s="70">
        <v>5</v>
      </c>
      <c r="H140" s="25">
        <v>81005</v>
      </c>
      <c r="I140" s="34" t="s">
        <v>2690</v>
      </c>
      <c r="J140" s="70">
        <v>68784396</v>
      </c>
      <c r="K140" s="70" t="s">
        <v>6813</v>
      </c>
      <c r="L140" s="85" t="s">
        <v>6815</v>
      </c>
      <c r="M140" s="84">
        <v>179900</v>
      </c>
      <c r="N140" s="34" t="s">
        <v>2569</v>
      </c>
      <c r="O140" s="36" t="str">
        <f t="shared" si="13"/>
        <v>B3 DISC 10%</v>
      </c>
      <c r="P140" s="34" t="s">
        <v>2569</v>
      </c>
    </row>
    <row r="141" spans="1:16" x14ac:dyDescent="0.35">
      <c r="A141" s="34" t="str">
        <f t="shared" si="10"/>
        <v>2026 NOV-FEB B3 DISC 10%</v>
      </c>
      <c r="B141" s="35">
        <f t="shared" si="11"/>
        <v>46086</v>
      </c>
      <c r="C141" s="35">
        <f t="shared" si="12"/>
        <v>46092</v>
      </c>
      <c r="D141" s="34">
        <v>3321</v>
      </c>
      <c r="E141" s="34">
        <v>337</v>
      </c>
      <c r="F141" s="34">
        <v>4</v>
      </c>
      <c r="G141" s="70">
        <v>5</v>
      </c>
      <c r="H141" s="25">
        <v>81005</v>
      </c>
      <c r="I141" s="34" t="s">
        <v>2690</v>
      </c>
      <c r="J141" s="70">
        <v>68784403</v>
      </c>
      <c r="K141" s="70" t="s">
        <v>6813</v>
      </c>
      <c r="L141" s="85" t="s">
        <v>6814</v>
      </c>
      <c r="M141" s="84">
        <v>179900</v>
      </c>
      <c r="N141" s="34" t="s">
        <v>2569</v>
      </c>
      <c r="O141" s="36" t="str">
        <f t="shared" si="13"/>
        <v>B3 DISC 10%</v>
      </c>
      <c r="P141" s="34" t="s">
        <v>2569</v>
      </c>
    </row>
    <row r="142" spans="1:16" x14ac:dyDescent="0.35">
      <c r="A142" s="34" t="str">
        <f t="shared" si="10"/>
        <v>2026 NOV-FEB B3 DISC 10%</v>
      </c>
      <c r="B142" s="35">
        <f t="shared" si="11"/>
        <v>46086</v>
      </c>
      <c r="C142" s="35">
        <f t="shared" si="12"/>
        <v>46092</v>
      </c>
      <c r="D142" s="34">
        <v>3321</v>
      </c>
      <c r="E142" s="34">
        <v>337</v>
      </c>
      <c r="F142" s="34">
        <v>4</v>
      </c>
      <c r="G142" s="70">
        <v>1</v>
      </c>
      <c r="H142" s="25">
        <v>81005</v>
      </c>
      <c r="I142" s="34" t="s">
        <v>2690</v>
      </c>
      <c r="J142" s="70">
        <v>68784412</v>
      </c>
      <c r="K142" s="70" t="s">
        <v>6813</v>
      </c>
      <c r="L142" s="85" t="s">
        <v>6812</v>
      </c>
      <c r="M142" s="84">
        <v>99900</v>
      </c>
      <c r="N142" s="34" t="s">
        <v>2569</v>
      </c>
      <c r="O142" s="36" t="str">
        <f t="shared" si="13"/>
        <v>B3 DISC 10%</v>
      </c>
      <c r="P142" s="34" t="s">
        <v>2569</v>
      </c>
    </row>
    <row r="143" spans="1:16" x14ac:dyDescent="0.35">
      <c r="A143" s="34" t="str">
        <f t="shared" si="10"/>
        <v>2026 NOV-FEB B3 DISC 10%</v>
      </c>
      <c r="B143" s="35">
        <f t="shared" si="11"/>
        <v>46086</v>
      </c>
      <c r="C143" s="35">
        <f t="shared" si="12"/>
        <v>46092</v>
      </c>
      <c r="D143" s="34">
        <v>3321</v>
      </c>
      <c r="E143" s="34">
        <v>337</v>
      </c>
      <c r="F143" s="34">
        <v>4</v>
      </c>
      <c r="G143" s="70">
        <v>1</v>
      </c>
      <c r="H143" s="25">
        <v>81588</v>
      </c>
      <c r="I143" s="34" t="s">
        <v>2690</v>
      </c>
      <c r="J143" s="70">
        <v>68783164</v>
      </c>
      <c r="K143" s="70" t="s">
        <v>6805</v>
      </c>
      <c r="L143" s="85" t="s">
        <v>6811</v>
      </c>
      <c r="M143" s="84">
        <v>99900</v>
      </c>
      <c r="N143" s="34" t="s">
        <v>2569</v>
      </c>
      <c r="O143" s="36" t="str">
        <f t="shared" si="13"/>
        <v>B3 DISC 10%</v>
      </c>
      <c r="P143" s="34" t="s">
        <v>2569</v>
      </c>
    </row>
    <row r="144" spans="1:16" x14ac:dyDescent="0.35">
      <c r="A144" s="34" t="str">
        <f t="shared" si="10"/>
        <v>2026 NOV-FEB B3 DISC 10%</v>
      </c>
      <c r="B144" s="35">
        <f t="shared" si="11"/>
        <v>46086</v>
      </c>
      <c r="C144" s="35">
        <f t="shared" si="12"/>
        <v>46092</v>
      </c>
      <c r="D144" s="34">
        <v>3321</v>
      </c>
      <c r="E144" s="34">
        <v>337</v>
      </c>
      <c r="F144" s="34">
        <v>4</v>
      </c>
      <c r="G144" s="70">
        <v>1</v>
      </c>
      <c r="H144" s="25">
        <v>81588</v>
      </c>
      <c r="I144" s="34" t="s">
        <v>2690</v>
      </c>
      <c r="J144" s="70">
        <v>68783173</v>
      </c>
      <c r="K144" s="70" t="s">
        <v>6805</v>
      </c>
      <c r="L144" s="85" t="s">
        <v>6810</v>
      </c>
      <c r="M144" s="84">
        <v>99900</v>
      </c>
      <c r="N144" s="34" t="s">
        <v>2569</v>
      </c>
      <c r="O144" s="36" t="str">
        <f t="shared" si="13"/>
        <v>B3 DISC 10%</v>
      </c>
      <c r="P144" s="34" t="s">
        <v>2569</v>
      </c>
    </row>
    <row r="145" spans="1:16" x14ac:dyDescent="0.35">
      <c r="A145" s="34" t="str">
        <f t="shared" si="10"/>
        <v>2026 NOV-FEB B3 DISC 10%</v>
      </c>
      <c r="B145" s="35">
        <f t="shared" si="11"/>
        <v>46086</v>
      </c>
      <c r="C145" s="35">
        <f t="shared" si="12"/>
        <v>46092</v>
      </c>
      <c r="D145" s="34">
        <v>3321</v>
      </c>
      <c r="E145" s="34">
        <v>337</v>
      </c>
      <c r="F145" s="34">
        <v>4</v>
      </c>
      <c r="G145" s="70">
        <v>1</v>
      </c>
      <c r="H145" s="25">
        <v>81588</v>
      </c>
      <c r="I145" s="34" t="s">
        <v>2690</v>
      </c>
      <c r="J145" s="70">
        <v>68783182</v>
      </c>
      <c r="K145" s="70" t="s">
        <v>6805</v>
      </c>
      <c r="L145" s="85" t="s">
        <v>6809</v>
      </c>
      <c r="M145" s="84">
        <v>99900</v>
      </c>
      <c r="N145" s="34" t="s">
        <v>2569</v>
      </c>
      <c r="O145" s="36" t="str">
        <f t="shared" si="13"/>
        <v>B3 DISC 10%</v>
      </c>
      <c r="P145" s="34" t="s">
        <v>2569</v>
      </c>
    </row>
    <row r="146" spans="1:16" x14ac:dyDescent="0.35">
      <c r="A146" s="34" t="str">
        <f t="shared" si="10"/>
        <v>2026 NOV-FEB B3 DISC 10%</v>
      </c>
      <c r="B146" s="35">
        <f t="shared" si="11"/>
        <v>46086</v>
      </c>
      <c r="C146" s="35">
        <f t="shared" si="12"/>
        <v>46092</v>
      </c>
      <c r="D146" s="34">
        <v>3321</v>
      </c>
      <c r="E146" s="34">
        <v>337</v>
      </c>
      <c r="F146" s="34">
        <v>4</v>
      </c>
      <c r="G146" s="70">
        <v>1</v>
      </c>
      <c r="H146" s="25">
        <v>81588</v>
      </c>
      <c r="I146" s="34" t="s">
        <v>2690</v>
      </c>
      <c r="J146" s="70">
        <v>68783191</v>
      </c>
      <c r="K146" s="70" t="s">
        <v>6805</v>
      </c>
      <c r="L146" s="85" t="s">
        <v>6808</v>
      </c>
      <c r="M146" s="84">
        <v>99900</v>
      </c>
      <c r="N146" s="34" t="s">
        <v>2569</v>
      </c>
      <c r="O146" s="36" t="str">
        <f t="shared" si="13"/>
        <v>B3 DISC 10%</v>
      </c>
      <c r="P146" s="34" t="s">
        <v>2569</v>
      </c>
    </row>
    <row r="147" spans="1:16" x14ac:dyDescent="0.35">
      <c r="A147" s="34" t="str">
        <f t="shared" si="10"/>
        <v>2026 NOV-FEB B3 DISC 10%</v>
      </c>
      <c r="B147" s="35">
        <f t="shared" si="11"/>
        <v>46086</v>
      </c>
      <c r="C147" s="35">
        <f t="shared" si="12"/>
        <v>46092</v>
      </c>
      <c r="D147" s="34">
        <v>3321</v>
      </c>
      <c r="E147" s="34">
        <v>337</v>
      </c>
      <c r="F147" s="34">
        <v>4</v>
      </c>
      <c r="G147" s="70">
        <v>1</v>
      </c>
      <c r="H147" s="25">
        <v>81588</v>
      </c>
      <c r="I147" s="34" t="s">
        <v>2690</v>
      </c>
      <c r="J147" s="70">
        <v>68783208</v>
      </c>
      <c r="K147" s="70" t="s">
        <v>6805</v>
      </c>
      <c r="L147" s="85" t="s">
        <v>6807</v>
      </c>
      <c r="M147" s="84">
        <v>99900</v>
      </c>
      <c r="N147" s="34" t="s">
        <v>2569</v>
      </c>
      <c r="O147" s="36" t="str">
        <f t="shared" si="13"/>
        <v>B3 DISC 10%</v>
      </c>
      <c r="P147" s="34" t="s">
        <v>2569</v>
      </c>
    </row>
    <row r="148" spans="1:16" x14ac:dyDescent="0.35">
      <c r="A148" s="34" t="str">
        <f t="shared" si="10"/>
        <v>2026 NOV-FEB B3 DISC 10%</v>
      </c>
      <c r="B148" s="35">
        <f t="shared" si="11"/>
        <v>46086</v>
      </c>
      <c r="C148" s="35">
        <f t="shared" si="12"/>
        <v>46092</v>
      </c>
      <c r="D148" s="34">
        <v>3321</v>
      </c>
      <c r="E148" s="34">
        <v>337</v>
      </c>
      <c r="F148" s="34">
        <v>4</v>
      </c>
      <c r="G148" s="70">
        <v>1</v>
      </c>
      <c r="H148" s="25">
        <v>81588</v>
      </c>
      <c r="I148" s="34" t="s">
        <v>2690</v>
      </c>
      <c r="J148" s="70">
        <v>68783217</v>
      </c>
      <c r="K148" s="70" t="s">
        <v>6805</v>
      </c>
      <c r="L148" s="85" t="s">
        <v>6806</v>
      </c>
      <c r="M148" s="84">
        <v>99900</v>
      </c>
      <c r="N148" s="34" t="s">
        <v>2569</v>
      </c>
      <c r="O148" s="36" t="str">
        <f t="shared" si="13"/>
        <v>B3 DISC 10%</v>
      </c>
      <c r="P148" s="34" t="s">
        <v>2569</v>
      </c>
    </row>
    <row r="149" spans="1:16" x14ac:dyDescent="0.35">
      <c r="A149" s="34" t="str">
        <f t="shared" si="10"/>
        <v>2026 NOV-FEB B3 DISC 10%</v>
      </c>
      <c r="B149" s="35">
        <f t="shared" si="11"/>
        <v>46086</v>
      </c>
      <c r="C149" s="35">
        <f t="shared" si="12"/>
        <v>46092</v>
      </c>
      <c r="D149" s="34">
        <v>3321</v>
      </c>
      <c r="E149" s="34">
        <v>337</v>
      </c>
      <c r="F149" s="34">
        <v>4</v>
      </c>
      <c r="G149" s="70">
        <v>2</v>
      </c>
      <c r="H149" s="25">
        <v>81588</v>
      </c>
      <c r="I149" s="34" t="s">
        <v>2690</v>
      </c>
      <c r="J149" s="70">
        <v>68783226</v>
      </c>
      <c r="K149" s="70" t="s">
        <v>6805</v>
      </c>
      <c r="L149" s="85" t="s">
        <v>6804</v>
      </c>
      <c r="M149" s="84">
        <v>149900</v>
      </c>
      <c r="N149" s="34" t="s">
        <v>2569</v>
      </c>
      <c r="O149" s="36" t="str">
        <f t="shared" si="13"/>
        <v>B3 DISC 10%</v>
      </c>
      <c r="P149" s="34" t="s">
        <v>2569</v>
      </c>
    </row>
    <row r="150" spans="1:16" x14ac:dyDescent="0.35">
      <c r="A150" s="34" t="str">
        <f t="shared" si="10"/>
        <v>2026 NOV-FEB B3 DISC 10%</v>
      </c>
      <c r="B150" s="35">
        <f t="shared" si="11"/>
        <v>46086</v>
      </c>
      <c r="C150" s="35">
        <f t="shared" si="12"/>
        <v>46092</v>
      </c>
      <c r="D150" s="20">
        <v>3321</v>
      </c>
      <c r="E150" s="20">
        <v>337</v>
      </c>
      <c r="F150" s="20">
        <v>4</v>
      </c>
      <c r="G150" s="70">
        <v>2</v>
      </c>
      <c r="H150" s="25">
        <v>81005</v>
      </c>
      <c r="I150" s="20" t="s">
        <v>2690</v>
      </c>
      <c r="J150" s="70">
        <v>68784289</v>
      </c>
      <c r="K150" s="70" t="s">
        <v>6797</v>
      </c>
      <c r="L150" s="85" t="s">
        <v>6803</v>
      </c>
      <c r="M150" s="84">
        <v>149900</v>
      </c>
      <c r="N150" s="20" t="s">
        <v>2569</v>
      </c>
      <c r="O150" s="36" t="str">
        <f t="shared" si="13"/>
        <v>B3 DISC 10%</v>
      </c>
      <c r="P150" s="34" t="s">
        <v>2569</v>
      </c>
    </row>
    <row r="151" spans="1:16" x14ac:dyDescent="0.35">
      <c r="A151" s="34" t="str">
        <f t="shared" si="10"/>
        <v>2026 NOV-FEB B3 DISC 10%</v>
      </c>
      <c r="B151" s="35">
        <f t="shared" si="11"/>
        <v>46086</v>
      </c>
      <c r="C151" s="35">
        <f t="shared" si="12"/>
        <v>46092</v>
      </c>
      <c r="D151" s="34">
        <v>3321</v>
      </c>
      <c r="E151" s="34">
        <v>337</v>
      </c>
      <c r="F151" s="34">
        <v>4</v>
      </c>
      <c r="G151" s="77">
        <v>2</v>
      </c>
      <c r="H151" s="25">
        <v>81005</v>
      </c>
      <c r="I151" s="34" t="s">
        <v>2690</v>
      </c>
      <c r="J151" s="25">
        <v>68784298</v>
      </c>
      <c r="K151" s="25" t="s">
        <v>6797</v>
      </c>
      <c r="L151" s="50" t="s">
        <v>6802</v>
      </c>
      <c r="M151" s="26">
        <v>149900</v>
      </c>
      <c r="N151" s="34" t="s">
        <v>2569</v>
      </c>
      <c r="O151" s="36" t="str">
        <f t="shared" si="13"/>
        <v>B3 DISC 10%</v>
      </c>
      <c r="P151" s="34" t="s">
        <v>2569</v>
      </c>
    </row>
    <row r="152" spans="1:16" x14ac:dyDescent="0.35">
      <c r="A152" s="34" t="str">
        <f t="shared" si="10"/>
        <v>2026 NOV-FEB B3 DISC 10%</v>
      </c>
      <c r="B152" s="35">
        <f t="shared" si="11"/>
        <v>46086</v>
      </c>
      <c r="C152" s="35">
        <f t="shared" si="12"/>
        <v>46092</v>
      </c>
      <c r="D152" s="34">
        <v>3321</v>
      </c>
      <c r="E152" s="34">
        <v>337</v>
      </c>
      <c r="F152" s="34">
        <v>4</v>
      </c>
      <c r="G152" s="77">
        <v>2</v>
      </c>
      <c r="H152" s="25">
        <v>81005</v>
      </c>
      <c r="I152" s="34" t="s">
        <v>2690</v>
      </c>
      <c r="J152" s="25">
        <v>68784305</v>
      </c>
      <c r="K152" s="25" t="s">
        <v>6797</v>
      </c>
      <c r="L152" s="50" t="s">
        <v>6801</v>
      </c>
      <c r="M152" s="26">
        <v>149900</v>
      </c>
      <c r="N152" s="34" t="s">
        <v>2569</v>
      </c>
      <c r="O152" s="36" t="str">
        <f t="shared" si="13"/>
        <v>B3 DISC 10%</v>
      </c>
      <c r="P152" s="34" t="s">
        <v>2569</v>
      </c>
    </row>
    <row r="153" spans="1:16" x14ac:dyDescent="0.35">
      <c r="A153" s="34" t="str">
        <f t="shared" si="10"/>
        <v>2026 NOV-FEB B3 DISC 10%</v>
      </c>
      <c r="B153" s="35">
        <f t="shared" si="11"/>
        <v>46086</v>
      </c>
      <c r="C153" s="35">
        <f t="shared" si="12"/>
        <v>46092</v>
      </c>
      <c r="D153" s="34">
        <v>3321</v>
      </c>
      <c r="E153" s="34">
        <v>337</v>
      </c>
      <c r="F153" s="34">
        <v>4</v>
      </c>
      <c r="G153" s="77">
        <v>2</v>
      </c>
      <c r="H153" s="25">
        <v>81005</v>
      </c>
      <c r="I153" s="34" t="s">
        <v>2690</v>
      </c>
      <c r="J153" s="25">
        <v>68784314</v>
      </c>
      <c r="K153" s="25" t="s">
        <v>6797</v>
      </c>
      <c r="L153" s="50" t="s">
        <v>6800</v>
      </c>
      <c r="M153" s="26">
        <v>149900</v>
      </c>
      <c r="N153" s="34" t="s">
        <v>2569</v>
      </c>
      <c r="O153" s="36" t="str">
        <f t="shared" si="13"/>
        <v>B3 DISC 10%</v>
      </c>
      <c r="P153" s="34" t="s">
        <v>2569</v>
      </c>
    </row>
    <row r="154" spans="1:16" x14ac:dyDescent="0.35">
      <c r="A154" s="34" t="str">
        <f t="shared" si="10"/>
        <v>2026 NOV-FEB B3 DISC 10%</v>
      </c>
      <c r="B154" s="35">
        <f t="shared" si="11"/>
        <v>46086</v>
      </c>
      <c r="C154" s="35">
        <f t="shared" si="12"/>
        <v>46092</v>
      </c>
      <c r="D154" s="34">
        <v>3321</v>
      </c>
      <c r="E154" s="34">
        <v>337</v>
      </c>
      <c r="F154" s="34">
        <v>4</v>
      </c>
      <c r="G154" s="77">
        <v>2</v>
      </c>
      <c r="H154" s="25">
        <v>81005</v>
      </c>
      <c r="I154" s="34" t="s">
        <v>2690</v>
      </c>
      <c r="J154" s="25">
        <v>68784323</v>
      </c>
      <c r="K154" s="25" t="s">
        <v>6797</v>
      </c>
      <c r="L154" s="50" t="s">
        <v>6799</v>
      </c>
      <c r="M154" s="26">
        <v>149900</v>
      </c>
      <c r="N154" s="34" t="s">
        <v>2569</v>
      </c>
      <c r="O154" s="36" t="str">
        <f t="shared" si="13"/>
        <v>B3 DISC 10%</v>
      </c>
      <c r="P154" s="34" t="s">
        <v>2569</v>
      </c>
    </row>
    <row r="155" spans="1:16" x14ac:dyDescent="0.35">
      <c r="A155" s="34" t="str">
        <f t="shared" si="10"/>
        <v>2026 NOV-FEB B3 DISC 10%</v>
      </c>
      <c r="B155" s="35">
        <f t="shared" si="11"/>
        <v>46086</v>
      </c>
      <c r="C155" s="35">
        <f t="shared" si="12"/>
        <v>46092</v>
      </c>
      <c r="D155" s="34">
        <v>3321</v>
      </c>
      <c r="E155" s="34">
        <v>337</v>
      </c>
      <c r="F155" s="34">
        <v>4</v>
      </c>
      <c r="G155" s="77">
        <v>2</v>
      </c>
      <c r="H155" s="25">
        <v>81005</v>
      </c>
      <c r="I155" s="34" t="s">
        <v>2690</v>
      </c>
      <c r="J155" s="25">
        <v>68784332</v>
      </c>
      <c r="K155" s="25" t="s">
        <v>6797</v>
      </c>
      <c r="L155" s="50" t="s">
        <v>6798</v>
      </c>
      <c r="M155" s="26">
        <v>149900</v>
      </c>
      <c r="N155" s="34" t="s">
        <v>2569</v>
      </c>
      <c r="O155" s="36" t="str">
        <f t="shared" si="13"/>
        <v>B3 DISC 10%</v>
      </c>
      <c r="P155" s="34" t="s">
        <v>2569</v>
      </c>
    </row>
    <row r="156" spans="1:16" x14ac:dyDescent="0.35">
      <c r="A156" s="34" t="str">
        <f t="shared" si="10"/>
        <v>2026 NOV-FEB B3 DISC 10%</v>
      </c>
      <c r="B156" s="35">
        <f t="shared" si="11"/>
        <v>46086</v>
      </c>
      <c r="C156" s="35">
        <f t="shared" si="12"/>
        <v>46092</v>
      </c>
      <c r="D156" s="34">
        <v>3321</v>
      </c>
      <c r="E156" s="34">
        <v>337</v>
      </c>
      <c r="F156" s="34">
        <v>4</v>
      </c>
      <c r="G156" s="77">
        <v>3</v>
      </c>
      <c r="H156" s="25">
        <v>81005</v>
      </c>
      <c r="I156" s="34" t="s">
        <v>2690</v>
      </c>
      <c r="J156" s="25">
        <v>68784341</v>
      </c>
      <c r="K156" s="25" t="s">
        <v>6797</v>
      </c>
      <c r="L156" s="50" t="s">
        <v>6796</v>
      </c>
      <c r="M156" s="26">
        <v>229900</v>
      </c>
      <c r="N156" s="34" t="s">
        <v>2569</v>
      </c>
      <c r="O156" s="36" t="str">
        <f t="shared" si="13"/>
        <v>B3 DISC 10%</v>
      </c>
      <c r="P156" s="34" t="s">
        <v>2569</v>
      </c>
    </row>
    <row r="157" spans="1:16" x14ac:dyDescent="0.35">
      <c r="A157" s="34" t="str">
        <f t="shared" si="10"/>
        <v>2026 NOV-FEB B3 DISC 10%</v>
      </c>
      <c r="B157" s="35">
        <f t="shared" si="11"/>
        <v>46086</v>
      </c>
      <c r="C157" s="35">
        <f t="shared" si="12"/>
        <v>46092</v>
      </c>
      <c r="D157" s="34">
        <v>3321</v>
      </c>
      <c r="E157" s="34">
        <v>337</v>
      </c>
      <c r="F157" s="34">
        <v>4</v>
      </c>
      <c r="G157" s="77">
        <v>3</v>
      </c>
      <c r="H157" s="25">
        <v>81005</v>
      </c>
      <c r="I157" s="34" t="s">
        <v>2690</v>
      </c>
      <c r="J157" s="25">
        <v>68784216</v>
      </c>
      <c r="K157" s="25" t="s">
        <v>6789</v>
      </c>
      <c r="L157" s="50" t="s">
        <v>6795</v>
      </c>
      <c r="M157" s="26">
        <v>229900</v>
      </c>
      <c r="N157" s="34" t="s">
        <v>2569</v>
      </c>
      <c r="O157" s="36" t="str">
        <f t="shared" si="13"/>
        <v>B3 DISC 10%</v>
      </c>
      <c r="P157" s="34" t="s">
        <v>2569</v>
      </c>
    </row>
    <row r="158" spans="1:16" x14ac:dyDescent="0.35">
      <c r="A158" s="34" t="str">
        <f t="shared" si="10"/>
        <v>2026 NOV-FEB B3 DISC 10%</v>
      </c>
      <c r="B158" s="35">
        <f t="shared" si="11"/>
        <v>46086</v>
      </c>
      <c r="C158" s="35">
        <f t="shared" si="12"/>
        <v>46092</v>
      </c>
      <c r="D158" s="34">
        <v>3321</v>
      </c>
      <c r="E158" s="34">
        <v>337</v>
      </c>
      <c r="F158" s="34">
        <v>4</v>
      </c>
      <c r="G158" s="77">
        <v>3</v>
      </c>
      <c r="H158" s="25">
        <v>81005</v>
      </c>
      <c r="I158" s="34" t="s">
        <v>2690</v>
      </c>
      <c r="J158" s="25">
        <v>68784225</v>
      </c>
      <c r="K158" s="25" t="s">
        <v>6789</v>
      </c>
      <c r="L158" s="50" t="s">
        <v>6794</v>
      </c>
      <c r="M158" s="26">
        <v>229900</v>
      </c>
      <c r="N158" s="34" t="s">
        <v>2569</v>
      </c>
      <c r="O158" s="36" t="str">
        <f t="shared" si="13"/>
        <v>B3 DISC 10%</v>
      </c>
      <c r="P158" s="34" t="s">
        <v>2569</v>
      </c>
    </row>
    <row r="159" spans="1:16" x14ac:dyDescent="0.35">
      <c r="A159" s="34" t="str">
        <f t="shared" si="10"/>
        <v>2026 NOV-FEB B3 DISC 10%</v>
      </c>
      <c r="B159" s="35">
        <f t="shared" si="11"/>
        <v>46086</v>
      </c>
      <c r="C159" s="35">
        <f t="shared" si="12"/>
        <v>46092</v>
      </c>
      <c r="D159" s="34">
        <v>3321</v>
      </c>
      <c r="E159" s="34">
        <v>337</v>
      </c>
      <c r="F159" s="34">
        <v>4</v>
      </c>
      <c r="G159" s="77">
        <v>3</v>
      </c>
      <c r="H159" s="25">
        <v>81005</v>
      </c>
      <c r="I159" s="34" t="s">
        <v>2690</v>
      </c>
      <c r="J159" s="25">
        <v>68784234</v>
      </c>
      <c r="K159" s="25" t="s">
        <v>6789</v>
      </c>
      <c r="L159" s="50" t="s">
        <v>6793</v>
      </c>
      <c r="M159" s="26">
        <v>229900</v>
      </c>
      <c r="N159" s="34" t="s">
        <v>2569</v>
      </c>
      <c r="O159" s="36" t="str">
        <f t="shared" si="13"/>
        <v>B3 DISC 10%</v>
      </c>
      <c r="P159" s="34" t="s">
        <v>2569</v>
      </c>
    </row>
    <row r="160" spans="1:16" x14ac:dyDescent="0.35">
      <c r="A160" s="34" t="str">
        <f t="shared" si="10"/>
        <v>2026 NOV-FEB B3 DISC 10%</v>
      </c>
      <c r="B160" s="35">
        <f t="shared" si="11"/>
        <v>46086</v>
      </c>
      <c r="C160" s="35">
        <f t="shared" si="12"/>
        <v>46092</v>
      </c>
      <c r="D160" s="34">
        <v>3321</v>
      </c>
      <c r="E160" s="34">
        <v>337</v>
      </c>
      <c r="F160" s="34">
        <v>4</v>
      </c>
      <c r="G160" s="77">
        <v>3</v>
      </c>
      <c r="H160" s="25">
        <v>81005</v>
      </c>
      <c r="I160" s="34" t="s">
        <v>2690</v>
      </c>
      <c r="J160" s="25">
        <v>68784243</v>
      </c>
      <c r="K160" s="25" t="s">
        <v>6789</v>
      </c>
      <c r="L160" s="50" t="s">
        <v>6792</v>
      </c>
      <c r="M160" s="26">
        <v>229900</v>
      </c>
      <c r="N160" s="34" t="s">
        <v>2569</v>
      </c>
      <c r="O160" s="36" t="str">
        <f t="shared" si="13"/>
        <v>B3 DISC 10%</v>
      </c>
      <c r="P160" s="34" t="s">
        <v>2569</v>
      </c>
    </row>
    <row r="161" spans="1:16" x14ac:dyDescent="0.35">
      <c r="A161" s="34" t="str">
        <f t="shared" si="10"/>
        <v>2026 NOV-FEB B3 DISC 10%</v>
      </c>
      <c r="B161" s="35">
        <f t="shared" si="11"/>
        <v>46086</v>
      </c>
      <c r="C161" s="35">
        <f t="shared" si="12"/>
        <v>46092</v>
      </c>
      <c r="D161" s="34">
        <v>3321</v>
      </c>
      <c r="E161" s="34">
        <v>337</v>
      </c>
      <c r="F161" s="34">
        <v>4</v>
      </c>
      <c r="G161" s="77">
        <v>3</v>
      </c>
      <c r="H161" s="25">
        <v>81005</v>
      </c>
      <c r="I161" s="34" t="s">
        <v>2690</v>
      </c>
      <c r="J161" s="25">
        <v>68784252</v>
      </c>
      <c r="K161" s="25" t="s">
        <v>6789</v>
      </c>
      <c r="L161" s="50" t="s">
        <v>6791</v>
      </c>
      <c r="M161" s="26">
        <v>229900</v>
      </c>
      <c r="N161" s="34" t="s">
        <v>2569</v>
      </c>
      <c r="O161" s="36" t="str">
        <f t="shared" si="13"/>
        <v>B3 DISC 10%</v>
      </c>
      <c r="P161" s="34" t="s">
        <v>2569</v>
      </c>
    </row>
    <row r="162" spans="1:16" x14ac:dyDescent="0.35">
      <c r="A162" s="34" t="str">
        <f t="shared" si="10"/>
        <v>2026 NOV-FEB B3 DISC 10%</v>
      </c>
      <c r="B162" s="35">
        <f t="shared" si="11"/>
        <v>46086</v>
      </c>
      <c r="C162" s="35">
        <f t="shared" si="12"/>
        <v>46092</v>
      </c>
      <c r="D162" s="34">
        <v>3321</v>
      </c>
      <c r="E162" s="34">
        <v>337</v>
      </c>
      <c r="F162" s="34">
        <v>4</v>
      </c>
      <c r="G162" s="77">
        <v>3</v>
      </c>
      <c r="H162" s="25">
        <v>81005</v>
      </c>
      <c r="I162" s="34" t="s">
        <v>2690</v>
      </c>
      <c r="J162" s="25">
        <v>68784261</v>
      </c>
      <c r="K162" s="25" t="s">
        <v>6789</v>
      </c>
      <c r="L162" s="50" t="s">
        <v>6790</v>
      </c>
      <c r="M162" s="26">
        <v>229900</v>
      </c>
      <c r="N162" s="34" t="s">
        <v>2569</v>
      </c>
      <c r="O162" s="36" t="str">
        <f t="shared" si="13"/>
        <v>B3 DISC 10%</v>
      </c>
      <c r="P162" s="34" t="s">
        <v>2569</v>
      </c>
    </row>
    <row r="163" spans="1:16" x14ac:dyDescent="0.35">
      <c r="A163" s="34" t="str">
        <f t="shared" si="10"/>
        <v>2026 NOV-FEB B3 DISC 10%</v>
      </c>
      <c r="B163" s="35">
        <f t="shared" si="11"/>
        <v>46086</v>
      </c>
      <c r="C163" s="35">
        <f t="shared" si="12"/>
        <v>46092</v>
      </c>
      <c r="D163" s="34">
        <v>3321</v>
      </c>
      <c r="E163" s="34">
        <v>337</v>
      </c>
      <c r="F163" s="34">
        <v>4</v>
      </c>
      <c r="G163" s="77">
        <v>3</v>
      </c>
      <c r="H163" s="25">
        <v>81005</v>
      </c>
      <c r="I163" s="34" t="s">
        <v>2690</v>
      </c>
      <c r="J163" s="25">
        <v>68784270</v>
      </c>
      <c r="K163" s="25" t="s">
        <v>6789</v>
      </c>
      <c r="L163" s="50" t="s">
        <v>6788</v>
      </c>
      <c r="M163" s="26">
        <v>229900</v>
      </c>
      <c r="N163" s="34" t="s">
        <v>2569</v>
      </c>
      <c r="O163" s="36" t="str">
        <f t="shared" si="13"/>
        <v>B3 DISC 10%</v>
      </c>
      <c r="P163" s="34" t="s">
        <v>2569</v>
      </c>
    </row>
    <row r="164" spans="1:16" x14ac:dyDescent="0.35">
      <c r="A164" s="34" t="str">
        <f t="shared" si="10"/>
        <v>2026 NOV-FEB B3 DISC 10%</v>
      </c>
      <c r="B164" s="35">
        <f t="shared" si="11"/>
        <v>46086</v>
      </c>
      <c r="C164" s="35">
        <f t="shared" si="12"/>
        <v>46092</v>
      </c>
      <c r="D164" s="34">
        <v>3321</v>
      </c>
      <c r="E164" s="34">
        <v>337</v>
      </c>
      <c r="F164" s="34">
        <v>4</v>
      </c>
      <c r="G164" s="70">
        <v>3</v>
      </c>
      <c r="H164" s="70">
        <v>81588</v>
      </c>
      <c r="I164" s="34" t="s">
        <v>2690</v>
      </c>
      <c r="J164" s="70">
        <v>66252286</v>
      </c>
      <c r="K164" s="70" t="s">
        <v>6860</v>
      </c>
      <c r="L164" s="87" t="s">
        <v>6863</v>
      </c>
      <c r="M164" s="88">
        <v>199900</v>
      </c>
      <c r="N164" s="34" t="s">
        <v>2569</v>
      </c>
      <c r="O164" s="36" t="e">
        <f>#REF!</f>
        <v>#REF!</v>
      </c>
      <c r="P164" s="34" t="s">
        <v>2569</v>
      </c>
    </row>
    <row r="165" spans="1:16" x14ac:dyDescent="0.35">
      <c r="A165" s="34" t="str">
        <f t="shared" si="10"/>
        <v>2026 NOV-FEB B3 DISC 10%</v>
      </c>
      <c r="B165" s="35">
        <f t="shared" si="11"/>
        <v>46086</v>
      </c>
      <c r="C165" s="35">
        <f t="shared" si="12"/>
        <v>46092</v>
      </c>
      <c r="D165" s="34">
        <v>3321</v>
      </c>
      <c r="E165" s="34">
        <v>337</v>
      </c>
      <c r="F165" s="34">
        <v>4</v>
      </c>
      <c r="G165" s="70">
        <v>3</v>
      </c>
      <c r="H165" s="70">
        <v>81588</v>
      </c>
      <c r="I165" s="34" t="s">
        <v>2690</v>
      </c>
      <c r="J165" s="70">
        <v>66252295</v>
      </c>
      <c r="K165" s="72" t="s">
        <v>6860</v>
      </c>
      <c r="L165" s="87" t="s">
        <v>6862</v>
      </c>
      <c r="M165" s="88">
        <v>199900</v>
      </c>
      <c r="N165" s="34" t="s">
        <v>2569</v>
      </c>
      <c r="O165" s="36" t="e">
        <f t="shared" ref="O165:O207" si="14">O164</f>
        <v>#REF!</v>
      </c>
      <c r="P165" s="34" t="s">
        <v>2569</v>
      </c>
    </row>
    <row r="166" spans="1:16" x14ac:dyDescent="0.35">
      <c r="A166" s="34" t="str">
        <f t="shared" si="10"/>
        <v>2026 NOV-FEB B3 DISC 10%</v>
      </c>
      <c r="B166" s="35">
        <f t="shared" si="11"/>
        <v>46086</v>
      </c>
      <c r="C166" s="35">
        <f t="shared" si="12"/>
        <v>46092</v>
      </c>
      <c r="D166" s="34">
        <v>3321</v>
      </c>
      <c r="E166" s="34">
        <v>337</v>
      </c>
      <c r="F166" s="34">
        <v>4</v>
      </c>
      <c r="G166" s="70">
        <v>3</v>
      </c>
      <c r="H166" s="70">
        <v>81588</v>
      </c>
      <c r="I166" s="34" t="s">
        <v>2690</v>
      </c>
      <c r="J166" s="70">
        <v>66252302</v>
      </c>
      <c r="K166" s="72" t="s">
        <v>6860</v>
      </c>
      <c r="L166" s="87" t="s">
        <v>6861</v>
      </c>
      <c r="M166" s="88">
        <v>199900</v>
      </c>
      <c r="N166" s="34" t="s">
        <v>2569</v>
      </c>
      <c r="O166" s="36" t="e">
        <f t="shared" si="14"/>
        <v>#REF!</v>
      </c>
      <c r="P166" s="34" t="s">
        <v>2569</v>
      </c>
    </row>
    <row r="167" spans="1:16" x14ac:dyDescent="0.35">
      <c r="A167" s="34" t="str">
        <f t="shared" si="10"/>
        <v>2026 NOV-FEB B3 DISC 10%</v>
      </c>
      <c r="B167" s="35">
        <f t="shared" si="11"/>
        <v>46086</v>
      </c>
      <c r="C167" s="35">
        <f t="shared" si="12"/>
        <v>46092</v>
      </c>
      <c r="D167" s="34">
        <v>3321</v>
      </c>
      <c r="E167" s="34">
        <v>337</v>
      </c>
      <c r="F167" s="34">
        <v>4</v>
      </c>
      <c r="G167" s="70">
        <v>3</v>
      </c>
      <c r="H167" s="70">
        <v>81588</v>
      </c>
      <c r="I167" s="34" t="s">
        <v>2690</v>
      </c>
      <c r="J167" s="70">
        <v>66252311</v>
      </c>
      <c r="K167" s="72" t="s">
        <v>6860</v>
      </c>
      <c r="L167" s="87" t="s">
        <v>6859</v>
      </c>
      <c r="M167" s="88">
        <v>199900</v>
      </c>
      <c r="N167" s="34" t="s">
        <v>2569</v>
      </c>
      <c r="O167" s="36" t="e">
        <f t="shared" si="14"/>
        <v>#REF!</v>
      </c>
      <c r="P167" s="34" t="s">
        <v>2569</v>
      </c>
    </row>
    <row r="168" spans="1:16" x14ac:dyDescent="0.35">
      <c r="A168" s="34" t="str">
        <f t="shared" ref="A168:C183" si="15">A167</f>
        <v>2026 NOV-FEB B3 DISC 10%</v>
      </c>
      <c r="B168" s="35">
        <f t="shared" si="15"/>
        <v>46086</v>
      </c>
      <c r="C168" s="35">
        <f t="shared" si="15"/>
        <v>46092</v>
      </c>
      <c r="D168" s="34">
        <v>3321</v>
      </c>
      <c r="E168" s="34">
        <v>337</v>
      </c>
      <c r="F168" s="34">
        <v>4</v>
      </c>
      <c r="G168" s="70">
        <v>5</v>
      </c>
      <c r="H168" s="70">
        <v>81698</v>
      </c>
      <c r="I168" s="34" t="s">
        <v>2690</v>
      </c>
      <c r="J168" s="70">
        <v>68397475</v>
      </c>
      <c r="K168" s="70" t="s">
        <v>7226</v>
      </c>
      <c r="L168" s="87" t="s">
        <v>7237</v>
      </c>
      <c r="M168" s="88">
        <v>179900</v>
      </c>
      <c r="N168" s="34" t="s">
        <v>2569</v>
      </c>
      <c r="O168" s="36" t="e">
        <f>#REF!</f>
        <v>#REF!</v>
      </c>
      <c r="P168" s="34" t="s">
        <v>2569</v>
      </c>
    </row>
    <row r="169" spans="1:16" x14ac:dyDescent="0.35">
      <c r="A169" s="34" t="str">
        <f t="shared" si="15"/>
        <v>2026 NOV-FEB B3 DISC 10%</v>
      </c>
      <c r="B169" s="35">
        <f t="shared" si="15"/>
        <v>46086</v>
      </c>
      <c r="C169" s="35">
        <f t="shared" si="15"/>
        <v>46092</v>
      </c>
      <c r="D169" s="34">
        <v>3321</v>
      </c>
      <c r="E169" s="34">
        <v>337</v>
      </c>
      <c r="F169" s="34">
        <v>4</v>
      </c>
      <c r="G169" s="70">
        <v>5</v>
      </c>
      <c r="H169" s="70">
        <v>81698</v>
      </c>
      <c r="I169" s="34" t="s">
        <v>2690</v>
      </c>
      <c r="J169" s="70">
        <v>68397484</v>
      </c>
      <c r="K169" s="72" t="s">
        <v>7226</v>
      </c>
      <c r="L169" s="87" t="s">
        <v>7238</v>
      </c>
      <c r="M169" s="88">
        <v>179900</v>
      </c>
      <c r="N169" s="34" t="s">
        <v>2569</v>
      </c>
      <c r="O169" s="36" t="e">
        <f t="shared" si="14"/>
        <v>#REF!</v>
      </c>
      <c r="P169" s="34" t="s">
        <v>2569</v>
      </c>
    </row>
    <row r="170" spans="1:16" x14ac:dyDescent="0.35">
      <c r="A170" s="34" t="str">
        <f t="shared" si="15"/>
        <v>2026 NOV-FEB B3 DISC 10%</v>
      </c>
      <c r="B170" s="35">
        <f t="shared" si="15"/>
        <v>46086</v>
      </c>
      <c r="C170" s="35">
        <f t="shared" si="15"/>
        <v>46092</v>
      </c>
      <c r="D170" s="34">
        <v>3321</v>
      </c>
      <c r="E170" s="34">
        <v>337</v>
      </c>
      <c r="F170" s="34">
        <v>4</v>
      </c>
      <c r="G170" s="70">
        <v>5</v>
      </c>
      <c r="H170" s="70">
        <v>81698</v>
      </c>
      <c r="I170" s="34" t="s">
        <v>2690</v>
      </c>
      <c r="J170" s="70">
        <v>68397493</v>
      </c>
      <c r="K170" s="72" t="s">
        <v>7226</v>
      </c>
      <c r="L170" s="87" t="s">
        <v>7239</v>
      </c>
      <c r="M170" s="88">
        <v>179900</v>
      </c>
      <c r="N170" s="34" t="s">
        <v>2569</v>
      </c>
      <c r="O170" s="36" t="e">
        <f t="shared" si="14"/>
        <v>#REF!</v>
      </c>
      <c r="P170" s="34" t="s">
        <v>2569</v>
      </c>
    </row>
    <row r="171" spans="1:16" x14ac:dyDescent="0.35">
      <c r="A171" s="34" t="str">
        <f t="shared" si="15"/>
        <v>2026 NOV-FEB B3 DISC 10%</v>
      </c>
      <c r="B171" s="35">
        <f t="shared" si="15"/>
        <v>46086</v>
      </c>
      <c r="C171" s="35">
        <f t="shared" si="15"/>
        <v>46092</v>
      </c>
      <c r="D171" s="34">
        <v>3321</v>
      </c>
      <c r="E171" s="34">
        <v>337</v>
      </c>
      <c r="F171" s="34">
        <v>4</v>
      </c>
      <c r="G171" s="70">
        <v>5</v>
      </c>
      <c r="H171" s="70">
        <v>81698</v>
      </c>
      <c r="I171" s="34" t="s">
        <v>2690</v>
      </c>
      <c r="J171" s="70">
        <v>68397500</v>
      </c>
      <c r="K171" s="72" t="s">
        <v>7226</v>
      </c>
      <c r="L171" s="87" t="s">
        <v>7240</v>
      </c>
      <c r="M171" s="88">
        <v>179900</v>
      </c>
      <c r="N171" s="34" t="s">
        <v>2569</v>
      </c>
      <c r="O171" s="36" t="e">
        <f t="shared" si="14"/>
        <v>#REF!</v>
      </c>
      <c r="P171" s="34" t="s">
        <v>2569</v>
      </c>
    </row>
    <row r="172" spans="1:16" x14ac:dyDescent="0.35">
      <c r="A172" s="34" t="str">
        <f t="shared" si="15"/>
        <v>2026 NOV-FEB B3 DISC 10%</v>
      </c>
      <c r="B172" s="35">
        <f t="shared" si="15"/>
        <v>46086</v>
      </c>
      <c r="C172" s="35">
        <f t="shared" si="15"/>
        <v>46092</v>
      </c>
      <c r="D172" s="34">
        <v>3321</v>
      </c>
      <c r="E172" s="34">
        <v>337</v>
      </c>
      <c r="F172" s="34">
        <v>4</v>
      </c>
      <c r="G172" s="70">
        <v>5</v>
      </c>
      <c r="H172" s="70">
        <v>81698</v>
      </c>
      <c r="I172" s="34" t="s">
        <v>2690</v>
      </c>
      <c r="J172" s="70">
        <v>68397519</v>
      </c>
      <c r="K172" s="72" t="s">
        <v>7226</v>
      </c>
      <c r="L172" s="87" t="s">
        <v>7241</v>
      </c>
      <c r="M172" s="88">
        <v>179900</v>
      </c>
      <c r="N172" s="34" t="s">
        <v>2569</v>
      </c>
      <c r="O172" s="36" t="e">
        <f t="shared" si="14"/>
        <v>#REF!</v>
      </c>
      <c r="P172" s="34" t="s">
        <v>2569</v>
      </c>
    </row>
    <row r="173" spans="1:16" x14ac:dyDescent="0.35">
      <c r="A173" s="34" t="str">
        <f t="shared" si="15"/>
        <v>2026 NOV-FEB B3 DISC 10%</v>
      </c>
      <c r="B173" s="35">
        <f t="shared" si="15"/>
        <v>46086</v>
      </c>
      <c r="C173" s="35">
        <f t="shared" si="15"/>
        <v>46092</v>
      </c>
      <c r="D173" s="34">
        <v>3321</v>
      </c>
      <c r="E173" s="34">
        <v>337</v>
      </c>
      <c r="F173" s="34">
        <v>4</v>
      </c>
      <c r="G173" s="70">
        <v>5</v>
      </c>
      <c r="H173" s="70">
        <v>81698</v>
      </c>
      <c r="I173" s="34" t="s">
        <v>2690</v>
      </c>
      <c r="J173" s="70">
        <v>68397528</v>
      </c>
      <c r="K173" s="72" t="s">
        <v>7226</v>
      </c>
      <c r="L173" s="87" t="s">
        <v>7242</v>
      </c>
      <c r="M173" s="88">
        <v>179900</v>
      </c>
      <c r="N173" s="34" t="s">
        <v>2569</v>
      </c>
      <c r="O173" s="36" t="e">
        <f t="shared" si="14"/>
        <v>#REF!</v>
      </c>
      <c r="P173" s="34" t="s">
        <v>2569</v>
      </c>
    </row>
    <row r="174" spans="1:16" x14ac:dyDescent="0.35">
      <c r="A174" s="34" t="str">
        <f t="shared" si="15"/>
        <v>2026 NOV-FEB B3 DISC 10%</v>
      </c>
      <c r="B174" s="35">
        <f t="shared" si="15"/>
        <v>46086</v>
      </c>
      <c r="C174" s="35">
        <f t="shared" si="15"/>
        <v>46092</v>
      </c>
      <c r="D174" s="34">
        <v>3321</v>
      </c>
      <c r="E174" s="34">
        <v>337</v>
      </c>
      <c r="F174" s="34">
        <v>4</v>
      </c>
      <c r="G174" s="70">
        <v>5</v>
      </c>
      <c r="H174" s="70">
        <v>81698</v>
      </c>
      <c r="I174" s="34" t="s">
        <v>2690</v>
      </c>
      <c r="J174" s="70">
        <v>68397537</v>
      </c>
      <c r="K174" s="72" t="s">
        <v>7226</v>
      </c>
      <c r="L174" s="87" t="s">
        <v>7243</v>
      </c>
      <c r="M174" s="88">
        <v>179900</v>
      </c>
      <c r="N174" s="34" t="s">
        <v>2569</v>
      </c>
      <c r="O174" s="36" t="e">
        <f t="shared" si="14"/>
        <v>#REF!</v>
      </c>
      <c r="P174" s="34" t="s">
        <v>2569</v>
      </c>
    </row>
    <row r="175" spans="1:16" x14ac:dyDescent="0.35">
      <c r="A175" s="34" t="str">
        <f t="shared" si="15"/>
        <v>2026 NOV-FEB B3 DISC 10%</v>
      </c>
      <c r="B175" s="35">
        <f t="shared" si="15"/>
        <v>46086</v>
      </c>
      <c r="C175" s="35">
        <f t="shared" si="15"/>
        <v>46092</v>
      </c>
      <c r="D175" s="34">
        <v>3321</v>
      </c>
      <c r="E175" s="34">
        <v>337</v>
      </c>
      <c r="F175" s="34">
        <v>4</v>
      </c>
      <c r="G175" s="70">
        <v>4</v>
      </c>
      <c r="H175" s="70">
        <v>81588</v>
      </c>
      <c r="I175" s="34" t="s">
        <v>2690</v>
      </c>
      <c r="J175" s="70">
        <v>68783306</v>
      </c>
      <c r="K175" s="70" t="s">
        <v>7227</v>
      </c>
      <c r="L175" s="87" t="s">
        <v>7244</v>
      </c>
      <c r="M175" s="88">
        <v>149900</v>
      </c>
      <c r="N175" s="34" t="s">
        <v>2569</v>
      </c>
      <c r="O175" s="36" t="e">
        <f t="shared" si="14"/>
        <v>#REF!</v>
      </c>
      <c r="P175" s="34" t="s">
        <v>2569</v>
      </c>
    </row>
    <row r="176" spans="1:16" x14ac:dyDescent="0.35">
      <c r="A176" s="34" t="str">
        <f t="shared" si="15"/>
        <v>2026 NOV-FEB B3 DISC 10%</v>
      </c>
      <c r="B176" s="35">
        <f t="shared" si="15"/>
        <v>46086</v>
      </c>
      <c r="C176" s="35">
        <f t="shared" si="15"/>
        <v>46092</v>
      </c>
      <c r="D176" s="34">
        <v>3321</v>
      </c>
      <c r="E176" s="34">
        <v>337</v>
      </c>
      <c r="F176" s="34">
        <v>4</v>
      </c>
      <c r="G176" s="70">
        <v>4</v>
      </c>
      <c r="H176" s="70">
        <v>81588</v>
      </c>
      <c r="I176" s="34" t="s">
        <v>2690</v>
      </c>
      <c r="J176" s="70">
        <v>68783315</v>
      </c>
      <c r="K176" s="72" t="s">
        <v>7227</v>
      </c>
      <c r="L176" s="87" t="s">
        <v>7245</v>
      </c>
      <c r="M176" s="88">
        <v>149900</v>
      </c>
      <c r="N176" s="34" t="s">
        <v>2569</v>
      </c>
      <c r="O176" s="36" t="e">
        <f t="shared" si="14"/>
        <v>#REF!</v>
      </c>
      <c r="P176" s="34" t="s">
        <v>2569</v>
      </c>
    </row>
    <row r="177" spans="1:16" x14ac:dyDescent="0.35">
      <c r="A177" s="34" t="str">
        <f t="shared" si="15"/>
        <v>2026 NOV-FEB B3 DISC 10%</v>
      </c>
      <c r="B177" s="35">
        <f t="shared" si="15"/>
        <v>46086</v>
      </c>
      <c r="C177" s="35">
        <f t="shared" si="15"/>
        <v>46092</v>
      </c>
      <c r="D177" s="34">
        <v>3321</v>
      </c>
      <c r="E177" s="34">
        <v>337</v>
      </c>
      <c r="F177" s="34">
        <v>4</v>
      </c>
      <c r="G177" s="70">
        <v>4</v>
      </c>
      <c r="H177" s="70">
        <v>81588</v>
      </c>
      <c r="I177" s="34" t="s">
        <v>2690</v>
      </c>
      <c r="J177" s="70">
        <v>68783324</v>
      </c>
      <c r="K177" s="72" t="s">
        <v>7227</v>
      </c>
      <c r="L177" s="87" t="s">
        <v>7246</v>
      </c>
      <c r="M177" s="88">
        <v>149900</v>
      </c>
      <c r="N177" s="34" t="s">
        <v>2569</v>
      </c>
      <c r="O177" s="36" t="e">
        <f t="shared" si="14"/>
        <v>#REF!</v>
      </c>
      <c r="P177" s="34" t="s">
        <v>2569</v>
      </c>
    </row>
    <row r="178" spans="1:16" x14ac:dyDescent="0.35">
      <c r="A178" s="34" t="str">
        <f t="shared" si="15"/>
        <v>2026 NOV-FEB B3 DISC 10%</v>
      </c>
      <c r="B178" s="35">
        <f t="shared" si="15"/>
        <v>46086</v>
      </c>
      <c r="C178" s="35">
        <f t="shared" si="15"/>
        <v>46092</v>
      </c>
      <c r="D178" s="34">
        <v>3321</v>
      </c>
      <c r="E178" s="34">
        <v>337</v>
      </c>
      <c r="F178" s="34">
        <v>4</v>
      </c>
      <c r="G178" s="70">
        <v>4</v>
      </c>
      <c r="H178" s="70">
        <v>81588</v>
      </c>
      <c r="I178" s="34" t="s">
        <v>2690</v>
      </c>
      <c r="J178" s="70">
        <v>68783333</v>
      </c>
      <c r="K178" s="72" t="s">
        <v>7227</v>
      </c>
      <c r="L178" s="87" t="s">
        <v>7247</v>
      </c>
      <c r="M178" s="88">
        <v>149900</v>
      </c>
      <c r="N178" s="34" t="s">
        <v>2569</v>
      </c>
      <c r="O178" s="36" t="e">
        <f t="shared" si="14"/>
        <v>#REF!</v>
      </c>
      <c r="P178" s="34" t="s">
        <v>2569</v>
      </c>
    </row>
    <row r="179" spans="1:16" x14ac:dyDescent="0.35">
      <c r="A179" s="34" t="str">
        <f t="shared" si="15"/>
        <v>2026 NOV-FEB B3 DISC 10%</v>
      </c>
      <c r="B179" s="35">
        <f t="shared" si="15"/>
        <v>46086</v>
      </c>
      <c r="C179" s="35">
        <f t="shared" si="15"/>
        <v>46092</v>
      </c>
      <c r="D179" s="34">
        <v>3321</v>
      </c>
      <c r="E179" s="34">
        <v>337</v>
      </c>
      <c r="F179" s="34">
        <v>4</v>
      </c>
      <c r="G179" s="70">
        <v>4</v>
      </c>
      <c r="H179" s="70">
        <v>81588</v>
      </c>
      <c r="I179" s="34" t="s">
        <v>2690</v>
      </c>
      <c r="J179" s="70">
        <v>68783342</v>
      </c>
      <c r="K179" s="72" t="s">
        <v>7227</v>
      </c>
      <c r="L179" s="87" t="s">
        <v>7248</v>
      </c>
      <c r="M179" s="88">
        <v>149900</v>
      </c>
      <c r="N179" s="34" t="s">
        <v>2569</v>
      </c>
      <c r="O179" s="36" t="e">
        <f t="shared" si="14"/>
        <v>#REF!</v>
      </c>
      <c r="P179" s="34" t="s">
        <v>2569</v>
      </c>
    </row>
    <row r="180" spans="1:16" x14ac:dyDescent="0.35">
      <c r="A180" s="34" t="str">
        <f t="shared" si="15"/>
        <v>2026 NOV-FEB B3 DISC 10%</v>
      </c>
      <c r="B180" s="35">
        <f t="shared" si="15"/>
        <v>46086</v>
      </c>
      <c r="C180" s="35">
        <f t="shared" si="15"/>
        <v>46092</v>
      </c>
      <c r="D180" s="34">
        <v>3321</v>
      </c>
      <c r="E180" s="34">
        <v>337</v>
      </c>
      <c r="F180" s="34">
        <v>4</v>
      </c>
      <c r="G180" s="70">
        <v>4</v>
      </c>
      <c r="H180" s="70">
        <v>81588</v>
      </c>
      <c r="I180" s="34" t="s">
        <v>2690</v>
      </c>
      <c r="J180" s="70">
        <v>68783351</v>
      </c>
      <c r="K180" s="72" t="s">
        <v>7227</v>
      </c>
      <c r="L180" s="87" t="s">
        <v>7249</v>
      </c>
      <c r="M180" s="88">
        <v>149900</v>
      </c>
      <c r="N180" s="34" t="s">
        <v>2569</v>
      </c>
      <c r="O180" s="36" t="e">
        <f t="shared" si="14"/>
        <v>#REF!</v>
      </c>
      <c r="P180" s="34" t="s">
        <v>2569</v>
      </c>
    </row>
    <row r="181" spans="1:16" x14ac:dyDescent="0.35">
      <c r="A181" s="34" t="str">
        <f t="shared" si="15"/>
        <v>2026 NOV-FEB B3 DISC 10%</v>
      </c>
      <c r="B181" s="35">
        <f t="shared" si="15"/>
        <v>46086</v>
      </c>
      <c r="C181" s="35">
        <f t="shared" si="15"/>
        <v>46092</v>
      </c>
      <c r="D181" s="34">
        <v>3321</v>
      </c>
      <c r="E181" s="34">
        <v>337</v>
      </c>
      <c r="F181" s="34">
        <v>4</v>
      </c>
      <c r="G181" s="70">
        <v>4</v>
      </c>
      <c r="H181" s="70">
        <v>81588</v>
      </c>
      <c r="I181" s="34" t="s">
        <v>2690</v>
      </c>
      <c r="J181" s="70">
        <v>68783360</v>
      </c>
      <c r="K181" s="72" t="s">
        <v>7227</v>
      </c>
      <c r="L181" s="87" t="s">
        <v>7250</v>
      </c>
      <c r="M181" s="88">
        <v>149900</v>
      </c>
      <c r="N181" s="34" t="s">
        <v>2569</v>
      </c>
      <c r="O181" s="36" t="e">
        <f t="shared" si="14"/>
        <v>#REF!</v>
      </c>
      <c r="P181" s="34" t="s">
        <v>2569</v>
      </c>
    </row>
    <row r="182" spans="1:16" x14ac:dyDescent="0.35">
      <c r="A182" s="34" t="str">
        <f t="shared" si="15"/>
        <v>2026 NOV-FEB B3 DISC 10%</v>
      </c>
      <c r="B182" s="35">
        <f t="shared" si="15"/>
        <v>46086</v>
      </c>
      <c r="C182" s="35">
        <f t="shared" si="15"/>
        <v>46092</v>
      </c>
      <c r="D182" s="34">
        <v>3321</v>
      </c>
      <c r="E182" s="34">
        <v>337</v>
      </c>
      <c r="F182" s="34">
        <v>4</v>
      </c>
      <c r="G182" s="70">
        <v>3</v>
      </c>
      <c r="H182" s="70">
        <v>81574</v>
      </c>
      <c r="I182" s="34" t="s">
        <v>2690</v>
      </c>
      <c r="J182" s="70">
        <v>68783879</v>
      </c>
      <c r="K182" s="70" t="s">
        <v>7228</v>
      </c>
      <c r="L182" s="87" t="s">
        <v>7251</v>
      </c>
      <c r="M182" s="88">
        <v>199900</v>
      </c>
      <c r="N182" s="34" t="s">
        <v>2569</v>
      </c>
      <c r="O182" s="36" t="e">
        <f t="shared" si="14"/>
        <v>#REF!</v>
      </c>
      <c r="P182" s="34" t="s">
        <v>2569</v>
      </c>
    </row>
    <row r="183" spans="1:16" x14ac:dyDescent="0.35">
      <c r="A183" s="34" t="str">
        <f t="shared" si="15"/>
        <v>2026 NOV-FEB B3 DISC 10%</v>
      </c>
      <c r="B183" s="35">
        <f t="shared" si="15"/>
        <v>46086</v>
      </c>
      <c r="C183" s="35">
        <f t="shared" si="15"/>
        <v>46092</v>
      </c>
      <c r="D183" s="34">
        <v>3321</v>
      </c>
      <c r="E183" s="34">
        <v>337</v>
      </c>
      <c r="F183" s="34">
        <v>4</v>
      </c>
      <c r="G183" s="70">
        <v>3</v>
      </c>
      <c r="H183" s="70">
        <v>81574</v>
      </c>
      <c r="I183" s="34" t="s">
        <v>2690</v>
      </c>
      <c r="J183" s="70">
        <v>68783888</v>
      </c>
      <c r="K183" s="72" t="s">
        <v>7228</v>
      </c>
      <c r="L183" s="87" t="s">
        <v>7252</v>
      </c>
      <c r="M183" s="88">
        <v>199900</v>
      </c>
      <c r="N183" s="34" t="s">
        <v>2569</v>
      </c>
      <c r="O183" s="36" t="e">
        <f t="shared" si="14"/>
        <v>#REF!</v>
      </c>
      <c r="P183" s="34" t="s">
        <v>2569</v>
      </c>
    </row>
    <row r="184" spans="1:16" x14ac:dyDescent="0.35">
      <c r="A184" s="34" t="str">
        <f t="shared" ref="A184:C199" si="16">A183</f>
        <v>2026 NOV-FEB B3 DISC 10%</v>
      </c>
      <c r="B184" s="35">
        <f t="shared" si="16"/>
        <v>46086</v>
      </c>
      <c r="C184" s="35">
        <f t="shared" si="16"/>
        <v>46092</v>
      </c>
      <c r="D184" s="34">
        <v>3321</v>
      </c>
      <c r="E184" s="34">
        <v>337</v>
      </c>
      <c r="F184" s="34">
        <v>4</v>
      </c>
      <c r="G184" s="70">
        <v>3</v>
      </c>
      <c r="H184" s="70">
        <v>81574</v>
      </c>
      <c r="I184" s="34" t="s">
        <v>2690</v>
      </c>
      <c r="J184" s="70">
        <v>68783897</v>
      </c>
      <c r="K184" s="72" t="s">
        <v>7228</v>
      </c>
      <c r="L184" s="87" t="s">
        <v>7253</v>
      </c>
      <c r="M184" s="88">
        <v>199900</v>
      </c>
      <c r="N184" s="34" t="s">
        <v>2569</v>
      </c>
      <c r="O184" s="36" t="e">
        <f t="shared" si="14"/>
        <v>#REF!</v>
      </c>
      <c r="P184" s="34" t="s">
        <v>2569</v>
      </c>
    </row>
    <row r="185" spans="1:16" x14ac:dyDescent="0.35">
      <c r="A185" s="34" t="str">
        <f t="shared" si="16"/>
        <v>2026 NOV-FEB B3 DISC 10%</v>
      </c>
      <c r="B185" s="35">
        <f t="shared" si="16"/>
        <v>46086</v>
      </c>
      <c r="C185" s="35">
        <f t="shared" si="16"/>
        <v>46092</v>
      </c>
      <c r="D185" s="34">
        <v>3321</v>
      </c>
      <c r="E185" s="34">
        <v>337</v>
      </c>
      <c r="F185" s="34">
        <v>4</v>
      </c>
      <c r="G185" s="70">
        <v>3</v>
      </c>
      <c r="H185" s="70">
        <v>81574</v>
      </c>
      <c r="I185" s="34" t="s">
        <v>2690</v>
      </c>
      <c r="J185" s="70">
        <v>68783904</v>
      </c>
      <c r="K185" s="72" t="s">
        <v>7228</v>
      </c>
      <c r="L185" s="87" t="s">
        <v>7254</v>
      </c>
      <c r="M185" s="88">
        <v>199900</v>
      </c>
      <c r="N185" s="34" t="s">
        <v>2569</v>
      </c>
      <c r="O185" s="36" t="e">
        <f t="shared" si="14"/>
        <v>#REF!</v>
      </c>
      <c r="P185" s="34" t="s">
        <v>2569</v>
      </c>
    </row>
    <row r="186" spans="1:16" x14ac:dyDescent="0.35">
      <c r="A186" s="34" t="str">
        <f t="shared" si="16"/>
        <v>2026 NOV-FEB B3 DISC 10%</v>
      </c>
      <c r="B186" s="35">
        <f t="shared" si="16"/>
        <v>46086</v>
      </c>
      <c r="C186" s="35">
        <f t="shared" si="16"/>
        <v>46092</v>
      </c>
      <c r="D186" s="34">
        <v>3321</v>
      </c>
      <c r="E186" s="34">
        <v>337</v>
      </c>
      <c r="F186" s="34">
        <v>4</v>
      </c>
      <c r="G186" s="70">
        <v>3</v>
      </c>
      <c r="H186" s="70">
        <v>81574</v>
      </c>
      <c r="I186" s="34" t="s">
        <v>2690</v>
      </c>
      <c r="J186" s="70">
        <v>68783913</v>
      </c>
      <c r="K186" s="72" t="s">
        <v>7228</v>
      </c>
      <c r="L186" s="87" t="s">
        <v>7255</v>
      </c>
      <c r="M186" s="88">
        <v>199900</v>
      </c>
      <c r="N186" s="34" t="s">
        <v>2569</v>
      </c>
      <c r="O186" s="36" t="e">
        <f t="shared" si="14"/>
        <v>#REF!</v>
      </c>
      <c r="P186" s="34" t="s">
        <v>2569</v>
      </c>
    </row>
    <row r="187" spans="1:16" x14ac:dyDescent="0.35">
      <c r="A187" s="34" t="str">
        <f t="shared" si="16"/>
        <v>2026 NOV-FEB B3 DISC 10%</v>
      </c>
      <c r="B187" s="35">
        <f t="shared" si="16"/>
        <v>46086</v>
      </c>
      <c r="C187" s="35">
        <f t="shared" si="16"/>
        <v>46092</v>
      </c>
      <c r="D187" s="34">
        <v>3321</v>
      </c>
      <c r="E187" s="34">
        <v>337</v>
      </c>
      <c r="F187" s="34">
        <v>4</v>
      </c>
      <c r="G187" s="70">
        <v>3</v>
      </c>
      <c r="H187" s="70">
        <v>81574</v>
      </c>
      <c r="I187" s="34" t="s">
        <v>2690</v>
      </c>
      <c r="J187" s="70">
        <v>68783922</v>
      </c>
      <c r="K187" s="72" t="s">
        <v>7228</v>
      </c>
      <c r="L187" s="87" t="s">
        <v>7256</v>
      </c>
      <c r="M187" s="88">
        <v>199900</v>
      </c>
      <c r="N187" s="34" t="s">
        <v>2569</v>
      </c>
      <c r="O187" s="36" t="e">
        <f t="shared" si="14"/>
        <v>#REF!</v>
      </c>
      <c r="P187" s="34" t="s">
        <v>2569</v>
      </c>
    </row>
    <row r="188" spans="1:16" x14ac:dyDescent="0.35">
      <c r="A188" s="34" t="str">
        <f t="shared" si="16"/>
        <v>2026 NOV-FEB B3 DISC 10%</v>
      </c>
      <c r="B188" s="35">
        <f t="shared" si="16"/>
        <v>46086</v>
      </c>
      <c r="C188" s="35">
        <f t="shared" si="16"/>
        <v>46092</v>
      </c>
      <c r="D188" s="34">
        <v>3321</v>
      </c>
      <c r="E188" s="34">
        <v>337</v>
      </c>
      <c r="F188" s="34">
        <v>4</v>
      </c>
      <c r="G188" s="70">
        <v>3</v>
      </c>
      <c r="H188" s="70">
        <v>81574</v>
      </c>
      <c r="I188" s="34" t="s">
        <v>2690</v>
      </c>
      <c r="J188" s="70">
        <v>68783931</v>
      </c>
      <c r="K188" s="72" t="s">
        <v>7228</v>
      </c>
      <c r="L188" s="87" t="s">
        <v>7257</v>
      </c>
      <c r="M188" s="88">
        <v>199900</v>
      </c>
      <c r="N188" s="34" t="s">
        <v>2569</v>
      </c>
      <c r="O188" s="36" t="e">
        <f t="shared" si="14"/>
        <v>#REF!</v>
      </c>
      <c r="P188" s="34" t="s">
        <v>2569</v>
      </c>
    </row>
    <row r="189" spans="1:16" x14ac:dyDescent="0.35">
      <c r="A189" s="34" t="str">
        <f t="shared" si="16"/>
        <v>2026 NOV-FEB B3 DISC 10%</v>
      </c>
      <c r="B189" s="35">
        <f t="shared" si="16"/>
        <v>46086</v>
      </c>
      <c r="C189" s="35">
        <f t="shared" si="16"/>
        <v>46092</v>
      </c>
      <c r="D189" s="34">
        <v>3321</v>
      </c>
      <c r="E189" s="34">
        <v>337</v>
      </c>
      <c r="F189" s="34">
        <v>4</v>
      </c>
      <c r="G189" s="70">
        <v>3</v>
      </c>
      <c r="H189" s="70">
        <v>81588</v>
      </c>
      <c r="I189" s="34" t="s">
        <v>2690</v>
      </c>
      <c r="J189" s="70">
        <v>68783235</v>
      </c>
      <c r="K189" s="70" t="s">
        <v>7229</v>
      </c>
      <c r="L189" s="87" t="s">
        <v>7258</v>
      </c>
      <c r="M189" s="88">
        <v>199900</v>
      </c>
      <c r="N189" s="34" t="s">
        <v>2569</v>
      </c>
      <c r="O189" s="36" t="e">
        <f t="shared" si="14"/>
        <v>#REF!</v>
      </c>
      <c r="P189" s="34" t="s">
        <v>2569</v>
      </c>
    </row>
    <row r="190" spans="1:16" x14ac:dyDescent="0.35">
      <c r="A190" s="34" t="str">
        <f t="shared" si="16"/>
        <v>2026 NOV-FEB B3 DISC 10%</v>
      </c>
      <c r="B190" s="35">
        <f t="shared" si="16"/>
        <v>46086</v>
      </c>
      <c r="C190" s="35">
        <f t="shared" si="16"/>
        <v>46092</v>
      </c>
      <c r="D190" s="34">
        <v>3321</v>
      </c>
      <c r="E190" s="34">
        <v>337</v>
      </c>
      <c r="F190" s="34">
        <v>4</v>
      </c>
      <c r="G190" s="70">
        <v>3</v>
      </c>
      <c r="H190" s="70">
        <v>81588</v>
      </c>
      <c r="I190" s="34" t="s">
        <v>2690</v>
      </c>
      <c r="J190" s="70">
        <v>68783244</v>
      </c>
      <c r="K190" s="72" t="s">
        <v>7229</v>
      </c>
      <c r="L190" s="87" t="s">
        <v>7259</v>
      </c>
      <c r="M190" s="88">
        <v>199900</v>
      </c>
      <c r="N190" s="34" t="s">
        <v>2569</v>
      </c>
      <c r="O190" s="36" t="e">
        <f t="shared" si="14"/>
        <v>#REF!</v>
      </c>
      <c r="P190" s="34" t="s">
        <v>2569</v>
      </c>
    </row>
    <row r="191" spans="1:16" x14ac:dyDescent="0.35">
      <c r="A191" s="34" t="str">
        <f t="shared" si="16"/>
        <v>2026 NOV-FEB B3 DISC 10%</v>
      </c>
      <c r="B191" s="35">
        <f t="shared" si="16"/>
        <v>46086</v>
      </c>
      <c r="C191" s="35">
        <f t="shared" si="16"/>
        <v>46092</v>
      </c>
      <c r="D191" s="34">
        <v>3321</v>
      </c>
      <c r="E191" s="34">
        <v>337</v>
      </c>
      <c r="F191" s="34">
        <v>4</v>
      </c>
      <c r="G191" s="70">
        <v>3</v>
      </c>
      <c r="H191" s="70">
        <v>81588</v>
      </c>
      <c r="I191" s="34" t="s">
        <v>2690</v>
      </c>
      <c r="J191" s="70">
        <v>68783253</v>
      </c>
      <c r="K191" s="72" t="s">
        <v>7229</v>
      </c>
      <c r="L191" s="87" t="s">
        <v>7260</v>
      </c>
      <c r="M191" s="88">
        <v>199900</v>
      </c>
      <c r="N191" s="34" t="s">
        <v>2569</v>
      </c>
      <c r="O191" s="36" t="e">
        <f t="shared" si="14"/>
        <v>#REF!</v>
      </c>
      <c r="P191" s="34" t="s">
        <v>2569</v>
      </c>
    </row>
    <row r="192" spans="1:16" x14ac:dyDescent="0.35">
      <c r="A192" s="34" t="str">
        <f t="shared" si="16"/>
        <v>2026 NOV-FEB B3 DISC 10%</v>
      </c>
      <c r="B192" s="35">
        <f t="shared" si="16"/>
        <v>46086</v>
      </c>
      <c r="C192" s="35">
        <f t="shared" si="16"/>
        <v>46092</v>
      </c>
      <c r="D192" s="34">
        <v>3321</v>
      </c>
      <c r="E192" s="34">
        <v>337</v>
      </c>
      <c r="F192" s="34">
        <v>4</v>
      </c>
      <c r="G192" s="70">
        <v>3</v>
      </c>
      <c r="H192" s="70">
        <v>81588</v>
      </c>
      <c r="I192" s="34" t="s">
        <v>2690</v>
      </c>
      <c r="J192" s="70">
        <v>68783262</v>
      </c>
      <c r="K192" s="72" t="s">
        <v>7229</v>
      </c>
      <c r="L192" s="87" t="s">
        <v>7261</v>
      </c>
      <c r="M192" s="88">
        <v>199900</v>
      </c>
      <c r="N192" s="34" t="s">
        <v>2569</v>
      </c>
      <c r="O192" s="36" t="e">
        <f t="shared" si="14"/>
        <v>#REF!</v>
      </c>
      <c r="P192" s="34" t="s">
        <v>2569</v>
      </c>
    </row>
    <row r="193" spans="1:16" x14ac:dyDescent="0.35">
      <c r="A193" s="34" t="str">
        <f t="shared" si="16"/>
        <v>2026 NOV-FEB B3 DISC 10%</v>
      </c>
      <c r="B193" s="35">
        <f t="shared" si="16"/>
        <v>46086</v>
      </c>
      <c r="C193" s="35">
        <f t="shared" si="16"/>
        <v>46092</v>
      </c>
      <c r="D193" s="34">
        <v>3321</v>
      </c>
      <c r="E193" s="34">
        <v>337</v>
      </c>
      <c r="F193" s="34">
        <v>4</v>
      </c>
      <c r="G193" s="70">
        <v>3</v>
      </c>
      <c r="H193" s="70">
        <v>81588</v>
      </c>
      <c r="I193" s="34" t="s">
        <v>2690</v>
      </c>
      <c r="J193" s="70">
        <v>68783271</v>
      </c>
      <c r="K193" s="72" t="s">
        <v>7229</v>
      </c>
      <c r="L193" s="87" t="s">
        <v>7262</v>
      </c>
      <c r="M193" s="88">
        <v>199900</v>
      </c>
      <c r="N193" s="34" t="s">
        <v>2569</v>
      </c>
      <c r="O193" s="36" t="e">
        <f t="shared" si="14"/>
        <v>#REF!</v>
      </c>
      <c r="P193" s="34" t="s">
        <v>2569</v>
      </c>
    </row>
    <row r="194" spans="1:16" x14ac:dyDescent="0.35">
      <c r="A194" s="34" t="str">
        <f t="shared" si="16"/>
        <v>2026 NOV-FEB B3 DISC 10%</v>
      </c>
      <c r="B194" s="35">
        <f t="shared" si="16"/>
        <v>46086</v>
      </c>
      <c r="C194" s="35">
        <f t="shared" si="16"/>
        <v>46092</v>
      </c>
      <c r="D194" s="34">
        <v>3321</v>
      </c>
      <c r="E194" s="34">
        <v>337</v>
      </c>
      <c r="F194" s="34">
        <v>4</v>
      </c>
      <c r="G194" s="70">
        <v>3</v>
      </c>
      <c r="H194" s="70">
        <v>81588</v>
      </c>
      <c r="I194" s="34" t="s">
        <v>2690</v>
      </c>
      <c r="J194" s="70">
        <v>68783280</v>
      </c>
      <c r="K194" s="72" t="s">
        <v>7229</v>
      </c>
      <c r="L194" s="87" t="s">
        <v>7263</v>
      </c>
      <c r="M194" s="88">
        <v>199900</v>
      </c>
      <c r="N194" s="34" t="s">
        <v>2569</v>
      </c>
      <c r="O194" s="36" t="e">
        <f t="shared" si="14"/>
        <v>#REF!</v>
      </c>
      <c r="P194" s="34" t="s">
        <v>2569</v>
      </c>
    </row>
    <row r="195" spans="1:16" x14ac:dyDescent="0.35">
      <c r="A195" s="34" t="str">
        <f t="shared" si="16"/>
        <v>2026 NOV-FEB B3 DISC 10%</v>
      </c>
      <c r="B195" s="35">
        <f t="shared" si="16"/>
        <v>46086</v>
      </c>
      <c r="C195" s="35">
        <f t="shared" si="16"/>
        <v>46092</v>
      </c>
      <c r="D195" s="34">
        <v>3321</v>
      </c>
      <c r="E195" s="34">
        <v>337</v>
      </c>
      <c r="F195" s="34">
        <v>4</v>
      </c>
      <c r="G195" s="70">
        <v>3</v>
      </c>
      <c r="H195" s="70">
        <v>81588</v>
      </c>
      <c r="I195" s="34" t="s">
        <v>2690</v>
      </c>
      <c r="J195" s="70">
        <v>68783299</v>
      </c>
      <c r="K195" s="72" t="s">
        <v>7229</v>
      </c>
      <c r="L195" s="87" t="s">
        <v>7264</v>
      </c>
      <c r="M195" s="88">
        <v>199900</v>
      </c>
      <c r="N195" s="34" t="s">
        <v>2569</v>
      </c>
      <c r="O195" s="36" t="e">
        <f t="shared" si="14"/>
        <v>#REF!</v>
      </c>
      <c r="P195" s="34" t="s">
        <v>2569</v>
      </c>
    </row>
    <row r="196" spans="1:16" x14ac:dyDescent="0.35">
      <c r="A196" s="34" t="str">
        <f t="shared" si="16"/>
        <v>2026 NOV-FEB B3 DISC 10%</v>
      </c>
      <c r="B196" s="35">
        <f t="shared" si="16"/>
        <v>46086</v>
      </c>
      <c r="C196" s="35">
        <f t="shared" si="16"/>
        <v>46092</v>
      </c>
      <c r="D196" s="34">
        <v>3321</v>
      </c>
      <c r="E196" s="34">
        <v>337</v>
      </c>
      <c r="F196" s="34">
        <v>4</v>
      </c>
      <c r="G196" s="70">
        <v>4</v>
      </c>
      <c r="H196" s="70">
        <v>81588</v>
      </c>
      <c r="I196" s="34" t="s">
        <v>2690</v>
      </c>
      <c r="J196" s="70">
        <v>68783422</v>
      </c>
      <c r="K196" s="70" t="s">
        <v>7230</v>
      </c>
      <c r="L196" s="87" t="s">
        <v>7265</v>
      </c>
      <c r="M196" s="88">
        <v>149900</v>
      </c>
      <c r="N196" s="34" t="s">
        <v>2569</v>
      </c>
      <c r="O196" s="36" t="e">
        <f>#REF!</f>
        <v>#REF!</v>
      </c>
      <c r="P196" s="34" t="s">
        <v>2569</v>
      </c>
    </row>
    <row r="197" spans="1:16" x14ac:dyDescent="0.35">
      <c r="A197" s="34" t="str">
        <f t="shared" si="16"/>
        <v>2026 NOV-FEB B3 DISC 10%</v>
      </c>
      <c r="B197" s="35">
        <f t="shared" si="16"/>
        <v>46086</v>
      </c>
      <c r="C197" s="35">
        <f t="shared" si="16"/>
        <v>46092</v>
      </c>
      <c r="D197" s="34">
        <v>3321</v>
      </c>
      <c r="E197" s="34">
        <v>337</v>
      </c>
      <c r="F197" s="34">
        <v>4</v>
      </c>
      <c r="G197" s="70">
        <v>4</v>
      </c>
      <c r="H197" s="70">
        <v>81588</v>
      </c>
      <c r="I197" s="34" t="s">
        <v>2690</v>
      </c>
      <c r="J197" s="70">
        <v>68783431</v>
      </c>
      <c r="K197" s="72" t="s">
        <v>7230</v>
      </c>
      <c r="L197" s="87" t="s">
        <v>7266</v>
      </c>
      <c r="M197" s="88">
        <v>149900</v>
      </c>
      <c r="N197" s="34" t="s">
        <v>2569</v>
      </c>
      <c r="O197" s="36" t="e">
        <f t="shared" si="14"/>
        <v>#REF!</v>
      </c>
      <c r="P197" s="34" t="s">
        <v>2569</v>
      </c>
    </row>
    <row r="198" spans="1:16" x14ac:dyDescent="0.35">
      <c r="A198" s="34" t="str">
        <f t="shared" si="16"/>
        <v>2026 NOV-FEB B3 DISC 10%</v>
      </c>
      <c r="B198" s="35">
        <f t="shared" si="16"/>
        <v>46086</v>
      </c>
      <c r="C198" s="35">
        <f t="shared" si="16"/>
        <v>46092</v>
      </c>
      <c r="D198" s="34">
        <v>3321</v>
      </c>
      <c r="E198" s="34">
        <v>337</v>
      </c>
      <c r="F198" s="34">
        <v>4</v>
      </c>
      <c r="G198" s="70">
        <v>4</v>
      </c>
      <c r="H198" s="70">
        <v>81588</v>
      </c>
      <c r="I198" s="34" t="s">
        <v>2690</v>
      </c>
      <c r="J198" s="70">
        <v>68783440</v>
      </c>
      <c r="K198" s="72" t="s">
        <v>7230</v>
      </c>
      <c r="L198" s="87" t="s">
        <v>7267</v>
      </c>
      <c r="M198" s="88">
        <v>149900</v>
      </c>
      <c r="N198" s="34" t="s">
        <v>2569</v>
      </c>
      <c r="O198" s="36" t="e">
        <f t="shared" si="14"/>
        <v>#REF!</v>
      </c>
      <c r="P198" s="34" t="s">
        <v>2569</v>
      </c>
    </row>
    <row r="199" spans="1:16" x14ac:dyDescent="0.35">
      <c r="A199" s="34" t="str">
        <f t="shared" si="16"/>
        <v>2026 NOV-FEB B3 DISC 10%</v>
      </c>
      <c r="B199" s="35">
        <f t="shared" si="16"/>
        <v>46086</v>
      </c>
      <c r="C199" s="35">
        <f t="shared" si="16"/>
        <v>46092</v>
      </c>
      <c r="D199" s="34">
        <v>3321</v>
      </c>
      <c r="E199" s="34">
        <v>337</v>
      </c>
      <c r="F199" s="34">
        <v>4</v>
      </c>
      <c r="G199" s="70">
        <v>4</v>
      </c>
      <c r="H199" s="70">
        <v>81588</v>
      </c>
      <c r="I199" s="34" t="s">
        <v>2690</v>
      </c>
      <c r="J199" s="70">
        <v>68783459</v>
      </c>
      <c r="K199" s="72" t="s">
        <v>7230</v>
      </c>
      <c r="L199" s="87" t="s">
        <v>7268</v>
      </c>
      <c r="M199" s="88">
        <v>149900</v>
      </c>
      <c r="N199" s="34" t="s">
        <v>2569</v>
      </c>
      <c r="O199" s="36" t="e">
        <f t="shared" si="14"/>
        <v>#REF!</v>
      </c>
      <c r="P199" s="34" t="s">
        <v>2569</v>
      </c>
    </row>
    <row r="200" spans="1:16" x14ac:dyDescent="0.35">
      <c r="A200" s="34" t="str">
        <f t="shared" ref="A200:C215" si="17">A199</f>
        <v>2026 NOV-FEB B3 DISC 10%</v>
      </c>
      <c r="B200" s="35">
        <f t="shared" si="17"/>
        <v>46086</v>
      </c>
      <c r="C200" s="35">
        <f t="shared" si="17"/>
        <v>46092</v>
      </c>
      <c r="D200" s="34">
        <v>3321</v>
      </c>
      <c r="E200" s="34">
        <v>337</v>
      </c>
      <c r="F200" s="34">
        <v>4</v>
      </c>
      <c r="G200" s="70">
        <v>4</v>
      </c>
      <c r="H200" s="70">
        <v>81588</v>
      </c>
      <c r="I200" s="34" t="s">
        <v>2690</v>
      </c>
      <c r="J200" s="70">
        <v>68783468</v>
      </c>
      <c r="K200" s="72" t="s">
        <v>7230</v>
      </c>
      <c r="L200" s="87" t="s">
        <v>7269</v>
      </c>
      <c r="M200" s="88">
        <v>149900</v>
      </c>
      <c r="N200" s="34" t="s">
        <v>2569</v>
      </c>
      <c r="O200" s="36" t="e">
        <f t="shared" si="14"/>
        <v>#REF!</v>
      </c>
      <c r="P200" s="34" t="s">
        <v>2569</v>
      </c>
    </row>
    <row r="201" spans="1:16" x14ac:dyDescent="0.35">
      <c r="A201" s="34" t="str">
        <f t="shared" si="17"/>
        <v>2026 NOV-FEB B3 DISC 10%</v>
      </c>
      <c r="B201" s="35">
        <f t="shared" si="17"/>
        <v>46086</v>
      </c>
      <c r="C201" s="35">
        <f t="shared" si="17"/>
        <v>46092</v>
      </c>
      <c r="D201" s="34">
        <v>3321</v>
      </c>
      <c r="E201" s="34">
        <v>337</v>
      </c>
      <c r="F201" s="34">
        <v>4</v>
      </c>
      <c r="G201" s="70">
        <v>4</v>
      </c>
      <c r="H201" s="70">
        <v>81588</v>
      </c>
      <c r="I201" s="34" t="s">
        <v>2690</v>
      </c>
      <c r="J201" s="70">
        <v>68784056</v>
      </c>
      <c r="K201" s="70" t="s">
        <v>7231</v>
      </c>
      <c r="L201" s="87" t="s">
        <v>7270</v>
      </c>
      <c r="M201" s="88">
        <v>179900</v>
      </c>
      <c r="N201" s="34" t="s">
        <v>2569</v>
      </c>
      <c r="O201" s="36" t="e">
        <f t="shared" si="14"/>
        <v>#REF!</v>
      </c>
      <c r="P201" s="34" t="s">
        <v>2569</v>
      </c>
    </row>
    <row r="202" spans="1:16" x14ac:dyDescent="0.35">
      <c r="A202" s="34" t="str">
        <f t="shared" si="17"/>
        <v>2026 NOV-FEB B3 DISC 10%</v>
      </c>
      <c r="B202" s="35">
        <f t="shared" si="17"/>
        <v>46086</v>
      </c>
      <c r="C202" s="35">
        <f t="shared" si="17"/>
        <v>46092</v>
      </c>
      <c r="D202" s="34">
        <v>3321</v>
      </c>
      <c r="E202" s="34">
        <v>337</v>
      </c>
      <c r="F202" s="34">
        <v>4</v>
      </c>
      <c r="G202" s="70">
        <v>4</v>
      </c>
      <c r="H202" s="70">
        <v>81588</v>
      </c>
      <c r="I202" s="34" t="s">
        <v>2690</v>
      </c>
      <c r="J202" s="70">
        <v>68784065</v>
      </c>
      <c r="K202" s="72" t="s">
        <v>7231</v>
      </c>
      <c r="L202" s="87" t="s">
        <v>7271</v>
      </c>
      <c r="M202" s="88">
        <v>179900</v>
      </c>
      <c r="N202" s="34" t="s">
        <v>2569</v>
      </c>
      <c r="O202" s="36" t="e">
        <f t="shared" si="14"/>
        <v>#REF!</v>
      </c>
      <c r="P202" s="34" t="s">
        <v>2569</v>
      </c>
    </row>
    <row r="203" spans="1:16" x14ac:dyDescent="0.35">
      <c r="A203" s="34" t="str">
        <f t="shared" si="17"/>
        <v>2026 NOV-FEB B3 DISC 10%</v>
      </c>
      <c r="B203" s="35">
        <f t="shared" si="17"/>
        <v>46086</v>
      </c>
      <c r="C203" s="35">
        <f t="shared" si="17"/>
        <v>46092</v>
      </c>
      <c r="D203" s="34">
        <v>3321</v>
      </c>
      <c r="E203" s="34">
        <v>337</v>
      </c>
      <c r="F203" s="34">
        <v>4</v>
      </c>
      <c r="G203" s="70">
        <v>4</v>
      </c>
      <c r="H203" s="70">
        <v>81588</v>
      </c>
      <c r="I203" s="34" t="s">
        <v>2690</v>
      </c>
      <c r="J203" s="70">
        <v>68784074</v>
      </c>
      <c r="K203" s="72" t="s">
        <v>7231</v>
      </c>
      <c r="L203" s="87" t="s">
        <v>7272</v>
      </c>
      <c r="M203" s="88">
        <v>179900</v>
      </c>
      <c r="N203" s="34" t="s">
        <v>2569</v>
      </c>
      <c r="O203" s="36" t="e">
        <f t="shared" si="14"/>
        <v>#REF!</v>
      </c>
      <c r="P203" s="34" t="s">
        <v>2569</v>
      </c>
    </row>
    <row r="204" spans="1:16" x14ac:dyDescent="0.35">
      <c r="A204" s="34" t="str">
        <f t="shared" si="17"/>
        <v>2026 NOV-FEB B3 DISC 10%</v>
      </c>
      <c r="B204" s="35">
        <f t="shared" si="17"/>
        <v>46086</v>
      </c>
      <c r="C204" s="35">
        <f t="shared" si="17"/>
        <v>46092</v>
      </c>
      <c r="D204" s="34">
        <v>3321</v>
      </c>
      <c r="E204" s="34">
        <v>337</v>
      </c>
      <c r="F204" s="34">
        <v>4</v>
      </c>
      <c r="G204" s="70">
        <v>4</v>
      </c>
      <c r="H204" s="70">
        <v>81588</v>
      </c>
      <c r="I204" s="34" t="s">
        <v>2690</v>
      </c>
      <c r="J204" s="70">
        <v>68784083</v>
      </c>
      <c r="K204" s="72" t="s">
        <v>7231</v>
      </c>
      <c r="L204" s="87" t="s">
        <v>7273</v>
      </c>
      <c r="M204" s="88">
        <v>179900</v>
      </c>
      <c r="N204" s="34" t="s">
        <v>2569</v>
      </c>
      <c r="O204" s="36" t="e">
        <f t="shared" si="14"/>
        <v>#REF!</v>
      </c>
      <c r="P204" s="34" t="s">
        <v>2569</v>
      </c>
    </row>
    <row r="205" spans="1:16" x14ac:dyDescent="0.35">
      <c r="A205" s="34" t="str">
        <f t="shared" si="17"/>
        <v>2026 NOV-FEB B3 DISC 10%</v>
      </c>
      <c r="B205" s="35">
        <f t="shared" si="17"/>
        <v>46086</v>
      </c>
      <c r="C205" s="35">
        <f t="shared" si="17"/>
        <v>46092</v>
      </c>
      <c r="D205" s="34">
        <v>3321</v>
      </c>
      <c r="E205" s="34">
        <v>337</v>
      </c>
      <c r="F205" s="34">
        <v>4</v>
      </c>
      <c r="G205" s="70">
        <v>4</v>
      </c>
      <c r="H205" s="70">
        <v>81588</v>
      </c>
      <c r="I205" s="34" t="s">
        <v>2690</v>
      </c>
      <c r="J205" s="70">
        <v>68784092</v>
      </c>
      <c r="K205" s="72" t="s">
        <v>7231</v>
      </c>
      <c r="L205" s="87" t="s">
        <v>7274</v>
      </c>
      <c r="M205" s="88">
        <v>179900</v>
      </c>
      <c r="N205" s="34" t="s">
        <v>2569</v>
      </c>
      <c r="O205" s="36" t="e">
        <f t="shared" si="14"/>
        <v>#REF!</v>
      </c>
      <c r="P205" s="34" t="s">
        <v>2569</v>
      </c>
    </row>
    <row r="206" spans="1:16" x14ac:dyDescent="0.35">
      <c r="A206" s="34" t="str">
        <f t="shared" si="17"/>
        <v>2026 NOV-FEB B3 DISC 10%</v>
      </c>
      <c r="B206" s="35">
        <f t="shared" si="17"/>
        <v>46086</v>
      </c>
      <c r="C206" s="35">
        <f t="shared" si="17"/>
        <v>46092</v>
      </c>
      <c r="D206" s="34">
        <v>3321</v>
      </c>
      <c r="E206" s="34">
        <v>337</v>
      </c>
      <c r="F206" s="34">
        <v>4</v>
      </c>
      <c r="G206" s="70">
        <v>4</v>
      </c>
      <c r="H206" s="70">
        <v>81588</v>
      </c>
      <c r="I206" s="34" t="s">
        <v>2690</v>
      </c>
      <c r="J206" s="70">
        <v>68784109</v>
      </c>
      <c r="K206" s="72" t="s">
        <v>7231</v>
      </c>
      <c r="L206" s="87" t="s">
        <v>7275</v>
      </c>
      <c r="M206" s="88">
        <v>179900</v>
      </c>
      <c r="N206" s="34" t="s">
        <v>2569</v>
      </c>
      <c r="O206" s="36" t="e">
        <f t="shared" si="14"/>
        <v>#REF!</v>
      </c>
      <c r="P206" s="34" t="s">
        <v>2569</v>
      </c>
    </row>
    <row r="207" spans="1:16" x14ac:dyDescent="0.35">
      <c r="A207" s="34" t="str">
        <f t="shared" si="17"/>
        <v>2026 NOV-FEB B3 DISC 10%</v>
      </c>
      <c r="B207" s="35">
        <f t="shared" si="17"/>
        <v>46086</v>
      </c>
      <c r="C207" s="35">
        <f t="shared" si="17"/>
        <v>46092</v>
      </c>
      <c r="D207" s="34">
        <v>3321</v>
      </c>
      <c r="E207" s="34">
        <v>337</v>
      </c>
      <c r="F207" s="34">
        <v>4</v>
      </c>
      <c r="G207" s="70">
        <v>4</v>
      </c>
      <c r="H207" s="70">
        <v>81588</v>
      </c>
      <c r="I207" s="34" t="s">
        <v>2690</v>
      </c>
      <c r="J207" s="70">
        <v>68784118</v>
      </c>
      <c r="K207" s="72" t="s">
        <v>7231</v>
      </c>
      <c r="L207" s="87" t="s">
        <v>7276</v>
      </c>
      <c r="M207" s="88">
        <v>179900</v>
      </c>
      <c r="N207" s="34" t="s">
        <v>2569</v>
      </c>
      <c r="O207" s="36" t="e">
        <f t="shared" si="14"/>
        <v>#REF!</v>
      </c>
      <c r="P207" s="34" t="s">
        <v>2569</v>
      </c>
    </row>
    <row r="208" spans="1:16" x14ac:dyDescent="0.35">
      <c r="A208" s="34" t="str">
        <f t="shared" si="17"/>
        <v>2026 NOV-FEB B3 DISC 10%</v>
      </c>
      <c r="B208" s="35">
        <f t="shared" si="17"/>
        <v>46086</v>
      </c>
      <c r="C208" s="35">
        <f t="shared" si="17"/>
        <v>46092</v>
      </c>
      <c r="D208" s="34">
        <v>3321</v>
      </c>
      <c r="E208" s="34">
        <v>337</v>
      </c>
      <c r="F208" s="34">
        <v>4</v>
      </c>
      <c r="G208" s="70">
        <v>2</v>
      </c>
      <c r="H208" s="70">
        <v>81005</v>
      </c>
      <c r="I208" s="34" t="s">
        <v>2690</v>
      </c>
      <c r="J208" s="70">
        <v>68397617</v>
      </c>
      <c r="K208" s="70" t="s">
        <v>7232</v>
      </c>
      <c r="L208" s="87" t="s">
        <v>7277</v>
      </c>
      <c r="M208" s="88">
        <v>149900</v>
      </c>
      <c r="N208" s="34" t="s">
        <v>2569</v>
      </c>
      <c r="O208" s="36" t="e">
        <f>#REF!</f>
        <v>#REF!</v>
      </c>
      <c r="P208" s="34" t="s">
        <v>2569</v>
      </c>
    </row>
    <row r="209" spans="1:16" x14ac:dyDescent="0.35">
      <c r="A209" s="34" t="str">
        <f t="shared" si="17"/>
        <v>2026 NOV-FEB B3 DISC 10%</v>
      </c>
      <c r="B209" s="35">
        <f t="shared" si="17"/>
        <v>46086</v>
      </c>
      <c r="C209" s="35">
        <f t="shared" si="17"/>
        <v>46092</v>
      </c>
      <c r="D209" s="34">
        <v>3321</v>
      </c>
      <c r="E209" s="34">
        <v>337</v>
      </c>
      <c r="F209" s="34">
        <v>4</v>
      </c>
      <c r="G209" s="70">
        <v>2</v>
      </c>
      <c r="H209" s="70">
        <v>81005</v>
      </c>
      <c r="I209" s="34" t="s">
        <v>2690</v>
      </c>
      <c r="J209" s="70">
        <v>68397626</v>
      </c>
      <c r="K209" s="72" t="s">
        <v>7232</v>
      </c>
      <c r="L209" s="87" t="s">
        <v>7278</v>
      </c>
      <c r="M209" s="88">
        <v>149900</v>
      </c>
      <c r="N209" s="34" t="s">
        <v>2569</v>
      </c>
      <c r="O209" s="36" t="e">
        <f t="shared" ref="O209:O242" si="18">O208</f>
        <v>#REF!</v>
      </c>
      <c r="P209" s="34" t="s">
        <v>2569</v>
      </c>
    </row>
    <row r="210" spans="1:16" x14ac:dyDescent="0.35">
      <c r="A210" s="34" t="str">
        <f t="shared" si="17"/>
        <v>2026 NOV-FEB B3 DISC 10%</v>
      </c>
      <c r="B210" s="35">
        <f t="shared" si="17"/>
        <v>46086</v>
      </c>
      <c r="C210" s="35">
        <f t="shared" si="17"/>
        <v>46092</v>
      </c>
      <c r="D210" s="34">
        <v>3321</v>
      </c>
      <c r="E210" s="34">
        <v>337</v>
      </c>
      <c r="F210" s="34">
        <v>4</v>
      </c>
      <c r="G210" s="70">
        <v>2</v>
      </c>
      <c r="H210" s="70">
        <v>81005</v>
      </c>
      <c r="I210" s="34" t="s">
        <v>2690</v>
      </c>
      <c r="J210" s="70">
        <v>68397635</v>
      </c>
      <c r="K210" s="72" t="s">
        <v>7232</v>
      </c>
      <c r="L210" s="87" t="s">
        <v>7279</v>
      </c>
      <c r="M210" s="88">
        <v>149900</v>
      </c>
      <c r="N210" s="34" t="s">
        <v>2569</v>
      </c>
      <c r="O210" s="36" t="e">
        <f t="shared" si="18"/>
        <v>#REF!</v>
      </c>
      <c r="P210" s="34" t="s">
        <v>2569</v>
      </c>
    </row>
    <row r="211" spans="1:16" x14ac:dyDescent="0.35">
      <c r="A211" s="34" t="str">
        <f t="shared" si="17"/>
        <v>2026 NOV-FEB B3 DISC 10%</v>
      </c>
      <c r="B211" s="35">
        <f t="shared" si="17"/>
        <v>46086</v>
      </c>
      <c r="C211" s="35">
        <f t="shared" si="17"/>
        <v>46092</v>
      </c>
      <c r="D211" s="34">
        <v>3321</v>
      </c>
      <c r="E211" s="34">
        <v>337</v>
      </c>
      <c r="F211" s="34">
        <v>4</v>
      </c>
      <c r="G211" s="70">
        <v>2</v>
      </c>
      <c r="H211" s="70">
        <v>81005</v>
      </c>
      <c r="I211" s="34" t="s">
        <v>2690</v>
      </c>
      <c r="J211" s="70">
        <v>68397644</v>
      </c>
      <c r="K211" s="72" t="s">
        <v>7232</v>
      </c>
      <c r="L211" s="87" t="s">
        <v>7280</v>
      </c>
      <c r="M211" s="88">
        <v>149900</v>
      </c>
      <c r="N211" s="34" t="s">
        <v>2569</v>
      </c>
      <c r="O211" s="36" t="e">
        <f t="shared" si="18"/>
        <v>#REF!</v>
      </c>
      <c r="P211" s="34" t="s">
        <v>2569</v>
      </c>
    </row>
    <row r="212" spans="1:16" x14ac:dyDescent="0.35">
      <c r="A212" s="34" t="str">
        <f t="shared" si="17"/>
        <v>2026 NOV-FEB B3 DISC 10%</v>
      </c>
      <c r="B212" s="35">
        <f t="shared" si="17"/>
        <v>46086</v>
      </c>
      <c r="C212" s="35">
        <f t="shared" si="17"/>
        <v>46092</v>
      </c>
      <c r="D212" s="34">
        <v>3321</v>
      </c>
      <c r="E212" s="34">
        <v>337</v>
      </c>
      <c r="F212" s="34">
        <v>4</v>
      </c>
      <c r="G212" s="70">
        <v>2</v>
      </c>
      <c r="H212" s="70">
        <v>81005</v>
      </c>
      <c r="I212" s="34" t="s">
        <v>2690</v>
      </c>
      <c r="J212" s="70">
        <v>68397653</v>
      </c>
      <c r="K212" s="72" t="s">
        <v>7232</v>
      </c>
      <c r="L212" s="87" t="s">
        <v>7281</v>
      </c>
      <c r="M212" s="88">
        <v>149900</v>
      </c>
      <c r="N212" s="34" t="s">
        <v>2569</v>
      </c>
      <c r="O212" s="36" t="e">
        <f t="shared" si="18"/>
        <v>#REF!</v>
      </c>
      <c r="P212" s="34" t="s">
        <v>2569</v>
      </c>
    </row>
    <row r="213" spans="1:16" x14ac:dyDescent="0.35">
      <c r="A213" s="34" t="str">
        <f t="shared" si="17"/>
        <v>2026 NOV-FEB B3 DISC 10%</v>
      </c>
      <c r="B213" s="35">
        <f t="shared" si="17"/>
        <v>46086</v>
      </c>
      <c r="C213" s="35">
        <f t="shared" si="17"/>
        <v>46092</v>
      </c>
      <c r="D213" s="34">
        <v>3321</v>
      </c>
      <c r="E213" s="34">
        <v>337</v>
      </c>
      <c r="F213" s="34">
        <v>4</v>
      </c>
      <c r="G213" s="70">
        <v>2</v>
      </c>
      <c r="H213" s="70">
        <v>81005</v>
      </c>
      <c r="I213" s="34" t="s">
        <v>2690</v>
      </c>
      <c r="J213" s="70">
        <v>68397662</v>
      </c>
      <c r="K213" s="72" t="s">
        <v>7232</v>
      </c>
      <c r="L213" s="87" t="s">
        <v>7282</v>
      </c>
      <c r="M213" s="88">
        <v>149900</v>
      </c>
      <c r="N213" s="34" t="s">
        <v>2569</v>
      </c>
      <c r="O213" s="36" t="e">
        <f t="shared" si="18"/>
        <v>#REF!</v>
      </c>
      <c r="P213" s="34" t="s">
        <v>2569</v>
      </c>
    </row>
    <row r="214" spans="1:16" x14ac:dyDescent="0.35">
      <c r="A214" s="34" t="str">
        <f t="shared" si="17"/>
        <v>2026 NOV-FEB B3 DISC 10%</v>
      </c>
      <c r="B214" s="35">
        <f t="shared" si="17"/>
        <v>46086</v>
      </c>
      <c r="C214" s="35">
        <f t="shared" si="17"/>
        <v>46092</v>
      </c>
      <c r="D214" s="34">
        <v>3321</v>
      </c>
      <c r="E214" s="34">
        <v>337</v>
      </c>
      <c r="F214" s="34">
        <v>4</v>
      </c>
      <c r="G214" s="70">
        <v>2</v>
      </c>
      <c r="H214" s="70">
        <v>81005</v>
      </c>
      <c r="I214" s="34" t="s">
        <v>2690</v>
      </c>
      <c r="J214" s="70">
        <v>68397671</v>
      </c>
      <c r="K214" s="72" t="s">
        <v>7232</v>
      </c>
      <c r="L214" s="87" t="s">
        <v>7283</v>
      </c>
      <c r="M214" s="88">
        <v>149900</v>
      </c>
      <c r="N214" s="34" t="s">
        <v>2569</v>
      </c>
      <c r="O214" s="36" t="e">
        <f t="shared" si="18"/>
        <v>#REF!</v>
      </c>
      <c r="P214" s="34" t="s">
        <v>2569</v>
      </c>
    </row>
    <row r="215" spans="1:16" x14ac:dyDescent="0.35">
      <c r="A215" s="34" t="str">
        <f t="shared" si="17"/>
        <v>2026 NOV-FEB B3 DISC 10%</v>
      </c>
      <c r="B215" s="35">
        <f t="shared" si="17"/>
        <v>46086</v>
      </c>
      <c r="C215" s="35">
        <f t="shared" si="17"/>
        <v>46092</v>
      </c>
      <c r="D215" s="34">
        <v>3321</v>
      </c>
      <c r="E215" s="34">
        <v>337</v>
      </c>
      <c r="F215" s="34">
        <v>4</v>
      </c>
      <c r="G215" s="70">
        <v>1</v>
      </c>
      <c r="H215" s="70">
        <v>81005</v>
      </c>
      <c r="I215" s="34" t="s">
        <v>2690</v>
      </c>
      <c r="J215" s="70">
        <v>68783806</v>
      </c>
      <c r="K215" s="70" t="s">
        <v>7233</v>
      </c>
      <c r="L215" s="87" t="s">
        <v>7284</v>
      </c>
      <c r="M215" s="88">
        <v>129900</v>
      </c>
      <c r="N215" s="34" t="s">
        <v>2569</v>
      </c>
      <c r="O215" s="36" t="e">
        <f t="shared" si="18"/>
        <v>#REF!</v>
      </c>
      <c r="P215" s="34" t="s">
        <v>2569</v>
      </c>
    </row>
    <row r="216" spans="1:16" x14ac:dyDescent="0.35">
      <c r="A216" s="34" t="str">
        <f t="shared" ref="A216:C231" si="19">A215</f>
        <v>2026 NOV-FEB B3 DISC 10%</v>
      </c>
      <c r="B216" s="35">
        <f t="shared" si="19"/>
        <v>46086</v>
      </c>
      <c r="C216" s="35">
        <f t="shared" si="19"/>
        <v>46092</v>
      </c>
      <c r="D216" s="34">
        <v>3321</v>
      </c>
      <c r="E216" s="34">
        <v>337</v>
      </c>
      <c r="F216" s="34">
        <v>4</v>
      </c>
      <c r="G216" s="70">
        <v>1</v>
      </c>
      <c r="H216" s="70">
        <v>81005</v>
      </c>
      <c r="I216" s="34" t="s">
        <v>2690</v>
      </c>
      <c r="J216" s="70">
        <v>68783815</v>
      </c>
      <c r="K216" s="72" t="s">
        <v>7233</v>
      </c>
      <c r="L216" s="87" t="s">
        <v>7285</v>
      </c>
      <c r="M216" s="88">
        <v>129900</v>
      </c>
      <c r="N216" s="34" t="s">
        <v>2569</v>
      </c>
      <c r="O216" s="36" t="e">
        <f t="shared" si="18"/>
        <v>#REF!</v>
      </c>
      <c r="P216" s="34" t="s">
        <v>2569</v>
      </c>
    </row>
    <row r="217" spans="1:16" x14ac:dyDescent="0.35">
      <c r="A217" s="34" t="str">
        <f t="shared" si="19"/>
        <v>2026 NOV-FEB B3 DISC 10%</v>
      </c>
      <c r="B217" s="35">
        <f t="shared" si="19"/>
        <v>46086</v>
      </c>
      <c r="C217" s="35">
        <f t="shared" si="19"/>
        <v>46092</v>
      </c>
      <c r="D217" s="34">
        <v>3321</v>
      </c>
      <c r="E217" s="34">
        <v>337</v>
      </c>
      <c r="F217" s="34">
        <v>4</v>
      </c>
      <c r="G217" s="70">
        <v>1</v>
      </c>
      <c r="H217" s="70">
        <v>81005</v>
      </c>
      <c r="I217" s="34" t="s">
        <v>2690</v>
      </c>
      <c r="J217" s="70">
        <v>68783824</v>
      </c>
      <c r="K217" s="72" t="s">
        <v>7233</v>
      </c>
      <c r="L217" s="87" t="s">
        <v>7286</v>
      </c>
      <c r="M217" s="88">
        <v>129900</v>
      </c>
      <c r="N217" s="34" t="s">
        <v>2569</v>
      </c>
      <c r="O217" s="36" t="e">
        <f t="shared" si="18"/>
        <v>#REF!</v>
      </c>
      <c r="P217" s="34" t="s">
        <v>2569</v>
      </c>
    </row>
    <row r="218" spans="1:16" x14ac:dyDescent="0.35">
      <c r="A218" s="34" t="str">
        <f t="shared" si="19"/>
        <v>2026 NOV-FEB B3 DISC 10%</v>
      </c>
      <c r="B218" s="35">
        <f t="shared" si="19"/>
        <v>46086</v>
      </c>
      <c r="C218" s="35">
        <f t="shared" si="19"/>
        <v>46092</v>
      </c>
      <c r="D218" s="34">
        <v>3321</v>
      </c>
      <c r="E218" s="34">
        <v>337</v>
      </c>
      <c r="F218" s="34">
        <v>4</v>
      </c>
      <c r="G218" s="70">
        <v>1</v>
      </c>
      <c r="H218" s="70">
        <v>81005</v>
      </c>
      <c r="I218" s="34" t="s">
        <v>2690</v>
      </c>
      <c r="J218" s="70">
        <v>68783833</v>
      </c>
      <c r="K218" s="72" t="s">
        <v>7233</v>
      </c>
      <c r="L218" s="87" t="s">
        <v>7287</v>
      </c>
      <c r="M218" s="88">
        <v>129900</v>
      </c>
      <c r="N218" s="34" t="s">
        <v>2569</v>
      </c>
      <c r="O218" s="36" t="e">
        <f t="shared" si="18"/>
        <v>#REF!</v>
      </c>
      <c r="P218" s="34" t="s">
        <v>2569</v>
      </c>
    </row>
    <row r="219" spans="1:16" x14ac:dyDescent="0.35">
      <c r="A219" s="34" t="str">
        <f t="shared" si="19"/>
        <v>2026 NOV-FEB B3 DISC 10%</v>
      </c>
      <c r="B219" s="35">
        <f t="shared" si="19"/>
        <v>46086</v>
      </c>
      <c r="C219" s="35">
        <f t="shared" si="19"/>
        <v>46092</v>
      </c>
      <c r="D219" s="34">
        <v>3321</v>
      </c>
      <c r="E219" s="34">
        <v>337</v>
      </c>
      <c r="F219" s="34">
        <v>4</v>
      </c>
      <c r="G219" s="70">
        <v>1</v>
      </c>
      <c r="H219" s="70">
        <v>81005</v>
      </c>
      <c r="I219" s="34" t="s">
        <v>2690</v>
      </c>
      <c r="J219" s="70">
        <v>68783842</v>
      </c>
      <c r="K219" s="72" t="s">
        <v>7233</v>
      </c>
      <c r="L219" s="87" t="s">
        <v>7288</v>
      </c>
      <c r="M219" s="88">
        <v>129900</v>
      </c>
      <c r="N219" s="34" t="s">
        <v>2569</v>
      </c>
      <c r="O219" s="36" t="e">
        <f t="shared" si="18"/>
        <v>#REF!</v>
      </c>
      <c r="P219" s="34" t="s">
        <v>2569</v>
      </c>
    </row>
    <row r="220" spans="1:16" x14ac:dyDescent="0.35">
      <c r="A220" s="34" t="str">
        <f t="shared" si="19"/>
        <v>2026 NOV-FEB B3 DISC 10%</v>
      </c>
      <c r="B220" s="35">
        <f t="shared" si="19"/>
        <v>46086</v>
      </c>
      <c r="C220" s="35">
        <f t="shared" si="19"/>
        <v>46092</v>
      </c>
      <c r="D220" s="34">
        <v>3321</v>
      </c>
      <c r="E220" s="34">
        <v>337</v>
      </c>
      <c r="F220" s="34">
        <v>4</v>
      </c>
      <c r="G220" s="70">
        <v>1</v>
      </c>
      <c r="H220" s="70">
        <v>81005</v>
      </c>
      <c r="I220" s="34" t="s">
        <v>2690</v>
      </c>
      <c r="J220" s="70">
        <v>68783851</v>
      </c>
      <c r="K220" s="72" t="s">
        <v>7233</v>
      </c>
      <c r="L220" s="87" t="s">
        <v>7289</v>
      </c>
      <c r="M220" s="88">
        <v>129900</v>
      </c>
      <c r="N220" s="34" t="s">
        <v>2569</v>
      </c>
      <c r="O220" s="36" t="e">
        <f t="shared" si="18"/>
        <v>#REF!</v>
      </c>
      <c r="P220" s="34" t="s">
        <v>2569</v>
      </c>
    </row>
    <row r="221" spans="1:16" x14ac:dyDescent="0.35">
      <c r="A221" s="34" t="str">
        <f t="shared" si="19"/>
        <v>2026 NOV-FEB B3 DISC 10%</v>
      </c>
      <c r="B221" s="35">
        <f t="shared" si="19"/>
        <v>46086</v>
      </c>
      <c r="C221" s="35">
        <f t="shared" si="19"/>
        <v>46092</v>
      </c>
      <c r="D221" s="34">
        <v>3321</v>
      </c>
      <c r="E221" s="34">
        <v>337</v>
      </c>
      <c r="F221" s="34">
        <v>4</v>
      </c>
      <c r="G221" s="70">
        <v>1</v>
      </c>
      <c r="H221" s="70">
        <v>81005</v>
      </c>
      <c r="I221" s="34" t="s">
        <v>2690</v>
      </c>
      <c r="J221" s="70">
        <v>68783860</v>
      </c>
      <c r="K221" s="72" t="s">
        <v>7233</v>
      </c>
      <c r="L221" s="87" t="s">
        <v>7290</v>
      </c>
      <c r="M221" s="88">
        <v>129900</v>
      </c>
      <c r="N221" s="34" t="s">
        <v>2569</v>
      </c>
      <c r="O221" s="36" t="e">
        <f t="shared" si="18"/>
        <v>#REF!</v>
      </c>
      <c r="P221" s="34" t="s">
        <v>2569</v>
      </c>
    </row>
    <row r="222" spans="1:16" x14ac:dyDescent="0.35">
      <c r="A222" s="34" t="str">
        <f t="shared" si="19"/>
        <v>2026 NOV-FEB B3 DISC 10%</v>
      </c>
      <c r="B222" s="35">
        <f t="shared" si="19"/>
        <v>46086</v>
      </c>
      <c r="C222" s="35">
        <f t="shared" si="19"/>
        <v>46092</v>
      </c>
      <c r="D222" s="34">
        <v>3321</v>
      </c>
      <c r="E222" s="34">
        <v>337</v>
      </c>
      <c r="F222" s="34">
        <v>4</v>
      </c>
      <c r="G222" s="70">
        <v>2</v>
      </c>
      <c r="H222" s="70">
        <v>81005</v>
      </c>
      <c r="I222" s="34" t="s">
        <v>2690</v>
      </c>
      <c r="J222" s="70">
        <v>68783548</v>
      </c>
      <c r="K222" s="70" t="s">
        <v>7234</v>
      </c>
      <c r="L222" s="87" t="s">
        <v>7291</v>
      </c>
      <c r="M222" s="88">
        <v>149900</v>
      </c>
      <c r="N222" s="34" t="s">
        <v>2569</v>
      </c>
      <c r="O222" s="36" t="e">
        <f t="shared" si="18"/>
        <v>#REF!</v>
      </c>
      <c r="P222" s="34" t="s">
        <v>2569</v>
      </c>
    </row>
    <row r="223" spans="1:16" x14ac:dyDescent="0.35">
      <c r="A223" s="34" t="str">
        <f t="shared" si="19"/>
        <v>2026 NOV-FEB B3 DISC 10%</v>
      </c>
      <c r="B223" s="35">
        <f t="shared" si="19"/>
        <v>46086</v>
      </c>
      <c r="C223" s="35">
        <f t="shared" si="19"/>
        <v>46092</v>
      </c>
      <c r="D223" s="34">
        <v>3321</v>
      </c>
      <c r="E223" s="34">
        <v>337</v>
      </c>
      <c r="F223" s="34">
        <v>4</v>
      </c>
      <c r="G223" s="70">
        <v>2</v>
      </c>
      <c r="H223" s="70">
        <v>81005</v>
      </c>
      <c r="I223" s="34" t="s">
        <v>2690</v>
      </c>
      <c r="J223" s="70">
        <v>68783557</v>
      </c>
      <c r="K223" s="72" t="s">
        <v>7234</v>
      </c>
      <c r="L223" s="87" t="s">
        <v>7292</v>
      </c>
      <c r="M223" s="88">
        <v>149900</v>
      </c>
      <c r="N223" s="34" t="s">
        <v>2569</v>
      </c>
      <c r="O223" s="36" t="e">
        <f t="shared" si="18"/>
        <v>#REF!</v>
      </c>
      <c r="P223" s="34" t="s">
        <v>2569</v>
      </c>
    </row>
    <row r="224" spans="1:16" x14ac:dyDescent="0.35">
      <c r="A224" s="34" t="str">
        <f t="shared" si="19"/>
        <v>2026 NOV-FEB B3 DISC 10%</v>
      </c>
      <c r="B224" s="35">
        <f t="shared" si="19"/>
        <v>46086</v>
      </c>
      <c r="C224" s="35">
        <f t="shared" si="19"/>
        <v>46092</v>
      </c>
      <c r="D224" s="34">
        <v>3321</v>
      </c>
      <c r="E224" s="34">
        <v>337</v>
      </c>
      <c r="F224" s="34">
        <v>4</v>
      </c>
      <c r="G224" s="70">
        <v>2</v>
      </c>
      <c r="H224" s="70">
        <v>81005</v>
      </c>
      <c r="I224" s="34" t="s">
        <v>2690</v>
      </c>
      <c r="J224" s="70">
        <v>68783566</v>
      </c>
      <c r="K224" s="72" t="s">
        <v>7234</v>
      </c>
      <c r="L224" s="87" t="s">
        <v>7293</v>
      </c>
      <c r="M224" s="88">
        <v>149900</v>
      </c>
      <c r="N224" s="34" t="s">
        <v>2569</v>
      </c>
      <c r="O224" s="36" t="e">
        <f t="shared" si="18"/>
        <v>#REF!</v>
      </c>
      <c r="P224" s="34" t="s">
        <v>2569</v>
      </c>
    </row>
    <row r="225" spans="1:16" x14ac:dyDescent="0.35">
      <c r="A225" s="34" t="str">
        <f t="shared" si="19"/>
        <v>2026 NOV-FEB B3 DISC 10%</v>
      </c>
      <c r="B225" s="35">
        <f t="shared" si="19"/>
        <v>46086</v>
      </c>
      <c r="C225" s="35">
        <f t="shared" si="19"/>
        <v>46092</v>
      </c>
      <c r="D225" s="34">
        <v>3321</v>
      </c>
      <c r="E225" s="34">
        <v>337</v>
      </c>
      <c r="F225" s="34">
        <v>4</v>
      </c>
      <c r="G225" s="70">
        <v>2</v>
      </c>
      <c r="H225" s="70">
        <v>81005</v>
      </c>
      <c r="I225" s="34" t="s">
        <v>2690</v>
      </c>
      <c r="J225" s="70">
        <v>68783575</v>
      </c>
      <c r="K225" s="72" t="s">
        <v>7234</v>
      </c>
      <c r="L225" s="87" t="s">
        <v>7294</v>
      </c>
      <c r="M225" s="88">
        <v>149900</v>
      </c>
      <c r="N225" s="34" t="s">
        <v>2569</v>
      </c>
      <c r="O225" s="36" t="e">
        <f t="shared" si="18"/>
        <v>#REF!</v>
      </c>
      <c r="P225" s="34" t="s">
        <v>2569</v>
      </c>
    </row>
    <row r="226" spans="1:16" x14ac:dyDescent="0.35">
      <c r="A226" s="34" t="str">
        <f t="shared" si="19"/>
        <v>2026 NOV-FEB B3 DISC 10%</v>
      </c>
      <c r="B226" s="35">
        <f t="shared" si="19"/>
        <v>46086</v>
      </c>
      <c r="C226" s="35">
        <f t="shared" si="19"/>
        <v>46092</v>
      </c>
      <c r="D226" s="34">
        <v>3321</v>
      </c>
      <c r="E226" s="34">
        <v>337</v>
      </c>
      <c r="F226" s="34">
        <v>4</v>
      </c>
      <c r="G226" s="70">
        <v>2</v>
      </c>
      <c r="H226" s="70">
        <v>81005</v>
      </c>
      <c r="I226" s="34" t="s">
        <v>2690</v>
      </c>
      <c r="J226" s="70">
        <v>68783584</v>
      </c>
      <c r="K226" s="72" t="s">
        <v>7234</v>
      </c>
      <c r="L226" s="87" t="s">
        <v>7295</v>
      </c>
      <c r="M226" s="88">
        <v>149900</v>
      </c>
      <c r="N226" s="34" t="s">
        <v>2569</v>
      </c>
      <c r="O226" s="36" t="e">
        <f t="shared" si="18"/>
        <v>#REF!</v>
      </c>
      <c r="P226" s="34" t="s">
        <v>2569</v>
      </c>
    </row>
    <row r="227" spans="1:16" x14ac:dyDescent="0.35">
      <c r="A227" s="34" t="str">
        <f t="shared" si="19"/>
        <v>2026 NOV-FEB B3 DISC 10%</v>
      </c>
      <c r="B227" s="35">
        <f t="shared" si="19"/>
        <v>46086</v>
      </c>
      <c r="C227" s="35">
        <f t="shared" si="19"/>
        <v>46092</v>
      </c>
      <c r="D227" s="34">
        <v>3321</v>
      </c>
      <c r="E227" s="34">
        <v>337</v>
      </c>
      <c r="F227" s="34">
        <v>4</v>
      </c>
      <c r="G227" s="70">
        <v>2</v>
      </c>
      <c r="H227" s="70">
        <v>81005</v>
      </c>
      <c r="I227" s="34" t="s">
        <v>2690</v>
      </c>
      <c r="J227" s="70">
        <v>68783593</v>
      </c>
      <c r="K227" s="72" t="s">
        <v>7234</v>
      </c>
      <c r="L227" s="87" t="s">
        <v>7296</v>
      </c>
      <c r="M227" s="88">
        <v>149900</v>
      </c>
      <c r="N227" s="34" t="s">
        <v>2569</v>
      </c>
      <c r="O227" s="36" t="e">
        <f t="shared" si="18"/>
        <v>#REF!</v>
      </c>
      <c r="P227" s="34" t="s">
        <v>2569</v>
      </c>
    </row>
    <row r="228" spans="1:16" x14ac:dyDescent="0.35">
      <c r="A228" s="34" t="str">
        <f t="shared" si="19"/>
        <v>2026 NOV-FEB B3 DISC 10%</v>
      </c>
      <c r="B228" s="35">
        <f t="shared" si="19"/>
        <v>46086</v>
      </c>
      <c r="C228" s="35">
        <f t="shared" si="19"/>
        <v>46092</v>
      </c>
      <c r="D228" s="34">
        <v>3321</v>
      </c>
      <c r="E228" s="34">
        <v>337</v>
      </c>
      <c r="F228" s="34">
        <v>4</v>
      </c>
      <c r="G228" s="70">
        <v>2</v>
      </c>
      <c r="H228" s="70">
        <v>81005</v>
      </c>
      <c r="I228" s="34" t="s">
        <v>2690</v>
      </c>
      <c r="J228" s="70">
        <v>68783600</v>
      </c>
      <c r="K228" s="72" t="s">
        <v>7234</v>
      </c>
      <c r="L228" s="87" t="s">
        <v>7297</v>
      </c>
      <c r="M228" s="88">
        <v>149900</v>
      </c>
      <c r="N228" s="34" t="s">
        <v>2569</v>
      </c>
      <c r="O228" s="36" t="e">
        <f t="shared" si="18"/>
        <v>#REF!</v>
      </c>
      <c r="P228" s="34" t="s">
        <v>2569</v>
      </c>
    </row>
    <row r="229" spans="1:16" x14ac:dyDescent="0.35">
      <c r="A229" s="34" t="str">
        <f t="shared" si="19"/>
        <v>2026 NOV-FEB B3 DISC 10%</v>
      </c>
      <c r="B229" s="35">
        <f t="shared" si="19"/>
        <v>46086</v>
      </c>
      <c r="C229" s="35">
        <f t="shared" si="19"/>
        <v>46092</v>
      </c>
      <c r="D229" s="34">
        <v>3321</v>
      </c>
      <c r="E229" s="34">
        <v>337</v>
      </c>
      <c r="F229" s="34">
        <v>4</v>
      </c>
      <c r="G229" s="70">
        <v>1</v>
      </c>
      <c r="H229" s="70">
        <v>81005</v>
      </c>
      <c r="I229" s="34" t="s">
        <v>2690</v>
      </c>
      <c r="J229" s="70">
        <v>68783477</v>
      </c>
      <c r="K229" s="70" t="s">
        <v>7235</v>
      </c>
      <c r="L229" s="87" t="s">
        <v>7298</v>
      </c>
      <c r="M229" s="88">
        <v>129900</v>
      </c>
      <c r="N229" s="34" t="s">
        <v>2569</v>
      </c>
      <c r="O229" s="36" t="e">
        <f t="shared" si="18"/>
        <v>#REF!</v>
      </c>
      <c r="P229" s="34" t="s">
        <v>2569</v>
      </c>
    </row>
    <row r="230" spans="1:16" x14ac:dyDescent="0.35">
      <c r="A230" s="34" t="str">
        <f t="shared" si="19"/>
        <v>2026 NOV-FEB B3 DISC 10%</v>
      </c>
      <c r="B230" s="35">
        <f t="shared" si="19"/>
        <v>46086</v>
      </c>
      <c r="C230" s="35">
        <f t="shared" si="19"/>
        <v>46092</v>
      </c>
      <c r="D230" s="34">
        <v>3321</v>
      </c>
      <c r="E230" s="34">
        <v>337</v>
      </c>
      <c r="F230" s="34">
        <v>4</v>
      </c>
      <c r="G230" s="70">
        <v>1</v>
      </c>
      <c r="H230" s="70">
        <v>81005</v>
      </c>
      <c r="I230" s="34" t="s">
        <v>2690</v>
      </c>
      <c r="J230" s="70">
        <v>68783486</v>
      </c>
      <c r="K230" s="72" t="s">
        <v>7235</v>
      </c>
      <c r="L230" s="87" t="s">
        <v>7299</v>
      </c>
      <c r="M230" s="88">
        <v>129900</v>
      </c>
      <c r="N230" s="34" t="s">
        <v>2569</v>
      </c>
      <c r="O230" s="36" t="e">
        <f t="shared" si="18"/>
        <v>#REF!</v>
      </c>
      <c r="P230" s="34" t="s">
        <v>2569</v>
      </c>
    </row>
    <row r="231" spans="1:16" x14ac:dyDescent="0.35">
      <c r="A231" s="34" t="str">
        <f t="shared" si="19"/>
        <v>2026 NOV-FEB B3 DISC 10%</v>
      </c>
      <c r="B231" s="35">
        <f t="shared" si="19"/>
        <v>46086</v>
      </c>
      <c r="C231" s="35">
        <f t="shared" si="19"/>
        <v>46092</v>
      </c>
      <c r="D231" s="34">
        <v>3321</v>
      </c>
      <c r="E231" s="34">
        <v>337</v>
      </c>
      <c r="F231" s="34">
        <v>4</v>
      </c>
      <c r="G231" s="70">
        <v>1</v>
      </c>
      <c r="H231" s="70">
        <v>81005</v>
      </c>
      <c r="I231" s="34" t="s">
        <v>2690</v>
      </c>
      <c r="J231" s="70">
        <v>68783495</v>
      </c>
      <c r="K231" s="72" t="s">
        <v>7235</v>
      </c>
      <c r="L231" s="87" t="s">
        <v>7300</v>
      </c>
      <c r="M231" s="88">
        <v>129900</v>
      </c>
      <c r="N231" s="34" t="s">
        <v>2569</v>
      </c>
      <c r="O231" s="36" t="e">
        <f t="shared" si="18"/>
        <v>#REF!</v>
      </c>
      <c r="P231" s="34" t="s">
        <v>2569</v>
      </c>
    </row>
    <row r="232" spans="1:16" x14ac:dyDescent="0.35">
      <c r="A232" s="34" t="str">
        <f t="shared" ref="A232:C242" si="20">A231</f>
        <v>2026 NOV-FEB B3 DISC 10%</v>
      </c>
      <c r="B232" s="35">
        <f t="shared" si="20"/>
        <v>46086</v>
      </c>
      <c r="C232" s="35">
        <f t="shared" si="20"/>
        <v>46092</v>
      </c>
      <c r="D232" s="34">
        <v>3321</v>
      </c>
      <c r="E232" s="34">
        <v>337</v>
      </c>
      <c r="F232" s="34">
        <v>4</v>
      </c>
      <c r="G232" s="70">
        <v>1</v>
      </c>
      <c r="H232" s="70">
        <v>81005</v>
      </c>
      <c r="I232" s="34" t="s">
        <v>2690</v>
      </c>
      <c r="J232" s="70">
        <v>68783502</v>
      </c>
      <c r="K232" s="72" t="s">
        <v>7235</v>
      </c>
      <c r="L232" s="87" t="s">
        <v>7301</v>
      </c>
      <c r="M232" s="88">
        <v>129900</v>
      </c>
      <c r="N232" s="34" t="s">
        <v>2569</v>
      </c>
      <c r="O232" s="36" t="e">
        <f t="shared" si="18"/>
        <v>#REF!</v>
      </c>
      <c r="P232" s="34" t="s">
        <v>2569</v>
      </c>
    </row>
    <row r="233" spans="1:16" x14ac:dyDescent="0.35">
      <c r="A233" s="34" t="str">
        <f t="shared" si="20"/>
        <v>2026 NOV-FEB B3 DISC 10%</v>
      </c>
      <c r="B233" s="35">
        <f t="shared" si="20"/>
        <v>46086</v>
      </c>
      <c r="C233" s="35">
        <f t="shared" si="20"/>
        <v>46092</v>
      </c>
      <c r="D233" s="34">
        <v>3321</v>
      </c>
      <c r="E233" s="34">
        <v>337</v>
      </c>
      <c r="F233" s="34">
        <v>4</v>
      </c>
      <c r="G233" s="70">
        <v>1</v>
      </c>
      <c r="H233" s="70">
        <v>81005</v>
      </c>
      <c r="I233" s="34" t="s">
        <v>2690</v>
      </c>
      <c r="J233" s="70">
        <v>68783511</v>
      </c>
      <c r="K233" s="72" t="s">
        <v>7235</v>
      </c>
      <c r="L233" s="87" t="s">
        <v>7302</v>
      </c>
      <c r="M233" s="88">
        <v>129900</v>
      </c>
      <c r="N233" s="34" t="s">
        <v>2569</v>
      </c>
      <c r="O233" s="36" t="e">
        <f t="shared" si="18"/>
        <v>#REF!</v>
      </c>
      <c r="P233" s="34" t="s">
        <v>2569</v>
      </c>
    </row>
    <row r="234" spans="1:16" x14ac:dyDescent="0.35">
      <c r="A234" s="34" t="str">
        <f t="shared" si="20"/>
        <v>2026 NOV-FEB B3 DISC 10%</v>
      </c>
      <c r="B234" s="35">
        <f t="shared" si="20"/>
        <v>46086</v>
      </c>
      <c r="C234" s="35">
        <f t="shared" si="20"/>
        <v>46092</v>
      </c>
      <c r="D234" s="34">
        <v>3321</v>
      </c>
      <c r="E234" s="34">
        <v>337</v>
      </c>
      <c r="F234" s="34">
        <v>4</v>
      </c>
      <c r="G234" s="70">
        <v>1</v>
      </c>
      <c r="H234" s="70">
        <v>81005</v>
      </c>
      <c r="I234" s="34" t="s">
        <v>2690</v>
      </c>
      <c r="J234" s="70">
        <v>68783520</v>
      </c>
      <c r="K234" s="72" t="s">
        <v>7235</v>
      </c>
      <c r="L234" s="87" t="s">
        <v>7303</v>
      </c>
      <c r="M234" s="88">
        <v>129900</v>
      </c>
      <c r="N234" s="34" t="s">
        <v>2569</v>
      </c>
      <c r="O234" s="36" t="e">
        <f t="shared" si="18"/>
        <v>#REF!</v>
      </c>
      <c r="P234" s="34" t="s">
        <v>2569</v>
      </c>
    </row>
    <row r="235" spans="1:16" x14ac:dyDescent="0.35">
      <c r="A235" s="34" t="str">
        <f t="shared" si="20"/>
        <v>2026 NOV-FEB B3 DISC 10%</v>
      </c>
      <c r="B235" s="35">
        <f t="shared" si="20"/>
        <v>46086</v>
      </c>
      <c r="C235" s="35">
        <f t="shared" si="20"/>
        <v>46092</v>
      </c>
      <c r="D235" s="34">
        <v>3321</v>
      </c>
      <c r="E235" s="34">
        <v>337</v>
      </c>
      <c r="F235" s="34">
        <v>4</v>
      </c>
      <c r="G235" s="70">
        <v>1</v>
      </c>
      <c r="H235" s="70">
        <v>81005</v>
      </c>
      <c r="I235" s="34" t="s">
        <v>2690</v>
      </c>
      <c r="J235" s="70">
        <v>68783539</v>
      </c>
      <c r="K235" s="72" t="s">
        <v>7235</v>
      </c>
      <c r="L235" s="87" t="s">
        <v>7304</v>
      </c>
      <c r="M235" s="88">
        <v>129900</v>
      </c>
      <c r="N235" s="34" t="s">
        <v>2569</v>
      </c>
      <c r="O235" s="36" t="e">
        <f t="shared" si="18"/>
        <v>#REF!</v>
      </c>
      <c r="P235" s="34" t="s">
        <v>2569</v>
      </c>
    </row>
    <row r="236" spans="1:16" x14ac:dyDescent="0.35">
      <c r="A236" s="34" t="str">
        <f t="shared" si="20"/>
        <v>2026 NOV-FEB B3 DISC 10%</v>
      </c>
      <c r="B236" s="35">
        <f t="shared" si="20"/>
        <v>46086</v>
      </c>
      <c r="C236" s="35">
        <f t="shared" si="20"/>
        <v>46092</v>
      </c>
      <c r="D236" s="34">
        <v>3321</v>
      </c>
      <c r="E236" s="34">
        <v>337</v>
      </c>
      <c r="F236" s="34">
        <v>4</v>
      </c>
      <c r="G236" s="70">
        <v>1</v>
      </c>
      <c r="H236" s="70">
        <v>81588</v>
      </c>
      <c r="I236" s="34" t="s">
        <v>2690</v>
      </c>
      <c r="J236" s="70">
        <v>68783986</v>
      </c>
      <c r="K236" s="70" t="s">
        <v>7236</v>
      </c>
      <c r="L236" s="87" t="s">
        <v>7305</v>
      </c>
      <c r="M236" s="88">
        <v>99900</v>
      </c>
      <c r="N236" s="34" t="s">
        <v>2569</v>
      </c>
      <c r="O236" s="36" t="e">
        <f t="shared" si="18"/>
        <v>#REF!</v>
      </c>
      <c r="P236" s="34" t="s">
        <v>2569</v>
      </c>
    </row>
    <row r="237" spans="1:16" x14ac:dyDescent="0.35">
      <c r="A237" s="34" t="str">
        <f t="shared" si="20"/>
        <v>2026 NOV-FEB B3 DISC 10%</v>
      </c>
      <c r="B237" s="35">
        <f t="shared" si="20"/>
        <v>46086</v>
      </c>
      <c r="C237" s="35">
        <f t="shared" si="20"/>
        <v>46092</v>
      </c>
      <c r="D237" s="34">
        <v>3321</v>
      </c>
      <c r="E237" s="34">
        <v>337</v>
      </c>
      <c r="F237" s="34">
        <v>4</v>
      </c>
      <c r="G237" s="70">
        <v>1</v>
      </c>
      <c r="H237" s="70">
        <v>81588</v>
      </c>
      <c r="I237" s="34" t="s">
        <v>2690</v>
      </c>
      <c r="J237" s="70">
        <v>68783995</v>
      </c>
      <c r="K237" s="72" t="s">
        <v>7236</v>
      </c>
      <c r="L237" s="87" t="s">
        <v>7306</v>
      </c>
      <c r="M237" s="88">
        <v>99900</v>
      </c>
      <c r="N237" s="34" t="s">
        <v>2569</v>
      </c>
      <c r="O237" s="36" t="e">
        <f t="shared" si="18"/>
        <v>#REF!</v>
      </c>
      <c r="P237" s="34" t="s">
        <v>2569</v>
      </c>
    </row>
    <row r="238" spans="1:16" x14ac:dyDescent="0.35">
      <c r="A238" s="34" t="str">
        <f t="shared" si="20"/>
        <v>2026 NOV-FEB B3 DISC 10%</v>
      </c>
      <c r="B238" s="35">
        <f t="shared" si="20"/>
        <v>46086</v>
      </c>
      <c r="C238" s="35">
        <f t="shared" si="20"/>
        <v>46092</v>
      </c>
      <c r="D238" s="34">
        <v>3321</v>
      </c>
      <c r="E238" s="34">
        <v>337</v>
      </c>
      <c r="F238" s="34">
        <v>4</v>
      </c>
      <c r="G238" s="70">
        <v>1</v>
      </c>
      <c r="H238" s="70">
        <v>81588</v>
      </c>
      <c r="I238" s="34" t="s">
        <v>2690</v>
      </c>
      <c r="J238" s="70">
        <v>68784001</v>
      </c>
      <c r="K238" s="72" t="s">
        <v>7236</v>
      </c>
      <c r="L238" s="87" t="s">
        <v>7307</v>
      </c>
      <c r="M238" s="88">
        <v>99900</v>
      </c>
      <c r="N238" s="34" t="s">
        <v>2569</v>
      </c>
      <c r="O238" s="36" t="e">
        <f t="shared" si="18"/>
        <v>#REF!</v>
      </c>
      <c r="P238" s="34" t="s">
        <v>2569</v>
      </c>
    </row>
    <row r="239" spans="1:16" x14ac:dyDescent="0.35">
      <c r="A239" s="34" t="str">
        <f t="shared" si="20"/>
        <v>2026 NOV-FEB B3 DISC 10%</v>
      </c>
      <c r="B239" s="35">
        <f t="shared" si="20"/>
        <v>46086</v>
      </c>
      <c r="C239" s="35">
        <f t="shared" si="20"/>
        <v>46092</v>
      </c>
      <c r="D239" s="34">
        <v>3321</v>
      </c>
      <c r="E239" s="34">
        <v>337</v>
      </c>
      <c r="F239" s="34">
        <v>4</v>
      </c>
      <c r="G239" s="70">
        <v>1</v>
      </c>
      <c r="H239" s="70">
        <v>81588</v>
      </c>
      <c r="I239" s="34" t="s">
        <v>2690</v>
      </c>
      <c r="J239" s="70">
        <v>68784010</v>
      </c>
      <c r="K239" s="72" t="s">
        <v>7236</v>
      </c>
      <c r="L239" s="87" t="s">
        <v>7308</v>
      </c>
      <c r="M239" s="88">
        <v>99900</v>
      </c>
      <c r="N239" s="34" t="s">
        <v>2569</v>
      </c>
      <c r="O239" s="36" t="e">
        <f t="shared" si="18"/>
        <v>#REF!</v>
      </c>
      <c r="P239" s="34" t="s">
        <v>2569</v>
      </c>
    </row>
    <row r="240" spans="1:16" x14ac:dyDescent="0.35">
      <c r="A240" s="34" t="str">
        <f t="shared" si="20"/>
        <v>2026 NOV-FEB B3 DISC 10%</v>
      </c>
      <c r="B240" s="35">
        <f t="shared" si="20"/>
        <v>46086</v>
      </c>
      <c r="C240" s="35">
        <f t="shared" si="20"/>
        <v>46092</v>
      </c>
      <c r="D240" s="34">
        <v>3321</v>
      </c>
      <c r="E240" s="34">
        <v>337</v>
      </c>
      <c r="F240" s="34">
        <v>4</v>
      </c>
      <c r="G240" s="70">
        <v>1</v>
      </c>
      <c r="H240" s="70">
        <v>81588</v>
      </c>
      <c r="I240" s="34" t="s">
        <v>2690</v>
      </c>
      <c r="J240" s="70">
        <v>68784029</v>
      </c>
      <c r="K240" s="72" t="s">
        <v>7236</v>
      </c>
      <c r="L240" s="87" t="s">
        <v>7309</v>
      </c>
      <c r="M240" s="88">
        <v>99900</v>
      </c>
      <c r="N240" s="34" t="s">
        <v>2569</v>
      </c>
      <c r="O240" s="36" t="e">
        <f t="shared" si="18"/>
        <v>#REF!</v>
      </c>
      <c r="P240" s="34" t="s">
        <v>2569</v>
      </c>
    </row>
    <row r="241" spans="1:16" x14ac:dyDescent="0.35">
      <c r="A241" s="34" t="str">
        <f t="shared" si="20"/>
        <v>2026 NOV-FEB B3 DISC 10%</v>
      </c>
      <c r="B241" s="35">
        <f t="shared" si="20"/>
        <v>46086</v>
      </c>
      <c r="C241" s="35">
        <f t="shared" si="20"/>
        <v>46092</v>
      </c>
      <c r="D241" s="34">
        <v>3321</v>
      </c>
      <c r="E241" s="34">
        <v>337</v>
      </c>
      <c r="F241" s="34">
        <v>4</v>
      </c>
      <c r="G241" s="70">
        <v>1</v>
      </c>
      <c r="H241" s="70">
        <v>81588</v>
      </c>
      <c r="I241" s="34" t="s">
        <v>2690</v>
      </c>
      <c r="J241" s="70">
        <v>68784038</v>
      </c>
      <c r="K241" s="72" t="s">
        <v>7236</v>
      </c>
      <c r="L241" s="87" t="s">
        <v>7310</v>
      </c>
      <c r="M241" s="88">
        <v>99900</v>
      </c>
      <c r="N241" s="34" t="s">
        <v>2569</v>
      </c>
      <c r="O241" s="36" t="e">
        <f t="shared" si="18"/>
        <v>#REF!</v>
      </c>
      <c r="P241" s="34" t="s">
        <v>2569</v>
      </c>
    </row>
    <row r="242" spans="1:16" x14ac:dyDescent="0.35">
      <c r="A242" s="34" t="str">
        <f t="shared" si="20"/>
        <v>2026 NOV-FEB B3 DISC 10%</v>
      </c>
      <c r="B242" s="35">
        <f t="shared" si="20"/>
        <v>46086</v>
      </c>
      <c r="C242" s="35">
        <f t="shared" si="20"/>
        <v>46092</v>
      </c>
      <c r="D242" s="34">
        <v>3321</v>
      </c>
      <c r="E242" s="34">
        <v>337</v>
      </c>
      <c r="F242" s="34">
        <v>4</v>
      </c>
      <c r="G242" s="70">
        <v>1</v>
      </c>
      <c r="H242" s="70">
        <v>81588</v>
      </c>
      <c r="I242" s="34" t="s">
        <v>2690</v>
      </c>
      <c r="J242" s="70">
        <v>68784047</v>
      </c>
      <c r="K242" s="72" t="s">
        <v>7236</v>
      </c>
      <c r="L242" s="87" t="s">
        <v>7311</v>
      </c>
      <c r="M242" s="88">
        <v>99900</v>
      </c>
      <c r="N242" s="34" t="s">
        <v>2569</v>
      </c>
      <c r="O242" s="36" t="e">
        <f t="shared" si="18"/>
        <v>#REF!</v>
      </c>
      <c r="P242" s="34" t="s">
        <v>2569</v>
      </c>
    </row>
  </sheetData>
  <autoFilter ref="A1:P1" xr:uid="{A98DA6A5-931F-4C4C-A73C-7E8B7CE9A86D}"/>
  <conditionalFormatting sqref="J1">
    <cfRule type="duplicateValues" dxfId="58" priority="2"/>
    <cfRule type="duplicateValues" dxfId="57" priority="3"/>
    <cfRule type="duplicateValues" dxfId="56" priority="4"/>
  </conditionalFormatting>
  <conditionalFormatting sqref="J1:J1048576">
    <cfRule type="duplicateValues" dxfId="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DD73-B2B3-44A9-B73F-865129960E02}">
  <dimension ref="A1:P19"/>
  <sheetViews>
    <sheetView zoomScale="63" workbookViewId="0">
      <selection activeCell="C10" sqref="C10"/>
    </sheetView>
  </sheetViews>
  <sheetFormatPr defaultRowHeight="14.5" x14ac:dyDescent="0.35"/>
  <cols>
    <col min="1" max="1" width="24.54296875" style="66" customWidth="1"/>
    <col min="2" max="3" width="16.453125" customWidth="1"/>
    <col min="4" max="4" width="12.08984375" style="66" customWidth="1"/>
    <col min="5" max="5" width="12.7265625" customWidth="1"/>
    <col min="6" max="6" width="12" customWidth="1"/>
    <col min="7" max="7" width="11.08984375" customWidth="1"/>
    <col min="8" max="8" width="11.6328125" style="66" customWidth="1"/>
    <col min="9" max="9" width="11.81640625" customWidth="1"/>
    <col min="10" max="10" width="10.1796875" customWidth="1"/>
    <col min="11" max="11" width="11.36328125" customWidth="1"/>
    <col min="12" max="12" width="40" customWidth="1"/>
    <col min="13" max="13" width="16.453125" customWidth="1"/>
    <col min="14" max="14" width="13.26953125" style="66" customWidth="1"/>
    <col min="15" max="16" width="16.453125" style="83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x14ac:dyDescent="0.35">
      <c r="A2" s="25" t="s">
        <v>6745</v>
      </c>
      <c r="B2" s="35">
        <f>'2025 HILITE D80 - 3321'!B3</f>
        <v>46086</v>
      </c>
      <c r="C2" s="35">
        <f>'2025 HILITE D80 - 3321'!C3</f>
        <v>46092</v>
      </c>
      <c r="D2" s="25">
        <v>3321</v>
      </c>
      <c r="E2" s="34">
        <v>337</v>
      </c>
      <c r="F2" s="34">
        <v>4</v>
      </c>
      <c r="G2" s="25">
        <v>1</v>
      </c>
      <c r="H2" s="25">
        <v>81588</v>
      </c>
      <c r="I2" s="34" t="s">
        <v>2690</v>
      </c>
      <c r="J2" s="25">
        <v>61094466</v>
      </c>
      <c r="K2" s="24" t="s">
        <v>6350</v>
      </c>
      <c r="L2" s="24" t="s">
        <v>6355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 SHARP PRICE</v>
      </c>
      <c r="B3" s="35">
        <f t="shared" ref="B3:C3" si="0">B2</f>
        <v>46086</v>
      </c>
      <c r="C3" s="35">
        <f t="shared" si="0"/>
        <v>46092</v>
      </c>
      <c r="D3" s="25">
        <v>3321</v>
      </c>
      <c r="E3" s="34">
        <v>337</v>
      </c>
      <c r="F3" s="34">
        <v>4</v>
      </c>
      <c r="G3" s="25">
        <v>1</v>
      </c>
      <c r="H3" s="25">
        <v>81588</v>
      </c>
      <c r="I3" s="34" t="s">
        <v>2690</v>
      </c>
      <c r="J3" s="25">
        <v>61094475</v>
      </c>
      <c r="K3" s="24" t="s">
        <v>6350</v>
      </c>
      <c r="L3" s="24" t="s">
        <v>6356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19" si="1">A3</f>
        <v>2025 OCT  SHARP PRICE</v>
      </c>
      <c r="B4" s="35">
        <f t="shared" ref="B4:C19" si="2">B3</f>
        <v>46086</v>
      </c>
      <c r="C4" s="35">
        <f t="shared" si="2"/>
        <v>46092</v>
      </c>
      <c r="D4" s="25">
        <v>3321</v>
      </c>
      <c r="E4" s="34">
        <v>337</v>
      </c>
      <c r="F4" s="34">
        <v>4</v>
      </c>
      <c r="G4" s="25">
        <v>1</v>
      </c>
      <c r="H4" s="25">
        <v>81588</v>
      </c>
      <c r="I4" s="34" t="s">
        <v>2690</v>
      </c>
      <c r="J4" s="25">
        <v>61094484</v>
      </c>
      <c r="K4" s="24" t="s">
        <v>6350</v>
      </c>
      <c r="L4" s="24" t="s">
        <v>6352</v>
      </c>
      <c r="M4" s="26">
        <v>99900</v>
      </c>
      <c r="N4" s="34">
        <v>0</v>
      </c>
      <c r="O4" s="36" t="str">
        <f t="shared" ref="O4:O19" si="3">O3</f>
        <v>SHARP PRICE</v>
      </c>
      <c r="P4" s="34" t="s">
        <v>6747</v>
      </c>
    </row>
    <row r="5" spans="1:16" x14ac:dyDescent="0.35">
      <c r="A5" s="25" t="str">
        <f t="shared" si="1"/>
        <v>2025 OCT  SHARP PRICE</v>
      </c>
      <c r="B5" s="35">
        <f t="shared" si="2"/>
        <v>46086</v>
      </c>
      <c r="C5" s="35">
        <f t="shared" si="2"/>
        <v>46092</v>
      </c>
      <c r="D5" s="25">
        <v>3321</v>
      </c>
      <c r="E5" s="34">
        <v>337</v>
      </c>
      <c r="F5" s="34">
        <v>4</v>
      </c>
      <c r="G5" s="25">
        <v>1</v>
      </c>
      <c r="H5" s="25">
        <v>81588</v>
      </c>
      <c r="I5" s="34" t="s">
        <v>2690</v>
      </c>
      <c r="J5" s="25">
        <v>61094493</v>
      </c>
      <c r="K5" s="24" t="s">
        <v>6350</v>
      </c>
      <c r="L5" s="24" t="s">
        <v>6353</v>
      </c>
      <c r="M5" s="26">
        <v>99900</v>
      </c>
      <c r="N5" s="34">
        <v>0</v>
      </c>
      <c r="O5" s="36" t="str">
        <f t="shared" si="3"/>
        <v>SHARP PRICE</v>
      </c>
      <c r="P5" s="34" t="s">
        <v>6747</v>
      </c>
    </row>
    <row r="6" spans="1:16" x14ac:dyDescent="0.35">
      <c r="A6" s="25" t="str">
        <f t="shared" si="1"/>
        <v>2025 OCT  SHARP PRICE</v>
      </c>
      <c r="B6" s="35">
        <f t="shared" si="2"/>
        <v>46086</v>
      </c>
      <c r="C6" s="35">
        <f t="shared" si="2"/>
        <v>46092</v>
      </c>
      <c r="D6" s="25">
        <v>3321</v>
      </c>
      <c r="E6" s="34">
        <v>337</v>
      </c>
      <c r="F6" s="34">
        <v>4</v>
      </c>
      <c r="G6" s="25">
        <v>1</v>
      </c>
      <c r="H6" s="25">
        <v>81588</v>
      </c>
      <c r="I6" s="34" t="s">
        <v>2690</v>
      </c>
      <c r="J6" s="25">
        <v>61094500</v>
      </c>
      <c r="K6" s="24" t="s">
        <v>6350</v>
      </c>
      <c r="L6" s="24" t="s">
        <v>6351</v>
      </c>
      <c r="M6" s="26">
        <v>99900</v>
      </c>
      <c r="N6" s="34">
        <v>0</v>
      </c>
      <c r="O6" s="36" t="str">
        <f t="shared" si="3"/>
        <v>SHARP PRICE</v>
      </c>
      <c r="P6" s="34" t="s">
        <v>6747</v>
      </c>
    </row>
    <row r="7" spans="1:16" x14ac:dyDescent="0.35">
      <c r="A7" s="25" t="str">
        <f t="shared" si="1"/>
        <v>2025 OCT  SHARP PRICE</v>
      </c>
      <c r="B7" s="35">
        <f t="shared" si="2"/>
        <v>46086</v>
      </c>
      <c r="C7" s="35">
        <f t="shared" si="2"/>
        <v>46092</v>
      </c>
      <c r="D7" s="25">
        <v>3321</v>
      </c>
      <c r="E7" s="34">
        <v>337</v>
      </c>
      <c r="F7" s="34">
        <v>4</v>
      </c>
      <c r="G7" s="25">
        <v>1</v>
      </c>
      <c r="H7" s="25">
        <v>81588</v>
      </c>
      <c r="I7" s="34" t="s">
        <v>2690</v>
      </c>
      <c r="J7" s="25">
        <v>61094519</v>
      </c>
      <c r="K7" s="24" t="s">
        <v>6350</v>
      </c>
      <c r="L7" s="24" t="s">
        <v>6354</v>
      </c>
      <c r="M7" s="26">
        <v>99900</v>
      </c>
      <c r="N7" s="34">
        <v>0</v>
      </c>
      <c r="O7" s="36" t="str">
        <f t="shared" si="3"/>
        <v>SHARP PRICE</v>
      </c>
      <c r="P7" s="34" t="s">
        <v>6747</v>
      </c>
    </row>
    <row r="8" spans="1:16" x14ac:dyDescent="0.35">
      <c r="A8" s="25" t="str">
        <f t="shared" si="1"/>
        <v>2025 OCT  SHARP PRICE</v>
      </c>
      <c r="B8" s="35">
        <f t="shared" si="2"/>
        <v>46086</v>
      </c>
      <c r="C8" s="35">
        <f t="shared" si="2"/>
        <v>46092</v>
      </c>
      <c r="D8" s="25">
        <v>3321</v>
      </c>
      <c r="E8" s="34">
        <v>337</v>
      </c>
      <c r="F8" s="34">
        <v>4</v>
      </c>
      <c r="G8" s="25">
        <v>1</v>
      </c>
      <c r="H8" s="25">
        <v>81588</v>
      </c>
      <c r="I8" s="34" t="s">
        <v>2690</v>
      </c>
      <c r="J8" s="25">
        <v>55507398</v>
      </c>
      <c r="K8" s="24" t="s">
        <v>6357</v>
      </c>
      <c r="L8" s="24" t="s">
        <v>6359</v>
      </c>
      <c r="M8" s="26">
        <v>99900</v>
      </c>
      <c r="N8" s="34">
        <v>0</v>
      </c>
      <c r="O8" s="36" t="str">
        <f t="shared" si="3"/>
        <v>SHARP PRICE</v>
      </c>
      <c r="P8" s="34" t="s">
        <v>6747</v>
      </c>
    </row>
    <row r="9" spans="1:16" x14ac:dyDescent="0.35">
      <c r="A9" s="25" t="str">
        <f t="shared" si="1"/>
        <v>2025 OCT  SHARP PRICE</v>
      </c>
      <c r="B9" s="35">
        <f t="shared" si="2"/>
        <v>46086</v>
      </c>
      <c r="C9" s="35">
        <f t="shared" si="2"/>
        <v>46092</v>
      </c>
      <c r="D9" s="25">
        <v>3321</v>
      </c>
      <c r="E9" s="34">
        <v>337</v>
      </c>
      <c r="F9" s="34">
        <v>4</v>
      </c>
      <c r="G9" s="25">
        <v>1</v>
      </c>
      <c r="H9" s="25">
        <v>81588</v>
      </c>
      <c r="I9" s="34" t="s">
        <v>2690</v>
      </c>
      <c r="J9" s="25">
        <v>55507405</v>
      </c>
      <c r="K9" s="24" t="s">
        <v>6357</v>
      </c>
      <c r="L9" s="24" t="s">
        <v>6358</v>
      </c>
      <c r="M9" s="26">
        <v>99900</v>
      </c>
      <c r="N9" s="34">
        <v>0</v>
      </c>
      <c r="O9" s="36" t="str">
        <f t="shared" si="3"/>
        <v>SHARP PRICE</v>
      </c>
      <c r="P9" s="34" t="s">
        <v>6747</v>
      </c>
    </row>
    <row r="10" spans="1:16" x14ac:dyDescent="0.35">
      <c r="A10" s="25" t="str">
        <f t="shared" si="1"/>
        <v>2025 OCT  SHARP PRICE</v>
      </c>
      <c r="B10" s="35">
        <f t="shared" si="2"/>
        <v>46086</v>
      </c>
      <c r="C10" s="35">
        <f t="shared" si="2"/>
        <v>46092</v>
      </c>
      <c r="D10" s="25">
        <v>3321</v>
      </c>
      <c r="E10" s="34">
        <v>337</v>
      </c>
      <c r="F10" s="34">
        <v>4</v>
      </c>
      <c r="G10" s="25">
        <v>1</v>
      </c>
      <c r="H10" s="25">
        <v>81588</v>
      </c>
      <c r="I10" s="34" t="s">
        <v>2690</v>
      </c>
      <c r="J10" s="25">
        <v>55507414</v>
      </c>
      <c r="K10" s="24" t="s">
        <v>6357</v>
      </c>
      <c r="L10" s="24" t="s">
        <v>6360</v>
      </c>
      <c r="M10" s="26">
        <v>99900</v>
      </c>
      <c r="N10" s="34">
        <v>0</v>
      </c>
      <c r="O10" s="36" t="str">
        <f t="shared" si="3"/>
        <v>SHARP PRICE</v>
      </c>
      <c r="P10" s="34" t="s">
        <v>6747</v>
      </c>
    </row>
    <row r="11" spans="1:16" x14ac:dyDescent="0.35">
      <c r="A11" s="25" t="str">
        <f t="shared" si="1"/>
        <v>2025 OCT  SHARP PRICE</v>
      </c>
      <c r="B11" s="35">
        <f t="shared" si="2"/>
        <v>46086</v>
      </c>
      <c r="C11" s="35">
        <f t="shared" si="2"/>
        <v>46092</v>
      </c>
      <c r="D11" s="25">
        <v>3321</v>
      </c>
      <c r="E11" s="34">
        <v>337</v>
      </c>
      <c r="F11" s="34">
        <v>4</v>
      </c>
      <c r="G11" s="25">
        <v>1</v>
      </c>
      <c r="H11" s="25">
        <v>81588</v>
      </c>
      <c r="I11" s="34" t="s">
        <v>2690</v>
      </c>
      <c r="J11" s="25">
        <v>55507423</v>
      </c>
      <c r="K11" s="24" t="s">
        <v>6357</v>
      </c>
      <c r="L11" s="24" t="s">
        <v>6362</v>
      </c>
      <c r="M11" s="26">
        <v>99900</v>
      </c>
      <c r="N11" s="34">
        <v>0</v>
      </c>
      <c r="O11" s="36" t="str">
        <f t="shared" si="3"/>
        <v>SHARP PRICE</v>
      </c>
      <c r="P11" s="34" t="s">
        <v>6747</v>
      </c>
    </row>
    <row r="12" spans="1:16" x14ac:dyDescent="0.35">
      <c r="A12" s="25" t="str">
        <f t="shared" si="1"/>
        <v>2025 OCT  SHARP PRICE</v>
      </c>
      <c r="B12" s="35">
        <f t="shared" si="2"/>
        <v>46086</v>
      </c>
      <c r="C12" s="35">
        <f t="shared" si="2"/>
        <v>46092</v>
      </c>
      <c r="D12" s="25">
        <v>3321</v>
      </c>
      <c r="E12" s="34">
        <v>337</v>
      </c>
      <c r="F12" s="34">
        <v>4</v>
      </c>
      <c r="G12" s="25">
        <v>1</v>
      </c>
      <c r="H12" s="25">
        <v>81588</v>
      </c>
      <c r="I12" s="34" t="s">
        <v>2690</v>
      </c>
      <c r="J12" s="25">
        <v>55507432</v>
      </c>
      <c r="K12" s="24" t="s">
        <v>6357</v>
      </c>
      <c r="L12" s="24" t="s">
        <v>6361</v>
      </c>
      <c r="M12" s="26">
        <v>99900</v>
      </c>
      <c r="N12" s="34">
        <v>0</v>
      </c>
      <c r="O12" s="36" t="str">
        <f t="shared" si="3"/>
        <v>SHARP PRICE</v>
      </c>
      <c r="P12" s="34" t="s">
        <v>6747</v>
      </c>
    </row>
    <row r="13" spans="1:16" x14ac:dyDescent="0.35">
      <c r="A13" s="25" t="str">
        <f t="shared" si="1"/>
        <v>2025 OCT  SHARP PRICE</v>
      </c>
      <c r="B13" s="35">
        <f t="shared" si="2"/>
        <v>46086</v>
      </c>
      <c r="C13" s="35">
        <f t="shared" si="2"/>
        <v>46092</v>
      </c>
      <c r="D13" s="25">
        <v>3321</v>
      </c>
      <c r="E13" s="34">
        <v>337</v>
      </c>
      <c r="F13" s="34">
        <v>4</v>
      </c>
      <c r="G13" s="25">
        <v>1</v>
      </c>
      <c r="H13" s="25">
        <v>81588</v>
      </c>
      <c r="I13" s="34" t="s">
        <v>2690</v>
      </c>
      <c r="J13" s="25">
        <v>55507441</v>
      </c>
      <c r="K13" s="24" t="s">
        <v>6357</v>
      </c>
      <c r="L13" s="24" t="s">
        <v>6363</v>
      </c>
      <c r="M13" s="26">
        <v>99900</v>
      </c>
      <c r="N13" s="34">
        <v>0</v>
      </c>
      <c r="O13" s="36" t="str">
        <f t="shared" si="3"/>
        <v>SHARP PRICE</v>
      </c>
      <c r="P13" s="34" t="s">
        <v>6747</v>
      </c>
    </row>
    <row r="14" spans="1:16" x14ac:dyDescent="0.35">
      <c r="A14" s="25" t="str">
        <f t="shared" si="1"/>
        <v>2025 OCT  SHARP PRICE</v>
      </c>
      <c r="B14" s="35">
        <f t="shared" si="2"/>
        <v>46086</v>
      </c>
      <c r="C14" s="35">
        <f t="shared" si="2"/>
        <v>46092</v>
      </c>
      <c r="D14" s="25">
        <v>3321</v>
      </c>
      <c r="E14" s="34">
        <v>337</v>
      </c>
      <c r="F14" s="34">
        <v>4</v>
      </c>
      <c r="G14" s="25">
        <v>1</v>
      </c>
      <c r="H14" s="25">
        <v>81588</v>
      </c>
      <c r="I14" s="34" t="s">
        <v>2690</v>
      </c>
      <c r="J14" s="25">
        <v>61094402</v>
      </c>
      <c r="K14" s="24" t="s">
        <v>6364</v>
      </c>
      <c r="L14" s="24" t="s">
        <v>6367</v>
      </c>
      <c r="M14" s="26">
        <v>99900</v>
      </c>
      <c r="N14" s="34">
        <v>0</v>
      </c>
      <c r="O14" s="36" t="str">
        <f t="shared" si="3"/>
        <v>SHARP PRICE</v>
      </c>
      <c r="P14" s="34" t="s">
        <v>6747</v>
      </c>
    </row>
    <row r="15" spans="1:16" x14ac:dyDescent="0.35">
      <c r="A15" s="25" t="str">
        <f t="shared" si="1"/>
        <v>2025 OCT  SHARP PRICE</v>
      </c>
      <c r="B15" s="35">
        <f t="shared" si="2"/>
        <v>46086</v>
      </c>
      <c r="C15" s="35">
        <f t="shared" si="2"/>
        <v>46092</v>
      </c>
      <c r="D15" s="25">
        <v>3321</v>
      </c>
      <c r="E15" s="34">
        <v>337</v>
      </c>
      <c r="F15" s="34">
        <v>4</v>
      </c>
      <c r="G15" s="25">
        <v>1</v>
      </c>
      <c r="H15" s="25">
        <v>81588</v>
      </c>
      <c r="I15" s="34" t="s">
        <v>2690</v>
      </c>
      <c r="J15" s="25">
        <v>61094411</v>
      </c>
      <c r="K15" s="24" t="s">
        <v>6364</v>
      </c>
      <c r="L15" s="24" t="s">
        <v>6370</v>
      </c>
      <c r="M15" s="26">
        <v>99900</v>
      </c>
      <c r="N15" s="34">
        <v>0</v>
      </c>
      <c r="O15" s="36" t="str">
        <f t="shared" si="3"/>
        <v>SHARP PRICE</v>
      </c>
      <c r="P15" s="34" t="s">
        <v>6747</v>
      </c>
    </row>
    <row r="16" spans="1:16" x14ac:dyDescent="0.35">
      <c r="A16" s="25" t="str">
        <f t="shared" si="1"/>
        <v>2025 OCT  SHARP PRICE</v>
      </c>
      <c r="B16" s="35">
        <f t="shared" si="2"/>
        <v>46086</v>
      </c>
      <c r="C16" s="35">
        <f t="shared" si="2"/>
        <v>46092</v>
      </c>
      <c r="D16" s="25">
        <v>3321</v>
      </c>
      <c r="E16" s="34">
        <v>337</v>
      </c>
      <c r="F16" s="34">
        <v>4</v>
      </c>
      <c r="G16" s="25">
        <v>1</v>
      </c>
      <c r="H16" s="25">
        <v>81588</v>
      </c>
      <c r="I16" s="34" t="s">
        <v>2690</v>
      </c>
      <c r="J16" s="25">
        <v>61094420</v>
      </c>
      <c r="K16" s="24" t="s">
        <v>6364</v>
      </c>
      <c r="L16" s="24" t="s">
        <v>6368</v>
      </c>
      <c r="M16" s="26">
        <v>99900</v>
      </c>
      <c r="N16" s="34">
        <v>0</v>
      </c>
      <c r="O16" s="36" t="str">
        <f t="shared" si="3"/>
        <v>SHARP PRICE</v>
      </c>
      <c r="P16" s="34" t="s">
        <v>6747</v>
      </c>
    </row>
    <row r="17" spans="1:16" x14ac:dyDescent="0.35">
      <c r="A17" s="25" t="str">
        <f t="shared" si="1"/>
        <v>2025 OCT  SHARP PRICE</v>
      </c>
      <c r="B17" s="35">
        <f t="shared" si="2"/>
        <v>46086</v>
      </c>
      <c r="C17" s="35">
        <f t="shared" si="2"/>
        <v>46092</v>
      </c>
      <c r="D17" s="25">
        <v>3321</v>
      </c>
      <c r="E17" s="34">
        <v>337</v>
      </c>
      <c r="F17" s="34">
        <v>4</v>
      </c>
      <c r="G17" s="25">
        <v>1</v>
      </c>
      <c r="H17" s="25">
        <v>81588</v>
      </c>
      <c r="I17" s="34" t="s">
        <v>2690</v>
      </c>
      <c r="J17" s="25">
        <v>61094439</v>
      </c>
      <c r="K17" s="24" t="s">
        <v>6364</v>
      </c>
      <c r="L17" s="24" t="s">
        <v>6366</v>
      </c>
      <c r="M17" s="26">
        <v>99900</v>
      </c>
      <c r="N17" s="34">
        <v>0</v>
      </c>
      <c r="O17" s="36" t="str">
        <f t="shared" si="3"/>
        <v>SHARP PRICE</v>
      </c>
      <c r="P17" s="34" t="s">
        <v>6747</v>
      </c>
    </row>
    <row r="18" spans="1:16" x14ac:dyDescent="0.35">
      <c r="A18" s="25" t="str">
        <f t="shared" si="1"/>
        <v>2025 OCT  SHARP PRICE</v>
      </c>
      <c r="B18" s="35">
        <f t="shared" si="2"/>
        <v>46086</v>
      </c>
      <c r="C18" s="35">
        <f t="shared" si="2"/>
        <v>46092</v>
      </c>
      <c r="D18" s="25">
        <v>3321</v>
      </c>
      <c r="E18" s="34">
        <v>337</v>
      </c>
      <c r="F18" s="34">
        <v>4</v>
      </c>
      <c r="G18" s="25">
        <v>1</v>
      </c>
      <c r="H18" s="25">
        <v>81588</v>
      </c>
      <c r="I18" s="34" t="s">
        <v>2690</v>
      </c>
      <c r="J18" s="25">
        <v>61094448</v>
      </c>
      <c r="K18" s="24" t="s">
        <v>6364</v>
      </c>
      <c r="L18" s="24" t="s">
        <v>6365</v>
      </c>
      <c r="M18" s="26">
        <v>99900</v>
      </c>
      <c r="N18" s="34">
        <v>0</v>
      </c>
      <c r="O18" s="36" t="str">
        <f t="shared" si="3"/>
        <v>SHARP PRICE</v>
      </c>
      <c r="P18" s="34" t="s">
        <v>6747</v>
      </c>
    </row>
    <row r="19" spans="1:16" x14ac:dyDescent="0.35">
      <c r="A19" s="25" t="str">
        <f t="shared" si="1"/>
        <v>2025 OCT  SHARP PRICE</v>
      </c>
      <c r="B19" s="35">
        <f t="shared" si="2"/>
        <v>46086</v>
      </c>
      <c r="C19" s="35">
        <f t="shared" si="2"/>
        <v>46092</v>
      </c>
      <c r="D19" s="25">
        <v>3321</v>
      </c>
      <c r="E19" s="34">
        <v>337</v>
      </c>
      <c r="F19" s="34">
        <v>4</v>
      </c>
      <c r="G19" s="25">
        <v>1</v>
      </c>
      <c r="H19" s="25">
        <v>81588</v>
      </c>
      <c r="I19" s="34" t="s">
        <v>2690</v>
      </c>
      <c r="J19" s="25">
        <v>61094457</v>
      </c>
      <c r="K19" s="24" t="s">
        <v>6364</v>
      </c>
      <c r="L19" s="24" t="s">
        <v>6369</v>
      </c>
      <c r="M19" s="26">
        <v>99900</v>
      </c>
      <c r="N19" s="34">
        <v>0</v>
      </c>
      <c r="O19" s="36" t="str">
        <f t="shared" si="3"/>
        <v>SHARP PRICE</v>
      </c>
      <c r="P19" s="34" t="s">
        <v>6747</v>
      </c>
    </row>
  </sheetData>
  <phoneticPr fontId="8" type="noConversion"/>
  <conditionalFormatting sqref="J1">
    <cfRule type="duplicateValues" dxfId="54" priority="2"/>
    <cfRule type="duplicateValues" dxfId="53" priority="3"/>
    <cfRule type="duplicateValues" dxfId="52" priority="4"/>
    <cfRule type="duplicateValues" dxfId="51" priority="5"/>
  </conditionalFormatting>
  <conditionalFormatting sqref="J1:J1048576">
    <cfRule type="duplicateValues" dxfId="5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71"/>
  <sheetViews>
    <sheetView zoomScale="75" zoomScaleNormal="71" workbookViewId="0">
      <pane ySplit="1" topLeftCell="A2" activePane="bottomLeft" state="frozen"/>
      <selection activeCell="C13" sqref="C13"/>
      <selection pane="bottomLeft" activeCell="O65" sqref="O65"/>
    </sheetView>
  </sheetViews>
  <sheetFormatPr defaultColWidth="8.81640625" defaultRowHeight="14.5" x14ac:dyDescent="0.35"/>
  <cols>
    <col min="1" max="1" width="25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42">
        <f>'2025 AUG B1G1-3321'!B87</f>
        <v>46086</v>
      </c>
      <c r="C2" s="42">
        <f>'2025 AUG B1G1-3321'!C87</f>
        <v>46092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55301065</v>
      </c>
      <c r="K2" s="24" t="s">
        <v>6558</v>
      </c>
      <c r="L2" s="24" t="s">
        <v>6561</v>
      </c>
      <c r="M2" s="44">
        <v>99900</v>
      </c>
      <c r="N2" s="22">
        <v>0.3</v>
      </c>
      <c r="O2" s="34">
        <f>M2-((30*M2)/100)</f>
        <v>69930</v>
      </c>
      <c r="P2" s="22" t="s">
        <v>16</v>
      </c>
    </row>
    <row r="3" spans="1:16" x14ac:dyDescent="0.35">
      <c r="A3" s="34" t="str">
        <f>A2</f>
        <v>2025 SEPT B1 30%</v>
      </c>
      <c r="B3" s="42">
        <f t="shared" ref="B3:C3" si="0">B2</f>
        <v>46086</v>
      </c>
      <c r="C3" s="42">
        <f t="shared" si="0"/>
        <v>46092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55301074</v>
      </c>
      <c r="K3" s="24" t="s">
        <v>6558</v>
      </c>
      <c r="L3" s="24" t="s">
        <v>6564</v>
      </c>
      <c r="M3" s="44">
        <v>99900</v>
      </c>
      <c r="N3" s="22">
        <f>N2</f>
        <v>0.3</v>
      </c>
      <c r="O3" s="34">
        <f t="shared" ref="O3:O66" si="1">M3-((30*M3)/100)</f>
        <v>69930</v>
      </c>
      <c r="P3" s="22" t="str">
        <f>P2</f>
        <v>PERCENTAGE</v>
      </c>
    </row>
    <row r="4" spans="1:16" x14ac:dyDescent="0.35">
      <c r="A4" s="34" t="str">
        <f t="shared" ref="A4:A67" si="2">A3</f>
        <v>2025 SEPT B1 30%</v>
      </c>
      <c r="B4" s="42">
        <f t="shared" ref="B4:C4" si="3">B3</f>
        <v>46086</v>
      </c>
      <c r="C4" s="42">
        <f t="shared" si="3"/>
        <v>46092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55301083</v>
      </c>
      <c r="K4" s="24" t="s">
        <v>6558</v>
      </c>
      <c r="L4" s="24" t="s">
        <v>6562</v>
      </c>
      <c r="M4" s="44">
        <v>99900</v>
      </c>
      <c r="N4" s="22">
        <f t="shared" ref="N4:N67" si="4">N3</f>
        <v>0.3</v>
      </c>
      <c r="O4" s="34">
        <f t="shared" si="1"/>
        <v>69930</v>
      </c>
      <c r="P4" s="22" t="str">
        <f t="shared" ref="P4:P67" si="5">P3</f>
        <v>PERCENTAGE</v>
      </c>
    </row>
    <row r="5" spans="1:16" x14ac:dyDescent="0.35">
      <c r="A5" s="34" t="str">
        <f t="shared" si="2"/>
        <v>2025 SEPT B1 30%</v>
      </c>
      <c r="B5" s="42">
        <f t="shared" ref="B5:C5" si="6">B4</f>
        <v>46086</v>
      </c>
      <c r="C5" s="42">
        <f t="shared" si="6"/>
        <v>46092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55301092</v>
      </c>
      <c r="K5" s="24" t="s">
        <v>6558</v>
      </c>
      <c r="L5" s="24" t="s">
        <v>6563</v>
      </c>
      <c r="M5" s="44">
        <v>99900</v>
      </c>
      <c r="N5" s="22">
        <f t="shared" si="4"/>
        <v>0.3</v>
      </c>
      <c r="O5" s="34">
        <f t="shared" si="1"/>
        <v>69930</v>
      </c>
      <c r="P5" s="22" t="str">
        <f t="shared" si="5"/>
        <v>PERCENTAGE</v>
      </c>
    </row>
    <row r="6" spans="1:16" x14ac:dyDescent="0.35">
      <c r="A6" s="34" t="str">
        <f t="shared" si="2"/>
        <v>2025 SEPT B1 30%</v>
      </c>
      <c r="B6" s="42">
        <f t="shared" ref="B6:C6" si="7">B5</f>
        <v>46086</v>
      </c>
      <c r="C6" s="42">
        <f t="shared" si="7"/>
        <v>46092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55301163</v>
      </c>
      <c r="K6" s="24" t="s">
        <v>6304</v>
      </c>
      <c r="L6" s="24" t="s">
        <v>6306</v>
      </c>
      <c r="M6" s="44">
        <v>99900</v>
      </c>
      <c r="N6" s="22">
        <f t="shared" si="4"/>
        <v>0.3</v>
      </c>
      <c r="O6" s="34">
        <f t="shared" si="1"/>
        <v>69930</v>
      </c>
      <c r="P6" s="22" t="str">
        <f t="shared" si="5"/>
        <v>PERCENTAGE</v>
      </c>
    </row>
    <row r="7" spans="1:16" x14ac:dyDescent="0.35">
      <c r="A7" s="34" t="str">
        <f t="shared" si="2"/>
        <v>2025 SEPT B1 30%</v>
      </c>
      <c r="B7" s="42">
        <f t="shared" ref="B7:C7" si="8">B6</f>
        <v>46086</v>
      </c>
      <c r="C7" s="42">
        <f t="shared" si="8"/>
        <v>46092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55301172</v>
      </c>
      <c r="K7" s="24" t="s">
        <v>6304</v>
      </c>
      <c r="L7" s="24" t="s">
        <v>6308</v>
      </c>
      <c r="M7" s="44">
        <v>99900</v>
      </c>
      <c r="N7" s="22">
        <f t="shared" si="4"/>
        <v>0.3</v>
      </c>
      <c r="O7" s="34">
        <f t="shared" si="1"/>
        <v>69930</v>
      </c>
      <c r="P7" s="22" t="str">
        <f t="shared" si="5"/>
        <v>PERCENTAGE</v>
      </c>
    </row>
    <row r="8" spans="1:16" x14ac:dyDescent="0.35">
      <c r="A8" s="34" t="str">
        <f t="shared" si="2"/>
        <v>2025 SEPT B1 30%</v>
      </c>
      <c r="B8" s="42">
        <f t="shared" ref="B8:C8" si="9">B7</f>
        <v>46086</v>
      </c>
      <c r="C8" s="42">
        <f t="shared" si="9"/>
        <v>46092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55301181</v>
      </c>
      <c r="K8" s="24" t="s">
        <v>6304</v>
      </c>
      <c r="L8" s="24" t="s">
        <v>6309</v>
      </c>
      <c r="M8" s="44">
        <v>99900</v>
      </c>
      <c r="N8" s="22">
        <f t="shared" si="4"/>
        <v>0.3</v>
      </c>
      <c r="O8" s="34">
        <f t="shared" si="1"/>
        <v>69930</v>
      </c>
      <c r="P8" s="22" t="str">
        <f t="shared" si="5"/>
        <v>PERCENTAGE</v>
      </c>
    </row>
    <row r="9" spans="1:16" x14ac:dyDescent="0.35">
      <c r="A9" s="34" t="str">
        <f t="shared" si="2"/>
        <v>2025 SEPT B1 30%</v>
      </c>
      <c r="B9" s="42">
        <f t="shared" ref="B9:C9" si="10">B8</f>
        <v>46086</v>
      </c>
      <c r="C9" s="42">
        <f t="shared" si="10"/>
        <v>46092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55301190</v>
      </c>
      <c r="K9" s="24" t="s">
        <v>6304</v>
      </c>
      <c r="L9" s="24" t="s">
        <v>6310</v>
      </c>
      <c r="M9" s="44">
        <v>99900</v>
      </c>
      <c r="N9" s="22">
        <f t="shared" si="4"/>
        <v>0.3</v>
      </c>
      <c r="O9" s="34">
        <f t="shared" si="1"/>
        <v>69930</v>
      </c>
      <c r="P9" s="22" t="str">
        <f t="shared" si="5"/>
        <v>PERCENTAGE</v>
      </c>
    </row>
    <row r="10" spans="1:16" x14ac:dyDescent="0.35">
      <c r="A10" s="34" t="str">
        <f t="shared" si="2"/>
        <v>2025 SEPT B1 30%</v>
      </c>
      <c r="B10" s="42">
        <f t="shared" ref="B10:C10" si="11">B9</f>
        <v>46086</v>
      </c>
      <c r="C10" s="42">
        <f t="shared" si="11"/>
        <v>46092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55301207</v>
      </c>
      <c r="K10" s="24" t="s">
        <v>6304</v>
      </c>
      <c r="L10" s="24" t="s">
        <v>6307</v>
      </c>
      <c r="M10" s="44">
        <v>99900</v>
      </c>
      <c r="N10" s="22">
        <f t="shared" si="4"/>
        <v>0.3</v>
      </c>
      <c r="O10" s="34">
        <f t="shared" si="1"/>
        <v>69930</v>
      </c>
      <c r="P10" s="22" t="str">
        <f t="shared" si="5"/>
        <v>PERCENTAGE</v>
      </c>
    </row>
    <row r="11" spans="1:16" x14ac:dyDescent="0.35">
      <c r="A11" s="34" t="str">
        <f t="shared" si="2"/>
        <v>2025 SEPT B1 30%</v>
      </c>
      <c r="B11" s="42">
        <f t="shared" ref="B11:C11" si="12">B10</f>
        <v>46086</v>
      </c>
      <c r="C11" s="42">
        <f t="shared" si="12"/>
        <v>46092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55301216</v>
      </c>
      <c r="K11" s="24" t="s">
        <v>6304</v>
      </c>
      <c r="L11" s="24" t="s">
        <v>6305</v>
      </c>
      <c r="M11" s="44">
        <v>99900</v>
      </c>
      <c r="N11" s="22">
        <f t="shared" si="4"/>
        <v>0.3</v>
      </c>
      <c r="O11" s="34">
        <f t="shared" si="1"/>
        <v>69930</v>
      </c>
      <c r="P11" s="22" t="str">
        <f t="shared" si="5"/>
        <v>PERCENTAGE</v>
      </c>
    </row>
    <row r="12" spans="1:16" x14ac:dyDescent="0.35">
      <c r="A12" s="34" t="str">
        <f t="shared" si="2"/>
        <v>2025 SEPT B1 30%</v>
      </c>
      <c r="B12" s="42">
        <f t="shared" ref="B12:C12" si="13">B11</f>
        <v>46086</v>
      </c>
      <c r="C12" s="42">
        <f t="shared" si="13"/>
        <v>46092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55301109</v>
      </c>
      <c r="K12" s="24" t="s">
        <v>6297</v>
      </c>
      <c r="L12" s="24" t="s">
        <v>6302</v>
      </c>
      <c r="M12" s="44">
        <v>99900</v>
      </c>
      <c r="N12" s="22">
        <f t="shared" si="4"/>
        <v>0.3</v>
      </c>
      <c r="O12" s="34">
        <f t="shared" si="1"/>
        <v>69930</v>
      </c>
      <c r="P12" s="22" t="str">
        <f t="shared" si="5"/>
        <v>PERCENTAGE</v>
      </c>
    </row>
    <row r="13" spans="1:16" x14ac:dyDescent="0.35">
      <c r="A13" s="34" t="str">
        <f t="shared" si="2"/>
        <v>2025 SEPT B1 30%</v>
      </c>
      <c r="B13" s="42">
        <f t="shared" ref="B13:C13" si="14">B12</f>
        <v>46086</v>
      </c>
      <c r="C13" s="42">
        <f t="shared" si="14"/>
        <v>46092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55301118</v>
      </c>
      <c r="K13" s="24" t="s">
        <v>6297</v>
      </c>
      <c r="L13" s="24" t="s">
        <v>6300</v>
      </c>
      <c r="M13" s="44">
        <v>99900</v>
      </c>
      <c r="N13" s="22">
        <f t="shared" si="4"/>
        <v>0.3</v>
      </c>
      <c r="O13" s="34">
        <f t="shared" si="1"/>
        <v>69930</v>
      </c>
      <c r="P13" s="22" t="str">
        <f t="shared" si="5"/>
        <v>PERCENTAGE</v>
      </c>
    </row>
    <row r="14" spans="1:16" x14ac:dyDescent="0.35">
      <c r="A14" s="34" t="str">
        <f t="shared" si="2"/>
        <v>2025 SEPT B1 30%</v>
      </c>
      <c r="B14" s="42">
        <f t="shared" ref="B14:C14" si="15">B13</f>
        <v>46086</v>
      </c>
      <c r="C14" s="42">
        <f t="shared" si="15"/>
        <v>46092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55301127</v>
      </c>
      <c r="K14" s="24" t="s">
        <v>6297</v>
      </c>
      <c r="L14" s="24" t="s">
        <v>6298</v>
      </c>
      <c r="M14" s="44">
        <v>99900</v>
      </c>
      <c r="N14" s="22">
        <f t="shared" si="4"/>
        <v>0.3</v>
      </c>
      <c r="O14" s="34">
        <f t="shared" si="1"/>
        <v>69930</v>
      </c>
      <c r="P14" s="22" t="str">
        <f t="shared" si="5"/>
        <v>PERCENTAGE</v>
      </c>
    </row>
    <row r="15" spans="1:16" x14ac:dyDescent="0.35">
      <c r="A15" s="34" t="str">
        <f t="shared" si="2"/>
        <v>2025 SEPT B1 30%</v>
      </c>
      <c r="B15" s="42">
        <f t="shared" ref="B15:C15" si="16">B14</f>
        <v>46086</v>
      </c>
      <c r="C15" s="42">
        <f t="shared" si="16"/>
        <v>46092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55301136</v>
      </c>
      <c r="K15" s="24" t="s">
        <v>6297</v>
      </c>
      <c r="L15" s="24" t="s">
        <v>6303</v>
      </c>
      <c r="M15" s="44">
        <v>99900</v>
      </c>
      <c r="N15" s="22">
        <f t="shared" si="4"/>
        <v>0.3</v>
      </c>
      <c r="O15" s="34">
        <f t="shared" si="1"/>
        <v>69930</v>
      </c>
      <c r="P15" s="22" t="str">
        <f t="shared" si="5"/>
        <v>PERCENTAGE</v>
      </c>
    </row>
    <row r="16" spans="1:16" x14ac:dyDescent="0.35">
      <c r="A16" s="34" t="str">
        <f t="shared" si="2"/>
        <v>2025 SEPT B1 30%</v>
      </c>
      <c r="B16" s="42">
        <f t="shared" ref="B16:C16" si="17">B15</f>
        <v>46086</v>
      </c>
      <c r="C16" s="42">
        <f t="shared" si="17"/>
        <v>46092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55301145</v>
      </c>
      <c r="K16" s="24" t="s">
        <v>6297</v>
      </c>
      <c r="L16" s="24" t="s">
        <v>6301</v>
      </c>
      <c r="M16" s="44">
        <v>99900</v>
      </c>
      <c r="N16" s="22">
        <f t="shared" si="4"/>
        <v>0.3</v>
      </c>
      <c r="O16" s="34">
        <f t="shared" si="1"/>
        <v>69930</v>
      </c>
      <c r="P16" s="22" t="str">
        <f t="shared" si="5"/>
        <v>PERCENTAGE</v>
      </c>
    </row>
    <row r="17" spans="1:16" x14ac:dyDescent="0.35">
      <c r="A17" s="34" t="str">
        <f t="shared" si="2"/>
        <v>2025 SEPT B1 30%</v>
      </c>
      <c r="B17" s="42">
        <f t="shared" ref="B17:C17" si="18">B16</f>
        <v>46086</v>
      </c>
      <c r="C17" s="42">
        <f t="shared" si="18"/>
        <v>46092</v>
      </c>
      <c r="D17" s="34">
        <v>3321</v>
      </c>
      <c r="E17" s="34">
        <v>337</v>
      </c>
      <c r="F17" s="34">
        <v>4</v>
      </c>
      <c r="G17" s="24">
        <v>3</v>
      </c>
      <c r="H17" s="24">
        <v>81588</v>
      </c>
      <c r="I17" s="34" t="s">
        <v>2690</v>
      </c>
      <c r="J17" s="24">
        <v>55301154</v>
      </c>
      <c r="K17" s="24" t="s">
        <v>6297</v>
      </c>
      <c r="L17" s="24" t="s">
        <v>6299</v>
      </c>
      <c r="M17" s="44">
        <v>99900</v>
      </c>
      <c r="N17" s="22">
        <f t="shared" si="4"/>
        <v>0.3</v>
      </c>
      <c r="O17" s="34">
        <f t="shared" si="1"/>
        <v>69930</v>
      </c>
      <c r="P17" s="22" t="str">
        <f t="shared" si="5"/>
        <v>PERCENTAGE</v>
      </c>
    </row>
    <row r="18" spans="1:16" x14ac:dyDescent="0.35">
      <c r="A18" s="34" t="str">
        <f t="shared" si="2"/>
        <v>2025 SEPT B1 30%</v>
      </c>
      <c r="B18" s="42">
        <f t="shared" ref="B18:C18" si="19">B17</f>
        <v>46086</v>
      </c>
      <c r="C18" s="42">
        <f t="shared" si="19"/>
        <v>46092</v>
      </c>
      <c r="D18" s="34">
        <v>3321</v>
      </c>
      <c r="E18" s="34">
        <v>337</v>
      </c>
      <c r="F18" s="34">
        <v>4</v>
      </c>
      <c r="G18" s="24">
        <v>3</v>
      </c>
      <c r="H18" s="24">
        <v>81588</v>
      </c>
      <c r="I18" s="34" t="s">
        <v>2690</v>
      </c>
      <c r="J18" s="24">
        <v>59168202</v>
      </c>
      <c r="K18" s="24" t="s">
        <v>6599</v>
      </c>
      <c r="L18" s="24" t="s">
        <v>6601</v>
      </c>
      <c r="M18" s="44">
        <v>199900</v>
      </c>
      <c r="N18" s="22">
        <f t="shared" si="4"/>
        <v>0.3</v>
      </c>
      <c r="O18" s="34">
        <f t="shared" si="1"/>
        <v>139930</v>
      </c>
      <c r="P18" s="22" t="str">
        <f t="shared" si="5"/>
        <v>PERCENTAGE</v>
      </c>
    </row>
    <row r="19" spans="1:16" x14ac:dyDescent="0.35">
      <c r="A19" s="34" t="str">
        <f t="shared" si="2"/>
        <v>2025 SEPT B1 30%</v>
      </c>
      <c r="B19" s="42">
        <f t="shared" ref="B19:C19" si="20">B18</f>
        <v>46086</v>
      </c>
      <c r="C19" s="42">
        <f t="shared" si="20"/>
        <v>46092</v>
      </c>
      <c r="D19" s="34">
        <v>3321</v>
      </c>
      <c r="E19" s="34">
        <v>337</v>
      </c>
      <c r="F19" s="34">
        <v>4</v>
      </c>
      <c r="G19" s="24">
        <v>3</v>
      </c>
      <c r="H19" s="24">
        <v>81588</v>
      </c>
      <c r="I19" s="34" t="s">
        <v>2690</v>
      </c>
      <c r="J19" s="24">
        <v>59168211</v>
      </c>
      <c r="K19" s="24" t="s">
        <v>6599</v>
      </c>
      <c r="L19" s="24" t="s">
        <v>6603</v>
      </c>
      <c r="M19" s="44">
        <v>199900</v>
      </c>
      <c r="N19" s="22">
        <f t="shared" si="4"/>
        <v>0.3</v>
      </c>
      <c r="O19" s="34">
        <f t="shared" si="1"/>
        <v>139930</v>
      </c>
      <c r="P19" s="22" t="str">
        <f t="shared" si="5"/>
        <v>PERCENTAGE</v>
      </c>
    </row>
    <row r="20" spans="1:16" x14ac:dyDescent="0.35">
      <c r="A20" s="34" t="str">
        <f t="shared" si="2"/>
        <v>2025 SEPT B1 30%</v>
      </c>
      <c r="B20" s="42">
        <f t="shared" ref="B20:C20" si="21">B19</f>
        <v>46086</v>
      </c>
      <c r="C20" s="42">
        <f t="shared" si="21"/>
        <v>46092</v>
      </c>
      <c r="D20" s="34">
        <v>3321</v>
      </c>
      <c r="E20" s="34">
        <v>337</v>
      </c>
      <c r="F20" s="34">
        <v>4</v>
      </c>
      <c r="G20" s="24">
        <v>3</v>
      </c>
      <c r="H20" s="24">
        <v>81588</v>
      </c>
      <c r="I20" s="34" t="s">
        <v>2690</v>
      </c>
      <c r="J20" s="24">
        <v>59168220</v>
      </c>
      <c r="K20" s="24" t="s">
        <v>6599</v>
      </c>
      <c r="L20" s="24" t="s">
        <v>6600</v>
      </c>
      <c r="M20" s="44">
        <v>199900</v>
      </c>
      <c r="N20" s="22">
        <f t="shared" si="4"/>
        <v>0.3</v>
      </c>
      <c r="O20" s="34">
        <f t="shared" si="1"/>
        <v>139930</v>
      </c>
      <c r="P20" s="22" t="str">
        <f t="shared" si="5"/>
        <v>PERCENTAGE</v>
      </c>
    </row>
    <row r="21" spans="1:16" x14ac:dyDescent="0.35">
      <c r="A21" s="34" t="str">
        <f t="shared" si="2"/>
        <v>2025 SEPT B1 30%</v>
      </c>
      <c r="B21" s="42">
        <f t="shared" ref="B21:C21" si="22">B20</f>
        <v>46086</v>
      </c>
      <c r="C21" s="42">
        <f t="shared" si="22"/>
        <v>46092</v>
      </c>
      <c r="D21" s="34">
        <v>3321</v>
      </c>
      <c r="E21" s="34">
        <v>337</v>
      </c>
      <c r="F21" s="34">
        <v>4</v>
      </c>
      <c r="G21" s="24">
        <v>4</v>
      </c>
      <c r="H21" s="24">
        <v>81588</v>
      </c>
      <c r="I21" s="34" t="s">
        <v>2690</v>
      </c>
      <c r="J21" s="24">
        <v>59168239</v>
      </c>
      <c r="K21" s="24" t="s">
        <v>6599</v>
      </c>
      <c r="L21" s="24" t="s">
        <v>6602</v>
      </c>
      <c r="M21" s="44">
        <v>199900</v>
      </c>
      <c r="N21" s="22">
        <f t="shared" si="4"/>
        <v>0.3</v>
      </c>
      <c r="O21" s="34">
        <f t="shared" si="1"/>
        <v>139930</v>
      </c>
      <c r="P21" s="22" t="str">
        <f t="shared" si="5"/>
        <v>PERCENTAGE</v>
      </c>
    </row>
    <row r="22" spans="1:16" x14ac:dyDescent="0.35">
      <c r="A22" s="34" t="str">
        <f t="shared" si="2"/>
        <v>2025 SEPT B1 30%</v>
      </c>
      <c r="B22" s="42">
        <f t="shared" ref="B22:C22" si="23">B21</f>
        <v>46086</v>
      </c>
      <c r="C22" s="42">
        <f t="shared" si="23"/>
        <v>46092</v>
      </c>
      <c r="D22" s="34">
        <v>3321</v>
      </c>
      <c r="E22" s="34">
        <v>337</v>
      </c>
      <c r="F22" s="34">
        <v>4</v>
      </c>
      <c r="G22" s="24">
        <v>4</v>
      </c>
      <c r="H22" s="24">
        <v>81588</v>
      </c>
      <c r="I22" s="34" t="s">
        <v>2690</v>
      </c>
      <c r="J22" s="24">
        <v>59168248</v>
      </c>
      <c r="K22" s="24" t="s">
        <v>6559</v>
      </c>
      <c r="L22" s="24" t="s">
        <v>6567</v>
      </c>
      <c r="M22" s="44">
        <v>99900</v>
      </c>
      <c r="N22" s="22">
        <f t="shared" si="4"/>
        <v>0.3</v>
      </c>
      <c r="O22" s="34">
        <f t="shared" si="1"/>
        <v>69930</v>
      </c>
      <c r="P22" s="22" t="str">
        <f t="shared" si="5"/>
        <v>PERCENTAGE</v>
      </c>
    </row>
    <row r="23" spans="1:16" x14ac:dyDescent="0.35">
      <c r="A23" s="34" t="str">
        <f t="shared" si="2"/>
        <v>2025 SEPT B1 30%</v>
      </c>
      <c r="B23" s="42">
        <f t="shared" ref="B23:C23" si="24">B22</f>
        <v>46086</v>
      </c>
      <c r="C23" s="42">
        <f t="shared" si="24"/>
        <v>46092</v>
      </c>
      <c r="D23" s="34">
        <v>3321</v>
      </c>
      <c r="E23" s="34">
        <v>337</v>
      </c>
      <c r="F23" s="34">
        <v>4</v>
      </c>
      <c r="G23" s="24">
        <v>4</v>
      </c>
      <c r="H23" s="24">
        <v>81588</v>
      </c>
      <c r="I23" s="34" t="s">
        <v>2690</v>
      </c>
      <c r="J23" s="24">
        <v>59168257</v>
      </c>
      <c r="K23" s="24" t="s">
        <v>6559</v>
      </c>
      <c r="L23" s="24" t="s">
        <v>6566</v>
      </c>
      <c r="M23" s="44">
        <v>99900</v>
      </c>
      <c r="N23" s="22">
        <f t="shared" si="4"/>
        <v>0.3</v>
      </c>
      <c r="O23" s="34">
        <f t="shared" si="1"/>
        <v>69930</v>
      </c>
      <c r="P23" s="22" t="str">
        <f t="shared" si="5"/>
        <v>PERCENTAGE</v>
      </c>
    </row>
    <row r="24" spans="1:16" x14ac:dyDescent="0.35">
      <c r="A24" s="34" t="str">
        <f t="shared" si="2"/>
        <v>2025 SEPT B1 30%</v>
      </c>
      <c r="B24" s="42">
        <f t="shared" ref="B24:C24" si="25">B23</f>
        <v>46086</v>
      </c>
      <c r="C24" s="42">
        <f t="shared" si="25"/>
        <v>46092</v>
      </c>
      <c r="D24" s="34">
        <v>3321</v>
      </c>
      <c r="E24" s="34">
        <v>337</v>
      </c>
      <c r="F24" s="34">
        <v>4</v>
      </c>
      <c r="G24" s="24">
        <v>4</v>
      </c>
      <c r="H24" s="24">
        <v>81588</v>
      </c>
      <c r="I24" s="34" t="s">
        <v>2690</v>
      </c>
      <c r="J24" s="24">
        <v>59168266</v>
      </c>
      <c r="K24" s="24" t="s">
        <v>6559</v>
      </c>
      <c r="L24" s="24" t="s">
        <v>6568</v>
      </c>
      <c r="M24" s="44">
        <v>99900</v>
      </c>
      <c r="N24" s="22">
        <f t="shared" si="4"/>
        <v>0.3</v>
      </c>
      <c r="O24" s="34">
        <f t="shared" si="1"/>
        <v>69930</v>
      </c>
      <c r="P24" s="22" t="str">
        <f t="shared" si="5"/>
        <v>PERCENTAGE</v>
      </c>
    </row>
    <row r="25" spans="1:16" x14ac:dyDescent="0.35">
      <c r="A25" s="34" t="str">
        <f t="shared" si="2"/>
        <v>2025 SEPT B1 30%</v>
      </c>
      <c r="B25" s="42">
        <f t="shared" ref="B25:C25" si="26">B24</f>
        <v>46086</v>
      </c>
      <c r="C25" s="42">
        <f t="shared" si="26"/>
        <v>46092</v>
      </c>
      <c r="D25" s="34">
        <v>3321</v>
      </c>
      <c r="E25" s="34">
        <v>337</v>
      </c>
      <c r="F25" s="34">
        <v>4</v>
      </c>
      <c r="G25" s="24">
        <v>3</v>
      </c>
      <c r="H25" s="24">
        <v>81588</v>
      </c>
      <c r="I25" s="34" t="s">
        <v>2690</v>
      </c>
      <c r="J25" s="24">
        <v>59168275</v>
      </c>
      <c r="K25" s="24" t="s">
        <v>6559</v>
      </c>
      <c r="L25" s="24" t="s">
        <v>6565</v>
      </c>
      <c r="M25" s="44">
        <v>99900</v>
      </c>
      <c r="N25" s="22">
        <f t="shared" si="4"/>
        <v>0.3</v>
      </c>
      <c r="O25" s="34">
        <f t="shared" si="1"/>
        <v>69930</v>
      </c>
      <c r="P25" s="22" t="str">
        <f t="shared" si="5"/>
        <v>PERCENTAGE</v>
      </c>
    </row>
    <row r="26" spans="1:16" x14ac:dyDescent="0.35">
      <c r="A26" s="34" t="str">
        <f t="shared" si="2"/>
        <v>2025 SEPT B1 30%</v>
      </c>
      <c r="B26" s="42">
        <f t="shared" ref="B26:C26" si="27">B25</f>
        <v>46086</v>
      </c>
      <c r="C26" s="42">
        <f t="shared" si="27"/>
        <v>46092</v>
      </c>
      <c r="D26" s="34">
        <v>3321</v>
      </c>
      <c r="E26" s="34">
        <v>337</v>
      </c>
      <c r="F26" s="34">
        <v>4</v>
      </c>
      <c r="G26" s="24">
        <v>3</v>
      </c>
      <c r="H26" s="24">
        <v>81588</v>
      </c>
      <c r="I26" s="34" t="s">
        <v>2690</v>
      </c>
      <c r="J26" s="24">
        <v>55507594</v>
      </c>
      <c r="K26" s="24" t="s">
        <v>6604</v>
      </c>
      <c r="L26" s="24" t="s">
        <v>6607</v>
      </c>
      <c r="M26" s="44">
        <v>229900</v>
      </c>
      <c r="N26" s="22">
        <f t="shared" si="4"/>
        <v>0.3</v>
      </c>
      <c r="O26" s="34">
        <f t="shared" si="1"/>
        <v>160930</v>
      </c>
      <c r="P26" s="22" t="str">
        <f t="shared" si="5"/>
        <v>PERCENTAGE</v>
      </c>
    </row>
    <row r="27" spans="1:16" x14ac:dyDescent="0.35">
      <c r="A27" s="34" t="str">
        <f t="shared" si="2"/>
        <v>2025 SEPT B1 30%</v>
      </c>
      <c r="B27" s="42">
        <f t="shared" ref="B27:C27" si="28">B26</f>
        <v>46086</v>
      </c>
      <c r="C27" s="42">
        <f t="shared" si="28"/>
        <v>46092</v>
      </c>
      <c r="D27" s="34">
        <v>3321</v>
      </c>
      <c r="E27" s="34">
        <v>337</v>
      </c>
      <c r="F27" s="34">
        <v>4</v>
      </c>
      <c r="G27" s="24">
        <v>3</v>
      </c>
      <c r="H27" s="24">
        <v>81588</v>
      </c>
      <c r="I27" s="34" t="s">
        <v>2690</v>
      </c>
      <c r="J27" s="24">
        <v>55507601</v>
      </c>
      <c r="K27" s="24" t="s">
        <v>6604</v>
      </c>
      <c r="L27" s="24" t="s">
        <v>6608</v>
      </c>
      <c r="M27" s="44">
        <v>229900</v>
      </c>
      <c r="N27" s="22">
        <f t="shared" si="4"/>
        <v>0.3</v>
      </c>
      <c r="O27" s="34">
        <f t="shared" si="1"/>
        <v>160930</v>
      </c>
      <c r="P27" s="22" t="str">
        <f t="shared" si="5"/>
        <v>PERCENTAGE</v>
      </c>
    </row>
    <row r="28" spans="1:16" x14ac:dyDescent="0.35">
      <c r="A28" s="34" t="str">
        <f t="shared" si="2"/>
        <v>2025 SEPT B1 30%</v>
      </c>
      <c r="B28" s="42">
        <f t="shared" ref="B28:C28" si="29">B27</f>
        <v>46086</v>
      </c>
      <c r="C28" s="42">
        <f t="shared" si="29"/>
        <v>46092</v>
      </c>
      <c r="D28" s="34">
        <v>3321</v>
      </c>
      <c r="E28" s="34">
        <v>337</v>
      </c>
      <c r="F28" s="34">
        <v>4</v>
      </c>
      <c r="G28" s="24">
        <v>3</v>
      </c>
      <c r="H28" s="24">
        <v>81588</v>
      </c>
      <c r="I28" s="34" t="s">
        <v>2690</v>
      </c>
      <c r="J28" s="24">
        <v>55507610</v>
      </c>
      <c r="K28" s="24" t="s">
        <v>6604</v>
      </c>
      <c r="L28" s="24" t="s">
        <v>6606</v>
      </c>
      <c r="M28" s="44">
        <v>229900</v>
      </c>
      <c r="N28" s="22">
        <f t="shared" si="4"/>
        <v>0.3</v>
      </c>
      <c r="O28" s="34">
        <f t="shared" si="1"/>
        <v>160930</v>
      </c>
      <c r="P28" s="22" t="str">
        <f t="shared" si="5"/>
        <v>PERCENTAGE</v>
      </c>
    </row>
    <row r="29" spans="1:16" x14ac:dyDescent="0.35">
      <c r="A29" s="34" t="str">
        <f t="shared" si="2"/>
        <v>2025 SEPT B1 30%</v>
      </c>
      <c r="B29" s="42">
        <f t="shared" ref="B29:C29" si="30">B28</f>
        <v>46086</v>
      </c>
      <c r="C29" s="42">
        <f t="shared" si="30"/>
        <v>46092</v>
      </c>
      <c r="D29" s="34">
        <v>3321</v>
      </c>
      <c r="E29" s="34">
        <v>337</v>
      </c>
      <c r="F29" s="34">
        <v>4</v>
      </c>
      <c r="G29" s="24">
        <v>4</v>
      </c>
      <c r="H29" s="24">
        <v>81588</v>
      </c>
      <c r="I29" s="34" t="s">
        <v>2690</v>
      </c>
      <c r="J29" s="24">
        <v>55507629</v>
      </c>
      <c r="K29" s="24" t="s">
        <v>6604</v>
      </c>
      <c r="L29" s="24" t="s">
        <v>6605</v>
      </c>
      <c r="M29" s="44">
        <v>229900</v>
      </c>
      <c r="N29" s="22">
        <f t="shared" si="4"/>
        <v>0.3</v>
      </c>
      <c r="O29" s="34">
        <f t="shared" si="1"/>
        <v>160930</v>
      </c>
      <c r="P29" s="22" t="str">
        <f t="shared" si="5"/>
        <v>PERCENTAGE</v>
      </c>
    </row>
    <row r="30" spans="1:16" x14ac:dyDescent="0.35">
      <c r="A30" s="34" t="str">
        <f t="shared" si="2"/>
        <v>2025 SEPT B1 30%</v>
      </c>
      <c r="B30" s="42">
        <f t="shared" ref="B30:C30" si="31">B29</f>
        <v>46086</v>
      </c>
      <c r="C30" s="42">
        <f t="shared" si="31"/>
        <v>46092</v>
      </c>
      <c r="D30" s="34">
        <v>3321</v>
      </c>
      <c r="E30" s="34">
        <v>337</v>
      </c>
      <c r="F30" s="34">
        <v>4</v>
      </c>
      <c r="G30" s="24">
        <v>4</v>
      </c>
      <c r="H30" s="24">
        <v>81005</v>
      </c>
      <c r="I30" s="34" t="s">
        <v>2690</v>
      </c>
      <c r="J30" s="24">
        <v>55301467</v>
      </c>
      <c r="K30" s="24" t="s">
        <v>6575</v>
      </c>
      <c r="L30" s="24" t="s">
        <v>6577</v>
      </c>
      <c r="M30" s="44">
        <v>149900</v>
      </c>
      <c r="N30" s="22">
        <f t="shared" si="4"/>
        <v>0.3</v>
      </c>
      <c r="O30" s="34">
        <f t="shared" si="1"/>
        <v>104930</v>
      </c>
      <c r="P30" s="22" t="str">
        <f t="shared" si="5"/>
        <v>PERCENTAGE</v>
      </c>
    </row>
    <row r="31" spans="1:16" x14ac:dyDescent="0.35">
      <c r="A31" s="34" t="str">
        <f t="shared" si="2"/>
        <v>2025 SEPT B1 30%</v>
      </c>
      <c r="B31" s="42">
        <f t="shared" ref="B31:C31" si="32">B30</f>
        <v>46086</v>
      </c>
      <c r="C31" s="42">
        <f t="shared" si="32"/>
        <v>46092</v>
      </c>
      <c r="D31" s="34">
        <v>3321</v>
      </c>
      <c r="E31" s="34">
        <v>337</v>
      </c>
      <c r="F31" s="34">
        <v>4</v>
      </c>
      <c r="G31" s="24">
        <v>4</v>
      </c>
      <c r="H31" s="24">
        <v>81005</v>
      </c>
      <c r="I31" s="34" t="s">
        <v>2690</v>
      </c>
      <c r="J31" s="24">
        <v>55301476</v>
      </c>
      <c r="K31" s="24" t="s">
        <v>6575</v>
      </c>
      <c r="L31" s="24" t="s">
        <v>6579</v>
      </c>
      <c r="M31" s="44">
        <v>149900</v>
      </c>
      <c r="N31" s="22">
        <f t="shared" si="4"/>
        <v>0.3</v>
      </c>
      <c r="O31" s="34">
        <f t="shared" si="1"/>
        <v>104930</v>
      </c>
      <c r="P31" s="22" t="str">
        <f t="shared" si="5"/>
        <v>PERCENTAGE</v>
      </c>
    </row>
    <row r="32" spans="1:16" x14ac:dyDescent="0.35">
      <c r="A32" s="34" t="str">
        <f t="shared" si="2"/>
        <v>2025 SEPT B1 30%</v>
      </c>
      <c r="B32" s="42">
        <f t="shared" ref="B32:C32" si="33">B31</f>
        <v>46086</v>
      </c>
      <c r="C32" s="42">
        <f t="shared" si="33"/>
        <v>46092</v>
      </c>
      <c r="D32" s="34">
        <v>3321</v>
      </c>
      <c r="E32" s="34">
        <v>337</v>
      </c>
      <c r="F32" s="34">
        <v>4</v>
      </c>
      <c r="G32" s="24">
        <v>4</v>
      </c>
      <c r="H32" s="24">
        <v>81005</v>
      </c>
      <c r="I32" s="34" t="s">
        <v>2690</v>
      </c>
      <c r="J32" s="24">
        <v>55301485</v>
      </c>
      <c r="K32" s="24" t="s">
        <v>6575</v>
      </c>
      <c r="L32" s="24" t="s">
        <v>6576</v>
      </c>
      <c r="M32" s="44">
        <v>149900</v>
      </c>
      <c r="N32" s="22">
        <f t="shared" si="4"/>
        <v>0.3</v>
      </c>
      <c r="O32" s="34">
        <f t="shared" si="1"/>
        <v>104930</v>
      </c>
      <c r="P32" s="22" t="str">
        <f t="shared" si="5"/>
        <v>PERCENTAGE</v>
      </c>
    </row>
    <row r="33" spans="1:16" x14ac:dyDescent="0.35">
      <c r="A33" s="34" t="str">
        <f t="shared" si="2"/>
        <v>2025 SEPT B1 30%</v>
      </c>
      <c r="B33" s="42">
        <f t="shared" ref="B33:C33" si="34">B32</f>
        <v>46086</v>
      </c>
      <c r="C33" s="42">
        <f t="shared" si="34"/>
        <v>46092</v>
      </c>
      <c r="D33" s="34">
        <v>3321</v>
      </c>
      <c r="E33" s="34">
        <v>337</v>
      </c>
      <c r="F33" s="34">
        <v>4</v>
      </c>
      <c r="G33" s="24">
        <v>5</v>
      </c>
      <c r="H33" s="24">
        <v>81005</v>
      </c>
      <c r="I33" s="34" t="s">
        <v>2690</v>
      </c>
      <c r="J33" s="24">
        <v>55301494</v>
      </c>
      <c r="K33" s="24" t="s">
        <v>6575</v>
      </c>
      <c r="L33" s="24" t="s">
        <v>6578</v>
      </c>
      <c r="M33" s="44">
        <v>149900</v>
      </c>
      <c r="N33" s="22">
        <f t="shared" si="4"/>
        <v>0.3</v>
      </c>
      <c r="O33" s="34">
        <f t="shared" si="1"/>
        <v>104930</v>
      </c>
      <c r="P33" s="22" t="str">
        <f t="shared" si="5"/>
        <v>PERCENTAGE</v>
      </c>
    </row>
    <row r="34" spans="1:16" x14ac:dyDescent="0.35">
      <c r="A34" s="34" t="str">
        <f t="shared" si="2"/>
        <v>2025 SEPT B1 30%</v>
      </c>
      <c r="B34" s="42">
        <f t="shared" ref="B34:C34" si="35">B33</f>
        <v>46086</v>
      </c>
      <c r="C34" s="42">
        <f t="shared" si="35"/>
        <v>46092</v>
      </c>
      <c r="D34" s="34">
        <v>3321</v>
      </c>
      <c r="E34" s="34">
        <v>337</v>
      </c>
      <c r="F34" s="34">
        <v>4</v>
      </c>
      <c r="G34" s="24">
        <v>5</v>
      </c>
      <c r="H34" s="24">
        <v>81146</v>
      </c>
      <c r="I34" s="34" t="s">
        <v>2690</v>
      </c>
      <c r="J34" s="24">
        <v>55301627</v>
      </c>
      <c r="K34" s="24" t="s">
        <v>6629</v>
      </c>
      <c r="L34" s="24" t="s">
        <v>6633</v>
      </c>
      <c r="M34" s="44">
        <v>149900</v>
      </c>
      <c r="N34" s="22">
        <f t="shared" si="4"/>
        <v>0.3</v>
      </c>
      <c r="O34" s="34">
        <f t="shared" si="1"/>
        <v>104930</v>
      </c>
      <c r="P34" s="22" t="str">
        <f t="shared" si="5"/>
        <v>PERCENTAGE</v>
      </c>
    </row>
    <row r="35" spans="1:16" x14ac:dyDescent="0.35">
      <c r="A35" s="34" t="str">
        <f t="shared" si="2"/>
        <v>2025 SEPT B1 30%</v>
      </c>
      <c r="B35" s="42">
        <f t="shared" ref="B35:C35" si="36">B34</f>
        <v>46086</v>
      </c>
      <c r="C35" s="42">
        <f t="shared" si="36"/>
        <v>46092</v>
      </c>
      <c r="D35" s="34">
        <v>3321</v>
      </c>
      <c r="E35" s="34">
        <v>337</v>
      </c>
      <c r="F35" s="34">
        <v>4</v>
      </c>
      <c r="G35" s="24">
        <v>5</v>
      </c>
      <c r="H35" s="24">
        <v>81146</v>
      </c>
      <c r="I35" s="34" t="s">
        <v>2690</v>
      </c>
      <c r="J35" s="24">
        <v>55301636</v>
      </c>
      <c r="K35" s="24" t="s">
        <v>6629</v>
      </c>
      <c r="L35" s="24" t="s">
        <v>6631</v>
      </c>
      <c r="M35" s="44">
        <v>149900</v>
      </c>
      <c r="N35" s="22">
        <f t="shared" si="4"/>
        <v>0.3</v>
      </c>
      <c r="O35" s="34">
        <f t="shared" si="1"/>
        <v>104930</v>
      </c>
      <c r="P35" s="22" t="str">
        <f t="shared" si="5"/>
        <v>PERCENTAGE</v>
      </c>
    </row>
    <row r="36" spans="1:16" x14ac:dyDescent="0.35">
      <c r="A36" s="34" t="str">
        <f t="shared" si="2"/>
        <v>2025 SEPT B1 30%</v>
      </c>
      <c r="B36" s="42">
        <f t="shared" ref="B36:C36" si="37">B35</f>
        <v>46086</v>
      </c>
      <c r="C36" s="42">
        <f t="shared" si="37"/>
        <v>46092</v>
      </c>
      <c r="D36" s="34">
        <v>3321</v>
      </c>
      <c r="E36" s="34">
        <v>337</v>
      </c>
      <c r="F36" s="34">
        <v>4</v>
      </c>
      <c r="G36" s="24">
        <v>5</v>
      </c>
      <c r="H36" s="24">
        <v>81146</v>
      </c>
      <c r="I36" s="34" t="s">
        <v>2690</v>
      </c>
      <c r="J36" s="24">
        <v>55301645</v>
      </c>
      <c r="K36" s="24" t="s">
        <v>6629</v>
      </c>
      <c r="L36" s="24" t="s">
        <v>6632</v>
      </c>
      <c r="M36" s="44">
        <v>149900</v>
      </c>
      <c r="N36" s="22">
        <f t="shared" si="4"/>
        <v>0.3</v>
      </c>
      <c r="O36" s="34">
        <f t="shared" si="1"/>
        <v>104930</v>
      </c>
      <c r="P36" s="22" t="str">
        <f t="shared" si="5"/>
        <v>PERCENTAGE</v>
      </c>
    </row>
    <row r="37" spans="1:16" x14ac:dyDescent="0.35">
      <c r="A37" s="34" t="str">
        <f t="shared" si="2"/>
        <v>2025 SEPT B1 30%</v>
      </c>
      <c r="B37" s="42">
        <f t="shared" ref="B37:C37" si="38">B36</f>
        <v>46086</v>
      </c>
      <c r="C37" s="42">
        <f t="shared" si="38"/>
        <v>46092</v>
      </c>
      <c r="D37" s="34">
        <v>3321</v>
      </c>
      <c r="E37" s="34">
        <v>337</v>
      </c>
      <c r="F37" s="34">
        <v>4</v>
      </c>
      <c r="G37" s="24">
        <v>5</v>
      </c>
      <c r="H37" s="24">
        <v>81146</v>
      </c>
      <c r="I37" s="34" t="s">
        <v>2690</v>
      </c>
      <c r="J37" s="24">
        <v>55301654</v>
      </c>
      <c r="K37" s="24" t="s">
        <v>6629</v>
      </c>
      <c r="L37" s="24" t="s">
        <v>6630</v>
      </c>
      <c r="M37" s="44">
        <v>149900</v>
      </c>
      <c r="N37" s="22">
        <f t="shared" si="4"/>
        <v>0.3</v>
      </c>
      <c r="O37" s="34">
        <f t="shared" si="1"/>
        <v>104930</v>
      </c>
      <c r="P37" s="22" t="str">
        <f t="shared" si="5"/>
        <v>PERCENTAGE</v>
      </c>
    </row>
    <row r="38" spans="1:16" x14ac:dyDescent="0.35">
      <c r="A38" s="34" t="str">
        <f t="shared" si="2"/>
        <v>2025 SEPT B1 30%</v>
      </c>
      <c r="B38" s="42">
        <f t="shared" ref="B38:C38" si="39">B37</f>
        <v>46086</v>
      </c>
      <c r="C38" s="42">
        <f t="shared" si="39"/>
        <v>46092</v>
      </c>
      <c r="D38" s="34">
        <v>3321</v>
      </c>
      <c r="E38" s="34">
        <v>337</v>
      </c>
      <c r="F38" s="34">
        <v>4</v>
      </c>
      <c r="G38" s="24">
        <v>5</v>
      </c>
      <c r="H38" s="24">
        <v>81005</v>
      </c>
      <c r="I38" s="34" t="s">
        <v>2690</v>
      </c>
      <c r="J38" s="24">
        <v>55507870</v>
      </c>
      <c r="K38" s="24" t="s">
        <v>6609</v>
      </c>
      <c r="L38" s="24" t="s">
        <v>6610</v>
      </c>
      <c r="M38" s="44">
        <v>179900</v>
      </c>
      <c r="N38" s="22">
        <f t="shared" si="4"/>
        <v>0.3</v>
      </c>
      <c r="O38" s="34">
        <f t="shared" si="1"/>
        <v>125930</v>
      </c>
      <c r="P38" s="22" t="str">
        <f t="shared" si="5"/>
        <v>PERCENTAGE</v>
      </c>
    </row>
    <row r="39" spans="1:16" x14ac:dyDescent="0.35">
      <c r="A39" s="34" t="str">
        <f t="shared" si="2"/>
        <v>2025 SEPT B1 30%</v>
      </c>
      <c r="B39" s="42">
        <f t="shared" ref="B39:C39" si="40">B38</f>
        <v>46086</v>
      </c>
      <c r="C39" s="42">
        <f t="shared" si="40"/>
        <v>46092</v>
      </c>
      <c r="D39" s="34">
        <v>3321</v>
      </c>
      <c r="E39" s="34">
        <v>337</v>
      </c>
      <c r="F39" s="34">
        <v>4</v>
      </c>
      <c r="G39" s="24">
        <v>5</v>
      </c>
      <c r="H39" s="24">
        <v>81005</v>
      </c>
      <c r="I39" s="34" t="s">
        <v>2690</v>
      </c>
      <c r="J39" s="24">
        <v>55507889</v>
      </c>
      <c r="K39" s="24" t="s">
        <v>6609</v>
      </c>
      <c r="L39" s="24" t="s">
        <v>6612</v>
      </c>
      <c r="M39" s="44">
        <v>179900</v>
      </c>
      <c r="N39" s="22">
        <f t="shared" si="4"/>
        <v>0.3</v>
      </c>
      <c r="O39" s="34">
        <f t="shared" si="1"/>
        <v>125930</v>
      </c>
      <c r="P39" s="22" t="str">
        <f t="shared" si="5"/>
        <v>PERCENTAGE</v>
      </c>
    </row>
    <row r="40" spans="1:16" x14ac:dyDescent="0.35">
      <c r="A40" s="34" t="str">
        <f t="shared" si="2"/>
        <v>2025 SEPT B1 30%</v>
      </c>
      <c r="B40" s="42">
        <f t="shared" ref="B40:C40" si="41">B39</f>
        <v>46086</v>
      </c>
      <c r="C40" s="42">
        <f t="shared" si="41"/>
        <v>46092</v>
      </c>
      <c r="D40" s="34">
        <v>3321</v>
      </c>
      <c r="E40" s="34">
        <v>337</v>
      </c>
      <c r="F40" s="34">
        <v>4</v>
      </c>
      <c r="G40" s="24">
        <v>5</v>
      </c>
      <c r="H40" s="24">
        <v>81005</v>
      </c>
      <c r="I40" s="34" t="s">
        <v>2690</v>
      </c>
      <c r="J40" s="24">
        <v>55507898</v>
      </c>
      <c r="K40" s="24" t="s">
        <v>6609</v>
      </c>
      <c r="L40" s="24" t="s">
        <v>6613</v>
      </c>
      <c r="M40" s="44">
        <v>179900</v>
      </c>
      <c r="N40" s="22">
        <f t="shared" si="4"/>
        <v>0.3</v>
      </c>
      <c r="O40" s="34">
        <f t="shared" si="1"/>
        <v>125930</v>
      </c>
      <c r="P40" s="22" t="str">
        <f t="shared" si="5"/>
        <v>PERCENTAGE</v>
      </c>
    </row>
    <row r="41" spans="1:16" x14ac:dyDescent="0.35">
      <c r="A41" s="34" t="str">
        <f t="shared" si="2"/>
        <v>2025 SEPT B1 30%</v>
      </c>
      <c r="B41" s="42">
        <f t="shared" ref="B41:C41" si="42">B40</f>
        <v>46086</v>
      </c>
      <c r="C41" s="42">
        <f t="shared" si="42"/>
        <v>46092</v>
      </c>
      <c r="D41" s="34">
        <v>3321</v>
      </c>
      <c r="E41" s="34">
        <v>337</v>
      </c>
      <c r="F41" s="34">
        <v>4</v>
      </c>
      <c r="G41" s="24">
        <v>5</v>
      </c>
      <c r="H41" s="24">
        <v>81005</v>
      </c>
      <c r="I41" s="34" t="s">
        <v>2690</v>
      </c>
      <c r="J41" s="24">
        <v>55507905</v>
      </c>
      <c r="K41" s="24" t="s">
        <v>6609</v>
      </c>
      <c r="L41" s="24" t="s">
        <v>6611</v>
      </c>
      <c r="M41" s="44">
        <v>179900</v>
      </c>
      <c r="N41" s="22">
        <f t="shared" si="4"/>
        <v>0.3</v>
      </c>
      <c r="O41" s="34">
        <f t="shared" si="1"/>
        <v>125930</v>
      </c>
      <c r="P41" s="22" t="str">
        <f t="shared" si="5"/>
        <v>PERCENTAGE</v>
      </c>
    </row>
    <row r="42" spans="1:16" x14ac:dyDescent="0.35">
      <c r="A42" s="34" t="str">
        <f t="shared" si="2"/>
        <v>2025 SEPT B1 30%</v>
      </c>
      <c r="B42" s="42">
        <f t="shared" ref="B42:C42" si="43">B41</f>
        <v>46086</v>
      </c>
      <c r="C42" s="42">
        <f t="shared" si="43"/>
        <v>46092</v>
      </c>
      <c r="D42" s="34">
        <v>3321</v>
      </c>
      <c r="E42" s="34">
        <v>337</v>
      </c>
      <c r="F42" s="34">
        <v>4</v>
      </c>
      <c r="G42" s="24">
        <v>5</v>
      </c>
      <c r="H42" s="24">
        <v>81588</v>
      </c>
      <c r="I42" s="34" t="s">
        <v>2690</v>
      </c>
      <c r="J42" s="24">
        <v>55301547</v>
      </c>
      <c r="K42" s="24" t="s">
        <v>6614</v>
      </c>
      <c r="L42" s="24" t="s">
        <v>6617</v>
      </c>
      <c r="M42" s="44">
        <v>149900</v>
      </c>
      <c r="N42" s="22">
        <f t="shared" si="4"/>
        <v>0.3</v>
      </c>
      <c r="O42" s="34">
        <f t="shared" si="1"/>
        <v>104930</v>
      </c>
      <c r="P42" s="22" t="str">
        <f t="shared" si="5"/>
        <v>PERCENTAGE</v>
      </c>
    </row>
    <row r="43" spans="1:16" x14ac:dyDescent="0.35">
      <c r="A43" s="34" t="str">
        <f t="shared" si="2"/>
        <v>2025 SEPT B1 30%</v>
      </c>
      <c r="B43" s="42">
        <f t="shared" ref="B43:C43" si="44">B42</f>
        <v>46086</v>
      </c>
      <c r="C43" s="42">
        <f t="shared" si="44"/>
        <v>46092</v>
      </c>
      <c r="D43" s="34">
        <v>3321</v>
      </c>
      <c r="E43" s="34">
        <v>337</v>
      </c>
      <c r="F43" s="34">
        <v>4</v>
      </c>
      <c r="G43" s="24">
        <v>5</v>
      </c>
      <c r="H43" s="24">
        <v>81588</v>
      </c>
      <c r="I43" s="34" t="s">
        <v>2690</v>
      </c>
      <c r="J43" s="24">
        <v>55301556</v>
      </c>
      <c r="K43" s="24" t="s">
        <v>6614</v>
      </c>
      <c r="L43" s="24" t="s">
        <v>6616</v>
      </c>
      <c r="M43" s="44">
        <v>149900</v>
      </c>
      <c r="N43" s="22">
        <f t="shared" si="4"/>
        <v>0.3</v>
      </c>
      <c r="O43" s="34">
        <f t="shared" si="1"/>
        <v>104930</v>
      </c>
      <c r="P43" s="22" t="str">
        <f t="shared" si="5"/>
        <v>PERCENTAGE</v>
      </c>
    </row>
    <row r="44" spans="1:16" x14ac:dyDescent="0.35">
      <c r="A44" s="34" t="str">
        <f t="shared" si="2"/>
        <v>2025 SEPT B1 30%</v>
      </c>
      <c r="B44" s="42">
        <f t="shared" ref="B44:C44" si="45">B43</f>
        <v>46086</v>
      </c>
      <c r="C44" s="42">
        <f t="shared" si="45"/>
        <v>46092</v>
      </c>
      <c r="D44" s="34">
        <v>3321</v>
      </c>
      <c r="E44" s="34">
        <v>337</v>
      </c>
      <c r="F44" s="34">
        <v>4</v>
      </c>
      <c r="G44" s="24">
        <v>5</v>
      </c>
      <c r="H44" s="24">
        <v>81588</v>
      </c>
      <c r="I44" s="34" t="s">
        <v>2690</v>
      </c>
      <c r="J44" s="24">
        <v>55301565</v>
      </c>
      <c r="K44" s="24" t="s">
        <v>6614</v>
      </c>
      <c r="L44" s="24" t="s">
        <v>6615</v>
      </c>
      <c r="M44" s="44">
        <v>149900</v>
      </c>
      <c r="N44" s="22">
        <f t="shared" si="4"/>
        <v>0.3</v>
      </c>
      <c r="O44" s="34">
        <f t="shared" si="1"/>
        <v>104930</v>
      </c>
      <c r="P44" s="22" t="str">
        <f t="shared" si="5"/>
        <v>PERCENTAGE</v>
      </c>
    </row>
    <row r="45" spans="1:16" x14ac:dyDescent="0.35">
      <c r="A45" s="34" t="str">
        <f t="shared" si="2"/>
        <v>2025 SEPT B1 30%</v>
      </c>
      <c r="B45" s="42">
        <f t="shared" ref="B45:C45" si="46">B44</f>
        <v>46086</v>
      </c>
      <c r="C45" s="42">
        <f t="shared" si="46"/>
        <v>46092</v>
      </c>
      <c r="D45" s="34">
        <v>3321</v>
      </c>
      <c r="E45" s="34">
        <v>337</v>
      </c>
      <c r="F45" s="34">
        <v>4</v>
      </c>
      <c r="G45" s="24">
        <v>5</v>
      </c>
      <c r="H45" s="24">
        <v>81588</v>
      </c>
      <c r="I45" s="34" t="s">
        <v>2690</v>
      </c>
      <c r="J45" s="24">
        <v>55301574</v>
      </c>
      <c r="K45" s="24" t="s">
        <v>6614</v>
      </c>
      <c r="L45" s="24" t="s">
        <v>6618</v>
      </c>
      <c r="M45" s="44">
        <v>149900</v>
      </c>
      <c r="N45" s="22">
        <f t="shared" si="4"/>
        <v>0.3</v>
      </c>
      <c r="O45" s="34">
        <f t="shared" si="1"/>
        <v>104930</v>
      </c>
      <c r="P45" s="22" t="str">
        <f t="shared" si="5"/>
        <v>PERCENTAGE</v>
      </c>
    </row>
    <row r="46" spans="1:16" x14ac:dyDescent="0.35">
      <c r="A46" s="34" t="str">
        <f t="shared" si="2"/>
        <v>2025 SEPT B1 30%</v>
      </c>
      <c r="B46" s="42">
        <f t="shared" ref="B46:C46" si="47">B45</f>
        <v>46086</v>
      </c>
      <c r="C46" s="42">
        <f t="shared" si="47"/>
        <v>46092</v>
      </c>
      <c r="D46" s="34">
        <v>3321</v>
      </c>
      <c r="E46" s="34">
        <v>337</v>
      </c>
      <c r="F46" s="34">
        <v>4</v>
      </c>
      <c r="G46" s="24">
        <v>5</v>
      </c>
      <c r="H46" s="24">
        <v>81588</v>
      </c>
      <c r="I46" s="34" t="s">
        <v>2690</v>
      </c>
      <c r="J46" s="24">
        <v>61094528</v>
      </c>
      <c r="K46" s="24" t="s">
        <v>6619</v>
      </c>
      <c r="L46" s="24" t="s">
        <v>6622</v>
      </c>
      <c r="M46" s="44">
        <v>179900</v>
      </c>
      <c r="N46" s="22">
        <f t="shared" si="4"/>
        <v>0.3</v>
      </c>
      <c r="O46" s="34">
        <f t="shared" si="1"/>
        <v>125930</v>
      </c>
      <c r="P46" s="22" t="str">
        <f t="shared" si="5"/>
        <v>PERCENTAGE</v>
      </c>
    </row>
    <row r="47" spans="1:16" x14ac:dyDescent="0.35">
      <c r="A47" s="34" t="str">
        <f t="shared" si="2"/>
        <v>2025 SEPT B1 30%</v>
      </c>
      <c r="B47" s="42">
        <f t="shared" ref="B47:C47" si="48">B46</f>
        <v>46086</v>
      </c>
      <c r="C47" s="42">
        <f t="shared" si="48"/>
        <v>46092</v>
      </c>
      <c r="D47" s="34">
        <v>3321</v>
      </c>
      <c r="E47" s="34">
        <v>337</v>
      </c>
      <c r="F47" s="34">
        <v>4</v>
      </c>
      <c r="G47" s="24">
        <v>5</v>
      </c>
      <c r="H47" s="24">
        <v>81588</v>
      </c>
      <c r="I47" s="34" t="s">
        <v>2690</v>
      </c>
      <c r="J47" s="24">
        <v>61094537</v>
      </c>
      <c r="K47" s="24" t="s">
        <v>6619</v>
      </c>
      <c r="L47" s="24" t="s">
        <v>6621</v>
      </c>
      <c r="M47" s="44">
        <v>179900</v>
      </c>
      <c r="N47" s="22">
        <f t="shared" si="4"/>
        <v>0.3</v>
      </c>
      <c r="O47" s="34">
        <f t="shared" si="1"/>
        <v>125930</v>
      </c>
      <c r="P47" s="22" t="str">
        <f t="shared" si="5"/>
        <v>PERCENTAGE</v>
      </c>
    </row>
    <row r="48" spans="1:16" x14ac:dyDescent="0.35">
      <c r="A48" s="34" t="str">
        <f t="shared" si="2"/>
        <v>2025 SEPT B1 30%</v>
      </c>
      <c r="B48" s="42">
        <f t="shared" ref="B48:C48" si="49">B47</f>
        <v>46086</v>
      </c>
      <c r="C48" s="42">
        <f t="shared" si="49"/>
        <v>46092</v>
      </c>
      <c r="D48" s="34">
        <v>3321</v>
      </c>
      <c r="E48" s="34">
        <v>337</v>
      </c>
      <c r="F48" s="34">
        <v>4</v>
      </c>
      <c r="G48" s="24">
        <v>5</v>
      </c>
      <c r="H48" s="24">
        <v>81588</v>
      </c>
      <c r="I48" s="34" t="s">
        <v>2690</v>
      </c>
      <c r="J48" s="24">
        <v>61094546</v>
      </c>
      <c r="K48" s="24" t="s">
        <v>6619</v>
      </c>
      <c r="L48" s="24" t="s">
        <v>6623</v>
      </c>
      <c r="M48" s="44">
        <v>179900</v>
      </c>
      <c r="N48" s="22">
        <f t="shared" si="4"/>
        <v>0.3</v>
      </c>
      <c r="O48" s="34">
        <f t="shared" si="1"/>
        <v>125930</v>
      </c>
      <c r="P48" s="22" t="str">
        <f t="shared" si="5"/>
        <v>PERCENTAGE</v>
      </c>
    </row>
    <row r="49" spans="1:16" x14ac:dyDescent="0.35">
      <c r="A49" s="34" t="str">
        <f t="shared" si="2"/>
        <v>2025 SEPT B1 30%</v>
      </c>
      <c r="B49" s="42">
        <f t="shared" ref="B49:C49" si="50">B48</f>
        <v>46086</v>
      </c>
      <c r="C49" s="42">
        <f t="shared" si="50"/>
        <v>46092</v>
      </c>
      <c r="D49" s="34">
        <v>3321</v>
      </c>
      <c r="E49" s="34">
        <v>337</v>
      </c>
      <c r="F49" s="34">
        <v>4</v>
      </c>
      <c r="G49" s="24">
        <v>5</v>
      </c>
      <c r="H49" s="24">
        <v>81588</v>
      </c>
      <c r="I49" s="34" t="s">
        <v>2690</v>
      </c>
      <c r="J49" s="24">
        <v>61094555</v>
      </c>
      <c r="K49" s="24" t="s">
        <v>6619</v>
      </c>
      <c r="L49" s="24" t="s">
        <v>6620</v>
      </c>
      <c r="M49" s="44">
        <v>179900</v>
      </c>
      <c r="N49" s="22">
        <f t="shared" si="4"/>
        <v>0.3</v>
      </c>
      <c r="O49" s="34">
        <f t="shared" si="1"/>
        <v>125930</v>
      </c>
      <c r="P49" s="22" t="str">
        <f t="shared" si="5"/>
        <v>PERCENTAGE</v>
      </c>
    </row>
    <row r="50" spans="1:16" x14ac:dyDescent="0.35">
      <c r="A50" s="34" t="str">
        <f t="shared" si="2"/>
        <v>2025 SEPT B1 30%</v>
      </c>
      <c r="B50" s="42">
        <f t="shared" ref="B50:C50" si="51">B49</f>
        <v>46086</v>
      </c>
      <c r="C50" s="42">
        <f t="shared" si="51"/>
        <v>46092</v>
      </c>
      <c r="D50" s="34">
        <v>3321</v>
      </c>
      <c r="E50" s="34">
        <v>337</v>
      </c>
      <c r="F50" s="34">
        <v>4</v>
      </c>
      <c r="G50" s="24">
        <v>5</v>
      </c>
      <c r="H50" s="24">
        <v>81588</v>
      </c>
      <c r="I50" s="34" t="s">
        <v>2690</v>
      </c>
      <c r="J50" s="24">
        <v>55301583</v>
      </c>
      <c r="K50" s="24" t="s">
        <v>6624</v>
      </c>
      <c r="L50" s="24" t="s">
        <v>6625</v>
      </c>
      <c r="M50" s="44">
        <v>149900</v>
      </c>
      <c r="N50" s="22">
        <f t="shared" si="4"/>
        <v>0.3</v>
      </c>
      <c r="O50" s="34">
        <f t="shared" si="1"/>
        <v>104930</v>
      </c>
      <c r="P50" s="22" t="str">
        <f t="shared" si="5"/>
        <v>PERCENTAGE</v>
      </c>
    </row>
    <row r="51" spans="1:16" x14ac:dyDescent="0.35">
      <c r="A51" s="34" t="str">
        <f t="shared" si="2"/>
        <v>2025 SEPT B1 30%</v>
      </c>
      <c r="B51" s="42">
        <f t="shared" ref="B51:C51" si="52">B50</f>
        <v>46086</v>
      </c>
      <c r="C51" s="42">
        <f t="shared" si="52"/>
        <v>46092</v>
      </c>
      <c r="D51" s="34">
        <v>3321</v>
      </c>
      <c r="E51" s="34">
        <v>337</v>
      </c>
      <c r="F51" s="34">
        <v>4</v>
      </c>
      <c r="G51" s="24">
        <v>5</v>
      </c>
      <c r="H51" s="24">
        <v>81588</v>
      </c>
      <c r="I51" s="34" t="s">
        <v>2690</v>
      </c>
      <c r="J51" s="24">
        <v>55301592</v>
      </c>
      <c r="K51" s="24" t="s">
        <v>6624</v>
      </c>
      <c r="L51" s="24" t="s">
        <v>6628</v>
      </c>
      <c r="M51" s="44">
        <v>149900</v>
      </c>
      <c r="N51" s="22">
        <f t="shared" si="4"/>
        <v>0.3</v>
      </c>
      <c r="O51" s="34">
        <f t="shared" si="1"/>
        <v>104930</v>
      </c>
      <c r="P51" s="22" t="str">
        <f t="shared" si="5"/>
        <v>PERCENTAGE</v>
      </c>
    </row>
    <row r="52" spans="1:16" x14ac:dyDescent="0.35">
      <c r="A52" s="34" t="str">
        <f t="shared" si="2"/>
        <v>2025 SEPT B1 30%</v>
      </c>
      <c r="B52" s="42">
        <f t="shared" ref="B52:C52" si="53">B51</f>
        <v>46086</v>
      </c>
      <c r="C52" s="42">
        <f t="shared" si="53"/>
        <v>46092</v>
      </c>
      <c r="D52" s="34">
        <v>3321</v>
      </c>
      <c r="E52" s="34">
        <v>337</v>
      </c>
      <c r="F52" s="34">
        <v>4</v>
      </c>
      <c r="G52" s="24">
        <v>5</v>
      </c>
      <c r="H52" s="24">
        <v>81588</v>
      </c>
      <c r="I52" s="34" t="s">
        <v>2690</v>
      </c>
      <c r="J52" s="24">
        <v>55301609</v>
      </c>
      <c r="K52" s="24" t="s">
        <v>6624</v>
      </c>
      <c r="L52" s="24" t="s">
        <v>6627</v>
      </c>
      <c r="M52" s="44">
        <v>149900</v>
      </c>
      <c r="N52" s="22">
        <f t="shared" si="4"/>
        <v>0.3</v>
      </c>
      <c r="O52" s="34">
        <f t="shared" si="1"/>
        <v>104930</v>
      </c>
      <c r="P52" s="22" t="str">
        <f t="shared" si="5"/>
        <v>PERCENTAGE</v>
      </c>
    </row>
    <row r="53" spans="1:16" x14ac:dyDescent="0.35">
      <c r="A53" s="34" t="str">
        <f t="shared" si="2"/>
        <v>2025 SEPT B1 30%</v>
      </c>
      <c r="B53" s="42">
        <f t="shared" ref="B53:C53" si="54">B52</f>
        <v>46086</v>
      </c>
      <c r="C53" s="42">
        <f t="shared" si="54"/>
        <v>46092</v>
      </c>
      <c r="D53" s="34">
        <v>3321</v>
      </c>
      <c r="E53" s="34">
        <v>337</v>
      </c>
      <c r="F53" s="34">
        <v>4</v>
      </c>
      <c r="G53" s="24">
        <v>1</v>
      </c>
      <c r="H53" s="24">
        <v>81588</v>
      </c>
      <c r="I53" s="34" t="s">
        <v>2690</v>
      </c>
      <c r="J53" s="24">
        <v>55301618</v>
      </c>
      <c r="K53" s="24" t="s">
        <v>6624</v>
      </c>
      <c r="L53" s="24" t="s">
        <v>6626</v>
      </c>
      <c r="M53" s="44">
        <v>149900</v>
      </c>
      <c r="N53" s="22">
        <f t="shared" si="4"/>
        <v>0.3</v>
      </c>
      <c r="O53" s="34">
        <f t="shared" si="1"/>
        <v>104930</v>
      </c>
      <c r="P53" s="22" t="str">
        <f t="shared" si="5"/>
        <v>PERCENTAGE</v>
      </c>
    </row>
    <row r="54" spans="1:16" x14ac:dyDescent="0.35">
      <c r="A54" s="34" t="str">
        <f t="shared" si="2"/>
        <v>2025 SEPT B1 30%</v>
      </c>
      <c r="B54" s="42">
        <f t="shared" ref="B54:C54" si="55">B53</f>
        <v>46086</v>
      </c>
      <c r="C54" s="42">
        <f t="shared" si="55"/>
        <v>46092</v>
      </c>
      <c r="D54" s="34">
        <v>3321</v>
      </c>
      <c r="E54" s="34">
        <v>337</v>
      </c>
      <c r="F54" s="34">
        <v>4</v>
      </c>
      <c r="G54" s="24">
        <v>1</v>
      </c>
      <c r="H54" s="24">
        <v>81588</v>
      </c>
      <c r="I54" s="34" t="s">
        <v>2690</v>
      </c>
      <c r="J54" s="24">
        <v>55301001</v>
      </c>
      <c r="K54" s="24" t="s">
        <v>6560</v>
      </c>
      <c r="L54" s="24" t="s">
        <v>6572</v>
      </c>
      <c r="M54" s="44">
        <v>99900</v>
      </c>
      <c r="N54" s="22">
        <f t="shared" si="4"/>
        <v>0.3</v>
      </c>
      <c r="O54" s="34">
        <f t="shared" si="1"/>
        <v>69930</v>
      </c>
      <c r="P54" s="22" t="str">
        <f t="shared" si="5"/>
        <v>PERCENTAGE</v>
      </c>
    </row>
    <row r="55" spans="1:16" x14ac:dyDescent="0.35">
      <c r="A55" s="34" t="str">
        <f t="shared" si="2"/>
        <v>2025 SEPT B1 30%</v>
      </c>
      <c r="B55" s="42">
        <f t="shared" ref="B55:C55" si="56">B54</f>
        <v>46086</v>
      </c>
      <c r="C55" s="42">
        <f t="shared" si="56"/>
        <v>46092</v>
      </c>
      <c r="D55" s="34">
        <v>3321</v>
      </c>
      <c r="E55" s="34">
        <v>337</v>
      </c>
      <c r="F55" s="34">
        <v>4</v>
      </c>
      <c r="G55" s="24">
        <v>1</v>
      </c>
      <c r="H55" s="24">
        <v>81588</v>
      </c>
      <c r="I55" s="34" t="s">
        <v>2690</v>
      </c>
      <c r="J55" s="24">
        <v>55301010</v>
      </c>
      <c r="K55" s="24" t="s">
        <v>6560</v>
      </c>
      <c r="L55" s="24" t="s">
        <v>6569</v>
      </c>
      <c r="M55" s="44">
        <v>99900</v>
      </c>
      <c r="N55" s="22">
        <f t="shared" si="4"/>
        <v>0.3</v>
      </c>
      <c r="O55" s="34">
        <f t="shared" si="1"/>
        <v>69930</v>
      </c>
      <c r="P55" s="22" t="str">
        <f t="shared" si="5"/>
        <v>PERCENTAGE</v>
      </c>
    </row>
    <row r="56" spans="1:16" x14ac:dyDescent="0.35">
      <c r="A56" s="34" t="str">
        <f t="shared" si="2"/>
        <v>2025 SEPT B1 30%</v>
      </c>
      <c r="B56" s="42">
        <f t="shared" ref="B56:C56" si="57">B55</f>
        <v>46086</v>
      </c>
      <c r="C56" s="42">
        <f t="shared" si="57"/>
        <v>46092</v>
      </c>
      <c r="D56" s="34">
        <v>3321</v>
      </c>
      <c r="E56" s="34">
        <v>337</v>
      </c>
      <c r="F56" s="34">
        <v>4</v>
      </c>
      <c r="G56" s="24">
        <v>1</v>
      </c>
      <c r="H56" s="24">
        <v>81588</v>
      </c>
      <c r="I56" s="34" t="s">
        <v>2690</v>
      </c>
      <c r="J56" s="24">
        <v>55301029</v>
      </c>
      <c r="K56" s="24" t="s">
        <v>6560</v>
      </c>
      <c r="L56" s="24" t="s">
        <v>6570</v>
      </c>
      <c r="M56" s="44">
        <v>99900</v>
      </c>
      <c r="N56" s="22">
        <f t="shared" si="4"/>
        <v>0.3</v>
      </c>
      <c r="O56" s="34">
        <f t="shared" si="1"/>
        <v>69930</v>
      </c>
      <c r="P56" s="22" t="str">
        <f t="shared" si="5"/>
        <v>PERCENTAGE</v>
      </c>
    </row>
    <row r="57" spans="1:16" x14ac:dyDescent="0.35">
      <c r="A57" s="34" t="str">
        <f t="shared" si="2"/>
        <v>2025 SEPT B1 30%</v>
      </c>
      <c r="B57" s="42">
        <f t="shared" ref="B57:C57" si="58">B56</f>
        <v>46086</v>
      </c>
      <c r="C57" s="42">
        <f t="shared" si="58"/>
        <v>46092</v>
      </c>
      <c r="D57" s="34">
        <v>3321</v>
      </c>
      <c r="E57" s="34">
        <v>337</v>
      </c>
      <c r="F57" s="34">
        <v>4</v>
      </c>
      <c r="G57" s="24">
        <v>1</v>
      </c>
      <c r="H57" s="24">
        <v>81588</v>
      </c>
      <c r="I57" s="34" t="s">
        <v>2690</v>
      </c>
      <c r="J57" s="24">
        <v>55301038</v>
      </c>
      <c r="K57" s="24" t="s">
        <v>6560</v>
      </c>
      <c r="L57" s="24" t="s">
        <v>6573</v>
      </c>
      <c r="M57" s="44">
        <v>99900</v>
      </c>
      <c r="N57" s="22">
        <f t="shared" si="4"/>
        <v>0.3</v>
      </c>
      <c r="O57" s="34">
        <f t="shared" si="1"/>
        <v>69930</v>
      </c>
      <c r="P57" s="22" t="str">
        <f t="shared" si="5"/>
        <v>PERCENTAGE</v>
      </c>
    </row>
    <row r="58" spans="1:16" x14ac:dyDescent="0.35">
      <c r="A58" s="34" t="str">
        <f t="shared" si="2"/>
        <v>2025 SEPT B1 30%</v>
      </c>
      <c r="B58" s="42">
        <f t="shared" ref="B58:C58" si="59">B57</f>
        <v>46086</v>
      </c>
      <c r="C58" s="42">
        <f t="shared" si="59"/>
        <v>46092</v>
      </c>
      <c r="D58" s="34">
        <v>3321</v>
      </c>
      <c r="E58" s="34">
        <v>337</v>
      </c>
      <c r="F58" s="34">
        <v>4</v>
      </c>
      <c r="G58" s="24">
        <v>1</v>
      </c>
      <c r="H58" s="24">
        <v>81588</v>
      </c>
      <c r="I58" s="34" t="s">
        <v>2690</v>
      </c>
      <c r="J58" s="24">
        <v>55301047</v>
      </c>
      <c r="K58" s="24" t="s">
        <v>6560</v>
      </c>
      <c r="L58" s="24" t="s">
        <v>6574</v>
      </c>
      <c r="M58" s="44">
        <v>99900</v>
      </c>
      <c r="N58" s="22">
        <f t="shared" si="4"/>
        <v>0.3</v>
      </c>
      <c r="O58" s="34">
        <f t="shared" si="1"/>
        <v>69930</v>
      </c>
      <c r="P58" s="22" t="str">
        <f t="shared" si="5"/>
        <v>PERCENTAGE</v>
      </c>
    </row>
    <row r="59" spans="1:16" x14ac:dyDescent="0.35">
      <c r="A59" s="34" t="str">
        <f t="shared" si="2"/>
        <v>2025 SEPT B1 30%</v>
      </c>
      <c r="B59" s="42">
        <f t="shared" ref="B59:C59" si="60">B58</f>
        <v>46086</v>
      </c>
      <c r="C59" s="42">
        <f t="shared" si="60"/>
        <v>46092</v>
      </c>
      <c r="D59" s="34">
        <v>3321</v>
      </c>
      <c r="E59" s="34">
        <v>337</v>
      </c>
      <c r="F59" s="34">
        <v>4</v>
      </c>
      <c r="G59" s="24">
        <v>3</v>
      </c>
      <c r="H59" s="24">
        <v>81588</v>
      </c>
      <c r="I59" s="34" t="s">
        <v>2690</v>
      </c>
      <c r="J59" s="24">
        <v>55301056</v>
      </c>
      <c r="K59" s="24" t="s">
        <v>6560</v>
      </c>
      <c r="L59" s="24" t="s">
        <v>6571</v>
      </c>
      <c r="M59" s="44">
        <v>99900</v>
      </c>
      <c r="N59" s="22">
        <f t="shared" si="4"/>
        <v>0.3</v>
      </c>
      <c r="O59" s="34">
        <f t="shared" si="1"/>
        <v>69930</v>
      </c>
      <c r="P59" s="22" t="str">
        <f t="shared" si="5"/>
        <v>PERCENTAGE</v>
      </c>
    </row>
    <row r="60" spans="1:16" x14ac:dyDescent="0.35">
      <c r="A60" s="34" t="str">
        <f t="shared" si="2"/>
        <v>2025 SEPT B1 30%</v>
      </c>
      <c r="B60" s="42">
        <f t="shared" ref="B60:C60" si="61">B59</f>
        <v>46086</v>
      </c>
      <c r="C60" s="42">
        <f t="shared" si="61"/>
        <v>46092</v>
      </c>
      <c r="D60" s="34">
        <v>3321</v>
      </c>
      <c r="E60" s="34">
        <v>337</v>
      </c>
      <c r="F60" s="34">
        <v>4</v>
      </c>
      <c r="G60" s="24">
        <v>3</v>
      </c>
      <c r="H60" s="24">
        <v>81005</v>
      </c>
      <c r="I60" s="34" t="s">
        <v>2690</v>
      </c>
      <c r="J60" s="24">
        <v>55301341</v>
      </c>
      <c r="K60" s="24" t="s">
        <v>6592</v>
      </c>
      <c r="L60" s="24" t="s">
        <v>6595</v>
      </c>
      <c r="M60" s="44">
        <v>199900</v>
      </c>
      <c r="N60" s="22">
        <f t="shared" si="4"/>
        <v>0.3</v>
      </c>
      <c r="O60" s="34">
        <f t="shared" si="1"/>
        <v>139930</v>
      </c>
      <c r="P60" s="22" t="str">
        <f t="shared" si="5"/>
        <v>PERCENTAGE</v>
      </c>
    </row>
    <row r="61" spans="1:16" x14ac:dyDescent="0.35">
      <c r="A61" s="34" t="str">
        <f t="shared" si="2"/>
        <v>2025 SEPT B1 30%</v>
      </c>
      <c r="B61" s="42">
        <f t="shared" ref="B61:C61" si="62">B60</f>
        <v>46086</v>
      </c>
      <c r="C61" s="42">
        <f t="shared" si="62"/>
        <v>46092</v>
      </c>
      <c r="D61" s="34">
        <v>3321</v>
      </c>
      <c r="E61" s="34">
        <v>337</v>
      </c>
      <c r="F61" s="34">
        <v>4</v>
      </c>
      <c r="G61" s="24">
        <v>3</v>
      </c>
      <c r="H61" s="24">
        <v>81005</v>
      </c>
      <c r="I61" s="34" t="s">
        <v>2690</v>
      </c>
      <c r="J61" s="24">
        <v>55301350</v>
      </c>
      <c r="K61" s="24" t="s">
        <v>6592</v>
      </c>
      <c r="L61" s="24" t="s">
        <v>6597</v>
      </c>
      <c r="M61" s="44">
        <v>199900</v>
      </c>
      <c r="N61" s="22">
        <f t="shared" si="4"/>
        <v>0.3</v>
      </c>
      <c r="O61" s="34">
        <f t="shared" si="1"/>
        <v>139930</v>
      </c>
      <c r="P61" s="22" t="str">
        <f t="shared" si="5"/>
        <v>PERCENTAGE</v>
      </c>
    </row>
    <row r="62" spans="1:16" x14ac:dyDescent="0.35">
      <c r="A62" s="34" t="str">
        <f t="shared" si="2"/>
        <v>2025 SEPT B1 30%</v>
      </c>
      <c r="B62" s="42">
        <f t="shared" ref="B62:C62" si="63">B61</f>
        <v>46086</v>
      </c>
      <c r="C62" s="42">
        <f t="shared" si="63"/>
        <v>46092</v>
      </c>
      <c r="D62" s="34">
        <v>3321</v>
      </c>
      <c r="E62" s="34">
        <v>337</v>
      </c>
      <c r="F62" s="34">
        <v>4</v>
      </c>
      <c r="G62" s="24">
        <v>3</v>
      </c>
      <c r="H62" s="24">
        <v>81005</v>
      </c>
      <c r="I62" s="34" t="s">
        <v>2690</v>
      </c>
      <c r="J62" s="24">
        <v>55301369</v>
      </c>
      <c r="K62" s="24" t="s">
        <v>6592</v>
      </c>
      <c r="L62" s="24" t="s">
        <v>6598</v>
      </c>
      <c r="M62" s="44">
        <v>199900</v>
      </c>
      <c r="N62" s="22">
        <f t="shared" si="4"/>
        <v>0.3</v>
      </c>
      <c r="O62" s="34">
        <f t="shared" si="1"/>
        <v>139930</v>
      </c>
      <c r="P62" s="22" t="str">
        <f t="shared" si="5"/>
        <v>PERCENTAGE</v>
      </c>
    </row>
    <row r="63" spans="1:16" x14ac:dyDescent="0.35">
      <c r="A63" s="34" t="str">
        <f t="shared" si="2"/>
        <v>2025 SEPT B1 30%</v>
      </c>
      <c r="B63" s="42">
        <f t="shared" ref="B63:C63" si="64">B62</f>
        <v>46086</v>
      </c>
      <c r="C63" s="42">
        <f t="shared" si="64"/>
        <v>46092</v>
      </c>
      <c r="D63" s="34">
        <v>3321</v>
      </c>
      <c r="E63" s="34">
        <v>337</v>
      </c>
      <c r="F63" s="34">
        <v>4</v>
      </c>
      <c r="G63" s="24">
        <v>3</v>
      </c>
      <c r="H63" s="24">
        <v>81005</v>
      </c>
      <c r="I63" s="34" t="s">
        <v>2690</v>
      </c>
      <c r="J63" s="24">
        <v>55301378</v>
      </c>
      <c r="K63" s="24" t="s">
        <v>6592</v>
      </c>
      <c r="L63" s="24" t="s">
        <v>6593</v>
      </c>
      <c r="M63" s="44">
        <v>199900</v>
      </c>
      <c r="N63" s="22">
        <f t="shared" si="4"/>
        <v>0.3</v>
      </c>
      <c r="O63" s="34">
        <f t="shared" si="1"/>
        <v>139930</v>
      </c>
      <c r="P63" s="22" t="str">
        <f t="shared" si="5"/>
        <v>PERCENTAGE</v>
      </c>
    </row>
    <row r="64" spans="1:16" x14ac:dyDescent="0.35">
      <c r="A64" s="34" t="str">
        <f t="shared" si="2"/>
        <v>2025 SEPT B1 30%</v>
      </c>
      <c r="B64" s="42">
        <f t="shared" ref="B64:C64" si="65">B63</f>
        <v>46086</v>
      </c>
      <c r="C64" s="42">
        <f t="shared" si="65"/>
        <v>46092</v>
      </c>
      <c r="D64" s="34">
        <v>3321</v>
      </c>
      <c r="E64" s="34">
        <v>337</v>
      </c>
      <c r="F64" s="34">
        <v>4</v>
      </c>
      <c r="G64" s="24">
        <v>3</v>
      </c>
      <c r="H64" s="24">
        <v>81005</v>
      </c>
      <c r="I64" s="34" t="s">
        <v>2690</v>
      </c>
      <c r="J64" s="24">
        <v>55301387</v>
      </c>
      <c r="K64" s="24" t="s">
        <v>6592</v>
      </c>
      <c r="L64" s="24" t="s">
        <v>6594</v>
      </c>
      <c r="M64" s="44">
        <v>199900</v>
      </c>
      <c r="N64" s="22">
        <f t="shared" si="4"/>
        <v>0.3</v>
      </c>
      <c r="O64" s="34">
        <f t="shared" si="1"/>
        <v>139930</v>
      </c>
      <c r="P64" s="22" t="str">
        <f t="shared" si="5"/>
        <v>PERCENTAGE</v>
      </c>
    </row>
    <row r="65" spans="1:16" x14ac:dyDescent="0.35">
      <c r="A65" s="34" t="str">
        <f t="shared" si="2"/>
        <v>2025 SEPT B1 30%</v>
      </c>
      <c r="B65" s="42">
        <f t="shared" ref="B65:C65" si="66">B64</f>
        <v>46086</v>
      </c>
      <c r="C65" s="42">
        <f t="shared" si="66"/>
        <v>46092</v>
      </c>
      <c r="D65" s="34">
        <v>3321</v>
      </c>
      <c r="E65" s="34">
        <v>337</v>
      </c>
      <c r="F65" s="34">
        <v>4</v>
      </c>
      <c r="G65" s="24">
        <v>4</v>
      </c>
      <c r="H65" s="24">
        <v>81005</v>
      </c>
      <c r="I65" s="34" t="s">
        <v>2690</v>
      </c>
      <c r="J65" s="24">
        <v>55301396</v>
      </c>
      <c r="K65" s="24" t="s">
        <v>6592</v>
      </c>
      <c r="L65" s="24" t="s">
        <v>6596</v>
      </c>
      <c r="M65" s="44">
        <v>199900</v>
      </c>
      <c r="N65" s="22">
        <f t="shared" si="4"/>
        <v>0.3</v>
      </c>
      <c r="O65" s="34">
        <f t="shared" si="1"/>
        <v>139930</v>
      </c>
      <c r="P65" s="22" t="str">
        <f t="shared" si="5"/>
        <v>PERCENTAGE</v>
      </c>
    </row>
    <row r="66" spans="1:16" x14ac:dyDescent="0.35">
      <c r="A66" s="34" t="str">
        <f t="shared" si="2"/>
        <v>2025 SEPT B1 30%</v>
      </c>
      <c r="B66" s="42">
        <f t="shared" ref="B66:C66" si="67">B65</f>
        <v>46086</v>
      </c>
      <c r="C66" s="42">
        <f t="shared" si="67"/>
        <v>46092</v>
      </c>
      <c r="D66" s="34">
        <v>3321</v>
      </c>
      <c r="E66" s="34">
        <v>337</v>
      </c>
      <c r="F66" s="34">
        <v>4</v>
      </c>
      <c r="G66" s="24">
        <v>4</v>
      </c>
      <c r="H66" s="24">
        <v>81588</v>
      </c>
      <c r="I66" s="34" t="s">
        <v>2690</v>
      </c>
      <c r="J66" s="24">
        <v>55507692</v>
      </c>
      <c r="K66" s="24" t="s">
        <v>6580</v>
      </c>
      <c r="L66" s="24" t="s">
        <v>6585</v>
      </c>
      <c r="M66" s="44">
        <v>149900</v>
      </c>
      <c r="N66" s="22">
        <f t="shared" si="4"/>
        <v>0.3</v>
      </c>
      <c r="O66" s="34">
        <f t="shared" si="1"/>
        <v>104930</v>
      </c>
      <c r="P66" s="22" t="str">
        <f t="shared" si="5"/>
        <v>PERCENTAGE</v>
      </c>
    </row>
    <row r="67" spans="1:16" x14ac:dyDescent="0.35">
      <c r="A67" s="34" t="str">
        <f t="shared" si="2"/>
        <v>2025 SEPT B1 30%</v>
      </c>
      <c r="B67" s="42">
        <f t="shared" ref="B67:C67" si="68">B66</f>
        <v>46086</v>
      </c>
      <c r="C67" s="42">
        <f t="shared" si="68"/>
        <v>46092</v>
      </c>
      <c r="D67" s="34">
        <v>3321</v>
      </c>
      <c r="E67" s="34">
        <v>337</v>
      </c>
      <c r="F67" s="34">
        <v>4</v>
      </c>
      <c r="G67" s="24">
        <v>4</v>
      </c>
      <c r="H67" s="24">
        <v>81588</v>
      </c>
      <c r="I67" s="34" t="s">
        <v>2690</v>
      </c>
      <c r="J67" s="24">
        <v>55507709</v>
      </c>
      <c r="K67" s="24" t="s">
        <v>6580</v>
      </c>
      <c r="L67" s="24" t="s">
        <v>6581</v>
      </c>
      <c r="M67" s="44">
        <v>149900</v>
      </c>
      <c r="N67" s="22">
        <f t="shared" si="4"/>
        <v>0.3</v>
      </c>
      <c r="O67" s="34">
        <f t="shared" ref="O67:O71" si="69">M67-((30*M67)/100)</f>
        <v>104930</v>
      </c>
      <c r="P67" s="22" t="str">
        <f t="shared" si="5"/>
        <v>PERCENTAGE</v>
      </c>
    </row>
    <row r="68" spans="1:16" x14ac:dyDescent="0.35">
      <c r="A68" s="34" t="str">
        <f t="shared" ref="A68:A71" si="70">A67</f>
        <v>2025 SEPT B1 30%</v>
      </c>
      <c r="B68" s="42">
        <f t="shared" ref="B68:C68" si="71">B67</f>
        <v>46086</v>
      </c>
      <c r="C68" s="42">
        <f t="shared" si="71"/>
        <v>46092</v>
      </c>
      <c r="D68" s="34">
        <v>3321</v>
      </c>
      <c r="E68" s="34">
        <v>337</v>
      </c>
      <c r="F68" s="34">
        <v>4</v>
      </c>
      <c r="G68" s="24">
        <v>4</v>
      </c>
      <c r="H68" s="24">
        <v>81588</v>
      </c>
      <c r="I68" s="34" t="s">
        <v>2690</v>
      </c>
      <c r="J68" s="24">
        <v>55507718</v>
      </c>
      <c r="K68" s="24" t="s">
        <v>6580</v>
      </c>
      <c r="L68" s="24" t="s">
        <v>6582</v>
      </c>
      <c r="M68" s="44">
        <v>149900</v>
      </c>
      <c r="N68" s="22">
        <f t="shared" ref="N68:N71" si="72">N67</f>
        <v>0.3</v>
      </c>
      <c r="O68" s="34">
        <f t="shared" si="69"/>
        <v>104930</v>
      </c>
      <c r="P68" s="22" t="str">
        <f t="shared" ref="P68:P71" si="73">P67</f>
        <v>PERCENTAGE</v>
      </c>
    </row>
    <row r="69" spans="1:16" x14ac:dyDescent="0.35">
      <c r="A69" s="34" t="str">
        <f t="shared" si="70"/>
        <v>2025 SEPT B1 30%</v>
      </c>
      <c r="B69" s="42">
        <f t="shared" ref="B69:C69" si="74">B68</f>
        <v>46086</v>
      </c>
      <c r="C69" s="42">
        <f t="shared" si="74"/>
        <v>46092</v>
      </c>
      <c r="D69" s="34">
        <v>3321</v>
      </c>
      <c r="E69" s="34">
        <v>337</v>
      </c>
      <c r="F69" s="34">
        <v>4</v>
      </c>
      <c r="G69" s="24">
        <v>4</v>
      </c>
      <c r="H69" s="24">
        <v>81588</v>
      </c>
      <c r="I69" s="34" t="s">
        <v>2690</v>
      </c>
      <c r="J69" s="24">
        <v>55507727</v>
      </c>
      <c r="K69" s="24" t="s">
        <v>6580</v>
      </c>
      <c r="L69" s="24" t="s">
        <v>6583</v>
      </c>
      <c r="M69" s="44">
        <v>149900</v>
      </c>
      <c r="N69" s="22">
        <f t="shared" si="72"/>
        <v>0.3</v>
      </c>
      <c r="O69" s="34">
        <f t="shared" si="69"/>
        <v>104930</v>
      </c>
      <c r="P69" s="22" t="str">
        <f t="shared" si="73"/>
        <v>PERCENTAGE</v>
      </c>
    </row>
    <row r="70" spans="1:16" x14ac:dyDescent="0.35">
      <c r="A70" s="34" t="str">
        <f t="shared" si="70"/>
        <v>2025 SEPT B1 30%</v>
      </c>
      <c r="B70" s="42">
        <f t="shared" ref="B70:C70" si="75">B69</f>
        <v>46086</v>
      </c>
      <c r="C70" s="42">
        <f t="shared" si="75"/>
        <v>46092</v>
      </c>
      <c r="D70" s="34">
        <v>3321</v>
      </c>
      <c r="E70" s="34">
        <v>337</v>
      </c>
      <c r="F70" s="34">
        <v>4</v>
      </c>
      <c r="G70" s="24">
        <v>4</v>
      </c>
      <c r="H70" s="24">
        <v>81588</v>
      </c>
      <c r="I70" s="34" t="s">
        <v>2690</v>
      </c>
      <c r="J70" s="24">
        <v>55507736</v>
      </c>
      <c r="K70" s="24" t="s">
        <v>6580</v>
      </c>
      <c r="L70" s="24" t="s">
        <v>6586</v>
      </c>
      <c r="M70" s="44">
        <v>149900</v>
      </c>
      <c r="N70" s="22">
        <f t="shared" si="72"/>
        <v>0.3</v>
      </c>
      <c r="O70" s="34">
        <f t="shared" si="69"/>
        <v>104930</v>
      </c>
      <c r="P70" s="22" t="str">
        <f t="shared" si="73"/>
        <v>PERCENTAGE</v>
      </c>
    </row>
    <row r="71" spans="1:16" x14ac:dyDescent="0.35">
      <c r="A71" s="34" t="str">
        <f t="shared" si="70"/>
        <v>2025 SEPT B1 30%</v>
      </c>
      <c r="B71" s="42">
        <f t="shared" ref="B71:C71" si="76">B70</f>
        <v>46086</v>
      </c>
      <c r="C71" s="42">
        <f t="shared" si="76"/>
        <v>46092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55507745</v>
      </c>
      <c r="K71" s="24" t="s">
        <v>6580</v>
      </c>
      <c r="L71" s="24" t="s">
        <v>6584</v>
      </c>
      <c r="M71" s="44">
        <v>149900</v>
      </c>
      <c r="N71" s="22">
        <f t="shared" si="72"/>
        <v>0.3</v>
      </c>
      <c r="O71" s="34">
        <f t="shared" si="69"/>
        <v>104930</v>
      </c>
      <c r="P71" s="22" t="str">
        <f t="shared" si="73"/>
        <v>PERCENTAGE</v>
      </c>
    </row>
  </sheetData>
  <autoFilter ref="A1:P1" xr:uid="{A98DA6A5-931F-4C4C-A73C-7E8B7CE9A86D}"/>
  <phoneticPr fontId="8" type="noConversion"/>
  <conditionalFormatting sqref="J1">
    <cfRule type="duplicateValues" dxfId="49" priority="61"/>
    <cfRule type="duplicateValues" dxfId="48" priority="62"/>
    <cfRule type="duplicateValues" dxfId="47" priority="63"/>
  </conditionalFormatting>
  <pageMargins left="0.7" right="0.7" top="0.75" bottom="0.75" header="0.3" footer="0.3"/>
  <pageSetup paperSize="9" orientation="portrait" horizontalDpi="0" verticalDpi="0"/>
  <ignoredErrors>
    <ignoredError sqref="O3:O71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FC4-84AE-4D68-B880-F1EA0FD8DC67}">
  <dimension ref="A1:P87"/>
  <sheetViews>
    <sheetView zoomScale="75" zoomScaleNormal="71" workbookViewId="0">
      <pane ySplit="1" topLeftCell="A2" activePane="bottomLeft" state="frozen"/>
      <selection activeCell="M23" sqref="M23"/>
      <selection pane="bottomLeft" activeCell="B8" sqref="B8"/>
    </sheetView>
  </sheetViews>
  <sheetFormatPr defaultColWidth="8.81640625" defaultRowHeight="14.5" x14ac:dyDescent="0.35"/>
  <cols>
    <col min="1" max="1" width="23.363281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6742</v>
      </c>
      <c r="B2" s="42">
        <v>46086</v>
      </c>
      <c r="C2" s="42">
        <v>46092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55301225</v>
      </c>
      <c r="K2" s="24" t="s">
        <v>6222</v>
      </c>
      <c r="L2" s="24" t="s">
        <v>6228</v>
      </c>
      <c r="M2" s="44">
        <v>99900</v>
      </c>
      <c r="N2" s="63" t="s">
        <v>2569</v>
      </c>
      <c r="O2" s="36" t="s">
        <v>2577</v>
      </c>
      <c r="P2" s="63" t="s">
        <v>2569</v>
      </c>
    </row>
    <row r="3" spans="1:16" x14ac:dyDescent="0.35">
      <c r="A3" s="34" t="str">
        <f>A2</f>
        <v>2025 AUG B1G1</v>
      </c>
      <c r="B3" s="35">
        <f>B2</f>
        <v>46086</v>
      </c>
      <c r="C3" s="35">
        <f>C2</f>
        <v>46092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55301234</v>
      </c>
      <c r="K3" s="24" t="s">
        <v>6222</v>
      </c>
      <c r="L3" s="24" t="s">
        <v>6223</v>
      </c>
      <c r="M3" s="44">
        <v>99900</v>
      </c>
      <c r="N3" s="63" t="s">
        <v>2569</v>
      </c>
      <c r="O3" s="36" t="str">
        <f>O2</f>
        <v>B1G1</v>
      </c>
      <c r="P3" s="63" t="s">
        <v>2569</v>
      </c>
    </row>
    <row r="4" spans="1:16" x14ac:dyDescent="0.35">
      <c r="A4" s="34" t="str">
        <f t="shared" ref="A4:A67" si="0">A3</f>
        <v>2025 AUG B1G1</v>
      </c>
      <c r="B4" s="42">
        <f t="shared" ref="B4:B35" si="1">B3</f>
        <v>46086</v>
      </c>
      <c r="C4" s="42">
        <f t="shared" ref="C4:C35" si="2">C3</f>
        <v>46092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55301243</v>
      </c>
      <c r="K4" s="24" t="s">
        <v>6222</v>
      </c>
      <c r="L4" s="24" t="s">
        <v>6225</v>
      </c>
      <c r="M4" s="44">
        <v>99900</v>
      </c>
      <c r="N4" s="63" t="s">
        <v>2569</v>
      </c>
      <c r="O4" s="36" t="str">
        <f t="shared" ref="O4:O67" si="3">O3</f>
        <v>B1G1</v>
      </c>
      <c r="P4" s="63" t="s">
        <v>2569</v>
      </c>
    </row>
    <row r="5" spans="1:16" x14ac:dyDescent="0.35">
      <c r="A5" s="34" t="str">
        <f t="shared" si="0"/>
        <v>2025 AUG B1G1</v>
      </c>
      <c r="B5" s="42">
        <f t="shared" si="1"/>
        <v>46086</v>
      </c>
      <c r="C5" s="42">
        <f t="shared" si="2"/>
        <v>46092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55301252</v>
      </c>
      <c r="K5" s="24" t="s">
        <v>6222</v>
      </c>
      <c r="L5" s="24" t="s">
        <v>6226</v>
      </c>
      <c r="M5" s="44">
        <v>99900</v>
      </c>
      <c r="N5" s="63" t="s">
        <v>2569</v>
      </c>
      <c r="O5" s="36" t="str">
        <f t="shared" si="3"/>
        <v>B1G1</v>
      </c>
      <c r="P5" s="63" t="s">
        <v>2569</v>
      </c>
    </row>
    <row r="6" spans="1:16" x14ac:dyDescent="0.35">
      <c r="A6" s="34" t="str">
        <f t="shared" si="0"/>
        <v>2025 AUG B1G1</v>
      </c>
      <c r="B6" s="42">
        <f t="shared" si="1"/>
        <v>46086</v>
      </c>
      <c r="C6" s="42">
        <f t="shared" si="2"/>
        <v>46092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55301261</v>
      </c>
      <c r="K6" s="24" t="s">
        <v>6222</v>
      </c>
      <c r="L6" s="24" t="s">
        <v>6224</v>
      </c>
      <c r="M6" s="44">
        <v>99900</v>
      </c>
      <c r="N6" s="63" t="s">
        <v>2569</v>
      </c>
      <c r="O6" s="36" t="str">
        <f t="shared" si="3"/>
        <v>B1G1</v>
      </c>
      <c r="P6" s="63" t="s">
        <v>2569</v>
      </c>
    </row>
    <row r="7" spans="1:16" x14ac:dyDescent="0.35">
      <c r="A7" s="34" t="str">
        <f t="shared" si="0"/>
        <v>2025 AUG B1G1</v>
      </c>
      <c r="B7" s="42">
        <f t="shared" si="1"/>
        <v>46086</v>
      </c>
      <c r="C7" s="42">
        <f t="shared" si="2"/>
        <v>46092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55301270</v>
      </c>
      <c r="K7" s="24" t="s">
        <v>6222</v>
      </c>
      <c r="L7" s="24" t="s">
        <v>6227</v>
      </c>
      <c r="M7" s="44">
        <v>99900</v>
      </c>
      <c r="N7" s="63" t="s">
        <v>2569</v>
      </c>
      <c r="O7" s="36" t="str">
        <f t="shared" si="3"/>
        <v>B1G1</v>
      </c>
      <c r="P7" s="63" t="s">
        <v>2569</v>
      </c>
    </row>
    <row r="8" spans="1:16" x14ac:dyDescent="0.35">
      <c r="A8" s="34" t="str">
        <f t="shared" si="0"/>
        <v>2025 AUG B1G1</v>
      </c>
      <c r="B8" s="42">
        <f t="shared" si="1"/>
        <v>46086</v>
      </c>
      <c r="C8" s="42">
        <f t="shared" si="2"/>
        <v>46092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55507450</v>
      </c>
      <c r="K8" s="24" t="s">
        <v>6251</v>
      </c>
      <c r="L8" s="24" t="s">
        <v>6254</v>
      </c>
      <c r="M8" s="44">
        <v>99900</v>
      </c>
      <c r="N8" s="63" t="s">
        <v>2569</v>
      </c>
      <c r="O8" s="36" t="str">
        <f t="shared" si="3"/>
        <v>B1G1</v>
      </c>
      <c r="P8" s="63" t="s">
        <v>2569</v>
      </c>
    </row>
    <row r="9" spans="1:16" x14ac:dyDescent="0.35">
      <c r="A9" s="34" t="str">
        <f t="shared" si="0"/>
        <v>2025 AUG B1G1</v>
      </c>
      <c r="B9" s="42">
        <f t="shared" si="1"/>
        <v>46086</v>
      </c>
      <c r="C9" s="42">
        <f t="shared" si="2"/>
        <v>46092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55507469</v>
      </c>
      <c r="K9" s="24" t="s">
        <v>6251</v>
      </c>
      <c r="L9" s="24" t="s">
        <v>6252</v>
      </c>
      <c r="M9" s="44">
        <v>99900</v>
      </c>
      <c r="N9" s="63" t="s">
        <v>2569</v>
      </c>
      <c r="O9" s="36" t="str">
        <f t="shared" si="3"/>
        <v>B1G1</v>
      </c>
      <c r="P9" s="63" t="s">
        <v>2569</v>
      </c>
    </row>
    <row r="10" spans="1:16" x14ac:dyDescent="0.35">
      <c r="A10" s="34" t="str">
        <f t="shared" si="0"/>
        <v>2025 AUG B1G1</v>
      </c>
      <c r="B10" s="42">
        <f t="shared" si="1"/>
        <v>46086</v>
      </c>
      <c r="C10" s="42">
        <f t="shared" si="2"/>
        <v>46092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55507478</v>
      </c>
      <c r="K10" s="24" t="s">
        <v>6251</v>
      </c>
      <c r="L10" s="24" t="s">
        <v>6253</v>
      </c>
      <c r="M10" s="44">
        <v>99900</v>
      </c>
      <c r="N10" s="63" t="s">
        <v>2569</v>
      </c>
      <c r="O10" s="36" t="str">
        <f t="shared" si="3"/>
        <v>B1G1</v>
      </c>
      <c r="P10" s="63" t="s">
        <v>2569</v>
      </c>
    </row>
    <row r="11" spans="1:16" x14ac:dyDescent="0.35">
      <c r="A11" s="34" t="str">
        <f t="shared" si="0"/>
        <v>2025 AUG B1G1</v>
      </c>
      <c r="B11" s="42">
        <f t="shared" si="1"/>
        <v>46086</v>
      </c>
      <c r="C11" s="42">
        <f t="shared" si="2"/>
        <v>46092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55507487</v>
      </c>
      <c r="K11" s="24" t="s">
        <v>6251</v>
      </c>
      <c r="L11" s="24" t="s">
        <v>6255</v>
      </c>
      <c r="M11" s="44">
        <v>99900</v>
      </c>
      <c r="N11" s="63" t="s">
        <v>2569</v>
      </c>
      <c r="O11" s="36" t="str">
        <f t="shared" si="3"/>
        <v>B1G1</v>
      </c>
      <c r="P11" s="63" t="s">
        <v>2569</v>
      </c>
    </row>
    <row r="12" spans="1:16" x14ac:dyDescent="0.35">
      <c r="A12" s="34" t="str">
        <f t="shared" si="0"/>
        <v>2025 AUG B1G1</v>
      </c>
      <c r="B12" s="42">
        <f t="shared" si="1"/>
        <v>46086</v>
      </c>
      <c r="C12" s="42">
        <f t="shared" si="2"/>
        <v>46092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55507192</v>
      </c>
      <c r="K12" s="24" t="s">
        <v>6234</v>
      </c>
      <c r="L12" s="24" t="s">
        <v>6236</v>
      </c>
      <c r="M12" s="44">
        <v>99900</v>
      </c>
      <c r="N12" s="63" t="s">
        <v>2569</v>
      </c>
      <c r="O12" s="36" t="str">
        <f t="shared" si="3"/>
        <v>B1G1</v>
      </c>
      <c r="P12" s="63" t="s">
        <v>2569</v>
      </c>
    </row>
    <row r="13" spans="1:16" x14ac:dyDescent="0.35">
      <c r="A13" s="34" t="str">
        <f t="shared" si="0"/>
        <v>2025 AUG B1G1</v>
      </c>
      <c r="B13" s="42">
        <f t="shared" si="1"/>
        <v>46086</v>
      </c>
      <c r="C13" s="42">
        <f t="shared" si="2"/>
        <v>46092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55507209</v>
      </c>
      <c r="K13" s="24" t="s">
        <v>6234</v>
      </c>
      <c r="L13" s="24" t="s">
        <v>6235</v>
      </c>
      <c r="M13" s="44">
        <v>99900</v>
      </c>
      <c r="N13" s="63" t="s">
        <v>2569</v>
      </c>
      <c r="O13" s="36" t="str">
        <f t="shared" si="3"/>
        <v>B1G1</v>
      </c>
      <c r="P13" s="63" t="s">
        <v>2569</v>
      </c>
    </row>
    <row r="14" spans="1:16" x14ac:dyDescent="0.35">
      <c r="A14" s="34" t="str">
        <f t="shared" si="0"/>
        <v>2025 AUG B1G1</v>
      </c>
      <c r="B14" s="42">
        <f t="shared" si="1"/>
        <v>46086</v>
      </c>
      <c r="C14" s="42">
        <f t="shared" si="2"/>
        <v>46092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55507218</v>
      </c>
      <c r="K14" s="24" t="s">
        <v>6234</v>
      </c>
      <c r="L14" s="24" t="s">
        <v>6240</v>
      </c>
      <c r="M14" s="44">
        <v>99900</v>
      </c>
      <c r="N14" s="63" t="s">
        <v>2569</v>
      </c>
      <c r="O14" s="36" t="str">
        <f t="shared" si="3"/>
        <v>B1G1</v>
      </c>
      <c r="P14" s="63" t="s">
        <v>2569</v>
      </c>
    </row>
    <row r="15" spans="1:16" x14ac:dyDescent="0.35">
      <c r="A15" s="34" t="str">
        <f t="shared" si="0"/>
        <v>2025 AUG B1G1</v>
      </c>
      <c r="B15" s="42">
        <f t="shared" si="1"/>
        <v>46086</v>
      </c>
      <c r="C15" s="42">
        <f t="shared" si="2"/>
        <v>46092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55507227</v>
      </c>
      <c r="K15" s="24" t="s">
        <v>6234</v>
      </c>
      <c r="L15" s="24" t="s">
        <v>6237</v>
      </c>
      <c r="M15" s="44">
        <v>99900</v>
      </c>
      <c r="N15" s="63" t="s">
        <v>2569</v>
      </c>
      <c r="O15" s="36" t="str">
        <f t="shared" si="3"/>
        <v>B1G1</v>
      </c>
      <c r="P15" s="63" t="s">
        <v>2569</v>
      </c>
    </row>
    <row r="16" spans="1:16" x14ac:dyDescent="0.35">
      <c r="A16" s="34" t="str">
        <f t="shared" si="0"/>
        <v>2025 AUG B1G1</v>
      </c>
      <c r="B16" s="42">
        <f t="shared" si="1"/>
        <v>46086</v>
      </c>
      <c r="C16" s="42">
        <f t="shared" si="2"/>
        <v>46092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55507236</v>
      </c>
      <c r="K16" s="24" t="s">
        <v>6234</v>
      </c>
      <c r="L16" s="24" t="s">
        <v>6238</v>
      </c>
      <c r="M16" s="44">
        <v>99900</v>
      </c>
      <c r="N16" s="63" t="s">
        <v>2569</v>
      </c>
      <c r="O16" s="36" t="str">
        <f t="shared" si="3"/>
        <v>B1G1</v>
      </c>
      <c r="P16" s="63" t="s">
        <v>2569</v>
      </c>
    </row>
    <row r="17" spans="1:16" x14ac:dyDescent="0.35">
      <c r="A17" s="34" t="str">
        <f t="shared" si="0"/>
        <v>2025 AUG B1G1</v>
      </c>
      <c r="B17" s="42">
        <f t="shared" si="1"/>
        <v>46086</v>
      </c>
      <c r="C17" s="42">
        <f t="shared" si="2"/>
        <v>46092</v>
      </c>
      <c r="D17" s="34">
        <v>3321</v>
      </c>
      <c r="E17" s="34">
        <v>337</v>
      </c>
      <c r="F17" s="34">
        <v>4</v>
      </c>
      <c r="G17" s="24">
        <v>1</v>
      </c>
      <c r="H17" s="24">
        <v>81588</v>
      </c>
      <c r="I17" s="34" t="s">
        <v>2690</v>
      </c>
      <c r="J17" s="24">
        <v>55507245</v>
      </c>
      <c r="K17" s="24" t="s">
        <v>6234</v>
      </c>
      <c r="L17" s="24" t="s">
        <v>6239</v>
      </c>
      <c r="M17" s="44">
        <v>99900</v>
      </c>
      <c r="N17" s="63" t="s">
        <v>2569</v>
      </c>
      <c r="O17" s="36" t="str">
        <f t="shared" si="3"/>
        <v>B1G1</v>
      </c>
      <c r="P17" s="63" t="s">
        <v>2569</v>
      </c>
    </row>
    <row r="18" spans="1:16" x14ac:dyDescent="0.35">
      <c r="A18" s="34" t="str">
        <f t="shared" si="0"/>
        <v>2025 AUG B1G1</v>
      </c>
      <c r="B18" s="42">
        <f t="shared" si="1"/>
        <v>46086</v>
      </c>
      <c r="C18" s="42">
        <f t="shared" si="2"/>
        <v>46092</v>
      </c>
      <c r="D18" s="34">
        <v>3321</v>
      </c>
      <c r="E18" s="34">
        <v>337</v>
      </c>
      <c r="F18" s="34">
        <v>4</v>
      </c>
      <c r="G18" s="24">
        <v>1</v>
      </c>
      <c r="H18" s="24">
        <v>81588</v>
      </c>
      <c r="I18" s="34" t="s">
        <v>2690</v>
      </c>
      <c r="J18" s="24">
        <v>54954791</v>
      </c>
      <c r="K18" s="24" t="s">
        <v>6246</v>
      </c>
      <c r="L18" s="24" t="s">
        <v>6249</v>
      </c>
      <c r="M18" s="44">
        <v>99900</v>
      </c>
      <c r="N18" s="63" t="s">
        <v>2569</v>
      </c>
      <c r="O18" s="36" t="str">
        <f t="shared" si="3"/>
        <v>B1G1</v>
      </c>
      <c r="P18" s="63" t="s">
        <v>2569</v>
      </c>
    </row>
    <row r="19" spans="1:16" x14ac:dyDescent="0.35">
      <c r="A19" s="34" t="str">
        <f t="shared" si="0"/>
        <v>2025 AUG B1G1</v>
      </c>
      <c r="B19" s="42">
        <f t="shared" si="1"/>
        <v>46086</v>
      </c>
      <c r="C19" s="42">
        <f t="shared" si="2"/>
        <v>46092</v>
      </c>
      <c r="D19" s="34">
        <v>3321</v>
      </c>
      <c r="E19" s="34">
        <v>337</v>
      </c>
      <c r="F19" s="34">
        <v>4</v>
      </c>
      <c r="G19" s="24">
        <v>1</v>
      </c>
      <c r="H19" s="24">
        <v>81588</v>
      </c>
      <c r="I19" s="34" t="s">
        <v>2690</v>
      </c>
      <c r="J19" s="24">
        <v>54954808</v>
      </c>
      <c r="K19" s="24" t="s">
        <v>6246</v>
      </c>
      <c r="L19" s="24" t="s">
        <v>6247</v>
      </c>
      <c r="M19" s="44">
        <v>99900</v>
      </c>
      <c r="N19" s="63" t="s">
        <v>2569</v>
      </c>
      <c r="O19" s="36" t="str">
        <f t="shared" si="3"/>
        <v>B1G1</v>
      </c>
      <c r="P19" s="63" t="s">
        <v>2569</v>
      </c>
    </row>
    <row r="20" spans="1:16" x14ac:dyDescent="0.35">
      <c r="A20" s="34" t="str">
        <f t="shared" si="0"/>
        <v>2025 AUG B1G1</v>
      </c>
      <c r="B20" s="42">
        <f t="shared" si="1"/>
        <v>46086</v>
      </c>
      <c r="C20" s="42">
        <f t="shared" si="2"/>
        <v>46092</v>
      </c>
      <c r="D20" s="34">
        <v>3321</v>
      </c>
      <c r="E20" s="34">
        <v>337</v>
      </c>
      <c r="F20" s="34">
        <v>4</v>
      </c>
      <c r="G20" s="24">
        <v>1</v>
      </c>
      <c r="H20" s="24">
        <v>81588</v>
      </c>
      <c r="I20" s="34" t="s">
        <v>2690</v>
      </c>
      <c r="J20" s="24">
        <v>54954817</v>
      </c>
      <c r="K20" s="24" t="s">
        <v>6246</v>
      </c>
      <c r="L20" s="24" t="s">
        <v>6248</v>
      </c>
      <c r="M20" s="44">
        <v>99900</v>
      </c>
      <c r="N20" s="63" t="s">
        <v>2569</v>
      </c>
      <c r="O20" s="36" t="str">
        <f t="shared" si="3"/>
        <v>B1G1</v>
      </c>
      <c r="P20" s="63" t="s">
        <v>2569</v>
      </c>
    </row>
    <row r="21" spans="1:16" x14ac:dyDescent="0.35">
      <c r="A21" s="34" t="str">
        <f t="shared" si="0"/>
        <v>2025 AUG B1G1</v>
      </c>
      <c r="B21" s="42">
        <f t="shared" si="1"/>
        <v>46086</v>
      </c>
      <c r="C21" s="42">
        <f t="shared" si="2"/>
        <v>46092</v>
      </c>
      <c r="D21" s="34">
        <v>3321</v>
      </c>
      <c r="E21" s="34">
        <v>337</v>
      </c>
      <c r="F21" s="34">
        <v>4</v>
      </c>
      <c r="G21" s="24">
        <v>1</v>
      </c>
      <c r="H21" s="24">
        <v>81588</v>
      </c>
      <c r="I21" s="34" t="s">
        <v>2690</v>
      </c>
      <c r="J21" s="24">
        <v>54954826</v>
      </c>
      <c r="K21" s="24" t="s">
        <v>6246</v>
      </c>
      <c r="L21" s="24" t="s">
        <v>6250</v>
      </c>
      <c r="M21" s="44">
        <v>99900</v>
      </c>
      <c r="N21" s="63" t="s">
        <v>2569</v>
      </c>
      <c r="O21" s="36" t="str">
        <f t="shared" si="3"/>
        <v>B1G1</v>
      </c>
      <c r="P21" s="63" t="s">
        <v>2569</v>
      </c>
    </row>
    <row r="22" spans="1:16" x14ac:dyDescent="0.35">
      <c r="A22" s="34" t="str">
        <f t="shared" si="0"/>
        <v>2025 AUG B1G1</v>
      </c>
      <c r="B22" s="42">
        <f t="shared" si="1"/>
        <v>46086</v>
      </c>
      <c r="C22" s="42">
        <f t="shared" si="2"/>
        <v>46092</v>
      </c>
      <c r="D22" s="34">
        <v>3321</v>
      </c>
      <c r="E22" s="34">
        <v>337</v>
      </c>
      <c r="F22" s="34">
        <v>4</v>
      </c>
      <c r="G22" s="24">
        <v>1</v>
      </c>
      <c r="H22" s="24">
        <v>81588</v>
      </c>
      <c r="I22" s="34" t="s">
        <v>2690</v>
      </c>
      <c r="J22" s="24">
        <v>55507138</v>
      </c>
      <c r="K22" s="24" t="s">
        <v>6261</v>
      </c>
      <c r="L22" s="24" t="s">
        <v>6264</v>
      </c>
      <c r="M22" s="44">
        <v>99900</v>
      </c>
      <c r="N22" s="63" t="s">
        <v>2569</v>
      </c>
      <c r="O22" s="36" t="str">
        <f t="shared" si="3"/>
        <v>B1G1</v>
      </c>
      <c r="P22" s="63" t="s">
        <v>2569</v>
      </c>
    </row>
    <row r="23" spans="1:16" x14ac:dyDescent="0.35">
      <c r="A23" s="34" t="str">
        <f t="shared" si="0"/>
        <v>2025 AUG B1G1</v>
      </c>
      <c r="B23" s="42">
        <f t="shared" si="1"/>
        <v>46086</v>
      </c>
      <c r="C23" s="42">
        <f t="shared" si="2"/>
        <v>46092</v>
      </c>
      <c r="D23" s="34">
        <v>3321</v>
      </c>
      <c r="E23" s="34">
        <v>337</v>
      </c>
      <c r="F23" s="34">
        <v>4</v>
      </c>
      <c r="G23" s="24">
        <v>1</v>
      </c>
      <c r="H23" s="24">
        <v>81588</v>
      </c>
      <c r="I23" s="34" t="s">
        <v>2690</v>
      </c>
      <c r="J23" s="24">
        <v>55507147</v>
      </c>
      <c r="K23" s="24" t="s">
        <v>6261</v>
      </c>
      <c r="L23" s="24" t="s">
        <v>6262</v>
      </c>
      <c r="M23" s="44">
        <v>99900</v>
      </c>
      <c r="N23" s="63" t="s">
        <v>2569</v>
      </c>
      <c r="O23" s="36" t="str">
        <f t="shared" si="3"/>
        <v>B1G1</v>
      </c>
      <c r="P23" s="63" t="s">
        <v>2569</v>
      </c>
    </row>
    <row r="24" spans="1:16" x14ac:dyDescent="0.35">
      <c r="A24" s="34" t="str">
        <f t="shared" si="0"/>
        <v>2025 AUG B1G1</v>
      </c>
      <c r="B24" s="42">
        <f t="shared" si="1"/>
        <v>46086</v>
      </c>
      <c r="C24" s="42">
        <f t="shared" si="2"/>
        <v>46092</v>
      </c>
      <c r="D24" s="34">
        <v>3321</v>
      </c>
      <c r="E24" s="34">
        <v>337</v>
      </c>
      <c r="F24" s="34">
        <v>4</v>
      </c>
      <c r="G24" s="24">
        <v>1</v>
      </c>
      <c r="H24" s="24">
        <v>81588</v>
      </c>
      <c r="I24" s="34" t="s">
        <v>2690</v>
      </c>
      <c r="J24" s="24">
        <v>55507156</v>
      </c>
      <c r="K24" s="24" t="s">
        <v>6261</v>
      </c>
      <c r="L24" s="24" t="s">
        <v>6263</v>
      </c>
      <c r="M24" s="44">
        <v>99900</v>
      </c>
      <c r="N24" s="63" t="s">
        <v>2569</v>
      </c>
      <c r="O24" s="36" t="str">
        <f t="shared" si="3"/>
        <v>B1G1</v>
      </c>
      <c r="P24" s="63" t="s">
        <v>2569</v>
      </c>
    </row>
    <row r="25" spans="1:16" x14ac:dyDescent="0.35">
      <c r="A25" s="34" t="str">
        <f t="shared" si="0"/>
        <v>2025 AUG B1G1</v>
      </c>
      <c r="B25" s="42">
        <f t="shared" si="1"/>
        <v>46086</v>
      </c>
      <c r="C25" s="42">
        <f t="shared" si="2"/>
        <v>46092</v>
      </c>
      <c r="D25" s="34">
        <v>3321</v>
      </c>
      <c r="E25" s="34">
        <v>337</v>
      </c>
      <c r="F25" s="34">
        <v>4</v>
      </c>
      <c r="G25" s="24">
        <v>1</v>
      </c>
      <c r="H25" s="24">
        <v>81588</v>
      </c>
      <c r="I25" s="34" t="s">
        <v>2690</v>
      </c>
      <c r="J25" s="24">
        <v>55507165</v>
      </c>
      <c r="K25" s="24" t="s">
        <v>6261</v>
      </c>
      <c r="L25" s="24" t="s">
        <v>6266</v>
      </c>
      <c r="M25" s="44">
        <v>99900</v>
      </c>
      <c r="N25" s="63" t="s">
        <v>2569</v>
      </c>
      <c r="O25" s="36" t="str">
        <f t="shared" si="3"/>
        <v>B1G1</v>
      </c>
      <c r="P25" s="63" t="s">
        <v>2569</v>
      </c>
    </row>
    <row r="26" spans="1:16" x14ac:dyDescent="0.35">
      <c r="A26" s="34" t="str">
        <f t="shared" si="0"/>
        <v>2025 AUG B1G1</v>
      </c>
      <c r="B26" s="42">
        <f t="shared" si="1"/>
        <v>46086</v>
      </c>
      <c r="C26" s="42">
        <f t="shared" si="2"/>
        <v>46092</v>
      </c>
      <c r="D26" s="34">
        <v>3321</v>
      </c>
      <c r="E26" s="34">
        <v>337</v>
      </c>
      <c r="F26" s="34">
        <v>4</v>
      </c>
      <c r="G26" s="24">
        <v>1</v>
      </c>
      <c r="H26" s="24">
        <v>81588</v>
      </c>
      <c r="I26" s="34" t="s">
        <v>2690</v>
      </c>
      <c r="J26" s="24">
        <v>55507174</v>
      </c>
      <c r="K26" s="24" t="s">
        <v>6261</v>
      </c>
      <c r="L26" s="24" t="s">
        <v>6267</v>
      </c>
      <c r="M26" s="44">
        <v>99900</v>
      </c>
      <c r="N26" s="63" t="s">
        <v>2569</v>
      </c>
      <c r="O26" s="36" t="str">
        <f t="shared" si="3"/>
        <v>B1G1</v>
      </c>
      <c r="P26" s="63" t="s">
        <v>2569</v>
      </c>
    </row>
    <row r="27" spans="1:16" x14ac:dyDescent="0.35">
      <c r="A27" s="34" t="str">
        <f t="shared" si="0"/>
        <v>2025 AUG B1G1</v>
      </c>
      <c r="B27" s="42">
        <f t="shared" si="1"/>
        <v>46086</v>
      </c>
      <c r="C27" s="42">
        <f t="shared" si="2"/>
        <v>46092</v>
      </c>
      <c r="D27" s="34">
        <v>3321</v>
      </c>
      <c r="E27" s="34">
        <v>337</v>
      </c>
      <c r="F27" s="34">
        <v>4</v>
      </c>
      <c r="G27" s="24">
        <v>1</v>
      </c>
      <c r="H27" s="24">
        <v>81588</v>
      </c>
      <c r="I27" s="34" t="s">
        <v>2690</v>
      </c>
      <c r="J27" s="24">
        <v>55507183</v>
      </c>
      <c r="K27" s="24" t="s">
        <v>6261</v>
      </c>
      <c r="L27" s="24" t="s">
        <v>6265</v>
      </c>
      <c r="M27" s="44">
        <v>99900</v>
      </c>
      <c r="N27" s="63" t="s">
        <v>2569</v>
      </c>
      <c r="O27" s="36" t="str">
        <f t="shared" si="3"/>
        <v>B1G1</v>
      </c>
      <c r="P27" s="63" t="s">
        <v>2569</v>
      </c>
    </row>
    <row r="28" spans="1:16" x14ac:dyDescent="0.35">
      <c r="A28" s="34" t="str">
        <f t="shared" si="0"/>
        <v>2025 AUG B1G1</v>
      </c>
      <c r="B28" s="42">
        <f t="shared" si="1"/>
        <v>46086</v>
      </c>
      <c r="C28" s="42">
        <f t="shared" si="2"/>
        <v>46092</v>
      </c>
      <c r="D28" s="34">
        <v>3321</v>
      </c>
      <c r="E28" s="34">
        <v>337</v>
      </c>
      <c r="F28" s="34">
        <v>4</v>
      </c>
      <c r="G28" s="24">
        <v>1</v>
      </c>
      <c r="H28" s="24">
        <v>81588</v>
      </c>
      <c r="I28" s="34" t="s">
        <v>2690</v>
      </c>
      <c r="J28" s="24">
        <v>55507254</v>
      </c>
      <c r="K28" s="24" t="s">
        <v>6229</v>
      </c>
      <c r="L28" s="24" t="s">
        <v>6231</v>
      </c>
      <c r="M28" s="44">
        <v>99900</v>
      </c>
      <c r="N28" s="63" t="s">
        <v>2569</v>
      </c>
      <c r="O28" s="36" t="str">
        <f t="shared" si="3"/>
        <v>B1G1</v>
      </c>
      <c r="P28" s="63" t="s">
        <v>2569</v>
      </c>
    </row>
    <row r="29" spans="1:16" x14ac:dyDescent="0.35">
      <c r="A29" s="34" t="str">
        <f t="shared" si="0"/>
        <v>2025 AUG B1G1</v>
      </c>
      <c r="B29" s="42">
        <f t="shared" si="1"/>
        <v>46086</v>
      </c>
      <c r="C29" s="42">
        <f t="shared" si="2"/>
        <v>46092</v>
      </c>
      <c r="D29" s="34">
        <v>3321</v>
      </c>
      <c r="E29" s="34">
        <v>337</v>
      </c>
      <c r="F29" s="34">
        <v>4</v>
      </c>
      <c r="G29" s="24">
        <v>1</v>
      </c>
      <c r="H29" s="24">
        <v>81588</v>
      </c>
      <c r="I29" s="34" t="s">
        <v>2690</v>
      </c>
      <c r="J29" s="24">
        <v>55507263</v>
      </c>
      <c r="K29" s="24" t="s">
        <v>6229</v>
      </c>
      <c r="L29" s="24" t="s">
        <v>6230</v>
      </c>
      <c r="M29" s="44">
        <v>99900</v>
      </c>
      <c r="N29" s="63" t="s">
        <v>2569</v>
      </c>
      <c r="O29" s="36" t="str">
        <f t="shared" si="3"/>
        <v>B1G1</v>
      </c>
      <c r="P29" s="63" t="s">
        <v>2569</v>
      </c>
    </row>
    <row r="30" spans="1:16" x14ac:dyDescent="0.35">
      <c r="A30" s="34" t="str">
        <f t="shared" si="0"/>
        <v>2025 AUG B1G1</v>
      </c>
      <c r="B30" s="42">
        <f t="shared" si="1"/>
        <v>46086</v>
      </c>
      <c r="C30" s="42">
        <f t="shared" si="2"/>
        <v>46092</v>
      </c>
      <c r="D30" s="34">
        <v>3321</v>
      </c>
      <c r="E30" s="34">
        <v>337</v>
      </c>
      <c r="F30" s="34">
        <v>4</v>
      </c>
      <c r="G30" s="24">
        <v>1</v>
      </c>
      <c r="H30" s="24">
        <v>81588</v>
      </c>
      <c r="I30" s="34" t="s">
        <v>2690</v>
      </c>
      <c r="J30" s="24">
        <v>55507272</v>
      </c>
      <c r="K30" s="24" t="s">
        <v>6229</v>
      </c>
      <c r="L30" s="24" t="s">
        <v>6233</v>
      </c>
      <c r="M30" s="44">
        <v>99900</v>
      </c>
      <c r="N30" s="63" t="s">
        <v>2569</v>
      </c>
      <c r="O30" s="36" t="str">
        <f t="shared" si="3"/>
        <v>B1G1</v>
      </c>
      <c r="P30" s="63" t="s">
        <v>2569</v>
      </c>
    </row>
    <row r="31" spans="1:16" x14ac:dyDescent="0.35">
      <c r="A31" s="34" t="str">
        <f t="shared" si="0"/>
        <v>2025 AUG B1G1</v>
      </c>
      <c r="B31" s="42">
        <f t="shared" si="1"/>
        <v>46086</v>
      </c>
      <c r="C31" s="42">
        <f t="shared" si="2"/>
        <v>46092</v>
      </c>
      <c r="D31" s="34">
        <v>3321</v>
      </c>
      <c r="E31" s="34">
        <v>337</v>
      </c>
      <c r="F31" s="34">
        <v>4</v>
      </c>
      <c r="G31" s="24">
        <v>1</v>
      </c>
      <c r="H31" s="24">
        <v>81588</v>
      </c>
      <c r="I31" s="34" t="s">
        <v>2690</v>
      </c>
      <c r="J31" s="24">
        <v>55507281</v>
      </c>
      <c r="K31" s="24" t="s">
        <v>6229</v>
      </c>
      <c r="L31" s="24" t="s">
        <v>6232</v>
      </c>
      <c r="M31" s="44">
        <v>99900</v>
      </c>
      <c r="N31" s="63" t="s">
        <v>2569</v>
      </c>
      <c r="O31" s="36" t="str">
        <f t="shared" si="3"/>
        <v>B1G1</v>
      </c>
      <c r="P31" s="63" t="s">
        <v>2569</v>
      </c>
    </row>
    <row r="32" spans="1:16" x14ac:dyDescent="0.35">
      <c r="A32" s="34" t="str">
        <f t="shared" si="0"/>
        <v>2025 AUG B1G1</v>
      </c>
      <c r="B32" s="42">
        <f t="shared" si="1"/>
        <v>46086</v>
      </c>
      <c r="C32" s="42">
        <f t="shared" si="2"/>
        <v>46092</v>
      </c>
      <c r="D32" s="34">
        <v>3321</v>
      </c>
      <c r="E32" s="34">
        <v>337</v>
      </c>
      <c r="F32" s="34">
        <v>4</v>
      </c>
      <c r="G32" s="24">
        <v>1</v>
      </c>
      <c r="H32" s="24">
        <v>81588</v>
      </c>
      <c r="I32" s="34" t="s">
        <v>2690</v>
      </c>
      <c r="J32" s="24">
        <v>55507290</v>
      </c>
      <c r="K32" s="24" t="s">
        <v>6256</v>
      </c>
      <c r="L32" s="24" t="s">
        <v>6258</v>
      </c>
      <c r="M32" s="44">
        <v>99900</v>
      </c>
      <c r="N32" s="63" t="s">
        <v>2569</v>
      </c>
      <c r="O32" s="36" t="str">
        <f t="shared" si="3"/>
        <v>B1G1</v>
      </c>
      <c r="P32" s="63" t="s">
        <v>2569</v>
      </c>
    </row>
    <row r="33" spans="1:16" x14ac:dyDescent="0.35">
      <c r="A33" s="34" t="str">
        <f t="shared" si="0"/>
        <v>2025 AUG B1G1</v>
      </c>
      <c r="B33" s="42">
        <f t="shared" si="1"/>
        <v>46086</v>
      </c>
      <c r="C33" s="42">
        <f t="shared" si="2"/>
        <v>46092</v>
      </c>
      <c r="D33" s="34">
        <v>3321</v>
      </c>
      <c r="E33" s="34">
        <v>337</v>
      </c>
      <c r="F33" s="34">
        <v>4</v>
      </c>
      <c r="G33" s="24">
        <v>1</v>
      </c>
      <c r="H33" s="24">
        <v>81588</v>
      </c>
      <c r="I33" s="34" t="s">
        <v>2690</v>
      </c>
      <c r="J33" s="24">
        <v>55507307</v>
      </c>
      <c r="K33" s="24" t="s">
        <v>6256</v>
      </c>
      <c r="L33" s="24" t="s">
        <v>6259</v>
      </c>
      <c r="M33" s="44">
        <v>99900</v>
      </c>
      <c r="N33" s="63" t="s">
        <v>2569</v>
      </c>
      <c r="O33" s="36" t="str">
        <f t="shared" si="3"/>
        <v>B1G1</v>
      </c>
      <c r="P33" s="63" t="s">
        <v>2569</v>
      </c>
    </row>
    <row r="34" spans="1:16" x14ac:dyDescent="0.35">
      <c r="A34" s="34" t="str">
        <f t="shared" si="0"/>
        <v>2025 AUG B1G1</v>
      </c>
      <c r="B34" s="42">
        <f t="shared" si="1"/>
        <v>46086</v>
      </c>
      <c r="C34" s="42">
        <f t="shared" si="2"/>
        <v>46092</v>
      </c>
      <c r="D34" s="34">
        <v>3321</v>
      </c>
      <c r="E34" s="34">
        <v>337</v>
      </c>
      <c r="F34" s="34">
        <v>4</v>
      </c>
      <c r="G34" s="24">
        <v>1</v>
      </c>
      <c r="H34" s="24">
        <v>81588</v>
      </c>
      <c r="I34" s="34" t="s">
        <v>2690</v>
      </c>
      <c r="J34" s="24">
        <v>55507316</v>
      </c>
      <c r="K34" s="24" t="s">
        <v>6256</v>
      </c>
      <c r="L34" s="24" t="s">
        <v>6257</v>
      </c>
      <c r="M34" s="44">
        <v>99900</v>
      </c>
      <c r="N34" s="63" t="s">
        <v>2569</v>
      </c>
      <c r="O34" s="36" t="str">
        <f t="shared" si="3"/>
        <v>B1G1</v>
      </c>
      <c r="P34" s="63" t="s">
        <v>2569</v>
      </c>
    </row>
    <row r="35" spans="1:16" x14ac:dyDescent="0.35">
      <c r="A35" s="34" t="str">
        <f t="shared" si="0"/>
        <v>2025 AUG B1G1</v>
      </c>
      <c r="B35" s="42">
        <f t="shared" si="1"/>
        <v>46086</v>
      </c>
      <c r="C35" s="42">
        <f t="shared" si="2"/>
        <v>46092</v>
      </c>
      <c r="D35" s="34">
        <v>3321</v>
      </c>
      <c r="E35" s="34">
        <v>337</v>
      </c>
      <c r="F35" s="34">
        <v>4</v>
      </c>
      <c r="G35" s="24">
        <v>1</v>
      </c>
      <c r="H35" s="24">
        <v>81588</v>
      </c>
      <c r="I35" s="34" t="s">
        <v>2690</v>
      </c>
      <c r="J35" s="24">
        <v>55507325</v>
      </c>
      <c r="K35" s="24" t="s">
        <v>6256</v>
      </c>
      <c r="L35" s="24" t="s">
        <v>6260</v>
      </c>
      <c r="M35" s="44">
        <v>99900</v>
      </c>
      <c r="N35" s="63" t="s">
        <v>2569</v>
      </c>
      <c r="O35" s="36" t="str">
        <f t="shared" si="3"/>
        <v>B1G1</v>
      </c>
      <c r="P35" s="63" t="s">
        <v>2569</v>
      </c>
    </row>
    <row r="36" spans="1:16" x14ac:dyDescent="0.35">
      <c r="A36" s="34" t="str">
        <f t="shared" si="0"/>
        <v>2025 AUG B1G1</v>
      </c>
      <c r="B36" s="42">
        <f t="shared" ref="B36:B67" si="4">B35</f>
        <v>46086</v>
      </c>
      <c r="C36" s="42">
        <f t="shared" ref="C36:C67" si="5">C35</f>
        <v>46092</v>
      </c>
      <c r="D36" s="34">
        <v>3321</v>
      </c>
      <c r="E36" s="34">
        <v>337</v>
      </c>
      <c r="F36" s="34">
        <v>4</v>
      </c>
      <c r="G36" s="24">
        <v>1</v>
      </c>
      <c r="H36" s="24">
        <v>81005</v>
      </c>
      <c r="I36" s="34" t="s">
        <v>2690</v>
      </c>
      <c r="J36" s="24">
        <v>55507496</v>
      </c>
      <c r="K36" s="24" t="s">
        <v>6241</v>
      </c>
      <c r="L36" s="24" t="s">
        <v>6244</v>
      </c>
      <c r="M36" s="44">
        <v>99900</v>
      </c>
      <c r="N36" s="63" t="s">
        <v>2569</v>
      </c>
      <c r="O36" s="36" t="str">
        <f t="shared" si="3"/>
        <v>B1G1</v>
      </c>
      <c r="P36" s="63" t="s">
        <v>2569</v>
      </c>
    </row>
    <row r="37" spans="1:16" x14ac:dyDescent="0.35">
      <c r="A37" s="34" t="str">
        <f t="shared" si="0"/>
        <v>2025 AUG B1G1</v>
      </c>
      <c r="B37" s="42">
        <f t="shared" si="4"/>
        <v>46086</v>
      </c>
      <c r="C37" s="42">
        <f t="shared" si="5"/>
        <v>46092</v>
      </c>
      <c r="D37" s="34">
        <v>3321</v>
      </c>
      <c r="E37" s="34">
        <v>337</v>
      </c>
      <c r="F37" s="34">
        <v>4</v>
      </c>
      <c r="G37" s="24">
        <v>1</v>
      </c>
      <c r="H37" s="24">
        <v>81005</v>
      </c>
      <c r="I37" s="34" t="s">
        <v>2690</v>
      </c>
      <c r="J37" s="24">
        <v>55507503</v>
      </c>
      <c r="K37" s="24" t="s">
        <v>6241</v>
      </c>
      <c r="L37" s="24" t="s">
        <v>6243</v>
      </c>
      <c r="M37" s="44">
        <v>99900</v>
      </c>
      <c r="N37" s="63" t="s">
        <v>2569</v>
      </c>
      <c r="O37" s="36" t="str">
        <f t="shared" si="3"/>
        <v>B1G1</v>
      </c>
      <c r="P37" s="63" t="s">
        <v>2569</v>
      </c>
    </row>
    <row r="38" spans="1:16" x14ac:dyDescent="0.35">
      <c r="A38" s="34" t="str">
        <f t="shared" si="0"/>
        <v>2025 AUG B1G1</v>
      </c>
      <c r="B38" s="42">
        <f t="shared" si="4"/>
        <v>46086</v>
      </c>
      <c r="C38" s="42">
        <f t="shared" si="5"/>
        <v>46092</v>
      </c>
      <c r="D38" s="34">
        <v>3321</v>
      </c>
      <c r="E38" s="34">
        <v>337</v>
      </c>
      <c r="F38" s="34">
        <v>4</v>
      </c>
      <c r="G38" s="24">
        <v>1</v>
      </c>
      <c r="H38" s="24">
        <v>81005</v>
      </c>
      <c r="I38" s="34" t="s">
        <v>2690</v>
      </c>
      <c r="J38" s="24">
        <v>55507512</v>
      </c>
      <c r="K38" s="24" t="s">
        <v>6241</v>
      </c>
      <c r="L38" s="24" t="s">
        <v>6242</v>
      </c>
      <c r="M38" s="44">
        <v>99900</v>
      </c>
      <c r="N38" s="63" t="s">
        <v>2569</v>
      </c>
      <c r="O38" s="36" t="str">
        <f t="shared" si="3"/>
        <v>B1G1</v>
      </c>
      <c r="P38" s="63" t="s">
        <v>2569</v>
      </c>
    </row>
    <row r="39" spans="1:16" x14ac:dyDescent="0.35">
      <c r="A39" s="34" t="str">
        <f t="shared" si="0"/>
        <v>2025 AUG B1G1</v>
      </c>
      <c r="B39" s="42">
        <f t="shared" si="4"/>
        <v>46086</v>
      </c>
      <c r="C39" s="42">
        <f t="shared" si="5"/>
        <v>46092</v>
      </c>
      <c r="D39" s="34">
        <v>3321</v>
      </c>
      <c r="E39" s="34">
        <v>337</v>
      </c>
      <c r="F39" s="34">
        <v>4</v>
      </c>
      <c r="G39" s="24">
        <v>3</v>
      </c>
      <c r="H39" s="24">
        <v>81005</v>
      </c>
      <c r="I39" s="34" t="s">
        <v>2690</v>
      </c>
      <c r="J39" s="24">
        <v>55507521</v>
      </c>
      <c r="K39" s="24" t="s">
        <v>6241</v>
      </c>
      <c r="L39" s="24" t="s">
        <v>6245</v>
      </c>
      <c r="M39" s="44">
        <v>99900</v>
      </c>
      <c r="N39" s="63" t="s">
        <v>2569</v>
      </c>
      <c r="O39" s="36" t="str">
        <f t="shared" si="3"/>
        <v>B1G1</v>
      </c>
      <c r="P39" s="63" t="s">
        <v>2569</v>
      </c>
    </row>
    <row r="40" spans="1:16" x14ac:dyDescent="0.35">
      <c r="A40" s="34" t="str">
        <f t="shared" si="0"/>
        <v>2025 AUG B1G1</v>
      </c>
      <c r="B40" s="42">
        <f t="shared" si="4"/>
        <v>46086</v>
      </c>
      <c r="C40" s="42">
        <f t="shared" si="5"/>
        <v>46092</v>
      </c>
      <c r="D40" s="34">
        <v>3321</v>
      </c>
      <c r="E40" s="34">
        <v>337</v>
      </c>
      <c r="F40" s="34">
        <v>4</v>
      </c>
      <c r="G40" s="24">
        <v>3</v>
      </c>
      <c r="H40" s="24">
        <v>81588</v>
      </c>
      <c r="I40" s="34" t="s">
        <v>2690</v>
      </c>
      <c r="J40" s="24">
        <v>55301403</v>
      </c>
      <c r="K40" s="24" t="s">
        <v>6517</v>
      </c>
      <c r="L40" s="24" t="s">
        <v>6518</v>
      </c>
      <c r="M40" s="44">
        <v>199900</v>
      </c>
      <c r="N40" s="63" t="s">
        <v>2569</v>
      </c>
      <c r="O40" s="36" t="str">
        <f t="shared" si="3"/>
        <v>B1G1</v>
      </c>
      <c r="P40" s="63" t="s">
        <v>2569</v>
      </c>
    </row>
    <row r="41" spans="1:16" x14ac:dyDescent="0.35">
      <c r="A41" s="34" t="str">
        <f t="shared" si="0"/>
        <v>2025 AUG B1G1</v>
      </c>
      <c r="B41" s="42">
        <f t="shared" si="4"/>
        <v>46086</v>
      </c>
      <c r="C41" s="42">
        <f t="shared" si="5"/>
        <v>46092</v>
      </c>
      <c r="D41" s="34">
        <v>3321</v>
      </c>
      <c r="E41" s="34">
        <v>337</v>
      </c>
      <c r="F41" s="34">
        <v>4</v>
      </c>
      <c r="G41" s="24">
        <v>3</v>
      </c>
      <c r="H41" s="24">
        <v>81588</v>
      </c>
      <c r="I41" s="34" t="s">
        <v>2690</v>
      </c>
      <c r="J41" s="24">
        <v>55301412</v>
      </c>
      <c r="K41" s="24" t="s">
        <v>6517</v>
      </c>
      <c r="L41" s="24" t="s">
        <v>6519</v>
      </c>
      <c r="M41" s="44">
        <v>199900</v>
      </c>
      <c r="N41" s="63" t="s">
        <v>2569</v>
      </c>
      <c r="O41" s="36" t="str">
        <f t="shared" si="3"/>
        <v>B1G1</v>
      </c>
      <c r="P41" s="63" t="s">
        <v>2569</v>
      </c>
    </row>
    <row r="42" spans="1:16" x14ac:dyDescent="0.35">
      <c r="A42" s="34" t="str">
        <f t="shared" si="0"/>
        <v>2025 AUG B1G1</v>
      </c>
      <c r="B42" s="42">
        <f t="shared" si="4"/>
        <v>46086</v>
      </c>
      <c r="C42" s="42">
        <f t="shared" si="5"/>
        <v>46092</v>
      </c>
      <c r="D42" s="34">
        <v>3321</v>
      </c>
      <c r="E42" s="34">
        <v>337</v>
      </c>
      <c r="F42" s="34">
        <v>4</v>
      </c>
      <c r="G42" s="24">
        <v>3</v>
      </c>
      <c r="H42" s="24">
        <v>81588</v>
      </c>
      <c r="I42" s="34" t="s">
        <v>2690</v>
      </c>
      <c r="J42" s="24">
        <v>55301421</v>
      </c>
      <c r="K42" s="24" t="s">
        <v>6517</v>
      </c>
      <c r="L42" s="24" t="s">
        <v>6520</v>
      </c>
      <c r="M42" s="44">
        <v>199900</v>
      </c>
      <c r="N42" s="63" t="s">
        <v>2569</v>
      </c>
      <c r="O42" s="36" t="str">
        <f t="shared" si="3"/>
        <v>B1G1</v>
      </c>
      <c r="P42" s="63" t="s">
        <v>2569</v>
      </c>
    </row>
    <row r="43" spans="1:16" x14ac:dyDescent="0.35">
      <c r="A43" s="34" t="str">
        <f t="shared" si="0"/>
        <v>2025 AUG B1G1</v>
      </c>
      <c r="B43" s="42">
        <f t="shared" si="4"/>
        <v>46086</v>
      </c>
      <c r="C43" s="42">
        <f t="shared" si="5"/>
        <v>46092</v>
      </c>
      <c r="D43" s="34">
        <v>3321</v>
      </c>
      <c r="E43" s="34">
        <v>337</v>
      </c>
      <c r="F43" s="34">
        <v>4</v>
      </c>
      <c r="G43" s="24">
        <v>3</v>
      </c>
      <c r="H43" s="24">
        <v>81588</v>
      </c>
      <c r="I43" s="34" t="s">
        <v>2690</v>
      </c>
      <c r="J43" s="24">
        <v>55301430</v>
      </c>
      <c r="K43" s="24" t="s">
        <v>6517</v>
      </c>
      <c r="L43" s="24" t="s">
        <v>6521</v>
      </c>
      <c r="M43" s="44">
        <v>199900</v>
      </c>
      <c r="N43" s="63" t="s">
        <v>2569</v>
      </c>
      <c r="O43" s="36" t="str">
        <f t="shared" si="3"/>
        <v>B1G1</v>
      </c>
      <c r="P43" s="63" t="s">
        <v>2569</v>
      </c>
    </row>
    <row r="44" spans="1:16" x14ac:dyDescent="0.35">
      <c r="A44" s="34" t="str">
        <f t="shared" si="0"/>
        <v>2025 AUG B1G1</v>
      </c>
      <c r="B44" s="42">
        <f t="shared" si="4"/>
        <v>46086</v>
      </c>
      <c r="C44" s="42">
        <f t="shared" si="5"/>
        <v>46092</v>
      </c>
      <c r="D44" s="34">
        <v>3321</v>
      </c>
      <c r="E44" s="34">
        <v>337</v>
      </c>
      <c r="F44" s="34">
        <v>4</v>
      </c>
      <c r="G44" s="24">
        <v>3</v>
      </c>
      <c r="H44" s="24">
        <v>81588</v>
      </c>
      <c r="I44" s="34" t="s">
        <v>2690</v>
      </c>
      <c r="J44" s="24">
        <v>55301449</v>
      </c>
      <c r="K44" s="24" t="s">
        <v>6517</v>
      </c>
      <c r="L44" s="24" t="s">
        <v>6522</v>
      </c>
      <c r="M44" s="44">
        <v>199900</v>
      </c>
      <c r="N44" s="63" t="s">
        <v>2569</v>
      </c>
      <c r="O44" s="36" t="str">
        <f t="shared" si="3"/>
        <v>B1G1</v>
      </c>
      <c r="P44" s="63" t="s">
        <v>2569</v>
      </c>
    </row>
    <row r="45" spans="1:16" x14ac:dyDescent="0.35">
      <c r="A45" s="34" t="str">
        <f t="shared" si="0"/>
        <v>2025 AUG B1G1</v>
      </c>
      <c r="B45" s="42">
        <f t="shared" si="4"/>
        <v>46086</v>
      </c>
      <c r="C45" s="42">
        <f t="shared" si="5"/>
        <v>46092</v>
      </c>
      <c r="D45" s="34">
        <v>3321</v>
      </c>
      <c r="E45" s="34">
        <v>337</v>
      </c>
      <c r="F45" s="34">
        <v>4</v>
      </c>
      <c r="G45" s="24">
        <v>4</v>
      </c>
      <c r="H45" s="24">
        <v>81588</v>
      </c>
      <c r="I45" s="34" t="s">
        <v>2690</v>
      </c>
      <c r="J45" s="24">
        <v>55301458</v>
      </c>
      <c r="K45" s="24" t="s">
        <v>6517</v>
      </c>
      <c r="L45" s="24" t="s">
        <v>6523</v>
      </c>
      <c r="M45" s="44">
        <v>199900</v>
      </c>
      <c r="N45" s="63" t="s">
        <v>2569</v>
      </c>
      <c r="O45" s="36" t="str">
        <f t="shared" si="3"/>
        <v>B1G1</v>
      </c>
      <c r="P45" s="63" t="s">
        <v>2569</v>
      </c>
    </row>
    <row r="46" spans="1:16" x14ac:dyDescent="0.35">
      <c r="A46" s="34" t="str">
        <f t="shared" si="0"/>
        <v>2025 AUG B1G1</v>
      </c>
      <c r="B46" s="42">
        <f t="shared" si="4"/>
        <v>46086</v>
      </c>
      <c r="C46" s="42">
        <f t="shared" si="5"/>
        <v>46092</v>
      </c>
      <c r="D46" s="34">
        <v>3321</v>
      </c>
      <c r="E46" s="34">
        <v>337</v>
      </c>
      <c r="F46" s="34">
        <v>4</v>
      </c>
      <c r="G46" s="24">
        <v>4</v>
      </c>
      <c r="H46" s="24">
        <v>81588</v>
      </c>
      <c r="I46" s="34" t="s">
        <v>2690</v>
      </c>
      <c r="J46" s="24">
        <v>55507754</v>
      </c>
      <c r="K46" s="24" t="s">
        <v>6524</v>
      </c>
      <c r="L46" s="24" t="s">
        <v>6525</v>
      </c>
      <c r="M46" s="44">
        <v>129900</v>
      </c>
      <c r="N46" s="63" t="s">
        <v>2569</v>
      </c>
      <c r="O46" s="36" t="str">
        <f t="shared" si="3"/>
        <v>B1G1</v>
      </c>
      <c r="P46" s="63" t="s">
        <v>2569</v>
      </c>
    </row>
    <row r="47" spans="1:16" x14ac:dyDescent="0.35">
      <c r="A47" s="34" t="str">
        <f t="shared" si="0"/>
        <v>2025 AUG B1G1</v>
      </c>
      <c r="B47" s="42">
        <f t="shared" si="4"/>
        <v>46086</v>
      </c>
      <c r="C47" s="42">
        <f t="shared" si="5"/>
        <v>46092</v>
      </c>
      <c r="D47" s="34">
        <v>3321</v>
      </c>
      <c r="E47" s="34">
        <v>337</v>
      </c>
      <c r="F47" s="34">
        <v>4</v>
      </c>
      <c r="G47" s="24">
        <v>4</v>
      </c>
      <c r="H47" s="24">
        <v>81588</v>
      </c>
      <c r="I47" s="34" t="s">
        <v>2690</v>
      </c>
      <c r="J47" s="24">
        <v>55507763</v>
      </c>
      <c r="K47" s="24" t="s">
        <v>6524</v>
      </c>
      <c r="L47" s="24" t="s">
        <v>6526</v>
      </c>
      <c r="M47" s="44">
        <v>129900</v>
      </c>
      <c r="N47" s="63" t="s">
        <v>2569</v>
      </c>
      <c r="O47" s="36" t="str">
        <f t="shared" si="3"/>
        <v>B1G1</v>
      </c>
      <c r="P47" s="63" t="s">
        <v>2569</v>
      </c>
    </row>
    <row r="48" spans="1:16" x14ac:dyDescent="0.35">
      <c r="A48" s="34" t="str">
        <f t="shared" si="0"/>
        <v>2025 AUG B1G1</v>
      </c>
      <c r="B48" s="42">
        <f t="shared" si="4"/>
        <v>46086</v>
      </c>
      <c r="C48" s="42">
        <f t="shared" si="5"/>
        <v>46092</v>
      </c>
      <c r="D48" s="34">
        <v>3321</v>
      </c>
      <c r="E48" s="34">
        <v>337</v>
      </c>
      <c r="F48" s="34">
        <v>4</v>
      </c>
      <c r="G48" s="24">
        <v>4</v>
      </c>
      <c r="H48" s="24">
        <v>81588</v>
      </c>
      <c r="I48" s="34" t="s">
        <v>2690</v>
      </c>
      <c r="J48" s="24">
        <v>55507772</v>
      </c>
      <c r="K48" s="24" t="s">
        <v>6524</v>
      </c>
      <c r="L48" s="24" t="s">
        <v>6527</v>
      </c>
      <c r="M48" s="44">
        <v>129900</v>
      </c>
      <c r="N48" s="63" t="s">
        <v>2569</v>
      </c>
      <c r="O48" s="36" t="str">
        <f t="shared" si="3"/>
        <v>B1G1</v>
      </c>
      <c r="P48" s="63" t="s">
        <v>2569</v>
      </c>
    </row>
    <row r="49" spans="1:16" x14ac:dyDescent="0.35">
      <c r="A49" s="34" t="str">
        <f t="shared" si="0"/>
        <v>2025 AUG B1G1</v>
      </c>
      <c r="B49" s="42">
        <f t="shared" si="4"/>
        <v>46086</v>
      </c>
      <c r="C49" s="42">
        <f t="shared" si="5"/>
        <v>46092</v>
      </c>
      <c r="D49" s="34">
        <v>3321</v>
      </c>
      <c r="E49" s="34">
        <v>337</v>
      </c>
      <c r="F49" s="34">
        <v>4</v>
      </c>
      <c r="G49" s="24">
        <v>3</v>
      </c>
      <c r="H49" s="24">
        <v>81588</v>
      </c>
      <c r="I49" s="34" t="s">
        <v>2690</v>
      </c>
      <c r="J49" s="24">
        <v>55507781</v>
      </c>
      <c r="K49" s="24" t="s">
        <v>6524</v>
      </c>
      <c r="L49" s="24" t="s">
        <v>6528</v>
      </c>
      <c r="M49" s="44">
        <v>129900</v>
      </c>
      <c r="N49" s="63" t="s">
        <v>2569</v>
      </c>
      <c r="O49" s="36" t="str">
        <f t="shared" si="3"/>
        <v>B1G1</v>
      </c>
      <c r="P49" s="63" t="s">
        <v>2569</v>
      </c>
    </row>
    <row r="50" spans="1:16" x14ac:dyDescent="0.35">
      <c r="A50" s="34" t="str">
        <f t="shared" si="0"/>
        <v>2025 AUG B1G1</v>
      </c>
      <c r="B50" s="42">
        <f t="shared" si="4"/>
        <v>46086</v>
      </c>
      <c r="C50" s="42">
        <f t="shared" si="5"/>
        <v>46092</v>
      </c>
      <c r="D50" s="34">
        <v>3321</v>
      </c>
      <c r="E50" s="34">
        <v>337</v>
      </c>
      <c r="F50" s="34">
        <v>4</v>
      </c>
      <c r="G50" s="24">
        <v>3</v>
      </c>
      <c r="H50" s="24">
        <v>81005</v>
      </c>
      <c r="I50" s="34" t="s">
        <v>2690</v>
      </c>
      <c r="J50" s="24">
        <v>55507638</v>
      </c>
      <c r="K50" s="24" t="s">
        <v>6649</v>
      </c>
      <c r="L50" s="24" t="s">
        <v>6650</v>
      </c>
      <c r="M50" s="44">
        <v>149900</v>
      </c>
      <c r="N50" s="63" t="s">
        <v>2569</v>
      </c>
      <c r="O50" s="36" t="str">
        <f t="shared" si="3"/>
        <v>B1G1</v>
      </c>
      <c r="P50" s="63" t="s">
        <v>2569</v>
      </c>
    </row>
    <row r="51" spans="1:16" x14ac:dyDescent="0.35">
      <c r="A51" s="34" t="str">
        <f t="shared" si="0"/>
        <v>2025 AUG B1G1</v>
      </c>
      <c r="B51" s="42">
        <f t="shared" si="4"/>
        <v>46086</v>
      </c>
      <c r="C51" s="42">
        <f t="shared" si="5"/>
        <v>46092</v>
      </c>
      <c r="D51" s="34">
        <v>3321</v>
      </c>
      <c r="E51" s="34">
        <v>337</v>
      </c>
      <c r="F51" s="34">
        <v>4</v>
      </c>
      <c r="G51" s="24">
        <v>3</v>
      </c>
      <c r="H51" s="24">
        <v>81005</v>
      </c>
      <c r="I51" s="34" t="s">
        <v>2690</v>
      </c>
      <c r="J51" s="24">
        <v>55507647</v>
      </c>
      <c r="K51" s="24" t="s">
        <v>6649</v>
      </c>
      <c r="L51" s="24" t="s">
        <v>6651</v>
      </c>
      <c r="M51" s="44">
        <v>149900</v>
      </c>
      <c r="N51" s="63" t="s">
        <v>2569</v>
      </c>
      <c r="O51" s="36" t="str">
        <f t="shared" si="3"/>
        <v>B1G1</v>
      </c>
      <c r="P51" s="63" t="s">
        <v>2569</v>
      </c>
    </row>
    <row r="52" spans="1:16" x14ac:dyDescent="0.35">
      <c r="A52" s="34" t="str">
        <f t="shared" si="0"/>
        <v>2025 AUG B1G1</v>
      </c>
      <c r="B52" s="42">
        <f t="shared" si="4"/>
        <v>46086</v>
      </c>
      <c r="C52" s="42">
        <f t="shared" si="5"/>
        <v>46092</v>
      </c>
      <c r="D52" s="34">
        <v>3321</v>
      </c>
      <c r="E52" s="34">
        <v>337</v>
      </c>
      <c r="F52" s="34">
        <v>4</v>
      </c>
      <c r="G52" s="24">
        <v>3</v>
      </c>
      <c r="H52" s="24">
        <v>81005</v>
      </c>
      <c r="I52" s="34" t="s">
        <v>2690</v>
      </c>
      <c r="J52" s="24">
        <v>55507656</v>
      </c>
      <c r="K52" s="24" t="s">
        <v>6649</v>
      </c>
      <c r="L52" s="24" t="s">
        <v>6652</v>
      </c>
      <c r="M52" s="44">
        <v>149900</v>
      </c>
      <c r="N52" s="63" t="s">
        <v>2569</v>
      </c>
      <c r="O52" s="36" t="str">
        <f t="shared" si="3"/>
        <v>B1G1</v>
      </c>
      <c r="P52" s="63" t="s">
        <v>2569</v>
      </c>
    </row>
    <row r="53" spans="1:16" x14ac:dyDescent="0.35">
      <c r="A53" s="34" t="str">
        <f t="shared" si="0"/>
        <v>2025 AUG B1G1</v>
      </c>
      <c r="B53" s="42">
        <f t="shared" si="4"/>
        <v>46086</v>
      </c>
      <c r="C53" s="42">
        <f t="shared" si="5"/>
        <v>46092</v>
      </c>
      <c r="D53" s="34">
        <v>3321</v>
      </c>
      <c r="E53" s="34">
        <v>337</v>
      </c>
      <c r="F53" s="34">
        <v>4</v>
      </c>
      <c r="G53" s="24">
        <v>3</v>
      </c>
      <c r="H53" s="24">
        <v>81005</v>
      </c>
      <c r="I53" s="34" t="s">
        <v>2690</v>
      </c>
      <c r="J53" s="24">
        <v>55507665</v>
      </c>
      <c r="K53" s="24" t="s">
        <v>6649</v>
      </c>
      <c r="L53" s="24" t="s">
        <v>6653</v>
      </c>
      <c r="M53" s="44">
        <v>149900</v>
      </c>
      <c r="N53" s="63" t="s">
        <v>2569</v>
      </c>
      <c r="O53" s="36" t="str">
        <f t="shared" si="3"/>
        <v>B1G1</v>
      </c>
      <c r="P53" s="63" t="s">
        <v>2569</v>
      </c>
    </row>
    <row r="54" spans="1:16" x14ac:dyDescent="0.35">
      <c r="A54" s="34" t="str">
        <f t="shared" si="0"/>
        <v>2025 AUG B1G1</v>
      </c>
      <c r="B54" s="42">
        <f t="shared" si="4"/>
        <v>46086</v>
      </c>
      <c r="C54" s="42">
        <f t="shared" si="5"/>
        <v>46092</v>
      </c>
      <c r="D54" s="34">
        <v>3321</v>
      </c>
      <c r="E54" s="34">
        <v>337</v>
      </c>
      <c r="F54" s="34">
        <v>4</v>
      </c>
      <c r="G54" s="24">
        <v>3</v>
      </c>
      <c r="H54" s="24">
        <v>81005</v>
      </c>
      <c r="I54" s="34" t="s">
        <v>2690</v>
      </c>
      <c r="J54" s="24">
        <v>55507674</v>
      </c>
      <c r="K54" s="24" t="s">
        <v>6649</v>
      </c>
      <c r="L54" s="24" t="s">
        <v>6654</v>
      </c>
      <c r="M54" s="44">
        <v>149900</v>
      </c>
      <c r="N54" s="63" t="s">
        <v>2569</v>
      </c>
      <c r="O54" s="36" t="str">
        <f t="shared" si="3"/>
        <v>B1G1</v>
      </c>
      <c r="P54" s="63" t="s">
        <v>2569</v>
      </c>
    </row>
    <row r="55" spans="1:16" x14ac:dyDescent="0.35">
      <c r="A55" s="34" t="str">
        <f t="shared" si="0"/>
        <v>2025 AUG B1G1</v>
      </c>
      <c r="B55" s="42">
        <f t="shared" si="4"/>
        <v>46086</v>
      </c>
      <c r="C55" s="42">
        <f t="shared" si="5"/>
        <v>46092</v>
      </c>
      <c r="D55" s="34">
        <v>3321</v>
      </c>
      <c r="E55" s="34">
        <v>337</v>
      </c>
      <c r="F55" s="34">
        <v>4</v>
      </c>
      <c r="G55" s="24">
        <v>4</v>
      </c>
      <c r="H55" s="24">
        <v>81005</v>
      </c>
      <c r="I55" s="34" t="s">
        <v>2690</v>
      </c>
      <c r="J55" s="24">
        <v>55507683</v>
      </c>
      <c r="K55" s="24" t="s">
        <v>6649</v>
      </c>
      <c r="L55" s="24" t="s">
        <v>6655</v>
      </c>
      <c r="M55" s="44">
        <v>149900</v>
      </c>
      <c r="N55" s="63" t="s">
        <v>2569</v>
      </c>
      <c r="O55" s="36" t="str">
        <f t="shared" si="3"/>
        <v>B1G1</v>
      </c>
      <c r="P55" s="63" t="s">
        <v>2569</v>
      </c>
    </row>
    <row r="56" spans="1:16" x14ac:dyDescent="0.35">
      <c r="A56" s="34" t="str">
        <f t="shared" si="0"/>
        <v>2025 AUG B1G1</v>
      </c>
      <c r="B56" s="42">
        <f t="shared" si="4"/>
        <v>46086</v>
      </c>
      <c r="C56" s="42">
        <f t="shared" si="5"/>
        <v>46092</v>
      </c>
      <c r="D56" s="34">
        <v>3321</v>
      </c>
      <c r="E56" s="34">
        <v>337</v>
      </c>
      <c r="F56" s="34">
        <v>4</v>
      </c>
      <c r="G56" s="24">
        <v>4</v>
      </c>
      <c r="H56" s="24">
        <v>81588</v>
      </c>
      <c r="I56" s="34" t="s">
        <v>2690</v>
      </c>
      <c r="J56" s="24">
        <v>55301501</v>
      </c>
      <c r="K56" s="24" t="s">
        <v>6529</v>
      </c>
      <c r="L56" s="24" t="s">
        <v>6530</v>
      </c>
      <c r="M56" s="44">
        <v>129900</v>
      </c>
      <c r="N56" s="63" t="s">
        <v>2569</v>
      </c>
      <c r="O56" s="36" t="str">
        <f t="shared" si="3"/>
        <v>B1G1</v>
      </c>
      <c r="P56" s="63" t="s">
        <v>2569</v>
      </c>
    </row>
    <row r="57" spans="1:16" x14ac:dyDescent="0.35">
      <c r="A57" s="34" t="str">
        <f t="shared" si="0"/>
        <v>2025 AUG B1G1</v>
      </c>
      <c r="B57" s="42">
        <f t="shared" si="4"/>
        <v>46086</v>
      </c>
      <c r="C57" s="42">
        <f t="shared" si="5"/>
        <v>46092</v>
      </c>
      <c r="D57" s="34">
        <v>3321</v>
      </c>
      <c r="E57" s="34">
        <v>337</v>
      </c>
      <c r="F57" s="34">
        <v>4</v>
      </c>
      <c r="G57" s="24">
        <v>4</v>
      </c>
      <c r="H57" s="24">
        <v>81588</v>
      </c>
      <c r="I57" s="34" t="s">
        <v>2690</v>
      </c>
      <c r="J57" s="24">
        <v>55301510</v>
      </c>
      <c r="K57" s="24" t="s">
        <v>6529</v>
      </c>
      <c r="L57" s="24" t="s">
        <v>6531</v>
      </c>
      <c r="M57" s="44">
        <v>129900</v>
      </c>
      <c r="N57" s="63" t="s">
        <v>2569</v>
      </c>
      <c r="O57" s="36" t="str">
        <f t="shared" si="3"/>
        <v>B1G1</v>
      </c>
      <c r="P57" s="63" t="s">
        <v>2569</v>
      </c>
    </row>
    <row r="58" spans="1:16" x14ac:dyDescent="0.35">
      <c r="A58" s="34" t="str">
        <f t="shared" si="0"/>
        <v>2025 AUG B1G1</v>
      </c>
      <c r="B58" s="42">
        <f t="shared" si="4"/>
        <v>46086</v>
      </c>
      <c r="C58" s="42">
        <f t="shared" si="5"/>
        <v>46092</v>
      </c>
      <c r="D58" s="34">
        <v>3321</v>
      </c>
      <c r="E58" s="34">
        <v>337</v>
      </c>
      <c r="F58" s="34">
        <v>4</v>
      </c>
      <c r="G58" s="24">
        <v>4</v>
      </c>
      <c r="H58" s="24">
        <v>81588</v>
      </c>
      <c r="I58" s="34" t="s">
        <v>2690</v>
      </c>
      <c r="J58" s="24">
        <v>55301529</v>
      </c>
      <c r="K58" s="24" t="s">
        <v>6529</v>
      </c>
      <c r="L58" s="24" t="s">
        <v>6532</v>
      </c>
      <c r="M58" s="44">
        <v>129900</v>
      </c>
      <c r="N58" s="63" t="s">
        <v>2569</v>
      </c>
      <c r="O58" s="36" t="str">
        <f t="shared" si="3"/>
        <v>B1G1</v>
      </c>
      <c r="P58" s="63" t="s">
        <v>2569</v>
      </c>
    </row>
    <row r="59" spans="1:16" x14ac:dyDescent="0.35">
      <c r="A59" s="34" t="str">
        <f t="shared" si="0"/>
        <v>2025 AUG B1G1</v>
      </c>
      <c r="B59" s="42">
        <f t="shared" si="4"/>
        <v>46086</v>
      </c>
      <c r="C59" s="42">
        <f t="shared" si="5"/>
        <v>46092</v>
      </c>
      <c r="D59" s="34">
        <v>3321</v>
      </c>
      <c r="E59" s="34">
        <v>337</v>
      </c>
      <c r="F59" s="34">
        <v>4</v>
      </c>
      <c r="G59" s="24">
        <v>1</v>
      </c>
      <c r="H59" s="24">
        <v>81588</v>
      </c>
      <c r="I59" s="34" t="s">
        <v>2690</v>
      </c>
      <c r="J59" s="24">
        <v>55301538</v>
      </c>
      <c r="K59" s="24" t="s">
        <v>6529</v>
      </c>
      <c r="L59" s="24" t="s">
        <v>6533</v>
      </c>
      <c r="M59" s="44">
        <v>129900</v>
      </c>
      <c r="N59" s="63" t="s">
        <v>2569</v>
      </c>
      <c r="O59" s="36" t="str">
        <f t="shared" si="3"/>
        <v>B1G1</v>
      </c>
      <c r="P59" s="63" t="s">
        <v>2569</v>
      </c>
    </row>
    <row r="60" spans="1:16" x14ac:dyDescent="0.35">
      <c r="A60" s="34" t="str">
        <f t="shared" si="0"/>
        <v>2025 AUG B1G1</v>
      </c>
      <c r="B60" s="42">
        <f t="shared" si="4"/>
        <v>46086</v>
      </c>
      <c r="C60" s="42">
        <f t="shared" si="5"/>
        <v>46092</v>
      </c>
      <c r="D60" s="34">
        <v>3321</v>
      </c>
      <c r="E60" s="34">
        <v>337</v>
      </c>
      <c r="F60" s="34">
        <v>4</v>
      </c>
      <c r="G60" s="24">
        <v>1</v>
      </c>
      <c r="H60" s="24">
        <v>81588</v>
      </c>
      <c r="I60" s="34" t="s">
        <v>2690</v>
      </c>
      <c r="J60" s="24">
        <v>55507334</v>
      </c>
      <c r="K60" s="24" t="s">
        <v>6268</v>
      </c>
      <c r="L60" s="24" t="s">
        <v>6274</v>
      </c>
      <c r="M60" s="44">
        <v>99900</v>
      </c>
      <c r="N60" s="63" t="s">
        <v>2569</v>
      </c>
      <c r="O60" s="36" t="str">
        <f t="shared" si="3"/>
        <v>B1G1</v>
      </c>
      <c r="P60" s="63" t="s">
        <v>2569</v>
      </c>
    </row>
    <row r="61" spans="1:16" x14ac:dyDescent="0.35">
      <c r="A61" s="34" t="str">
        <f t="shared" si="0"/>
        <v>2025 AUG B1G1</v>
      </c>
      <c r="B61" s="42">
        <f t="shared" si="4"/>
        <v>46086</v>
      </c>
      <c r="C61" s="42">
        <f t="shared" si="5"/>
        <v>46092</v>
      </c>
      <c r="D61" s="34">
        <v>3321</v>
      </c>
      <c r="E61" s="34">
        <v>337</v>
      </c>
      <c r="F61" s="34">
        <v>4</v>
      </c>
      <c r="G61" s="24">
        <v>1</v>
      </c>
      <c r="H61" s="24">
        <v>81588</v>
      </c>
      <c r="I61" s="34" t="s">
        <v>2690</v>
      </c>
      <c r="J61" s="24">
        <v>55507343</v>
      </c>
      <c r="K61" s="24" t="s">
        <v>6268</v>
      </c>
      <c r="L61" s="24" t="s">
        <v>6269</v>
      </c>
      <c r="M61" s="44">
        <v>99900</v>
      </c>
      <c r="N61" s="63" t="s">
        <v>2569</v>
      </c>
      <c r="O61" s="36" t="str">
        <f t="shared" si="3"/>
        <v>B1G1</v>
      </c>
      <c r="P61" s="63" t="s">
        <v>2569</v>
      </c>
    </row>
    <row r="62" spans="1:16" x14ac:dyDescent="0.35">
      <c r="A62" s="34" t="str">
        <f t="shared" si="0"/>
        <v>2025 AUG B1G1</v>
      </c>
      <c r="B62" s="42">
        <f t="shared" si="4"/>
        <v>46086</v>
      </c>
      <c r="C62" s="42">
        <f t="shared" si="5"/>
        <v>46092</v>
      </c>
      <c r="D62" s="34">
        <v>3321</v>
      </c>
      <c r="E62" s="34">
        <v>337</v>
      </c>
      <c r="F62" s="34">
        <v>4</v>
      </c>
      <c r="G62" s="24">
        <v>1</v>
      </c>
      <c r="H62" s="24">
        <v>81588</v>
      </c>
      <c r="I62" s="34" t="s">
        <v>2690</v>
      </c>
      <c r="J62" s="24">
        <v>55507352</v>
      </c>
      <c r="K62" s="24" t="s">
        <v>6268</v>
      </c>
      <c r="L62" s="24" t="s">
        <v>6273</v>
      </c>
      <c r="M62" s="44">
        <v>99900</v>
      </c>
      <c r="N62" s="63" t="s">
        <v>2569</v>
      </c>
      <c r="O62" s="36" t="str">
        <f t="shared" si="3"/>
        <v>B1G1</v>
      </c>
      <c r="P62" s="63" t="s">
        <v>2569</v>
      </c>
    </row>
    <row r="63" spans="1:16" x14ac:dyDescent="0.35">
      <c r="A63" s="34" t="str">
        <f t="shared" si="0"/>
        <v>2025 AUG B1G1</v>
      </c>
      <c r="B63" s="42">
        <f t="shared" si="4"/>
        <v>46086</v>
      </c>
      <c r="C63" s="42">
        <f t="shared" si="5"/>
        <v>46092</v>
      </c>
      <c r="D63" s="34">
        <v>3321</v>
      </c>
      <c r="E63" s="34">
        <v>337</v>
      </c>
      <c r="F63" s="34">
        <v>4</v>
      </c>
      <c r="G63" s="24">
        <v>1</v>
      </c>
      <c r="H63" s="24">
        <v>81588</v>
      </c>
      <c r="I63" s="34" t="s">
        <v>2690</v>
      </c>
      <c r="J63" s="24">
        <v>55507361</v>
      </c>
      <c r="K63" s="24" t="s">
        <v>6268</v>
      </c>
      <c r="L63" s="24" t="s">
        <v>6272</v>
      </c>
      <c r="M63" s="44">
        <v>99900</v>
      </c>
      <c r="N63" s="63" t="s">
        <v>2569</v>
      </c>
      <c r="O63" s="36" t="str">
        <f t="shared" si="3"/>
        <v>B1G1</v>
      </c>
      <c r="P63" s="63" t="s">
        <v>2569</v>
      </c>
    </row>
    <row r="64" spans="1:16" x14ac:dyDescent="0.35">
      <c r="A64" s="34" t="str">
        <f t="shared" si="0"/>
        <v>2025 AUG B1G1</v>
      </c>
      <c r="B64" s="42">
        <f t="shared" si="4"/>
        <v>46086</v>
      </c>
      <c r="C64" s="42">
        <f t="shared" si="5"/>
        <v>46092</v>
      </c>
      <c r="D64" s="34">
        <v>3321</v>
      </c>
      <c r="E64" s="34">
        <v>337</v>
      </c>
      <c r="F64" s="34">
        <v>4</v>
      </c>
      <c r="G64" s="24">
        <v>1</v>
      </c>
      <c r="H64" s="24">
        <v>81588</v>
      </c>
      <c r="I64" s="34" t="s">
        <v>2690</v>
      </c>
      <c r="J64" s="24">
        <v>55507370</v>
      </c>
      <c r="K64" s="24" t="s">
        <v>6268</v>
      </c>
      <c r="L64" s="24" t="s">
        <v>6270</v>
      </c>
      <c r="M64" s="44">
        <v>99900</v>
      </c>
      <c r="N64" s="63" t="s">
        <v>2569</v>
      </c>
      <c r="O64" s="36" t="str">
        <f t="shared" si="3"/>
        <v>B1G1</v>
      </c>
      <c r="P64" s="63" t="s">
        <v>2569</v>
      </c>
    </row>
    <row r="65" spans="1:16" x14ac:dyDescent="0.35">
      <c r="A65" s="34" t="str">
        <f t="shared" si="0"/>
        <v>2025 AUG B1G1</v>
      </c>
      <c r="B65" s="42">
        <f t="shared" si="4"/>
        <v>46086</v>
      </c>
      <c r="C65" s="42">
        <f t="shared" si="5"/>
        <v>46092</v>
      </c>
      <c r="D65" s="34">
        <v>3321</v>
      </c>
      <c r="E65" s="34">
        <v>337</v>
      </c>
      <c r="F65" s="34">
        <v>4</v>
      </c>
      <c r="G65" s="24">
        <v>3</v>
      </c>
      <c r="H65" s="24">
        <v>81588</v>
      </c>
      <c r="I65" s="34" t="s">
        <v>2690</v>
      </c>
      <c r="J65" s="24">
        <v>55507389</v>
      </c>
      <c r="K65" s="24" t="s">
        <v>6268</v>
      </c>
      <c r="L65" s="24" t="s">
        <v>6271</v>
      </c>
      <c r="M65" s="44">
        <v>99900</v>
      </c>
      <c r="N65" s="63" t="s">
        <v>2569</v>
      </c>
      <c r="O65" s="36" t="str">
        <f t="shared" si="3"/>
        <v>B1G1</v>
      </c>
      <c r="P65" s="63" t="s">
        <v>2569</v>
      </c>
    </row>
    <row r="66" spans="1:16" x14ac:dyDescent="0.35">
      <c r="A66" s="34" t="str">
        <f t="shared" si="0"/>
        <v>2025 AUG B1G1</v>
      </c>
      <c r="B66" s="42">
        <f t="shared" si="4"/>
        <v>46086</v>
      </c>
      <c r="C66" s="42">
        <f t="shared" si="5"/>
        <v>46092</v>
      </c>
      <c r="D66" s="34">
        <v>3321</v>
      </c>
      <c r="E66" s="34">
        <v>337</v>
      </c>
      <c r="F66" s="34">
        <v>4</v>
      </c>
      <c r="G66" s="24">
        <v>3</v>
      </c>
      <c r="H66" s="24">
        <v>81588</v>
      </c>
      <c r="I66" s="34" t="s">
        <v>2690</v>
      </c>
      <c r="J66" s="24">
        <v>55507530</v>
      </c>
      <c r="K66" s="24" t="s">
        <v>6656</v>
      </c>
      <c r="L66" s="24" t="s">
        <v>6657</v>
      </c>
      <c r="M66" s="44">
        <v>199900</v>
      </c>
      <c r="N66" s="63" t="s">
        <v>2569</v>
      </c>
      <c r="O66" s="36" t="str">
        <f t="shared" si="3"/>
        <v>B1G1</v>
      </c>
      <c r="P66" s="63" t="s">
        <v>2569</v>
      </c>
    </row>
    <row r="67" spans="1:16" x14ac:dyDescent="0.35">
      <c r="A67" s="34" t="str">
        <f t="shared" si="0"/>
        <v>2025 AUG B1G1</v>
      </c>
      <c r="B67" s="42">
        <f t="shared" si="4"/>
        <v>46086</v>
      </c>
      <c r="C67" s="42">
        <f t="shared" si="5"/>
        <v>46092</v>
      </c>
      <c r="D67" s="34">
        <v>3321</v>
      </c>
      <c r="E67" s="34">
        <v>337</v>
      </c>
      <c r="F67" s="34">
        <v>4</v>
      </c>
      <c r="G67" s="24">
        <v>3</v>
      </c>
      <c r="H67" s="24">
        <v>81588</v>
      </c>
      <c r="I67" s="34" t="s">
        <v>2690</v>
      </c>
      <c r="J67" s="24">
        <v>55507549</v>
      </c>
      <c r="K67" s="24" t="s">
        <v>6656</v>
      </c>
      <c r="L67" s="24" t="s">
        <v>6658</v>
      </c>
      <c r="M67" s="44">
        <v>199900</v>
      </c>
      <c r="N67" s="63" t="s">
        <v>2569</v>
      </c>
      <c r="O67" s="36" t="str">
        <f t="shared" si="3"/>
        <v>B1G1</v>
      </c>
      <c r="P67" s="63" t="s">
        <v>2569</v>
      </c>
    </row>
    <row r="68" spans="1:16" x14ac:dyDescent="0.35">
      <c r="A68" s="34" t="str">
        <f t="shared" ref="A68:A87" si="6">A67</f>
        <v>2025 AUG B1G1</v>
      </c>
      <c r="B68" s="42">
        <f t="shared" ref="B68:B87" si="7">B67</f>
        <v>46086</v>
      </c>
      <c r="C68" s="42">
        <f t="shared" ref="C68:C87" si="8">C67</f>
        <v>46092</v>
      </c>
      <c r="D68" s="34">
        <v>3321</v>
      </c>
      <c r="E68" s="34">
        <v>337</v>
      </c>
      <c r="F68" s="34">
        <v>4</v>
      </c>
      <c r="G68" s="24">
        <v>3</v>
      </c>
      <c r="H68" s="24">
        <v>81588</v>
      </c>
      <c r="I68" s="34" t="s">
        <v>2690</v>
      </c>
      <c r="J68" s="24">
        <v>55507558</v>
      </c>
      <c r="K68" s="24" t="s">
        <v>6656</v>
      </c>
      <c r="L68" s="24" t="s">
        <v>6659</v>
      </c>
      <c r="M68" s="44">
        <v>199900</v>
      </c>
      <c r="N68" s="63" t="s">
        <v>2569</v>
      </c>
      <c r="O68" s="36" t="str">
        <f t="shared" ref="O68:O87" si="9">O67</f>
        <v>B1G1</v>
      </c>
      <c r="P68" s="63" t="s">
        <v>2569</v>
      </c>
    </row>
    <row r="69" spans="1:16" x14ac:dyDescent="0.35">
      <c r="A69" s="34" t="str">
        <f t="shared" si="6"/>
        <v>2025 AUG B1G1</v>
      </c>
      <c r="B69" s="42">
        <f t="shared" si="7"/>
        <v>46086</v>
      </c>
      <c r="C69" s="42">
        <f t="shared" si="8"/>
        <v>46092</v>
      </c>
      <c r="D69" s="34">
        <v>3321</v>
      </c>
      <c r="E69" s="34">
        <v>337</v>
      </c>
      <c r="F69" s="34">
        <v>4</v>
      </c>
      <c r="G69" s="24">
        <v>3</v>
      </c>
      <c r="H69" s="24">
        <v>81588</v>
      </c>
      <c r="I69" s="34" t="s">
        <v>2690</v>
      </c>
      <c r="J69" s="24">
        <v>55507567</v>
      </c>
      <c r="K69" s="24" t="s">
        <v>6656</v>
      </c>
      <c r="L69" s="24" t="s">
        <v>6660</v>
      </c>
      <c r="M69" s="44">
        <v>199900</v>
      </c>
      <c r="N69" s="63" t="s">
        <v>2569</v>
      </c>
      <c r="O69" s="36" t="str">
        <f t="shared" si="9"/>
        <v>B1G1</v>
      </c>
      <c r="P69" s="63" t="s">
        <v>2569</v>
      </c>
    </row>
    <row r="70" spans="1:16" x14ac:dyDescent="0.35">
      <c r="A70" s="34" t="str">
        <f t="shared" si="6"/>
        <v>2025 AUG B1G1</v>
      </c>
      <c r="B70" s="42">
        <f t="shared" si="7"/>
        <v>46086</v>
      </c>
      <c r="C70" s="42">
        <f t="shared" si="8"/>
        <v>46092</v>
      </c>
      <c r="D70" s="34">
        <v>3321</v>
      </c>
      <c r="E70" s="34">
        <v>337</v>
      </c>
      <c r="F70" s="34">
        <v>4</v>
      </c>
      <c r="G70" s="24">
        <v>3</v>
      </c>
      <c r="H70" s="24">
        <v>81588</v>
      </c>
      <c r="I70" s="34" t="s">
        <v>2690</v>
      </c>
      <c r="J70" s="24">
        <v>55507576</v>
      </c>
      <c r="K70" s="24" t="s">
        <v>6656</v>
      </c>
      <c r="L70" s="24" t="s">
        <v>6661</v>
      </c>
      <c r="M70" s="44">
        <v>199900</v>
      </c>
      <c r="N70" s="63" t="s">
        <v>2569</v>
      </c>
      <c r="O70" s="36" t="str">
        <f t="shared" si="9"/>
        <v>B1G1</v>
      </c>
      <c r="P70" s="63" t="s">
        <v>2569</v>
      </c>
    </row>
    <row r="71" spans="1:16" x14ac:dyDescent="0.35">
      <c r="A71" s="34" t="str">
        <f t="shared" si="6"/>
        <v>2025 AUG B1G1</v>
      </c>
      <c r="B71" s="42">
        <f t="shared" si="7"/>
        <v>46086</v>
      </c>
      <c r="C71" s="42">
        <f t="shared" si="8"/>
        <v>46092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55507585</v>
      </c>
      <c r="K71" s="24" t="s">
        <v>6656</v>
      </c>
      <c r="L71" s="24" t="s">
        <v>6662</v>
      </c>
      <c r="M71" s="44">
        <v>199900</v>
      </c>
      <c r="N71" s="63" t="s">
        <v>2569</v>
      </c>
      <c r="O71" s="36" t="str">
        <f t="shared" si="9"/>
        <v>B1G1</v>
      </c>
      <c r="P71" s="63" t="s">
        <v>2569</v>
      </c>
    </row>
    <row r="72" spans="1:16" x14ac:dyDescent="0.35">
      <c r="A72" s="34" t="str">
        <f t="shared" si="6"/>
        <v>2025 AUG B1G1</v>
      </c>
      <c r="B72" s="42">
        <f t="shared" si="7"/>
        <v>46086</v>
      </c>
      <c r="C72" s="42">
        <f t="shared" si="8"/>
        <v>46092</v>
      </c>
      <c r="D72" s="34">
        <v>3321</v>
      </c>
      <c r="E72" s="34">
        <v>337</v>
      </c>
      <c r="F72" s="34">
        <v>4</v>
      </c>
      <c r="G72" s="24">
        <v>4</v>
      </c>
      <c r="H72" s="24">
        <v>81146</v>
      </c>
      <c r="I72" s="34" t="s">
        <v>2690</v>
      </c>
      <c r="J72" s="24">
        <v>55507790</v>
      </c>
      <c r="K72" s="24" t="s">
        <v>6587</v>
      </c>
      <c r="L72" s="24" t="s">
        <v>6589</v>
      </c>
      <c r="M72" s="44">
        <v>149900</v>
      </c>
      <c r="N72" s="63" t="s">
        <v>2569</v>
      </c>
      <c r="O72" s="36" t="str">
        <f t="shared" si="9"/>
        <v>B1G1</v>
      </c>
      <c r="P72" s="63" t="s">
        <v>2569</v>
      </c>
    </row>
    <row r="73" spans="1:16" x14ac:dyDescent="0.35">
      <c r="A73" s="34" t="str">
        <f t="shared" si="6"/>
        <v>2025 AUG B1G1</v>
      </c>
      <c r="B73" s="42">
        <f t="shared" si="7"/>
        <v>46086</v>
      </c>
      <c r="C73" s="42">
        <f t="shared" si="8"/>
        <v>46092</v>
      </c>
      <c r="D73" s="34">
        <v>3321</v>
      </c>
      <c r="E73" s="34">
        <v>337</v>
      </c>
      <c r="F73" s="34">
        <v>4</v>
      </c>
      <c r="G73" s="24">
        <v>4</v>
      </c>
      <c r="H73" s="24">
        <v>81146</v>
      </c>
      <c r="I73" s="34" t="s">
        <v>2690</v>
      </c>
      <c r="J73" s="24">
        <v>55507807</v>
      </c>
      <c r="K73" s="24" t="s">
        <v>6587</v>
      </c>
      <c r="L73" s="24" t="s">
        <v>6588</v>
      </c>
      <c r="M73" s="44">
        <v>149900</v>
      </c>
      <c r="N73" s="63" t="s">
        <v>2569</v>
      </c>
      <c r="O73" s="36" t="str">
        <f t="shared" si="9"/>
        <v>B1G1</v>
      </c>
      <c r="P73" s="63" t="s">
        <v>2569</v>
      </c>
    </row>
    <row r="74" spans="1:16" x14ac:dyDescent="0.35">
      <c r="A74" s="34" t="str">
        <f t="shared" si="6"/>
        <v>2025 AUG B1G1</v>
      </c>
      <c r="B74" s="42">
        <f t="shared" si="7"/>
        <v>46086</v>
      </c>
      <c r="C74" s="42">
        <f t="shared" si="8"/>
        <v>46092</v>
      </c>
      <c r="D74" s="34">
        <v>3321</v>
      </c>
      <c r="E74" s="34">
        <v>337</v>
      </c>
      <c r="F74" s="34">
        <v>4</v>
      </c>
      <c r="G74" s="24">
        <v>4</v>
      </c>
      <c r="H74" s="24">
        <v>81146</v>
      </c>
      <c r="I74" s="34" t="s">
        <v>2690</v>
      </c>
      <c r="J74" s="24">
        <v>55507816</v>
      </c>
      <c r="K74" s="24" t="s">
        <v>6587</v>
      </c>
      <c r="L74" s="24" t="s">
        <v>6590</v>
      </c>
      <c r="M74" s="44">
        <v>149900</v>
      </c>
      <c r="N74" s="63" t="s">
        <v>2569</v>
      </c>
      <c r="O74" s="36" t="str">
        <f t="shared" si="9"/>
        <v>B1G1</v>
      </c>
      <c r="P74" s="63" t="s">
        <v>2569</v>
      </c>
    </row>
    <row r="75" spans="1:16" x14ac:dyDescent="0.35">
      <c r="A75" s="34" t="str">
        <f t="shared" si="6"/>
        <v>2025 AUG B1G1</v>
      </c>
      <c r="B75" s="42">
        <f t="shared" si="7"/>
        <v>46086</v>
      </c>
      <c r="C75" s="42">
        <f t="shared" si="8"/>
        <v>46092</v>
      </c>
      <c r="D75" s="34">
        <v>3321</v>
      </c>
      <c r="E75" s="34">
        <v>337</v>
      </c>
      <c r="F75" s="34">
        <v>4</v>
      </c>
      <c r="G75" s="24">
        <v>5</v>
      </c>
      <c r="H75" s="24">
        <v>81146</v>
      </c>
      <c r="I75" s="34" t="s">
        <v>2690</v>
      </c>
      <c r="J75" s="24">
        <v>55507825</v>
      </c>
      <c r="K75" s="24" t="s">
        <v>6587</v>
      </c>
      <c r="L75" s="24" t="s">
        <v>6591</v>
      </c>
      <c r="M75" s="44">
        <v>149900</v>
      </c>
      <c r="N75" s="63" t="s">
        <v>2569</v>
      </c>
      <c r="O75" s="36" t="str">
        <f t="shared" si="9"/>
        <v>B1G1</v>
      </c>
      <c r="P75" s="63" t="s">
        <v>2569</v>
      </c>
    </row>
    <row r="76" spans="1:16" x14ac:dyDescent="0.35">
      <c r="A76" s="34" t="str">
        <f t="shared" si="6"/>
        <v>2025 AUG B1G1</v>
      </c>
      <c r="B76" s="42">
        <f t="shared" si="7"/>
        <v>46086</v>
      </c>
      <c r="C76" s="42">
        <f t="shared" si="8"/>
        <v>46092</v>
      </c>
      <c r="D76" s="34">
        <v>3321</v>
      </c>
      <c r="E76" s="34">
        <v>337</v>
      </c>
      <c r="F76" s="34">
        <v>4</v>
      </c>
      <c r="G76" s="24">
        <v>5</v>
      </c>
      <c r="H76" s="24">
        <v>81679</v>
      </c>
      <c r="I76" s="34" t="s">
        <v>2690</v>
      </c>
      <c r="J76" s="24">
        <v>55507834</v>
      </c>
      <c r="K76" s="24" t="s">
        <v>6663</v>
      </c>
      <c r="L76" s="24" t="s">
        <v>6664</v>
      </c>
      <c r="M76" s="44">
        <v>149900</v>
      </c>
      <c r="N76" s="63" t="s">
        <v>2569</v>
      </c>
      <c r="O76" s="36" t="str">
        <f t="shared" si="9"/>
        <v>B1G1</v>
      </c>
      <c r="P76" s="63" t="s">
        <v>2569</v>
      </c>
    </row>
    <row r="77" spans="1:16" x14ac:dyDescent="0.35">
      <c r="A77" s="34" t="str">
        <f t="shared" si="6"/>
        <v>2025 AUG B1G1</v>
      </c>
      <c r="B77" s="42">
        <f t="shared" si="7"/>
        <v>46086</v>
      </c>
      <c r="C77" s="42">
        <f t="shared" si="8"/>
        <v>46092</v>
      </c>
      <c r="D77" s="34">
        <v>3321</v>
      </c>
      <c r="E77" s="34">
        <v>337</v>
      </c>
      <c r="F77" s="34">
        <v>4</v>
      </c>
      <c r="G77" s="24">
        <v>5</v>
      </c>
      <c r="H77" s="24">
        <v>81679</v>
      </c>
      <c r="I77" s="34" t="s">
        <v>2690</v>
      </c>
      <c r="J77" s="24">
        <v>55507843</v>
      </c>
      <c r="K77" s="24" t="s">
        <v>6663</v>
      </c>
      <c r="L77" s="24" t="s">
        <v>6665</v>
      </c>
      <c r="M77" s="44">
        <v>149900</v>
      </c>
      <c r="N77" s="63" t="s">
        <v>2569</v>
      </c>
      <c r="O77" s="36" t="str">
        <f t="shared" si="9"/>
        <v>B1G1</v>
      </c>
      <c r="P77" s="63" t="s">
        <v>2569</v>
      </c>
    </row>
    <row r="78" spans="1:16" x14ac:dyDescent="0.35">
      <c r="A78" s="34" t="str">
        <f t="shared" si="6"/>
        <v>2025 AUG B1G1</v>
      </c>
      <c r="B78" s="42">
        <f t="shared" si="7"/>
        <v>46086</v>
      </c>
      <c r="C78" s="42">
        <f t="shared" si="8"/>
        <v>46092</v>
      </c>
      <c r="D78" s="34">
        <v>3321</v>
      </c>
      <c r="E78" s="34">
        <v>337</v>
      </c>
      <c r="F78" s="34">
        <v>4</v>
      </c>
      <c r="G78" s="24">
        <v>5</v>
      </c>
      <c r="H78" s="24">
        <v>81679</v>
      </c>
      <c r="I78" s="34" t="s">
        <v>2690</v>
      </c>
      <c r="J78" s="24">
        <v>55507852</v>
      </c>
      <c r="K78" s="24" t="s">
        <v>6663</v>
      </c>
      <c r="L78" s="24" t="s">
        <v>6666</v>
      </c>
      <c r="M78" s="44">
        <v>149900</v>
      </c>
      <c r="N78" s="63" t="s">
        <v>2569</v>
      </c>
      <c r="O78" s="36" t="str">
        <f t="shared" si="9"/>
        <v>B1G1</v>
      </c>
      <c r="P78" s="63" t="s">
        <v>2569</v>
      </c>
    </row>
    <row r="79" spans="1:16" x14ac:dyDescent="0.35">
      <c r="A79" s="34" t="str">
        <f t="shared" si="6"/>
        <v>2025 AUG B1G1</v>
      </c>
      <c r="B79" s="42">
        <f t="shared" si="7"/>
        <v>46086</v>
      </c>
      <c r="C79" s="42">
        <f t="shared" si="8"/>
        <v>46092</v>
      </c>
      <c r="D79" s="34">
        <v>3321</v>
      </c>
      <c r="E79" s="34">
        <v>337</v>
      </c>
      <c r="F79" s="34">
        <v>4</v>
      </c>
      <c r="G79" s="24">
        <v>1</v>
      </c>
      <c r="H79" s="24">
        <v>81679</v>
      </c>
      <c r="I79" s="34" t="s">
        <v>2690</v>
      </c>
      <c r="J79" s="24">
        <v>55507861</v>
      </c>
      <c r="K79" s="24" t="s">
        <v>6663</v>
      </c>
      <c r="L79" s="24" t="s">
        <v>6667</v>
      </c>
      <c r="M79" s="44">
        <v>149900</v>
      </c>
      <c r="N79" s="63" t="s">
        <v>2569</v>
      </c>
      <c r="O79" s="36" t="str">
        <f t="shared" si="9"/>
        <v>B1G1</v>
      </c>
      <c r="P79" s="63" t="s">
        <v>2569</v>
      </c>
    </row>
    <row r="80" spans="1:16" x14ac:dyDescent="0.35">
      <c r="A80" s="34" t="str">
        <f t="shared" si="6"/>
        <v>2025 AUG B1G1</v>
      </c>
      <c r="B80" s="42">
        <f t="shared" si="7"/>
        <v>46086</v>
      </c>
      <c r="C80" s="42">
        <f t="shared" si="8"/>
        <v>46092</v>
      </c>
      <c r="D80" s="34">
        <v>3321</v>
      </c>
      <c r="E80" s="34">
        <v>337</v>
      </c>
      <c r="F80" s="34">
        <v>4</v>
      </c>
      <c r="G80" s="24">
        <v>1</v>
      </c>
      <c r="H80" s="24">
        <v>81588</v>
      </c>
      <c r="I80" s="34" t="s">
        <v>2690</v>
      </c>
      <c r="J80" s="24">
        <v>59168168</v>
      </c>
      <c r="K80" s="24" t="s">
        <v>6288</v>
      </c>
      <c r="L80" s="24" t="s">
        <v>6290</v>
      </c>
      <c r="M80" s="44">
        <v>99900</v>
      </c>
      <c r="N80" s="63" t="s">
        <v>2569</v>
      </c>
      <c r="O80" s="36" t="str">
        <f t="shared" si="9"/>
        <v>B1G1</v>
      </c>
      <c r="P80" s="63" t="s">
        <v>2569</v>
      </c>
    </row>
    <row r="81" spans="1:16" x14ac:dyDescent="0.35">
      <c r="A81" s="34" t="str">
        <f t="shared" si="6"/>
        <v>2025 AUG B1G1</v>
      </c>
      <c r="B81" s="42">
        <f t="shared" si="7"/>
        <v>46086</v>
      </c>
      <c r="C81" s="42">
        <f t="shared" si="8"/>
        <v>46092</v>
      </c>
      <c r="D81" s="34">
        <v>3321</v>
      </c>
      <c r="E81" s="34">
        <v>337</v>
      </c>
      <c r="F81" s="34">
        <v>4</v>
      </c>
      <c r="G81" s="24">
        <v>1</v>
      </c>
      <c r="H81" s="24">
        <v>81588</v>
      </c>
      <c r="I81" s="34" t="s">
        <v>2690</v>
      </c>
      <c r="J81" s="24">
        <v>59168177</v>
      </c>
      <c r="K81" s="24" t="s">
        <v>6288</v>
      </c>
      <c r="L81" s="24" t="s">
        <v>6289</v>
      </c>
      <c r="M81" s="44">
        <v>99900</v>
      </c>
      <c r="N81" s="63" t="s">
        <v>2569</v>
      </c>
      <c r="O81" s="36" t="str">
        <f t="shared" si="9"/>
        <v>B1G1</v>
      </c>
      <c r="P81" s="63" t="s">
        <v>2569</v>
      </c>
    </row>
    <row r="82" spans="1:16" x14ac:dyDescent="0.35">
      <c r="A82" s="34" t="str">
        <f t="shared" si="6"/>
        <v>2025 AUG B1G1</v>
      </c>
      <c r="B82" s="42">
        <f t="shared" si="7"/>
        <v>46086</v>
      </c>
      <c r="C82" s="42">
        <f t="shared" si="8"/>
        <v>46092</v>
      </c>
      <c r="D82" s="34">
        <v>3321</v>
      </c>
      <c r="E82" s="34">
        <v>337</v>
      </c>
      <c r="F82" s="34">
        <v>4</v>
      </c>
      <c r="G82" s="24">
        <v>1</v>
      </c>
      <c r="H82" s="24">
        <v>81588</v>
      </c>
      <c r="I82" s="34" t="s">
        <v>2690</v>
      </c>
      <c r="J82" s="24">
        <v>59168186</v>
      </c>
      <c r="K82" s="24" t="s">
        <v>6288</v>
      </c>
      <c r="L82" s="24" t="s">
        <v>6291</v>
      </c>
      <c r="M82" s="44">
        <v>99900</v>
      </c>
      <c r="N82" s="63" t="s">
        <v>2569</v>
      </c>
      <c r="O82" s="36" t="str">
        <f t="shared" si="9"/>
        <v>B1G1</v>
      </c>
      <c r="P82" s="63" t="s">
        <v>2569</v>
      </c>
    </row>
    <row r="83" spans="1:16" x14ac:dyDescent="0.35">
      <c r="A83" s="34" t="str">
        <f t="shared" si="6"/>
        <v>2025 AUG B1G1</v>
      </c>
      <c r="B83" s="42">
        <f t="shared" si="7"/>
        <v>46086</v>
      </c>
      <c r="C83" s="42">
        <f t="shared" si="8"/>
        <v>46092</v>
      </c>
      <c r="D83" s="34">
        <v>3321</v>
      </c>
      <c r="E83" s="34">
        <v>337</v>
      </c>
      <c r="F83" s="34">
        <v>4</v>
      </c>
      <c r="G83" s="24">
        <v>1</v>
      </c>
      <c r="H83" s="24">
        <v>81588</v>
      </c>
      <c r="I83" s="34" t="s">
        <v>2690</v>
      </c>
      <c r="J83" s="24">
        <v>59168195</v>
      </c>
      <c r="K83" s="24" t="s">
        <v>6288</v>
      </c>
      <c r="L83" s="24" t="s">
        <v>6725</v>
      </c>
      <c r="M83" s="44">
        <v>99900</v>
      </c>
      <c r="N83" s="63" t="s">
        <v>2569</v>
      </c>
      <c r="O83" s="36" t="str">
        <f t="shared" si="9"/>
        <v>B1G1</v>
      </c>
      <c r="P83" s="63" t="s">
        <v>2569</v>
      </c>
    </row>
    <row r="84" spans="1:16" x14ac:dyDescent="0.35">
      <c r="A84" s="34" t="str">
        <f t="shared" si="6"/>
        <v>2025 AUG B1G1</v>
      </c>
      <c r="B84" s="42">
        <f t="shared" si="7"/>
        <v>46086</v>
      </c>
      <c r="C84" s="42">
        <f t="shared" si="8"/>
        <v>46092</v>
      </c>
      <c r="D84" s="34">
        <v>3321</v>
      </c>
      <c r="E84" s="34">
        <v>337</v>
      </c>
      <c r="F84" s="34">
        <v>4</v>
      </c>
      <c r="G84" s="24">
        <v>1</v>
      </c>
      <c r="H84" s="24">
        <v>81588</v>
      </c>
      <c r="I84" s="34" t="s">
        <v>2690</v>
      </c>
      <c r="J84" s="24">
        <v>59168122</v>
      </c>
      <c r="K84" s="24" t="s">
        <v>6292</v>
      </c>
      <c r="L84" s="24" t="s">
        <v>6295</v>
      </c>
      <c r="M84" s="44">
        <v>99900</v>
      </c>
      <c r="N84" s="63" t="s">
        <v>2569</v>
      </c>
      <c r="O84" s="36" t="str">
        <f t="shared" si="9"/>
        <v>B1G1</v>
      </c>
      <c r="P84" s="63" t="s">
        <v>2569</v>
      </c>
    </row>
    <row r="85" spans="1:16" x14ac:dyDescent="0.35">
      <c r="A85" s="34" t="str">
        <f t="shared" si="6"/>
        <v>2025 AUG B1G1</v>
      </c>
      <c r="B85" s="42">
        <f t="shared" si="7"/>
        <v>46086</v>
      </c>
      <c r="C85" s="42">
        <f t="shared" si="8"/>
        <v>46092</v>
      </c>
      <c r="D85" s="34">
        <v>3321</v>
      </c>
      <c r="E85" s="34">
        <v>337</v>
      </c>
      <c r="F85" s="34">
        <v>4</v>
      </c>
      <c r="G85" s="24">
        <v>1</v>
      </c>
      <c r="H85" s="24">
        <v>81588</v>
      </c>
      <c r="I85" s="34" t="s">
        <v>2690</v>
      </c>
      <c r="J85" s="24">
        <v>59168131</v>
      </c>
      <c r="K85" s="24" t="s">
        <v>6292</v>
      </c>
      <c r="L85" s="24" t="s">
        <v>6296</v>
      </c>
      <c r="M85" s="44">
        <v>99900</v>
      </c>
      <c r="N85" s="63" t="s">
        <v>2569</v>
      </c>
      <c r="O85" s="36" t="str">
        <f t="shared" si="9"/>
        <v>B1G1</v>
      </c>
      <c r="P85" s="63" t="s">
        <v>2569</v>
      </c>
    </row>
    <row r="86" spans="1:16" x14ac:dyDescent="0.35">
      <c r="A86" s="34" t="str">
        <f t="shared" si="6"/>
        <v>2025 AUG B1G1</v>
      </c>
      <c r="B86" s="42">
        <f t="shared" si="7"/>
        <v>46086</v>
      </c>
      <c r="C86" s="42">
        <f t="shared" si="8"/>
        <v>46092</v>
      </c>
      <c r="D86" s="34">
        <v>3321</v>
      </c>
      <c r="E86" s="34">
        <v>337</v>
      </c>
      <c r="F86" s="34">
        <v>4</v>
      </c>
      <c r="G86" s="24">
        <v>1</v>
      </c>
      <c r="H86" s="24">
        <v>81588</v>
      </c>
      <c r="I86" s="34" t="s">
        <v>2690</v>
      </c>
      <c r="J86" s="24">
        <v>59168140</v>
      </c>
      <c r="K86" s="24" t="s">
        <v>6292</v>
      </c>
      <c r="L86" s="24" t="s">
        <v>6294</v>
      </c>
      <c r="M86" s="44">
        <v>99900</v>
      </c>
      <c r="N86" s="63" t="s">
        <v>2569</v>
      </c>
      <c r="O86" s="36" t="str">
        <f t="shared" si="9"/>
        <v>B1G1</v>
      </c>
      <c r="P86" s="63" t="s">
        <v>2569</v>
      </c>
    </row>
    <row r="87" spans="1:16" x14ac:dyDescent="0.35">
      <c r="A87" s="34" t="str">
        <f t="shared" si="6"/>
        <v>2025 AUG B1G1</v>
      </c>
      <c r="B87" s="42">
        <f t="shared" si="7"/>
        <v>46086</v>
      </c>
      <c r="C87" s="42">
        <f t="shared" si="8"/>
        <v>46092</v>
      </c>
      <c r="D87" s="34">
        <v>3321</v>
      </c>
      <c r="E87" s="34">
        <v>337</v>
      </c>
      <c r="F87" s="34">
        <v>4</v>
      </c>
      <c r="G87" s="24">
        <v>1</v>
      </c>
      <c r="H87" s="24">
        <v>81588</v>
      </c>
      <c r="I87" s="34" t="s">
        <v>2690</v>
      </c>
      <c r="J87" s="24">
        <v>59168159</v>
      </c>
      <c r="K87" s="24" t="s">
        <v>6292</v>
      </c>
      <c r="L87" s="24" t="s">
        <v>6293</v>
      </c>
      <c r="M87" s="44">
        <v>99900</v>
      </c>
      <c r="N87" s="63" t="s">
        <v>2569</v>
      </c>
      <c r="O87" s="36" t="str">
        <f t="shared" si="9"/>
        <v>B1G1</v>
      </c>
      <c r="P87" s="63" t="s">
        <v>2569</v>
      </c>
    </row>
  </sheetData>
  <autoFilter ref="A1:P1" xr:uid="{A98DA6A5-931F-4C4C-A73C-7E8B7CE9A86D}"/>
  <conditionalFormatting sqref="J1">
    <cfRule type="duplicateValues" dxfId="46" priority="1"/>
    <cfRule type="duplicateValues" dxfId="45" priority="2"/>
    <cfRule type="duplicateValues" dxfId="44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CE8-1260-4894-8A5A-99E2E9ABEF29}">
  <dimension ref="A1:P63"/>
  <sheetViews>
    <sheetView zoomScale="75" zoomScaleNormal="71" workbookViewId="0">
      <pane ySplit="1" topLeftCell="A2" activePane="bottomLeft" state="frozen"/>
      <selection activeCell="M23" sqref="M23"/>
      <selection pane="bottomLeft" activeCell="L15" sqref="L15"/>
    </sheetView>
  </sheetViews>
  <sheetFormatPr defaultColWidth="8.81640625" defaultRowHeight="14.5" x14ac:dyDescent="0.35"/>
  <cols>
    <col min="1" max="1" width="20.17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26.54296875" style="39" customWidth="1"/>
    <col min="16" max="16" width="15.726562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14" t="s">
        <v>6645</v>
      </c>
      <c r="B2" s="42">
        <f>'2025 AUG B1G1-3321'!B87</f>
        <v>46086</v>
      </c>
      <c r="C2" s="42">
        <f>'2025 AUG B1G1-3321'!C87</f>
        <v>46092</v>
      </c>
      <c r="D2" s="14">
        <v>3321</v>
      </c>
      <c r="E2" s="14">
        <v>337</v>
      </c>
      <c r="F2" s="14">
        <v>4</v>
      </c>
      <c r="G2" s="14">
        <v>1</v>
      </c>
      <c r="H2" s="60">
        <v>81588</v>
      </c>
      <c r="I2" s="14" t="s">
        <v>2690</v>
      </c>
      <c r="J2" s="60">
        <v>54954933</v>
      </c>
      <c r="K2" s="60" t="s">
        <v>6181</v>
      </c>
      <c r="L2" s="61" t="s">
        <v>6182</v>
      </c>
      <c r="M2" s="62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14" t="s">
        <v>6645</v>
      </c>
      <c r="B3" s="42">
        <f t="shared" ref="B3:C4" si="0">B2</f>
        <v>46086</v>
      </c>
      <c r="C3" s="42">
        <f t="shared" si="0"/>
        <v>46092</v>
      </c>
      <c r="D3" s="14">
        <v>3321</v>
      </c>
      <c r="E3" s="14">
        <v>337</v>
      </c>
      <c r="F3" s="14">
        <v>4</v>
      </c>
      <c r="G3" s="14">
        <v>1</v>
      </c>
      <c r="H3" s="60">
        <v>81588</v>
      </c>
      <c r="I3" s="14" t="s">
        <v>2690</v>
      </c>
      <c r="J3" s="60">
        <v>54954915</v>
      </c>
      <c r="K3" s="60" t="s">
        <v>6181</v>
      </c>
      <c r="L3" s="61" t="s">
        <v>6183</v>
      </c>
      <c r="M3" s="62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14" t="s">
        <v>6645</v>
      </c>
      <c r="B4" s="42">
        <f t="shared" si="0"/>
        <v>46086</v>
      </c>
      <c r="C4" s="42">
        <f t="shared" si="0"/>
        <v>46092</v>
      </c>
      <c r="D4" s="14">
        <v>3321</v>
      </c>
      <c r="E4" s="14">
        <v>337</v>
      </c>
      <c r="F4" s="14">
        <v>4</v>
      </c>
      <c r="G4" s="14">
        <v>1</v>
      </c>
      <c r="H4" s="60">
        <v>81588</v>
      </c>
      <c r="I4" s="14" t="s">
        <v>2690</v>
      </c>
      <c r="J4" s="60">
        <v>54954924</v>
      </c>
      <c r="K4" s="60" t="s">
        <v>6181</v>
      </c>
      <c r="L4" s="61" t="s">
        <v>6184</v>
      </c>
      <c r="M4" s="62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14" t="s">
        <v>6645</v>
      </c>
      <c r="B5" s="42">
        <f t="shared" ref="B5:C5" si="1">B4</f>
        <v>46086</v>
      </c>
      <c r="C5" s="42">
        <f t="shared" si="1"/>
        <v>46092</v>
      </c>
      <c r="D5" s="14">
        <v>3321</v>
      </c>
      <c r="E5" s="14">
        <v>337</v>
      </c>
      <c r="F5" s="14">
        <v>4</v>
      </c>
      <c r="G5" s="14">
        <v>1</v>
      </c>
      <c r="H5" s="60">
        <v>81588</v>
      </c>
      <c r="I5" s="14" t="s">
        <v>2690</v>
      </c>
      <c r="J5" s="60">
        <v>54954942</v>
      </c>
      <c r="K5" s="60" t="s">
        <v>6181</v>
      </c>
      <c r="L5" s="61" t="s">
        <v>6185</v>
      </c>
      <c r="M5" s="62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14" t="s">
        <v>6645</v>
      </c>
      <c r="B6" s="42">
        <f t="shared" ref="B6:C6" si="2">B5</f>
        <v>46086</v>
      </c>
      <c r="C6" s="42">
        <f t="shared" si="2"/>
        <v>46092</v>
      </c>
      <c r="D6" s="14">
        <v>3321</v>
      </c>
      <c r="E6" s="14">
        <v>337</v>
      </c>
      <c r="F6" s="14">
        <v>4</v>
      </c>
      <c r="G6" s="14">
        <v>1</v>
      </c>
      <c r="H6" s="14">
        <v>81462</v>
      </c>
      <c r="I6" s="14" t="s">
        <v>2690</v>
      </c>
      <c r="J6" s="14">
        <v>54954559</v>
      </c>
      <c r="K6" s="14" t="s">
        <v>5990</v>
      </c>
      <c r="L6" s="18" t="s">
        <v>5992</v>
      </c>
      <c r="M6" s="15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14" t="s">
        <v>6645</v>
      </c>
      <c r="B7" s="42">
        <f t="shared" ref="B7:C7" si="3">B6</f>
        <v>46086</v>
      </c>
      <c r="C7" s="42">
        <f t="shared" si="3"/>
        <v>46092</v>
      </c>
      <c r="D7" s="14">
        <v>3321</v>
      </c>
      <c r="E7" s="14">
        <v>337</v>
      </c>
      <c r="F7" s="14">
        <v>4</v>
      </c>
      <c r="G7" s="14">
        <v>1</v>
      </c>
      <c r="H7" s="14">
        <v>81462</v>
      </c>
      <c r="I7" s="14" t="s">
        <v>2690</v>
      </c>
      <c r="J7" s="14">
        <v>54954568</v>
      </c>
      <c r="K7" s="14" t="s">
        <v>5990</v>
      </c>
      <c r="L7" s="18" t="s">
        <v>5991</v>
      </c>
      <c r="M7" s="15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14" t="s">
        <v>6645</v>
      </c>
      <c r="B8" s="42">
        <f t="shared" ref="B8:C8" si="4">B7</f>
        <v>46086</v>
      </c>
      <c r="C8" s="42">
        <f t="shared" si="4"/>
        <v>46092</v>
      </c>
      <c r="D8" s="14">
        <v>3321</v>
      </c>
      <c r="E8" s="14">
        <v>337</v>
      </c>
      <c r="F8" s="14">
        <v>4</v>
      </c>
      <c r="G8" s="14">
        <v>1</v>
      </c>
      <c r="H8" s="14">
        <v>81462</v>
      </c>
      <c r="I8" s="14" t="s">
        <v>2690</v>
      </c>
      <c r="J8" s="14">
        <v>54954577</v>
      </c>
      <c r="K8" s="14" t="s">
        <v>5990</v>
      </c>
      <c r="L8" s="18" t="s">
        <v>5994</v>
      </c>
      <c r="M8" s="15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14" t="s">
        <v>6645</v>
      </c>
      <c r="B9" s="42">
        <f t="shared" ref="B9:C9" si="5">B8</f>
        <v>46086</v>
      </c>
      <c r="C9" s="42">
        <f t="shared" si="5"/>
        <v>46092</v>
      </c>
      <c r="D9" s="14">
        <v>3321</v>
      </c>
      <c r="E9" s="14">
        <v>337</v>
      </c>
      <c r="F9" s="14">
        <v>4</v>
      </c>
      <c r="G9" s="14">
        <v>1</v>
      </c>
      <c r="H9" s="14">
        <v>81462</v>
      </c>
      <c r="I9" s="14" t="s">
        <v>2690</v>
      </c>
      <c r="J9" s="14">
        <v>54954586</v>
      </c>
      <c r="K9" s="14" t="s">
        <v>5990</v>
      </c>
      <c r="L9" s="18" t="s">
        <v>5993</v>
      </c>
      <c r="M9" s="15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14" t="s">
        <v>6645</v>
      </c>
      <c r="B10" s="42">
        <f t="shared" ref="B10:C10" si="6">B9</f>
        <v>46086</v>
      </c>
      <c r="C10" s="42">
        <f t="shared" si="6"/>
        <v>46092</v>
      </c>
      <c r="D10" s="14">
        <v>3321</v>
      </c>
      <c r="E10" s="14">
        <v>337</v>
      </c>
      <c r="F10" s="14">
        <v>4</v>
      </c>
      <c r="G10" s="14">
        <v>1</v>
      </c>
      <c r="H10" s="14">
        <v>81588</v>
      </c>
      <c r="I10" s="14" t="s">
        <v>2690</v>
      </c>
      <c r="J10" s="14">
        <v>54954755</v>
      </c>
      <c r="K10" s="14" t="s">
        <v>5981</v>
      </c>
      <c r="L10" s="18" t="s">
        <v>5982</v>
      </c>
      <c r="M10" s="15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14" t="s">
        <v>6645</v>
      </c>
      <c r="B11" s="42">
        <f t="shared" ref="B11:C11" si="7">B10</f>
        <v>46086</v>
      </c>
      <c r="C11" s="42">
        <f t="shared" si="7"/>
        <v>46092</v>
      </c>
      <c r="D11" s="14">
        <v>3321</v>
      </c>
      <c r="E11" s="14">
        <v>337</v>
      </c>
      <c r="F11" s="14">
        <v>4</v>
      </c>
      <c r="G11" s="14">
        <v>1</v>
      </c>
      <c r="H11" s="14">
        <v>81588</v>
      </c>
      <c r="I11" s="14" t="s">
        <v>2690</v>
      </c>
      <c r="J11" s="14">
        <v>54954764</v>
      </c>
      <c r="K11" s="14" t="s">
        <v>5981</v>
      </c>
      <c r="L11" s="18" t="s">
        <v>5988</v>
      </c>
      <c r="M11" s="15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14" t="s">
        <v>6645</v>
      </c>
      <c r="B12" s="42">
        <f t="shared" ref="B12:C12" si="8">B11</f>
        <v>46086</v>
      </c>
      <c r="C12" s="42">
        <f t="shared" si="8"/>
        <v>46092</v>
      </c>
      <c r="D12" s="14">
        <v>3321</v>
      </c>
      <c r="E12" s="14">
        <v>337</v>
      </c>
      <c r="F12" s="14">
        <v>4</v>
      </c>
      <c r="G12" s="14">
        <v>1</v>
      </c>
      <c r="H12" s="14">
        <v>81588</v>
      </c>
      <c r="I12" s="14" t="s">
        <v>2690</v>
      </c>
      <c r="J12" s="14">
        <v>54954773</v>
      </c>
      <c r="K12" s="14" t="s">
        <v>5981</v>
      </c>
      <c r="L12" s="18" t="s">
        <v>5985</v>
      </c>
      <c r="M12" s="15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14" t="s">
        <v>6645</v>
      </c>
      <c r="B13" s="42">
        <f t="shared" ref="B13:C13" si="9">B12</f>
        <v>46086</v>
      </c>
      <c r="C13" s="42">
        <f t="shared" si="9"/>
        <v>46092</v>
      </c>
      <c r="D13" s="14">
        <v>3321</v>
      </c>
      <c r="E13" s="14">
        <v>337</v>
      </c>
      <c r="F13" s="14">
        <v>4</v>
      </c>
      <c r="G13" s="14">
        <v>1</v>
      </c>
      <c r="H13" s="14">
        <v>81588</v>
      </c>
      <c r="I13" s="14" t="s">
        <v>2690</v>
      </c>
      <c r="J13" s="14">
        <v>54954782</v>
      </c>
      <c r="K13" s="14" t="s">
        <v>5981</v>
      </c>
      <c r="L13" s="18" t="s">
        <v>5987</v>
      </c>
      <c r="M13" s="15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14" t="s">
        <v>6645</v>
      </c>
      <c r="B14" s="42">
        <f t="shared" ref="B14:C14" si="10">B13</f>
        <v>46086</v>
      </c>
      <c r="C14" s="42">
        <f t="shared" si="10"/>
        <v>46092</v>
      </c>
      <c r="D14" s="14">
        <v>3321</v>
      </c>
      <c r="E14" s="14">
        <v>337</v>
      </c>
      <c r="F14" s="14">
        <v>4</v>
      </c>
      <c r="G14" s="14">
        <v>1</v>
      </c>
      <c r="H14" s="14">
        <v>81679</v>
      </c>
      <c r="I14" s="14" t="s">
        <v>2690</v>
      </c>
      <c r="J14" s="14">
        <v>55253457</v>
      </c>
      <c r="K14" s="14" t="s">
        <v>6217</v>
      </c>
      <c r="L14" s="18" t="s">
        <v>6218</v>
      </c>
      <c r="M14" s="15">
        <v>99900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14" t="s">
        <v>6645</v>
      </c>
      <c r="B15" s="42">
        <f t="shared" ref="B15:C15" si="11">B14</f>
        <v>46086</v>
      </c>
      <c r="C15" s="42">
        <f t="shared" si="11"/>
        <v>46092</v>
      </c>
      <c r="D15" s="14">
        <v>3321</v>
      </c>
      <c r="E15" s="14">
        <v>337</v>
      </c>
      <c r="F15" s="14">
        <v>4</v>
      </c>
      <c r="G15" s="14">
        <v>1</v>
      </c>
      <c r="H15" s="14">
        <v>81679</v>
      </c>
      <c r="I15" s="14" t="s">
        <v>2690</v>
      </c>
      <c r="J15" s="14">
        <v>55253466</v>
      </c>
      <c r="K15" s="14" t="s">
        <v>6217</v>
      </c>
      <c r="L15" s="18" t="s">
        <v>6221</v>
      </c>
      <c r="M15" s="15">
        <v>99900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14" t="s">
        <v>6645</v>
      </c>
      <c r="B16" s="42">
        <f t="shared" ref="B16:C16" si="12">B15</f>
        <v>46086</v>
      </c>
      <c r="C16" s="42">
        <f t="shared" si="12"/>
        <v>46092</v>
      </c>
      <c r="D16" s="14">
        <v>3321</v>
      </c>
      <c r="E16" s="14">
        <v>337</v>
      </c>
      <c r="F16" s="14">
        <v>4</v>
      </c>
      <c r="G16" s="14">
        <v>1</v>
      </c>
      <c r="H16" s="14">
        <v>81679</v>
      </c>
      <c r="I16" s="14" t="s">
        <v>2690</v>
      </c>
      <c r="J16" s="14">
        <v>55253475</v>
      </c>
      <c r="K16" s="14" t="s">
        <v>6217</v>
      </c>
      <c r="L16" s="18" t="s">
        <v>6219</v>
      </c>
      <c r="M16" s="15">
        <v>99900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14" t="s">
        <v>6645</v>
      </c>
      <c r="B17" s="42">
        <f t="shared" ref="B17:C17" si="13">B16</f>
        <v>46086</v>
      </c>
      <c r="C17" s="42">
        <f t="shared" si="13"/>
        <v>46092</v>
      </c>
      <c r="D17" s="14">
        <v>3321</v>
      </c>
      <c r="E17" s="14">
        <v>337</v>
      </c>
      <c r="F17" s="14">
        <v>4</v>
      </c>
      <c r="G17" s="14">
        <v>1</v>
      </c>
      <c r="H17" s="14">
        <v>81679</v>
      </c>
      <c r="I17" s="14" t="s">
        <v>2690</v>
      </c>
      <c r="J17" s="14">
        <v>55253484</v>
      </c>
      <c r="K17" s="14" t="s">
        <v>6217</v>
      </c>
      <c r="L17" s="18" t="s">
        <v>6220</v>
      </c>
      <c r="M17" s="15">
        <v>99900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14" t="s">
        <v>6645</v>
      </c>
      <c r="B18" s="42">
        <f t="shared" ref="B18:C18" si="14">B17</f>
        <v>46086</v>
      </c>
      <c r="C18" s="42">
        <f t="shared" si="14"/>
        <v>46092</v>
      </c>
      <c r="D18" s="14">
        <v>3321</v>
      </c>
      <c r="E18" s="14">
        <v>337</v>
      </c>
      <c r="F18" s="14">
        <v>4</v>
      </c>
      <c r="G18" s="14">
        <v>1</v>
      </c>
      <c r="H18" s="14">
        <v>81679</v>
      </c>
      <c r="I18" s="14" t="s">
        <v>2690</v>
      </c>
      <c r="J18" s="14">
        <v>55253493</v>
      </c>
      <c r="K18" s="14" t="s">
        <v>6171</v>
      </c>
      <c r="L18" s="18" t="s">
        <v>6174</v>
      </c>
      <c r="M18" s="15">
        <v>99900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14" t="s">
        <v>6645</v>
      </c>
      <c r="B19" s="42">
        <f t="shared" ref="B19:C19" si="15">B18</f>
        <v>46086</v>
      </c>
      <c r="C19" s="42">
        <f t="shared" si="15"/>
        <v>46092</v>
      </c>
      <c r="D19" s="14">
        <v>3321</v>
      </c>
      <c r="E19" s="14">
        <v>337</v>
      </c>
      <c r="F19" s="14">
        <v>4</v>
      </c>
      <c r="G19" s="14">
        <v>1</v>
      </c>
      <c r="H19" s="14">
        <v>81679</v>
      </c>
      <c r="I19" s="14" t="s">
        <v>2690</v>
      </c>
      <c r="J19" s="14">
        <v>55253500</v>
      </c>
      <c r="K19" s="14" t="s">
        <v>6171</v>
      </c>
      <c r="L19" s="18" t="s">
        <v>6172</v>
      </c>
      <c r="M19" s="15">
        <v>99900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14" t="s">
        <v>6645</v>
      </c>
      <c r="B20" s="42">
        <f t="shared" ref="B20:C20" si="16">B19</f>
        <v>46086</v>
      </c>
      <c r="C20" s="42">
        <f t="shared" si="16"/>
        <v>46092</v>
      </c>
      <c r="D20" s="14">
        <v>3321</v>
      </c>
      <c r="E20" s="14">
        <v>337</v>
      </c>
      <c r="F20" s="14">
        <v>4</v>
      </c>
      <c r="G20" s="14">
        <v>1</v>
      </c>
      <c r="H20" s="14">
        <v>81679</v>
      </c>
      <c r="I20" s="14" t="s">
        <v>2690</v>
      </c>
      <c r="J20" s="14">
        <v>55253519</v>
      </c>
      <c r="K20" s="14" t="s">
        <v>6171</v>
      </c>
      <c r="L20" s="18" t="s">
        <v>6173</v>
      </c>
      <c r="M20" s="15">
        <v>99900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14" t="s">
        <v>6645</v>
      </c>
      <c r="B21" s="42">
        <f t="shared" ref="B21:C21" si="17">B20</f>
        <v>46086</v>
      </c>
      <c r="C21" s="42">
        <f t="shared" si="17"/>
        <v>46092</v>
      </c>
      <c r="D21" s="14">
        <v>3321</v>
      </c>
      <c r="E21" s="14">
        <v>337</v>
      </c>
      <c r="F21" s="14">
        <v>4</v>
      </c>
      <c r="G21" s="14">
        <v>1</v>
      </c>
      <c r="H21" s="14">
        <v>81679</v>
      </c>
      <c r="I21" s="14" t="s">
        <v>2690</v>
      </c>
      <c r="J21" s="14">
        <v>55253528</v>
      </c>
      <c r="K21" s="14" t="s">
        <v>6171</v>
      </c>
      <c r="L21" s="18" t="s">
        <v>6175</v>
      </c>
      <c r="M21" s="15">
        <v>99900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14" t="s">
        <v>6645</v>
      </c>
      <c r="B22" s="42">
        <f t="shared" ref="B22:C22" si="18">B21</f>
        <v>46086</v>
      </c>
      <c r="C22" s="42">
        <f t="shared" si="18"/>
        <v>46092</v>
      </c>
      <c r="D22" s="14">
        <v>3321</v>
      </c>
      <c r="E22" s="14">
        <v>337</v>
      </c>
      <c r="F22" s="14">
        <v>4</v>
      </c>
      <c r="G22" s="14">
        <v>1</v>
      </c>
      <c r="H22" s="14">
        <v>81588</v>
      </c>
      <c r="I22" s="14" t="s">
        <v>2690</v>
      </c>
      <c r="J22" s="14">
        <v>55253537</v>
      </c>
      <c r="K22" s="14" t="s">
        <v>6210</v>
      </c>
      <c r="L22" s="18" t="s">
        <v>6215</v>
      </c>
      <c r="M22" s="15">
        <v>99900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14" t="s">
        <v>6645</v>
      </c>
      <c r="B23" s="42">
        <f t="shared" ref="B23:C23" si="19">B22</f>
        <v>46086</v>
      </c>
      <c r="C23" s="42">
        <f t="shared" si="19"/>
        <v>46092</v>
      </c>
      <c r="D23" s="14">
        <v>3321</v>
      </c>
      <c r="E23" s="14">
        <v>337</v>
      </c>
      <c r="F23" s="14">
        <v>4</v>
      </c>
      <c r="G23" s="14">
        <v>1</v>
      </c>
      <c r="H23" s="14">
        <v>81588</v>
      </c>
      <c r="I23" s="14" t="s">
        <v>2690</v>
      </c>
      <c r="J23" s="14">
        <v>55253546</v>
      </c>
      <c r="K23" s="14" t="s">
        <v>6210</v>
      </c>
      <c r="L23" s="18" t="s">
        <v>6214</v>
      </c>
      <c r="M23" s="15">
        <v>99900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14" t="s">
        <v>6645</v>
      </c>
      <c r="B24" s="42">
        <f t="shared" ref="B24:C24" si="20">B23</f>
        <v>46086</v>
      </c>
      <c r="C24" s="42">
        <f t="shared" si="20"/>
        <v>46092</v>
      </c>
      <c r="D24" s="14">
        <v>3321</v>
      </c>
      <c r="E24" s="14">
        <v>337</v>
      </c>
      <c r="F24" s="14">
        <v>4</v>
      </c>
      <c r="G24" s="14">
        <v>1</v>
      </c>
      <c r="H24" s="14">
        <v>81588</v>
      </c>
      <c r="I24" s="14" t="s">
        <v>2690</v>
      </c>
      <c r="J24" s="14">
        <v>55253555</v>
      </c>
      <c r="K24" s="14" t="s">
        <v>6210</v>
      </c>
      <c r="L24" s="18" t="s">
        <v>6216</v>
      </c>
      <c r="M24" s="15">
        <v>99900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14" t="s">
        <v>6645</v>
      </c>
      <c r="B25" s="42">
        <f t="shared" ref="B25:C25" si="21">B24</f>
        <v>46086</v>
      </c>
      <c r="C25" s="42">
        <f t="shared" si="21"/>
        <v>46092</v>
      </c>
      <c r="D25" s="14">
        <v>3321</v>
      </c>
      <c r="E25" s="14">
        <v>337</v>
      </c>
      <c r="F25" s="14">
        <v>4</v>
      </c>
      <c r="G25" s="14">
        <v>1</v>
      </c>
      <c r="H25" s="14">
        <v>81588</v>
      </c>
      <c r="I25" s="14" t="s">
        <v>2690</v>
      </c>
      <c r="J25" s="14">
        <v>55253564</v>
      </c>
      <c r="K25" s="14" t="s">
        <v>6210</v>
      </c>
      <c r="L25" s="18" t="s">
        <v>6211</v>
      </c>
      <c r="M25" s="15">
        <v>99900</v>
      </c>
      <c r="N25" s="63" t="s">
        <v>2569</v>
      </c>
      <c r="O25" s="15" t="s">
        <v>2577</v>
      </c>
      <c r="P25" s="63" t="s">
        <v>2569</v>
      </c>
    </row>
    <row r="26" spans="1:16" x14ac:dyDescent="0.35">
      <c r="A26" s="14" t="s">
        <v>6645</v>
      </c>
      <c r="B26" s="42">
        <f t="shared" ref="B26:C26" si="22">B25</f>
        <v>46086</v>
      </c>
      <c r="C26" s="42">
        <f t="shared" si="22"/>
        <v>46092</v>
      </c>
      <c r="D26" s="14">
        <v>3321</v>
      </c>
      <c r="E26" s="14">
        <v>337</v>
      </c>
      <c r="F26" s="14">
        <v>4</v>
      </c>
      <c r="G26" s="14">
        <v>1</v>
      </c>
      <c r="H26" s="14">
        <v>81588</v>
      </c>
      <c r="I26" s="14" t="s">
        <v>2690</v>
      </c>
      <c r="J26" s="14">
        <v>55253573</v>
      </c>
      <c r="K26" s="14" t="s">
        <v>6210</v>
      </c>
      <c r="L26" s="18" t="s">
        <v>6213</v>
      </c>
      <c r="M26" s="15">
        <v>99900</v>
      </c>
      <c r="N26" s="63" t="s">
        <v>2569</v>
      </c>
      <c r="O26" s="15" t="s">
        <v>2577</v>
      </c>
      <c r="P26" s="63" t="s">
        <v>2569</v>
      </c>
    </row>
    <row r="27" spans="1:16" x14ac:dyDescent="0.35">
      <c r="A27" s="14" t="s">
        <v>6645</v>
      </c>
      <c r="B27" s="42">
        <f t="shared" ref="B27:C27" si="23">B26</f>
        <v>46086</v>
      </c>
      <c r="C27" s="42">
        <f t="shared" si="23"/>
        <v>46092</v>
      </c>
      <c r="D27" s="14">
        <v>3321</v>
      </c>
      <c r="E27" s="14">
        <v>337</v>
      </c>
      <c r="F27" s="14">
        <v>4</v>
      </c>
      <c r="G27" s="14">
        <v>1</v>
      </c>
      <c r="H27" s="14">
        <v>81588</v>
      </c>
      <c r="I27" s="14" t="s">
        <v>2690</v>
      </c>
      <c r="J27" s="14">
        <v>55253582</v>
      </c>
      <c r="K27" s="14" t="s">
        <v>6210</v>
      </c>
      <c r="L27" s="18" t="s">
        <v>6212</v>
      </c>
      <c r="M27" s="15">
        <v>99900</v>
      </c>
      <c r="N27" s="63" t="s">
        <v>2569</v>
      </c>
      <c r="O27" s="15" t="s">
        <v>2577</v>
      </c>
      <c r="P27" s="63" t="s">
        <v>2569</v>
      </c>
    </row>
    <row r="28" spans="1:16" x14ac:dyDescent="0.35">
      <c r="A28" s="14" t="s">
        <v>6645</v>
      </c>
      <c r="B28" s="42">
        <f t="shared" ref="B28:C28" si="24">B27</f>
        <v>46086</v>
      </c>
      <c r="C28" s="42">
        <f t="shared" si="24"/>
        <v>46092</v>
      </c>
      <c r="D28" s="14">
        <v>3321</v>
      </c>
      <c r="E28" s="14">
        <v>337</v>
      </c>
      <c r="F28" s="14">
        <v>4</v>
      </c>
      <c r="G28" s="14">
        <v>1</v>
      </c>
      <c r="H28" s="14">
        <v>81588</v>
      </c>
      <c r="I28" s="14" t="s">
        <v>2690</v>
      </c>
      <c r="J28" s="14">
        <v>55301663</v>
      </c>
      <c r="K28" s="14" t="s">
        <v>6196</v>
      </c>
      <c r="L28" s="18" t="s">
        <v>6197</v>
      </c>
      <c r="M28" s="15">
        <v>99900</v>
      </c>
      <c r="N28" s="63" t="s">
        <v>2569</v>
      </c>
      <c r="O28" s="15" t="s">
        <v>2577</v>
      </c>
      <c r="P28" s="63" t="s">
        <v>2569</v>
      </c>
    </row>
    <row r="29" spans="1:16" x14ac:dyDescent="0.35">
      <c r="A29" s="14" t="s">
        <v>6645</v>
      </c>
      <c r="B29" s="42">
        <f t="shared" ref="B29:C29" si="25">B28</f>
        <v>46086</v>
      </c>
      <c r="C29" s="42">
        <f t="shared" si="25"/>
        <v>46092</v>
      </c>
      <c r="D29" s="14">
        <v>3321</v>
      </c>
      <c r="E29" s="14">
        <v>337</v>
      </c>
      <c r="F29" s="14">
        <v>4</v>
      </c>
      <c r="G29" s="14">
        <v>1</v>
      </c>
      <c r="H29" s="14">
        <v>81588</v>
      </c>
      <c r="I29" s="14" t="s">
        <v>2690</v>
      </c>
      <c r="J29" s="14">
        <v>55301672</v>
      </c>
      <c r="K29" s="14" t="s">
        <v>6196</v>
      </c>
      <c r="L29" s="18" t="s">
        <v>6199</v>
      </c>
      <c r="M29" s="15">
        <v>99900</v>
      </c>
      <c r="N29" s="63" t="s">
        <v>2569</v>
      </c>
      <c r="O29" s="15" t="s">
        <v>2577</v>
      </c>
      <c r="P29" s="63" t="s">
        <v>2569</v>
      </c>
    </row>
    <row r="30" spans="1:16" x14ac:dyDescent="0.35">
      <c r="A30" s="14" t="s">
        <v>6645</v>
      </c>
      <c r="B30" s="42">
        <f t="shared" ref="B30:C30" si="26">B29</f>
        <v>46086</v>
      </c>
      <c r="C30" s="42">
        <f t="shared" si="26"/>
        <v>46092</v>
      </c>
      <c r="D30" s="14">
        <v>3321</v>
      </c>
      <c r="E30" s="14">
        <v>337</v>
      </c>
      <c r="F30" s="14">
        <v>4</v>
      </c>
      <c r="G30" s="14">
        <v>1</v>
      </c>
      <c r="H30" s="14">
        <v>81588</v>
      </c>
      <c r="I30" s="14" t="s">
        <v>2690</v>
      </c>
      <c r="J30" s="14">
        <v>55301681</v>
      </c>
      <c r="K30" s="14" t="s">
        <v>6196</v>
      </c>
      <c r="L30" s="18" t="s">
        <v>6198</v>
      </c>
      <c r="M30" s="15">
        <v>99900</v>
      </c>
      <c r="N30" s="63" t="s">
        <v>2569</v>
      </c>
      <c r="O30" s="15" t="s">
        <v>2577</v>
      </c>
      <c r="P30" s="63" t="s">
        <v>2569</v>
      </c>
    </row>
    <row r="31" spans="1:16" x14ac:dyDescent="0.35">
      <c r="A31" s="14" t="s">
        <v>6645</v>
      </c>
      <c r="B31" s="42">
        <f t="shared" ref="B31:C31" si="27">B30</f>
        <v>46086</v>
      </c>
      <c r="C31" s="42">
        <f t="shared" si="27"/>
        <v>46092</v>
      </c>
      <c r="D31" s="14">
        <v>3321</v>
      </c>
      <c r="E31" s="14">
        <v>337</v>
      </c>
      <c r="F31" s="14">
        <v>4</v>
      </c>
      <c r="G31" s="14">
        <v>1</v>
      </c>
      <c r="H31" s="14">
        <v>81588</v>
      </c>
      <c r="I31" s="14" t="s">
        <v>2690</v>
      </c>
      <c r="J31" s="14">
        <v>55301690</v>
      </c>
      <c r="K31" s="14" t="s">
        <v>6196</v>
      </c>
      <c r="L31" s="18" t="s">
        <v>6202</v>
      </c>
      <c r="M31" s="15">
        <v>99900</v>
      </c>
      <c r="N31" s="63" t="s">
        <v>2569</v>
      </c>
      <c r="O31" s="15" t="s">
        <v>2577</v>
      </c>
      <c r="P31" s="63" t="s">
        <v>2569</v>
      </c>
    </row>
    <row r="32" spans="1:16" x14ac:dyDescent="0.35">
      <c r="A32" s="14" t="s">
        <v>6645</v>
      </c>
      <c r="B32" s="42">
        <f t="shared" ref="B32:C32" si="28">B31</f>
        <v>46086</v>
      </c>
      <c r="C32" s="42">
        <f t="shared" si="28"/>
        <v>46092</v>
      </c>
      <c r="D32" s="14">
        <v>3321</v>
      </c>
      <c r="E32" s="14">
        <v>337</v>
      </c>
      <c r="F32" s="14">
        <v>4</v>
      </c>
      <c r="G32" s="14">
        <v>1</v>
      </c>
      <c r="H32" s="14">
        <v>81588</v>
      </c>
      <c r="I32" s="14" t="s">
        <v>2690</v>
      </c>
      <c r="J32" s="14">
        <v>55301707</v>
      </c>
      <c r="K32" s="14" t="s">
        <v>6196</v>
      </c>
      <c r="L32" s="18" t="s">
        <v>6201</v>
      </c>
      <c r="M32" s="15">
        <v>99900</v>
      </c>
      <c r="N32" s="63" t="s">
        <v>2569</v>
      </c>
      <c r="O32" s="15" t="s">
        <v>2577</v>
      </c>
      <c r="P32" s="63" t="s">
        <v>2569</v>
      </c>
    </row>
    <row r="33" spans="1:16" x14ac:dyDescent="0.35">
      <c r="A33" s="14" t="s">
        <v>6645</v>
      </c>
      <c r="B33" s="42">
        <f t="shared" ref="B33:C33" si="29">B32</f>
        <v>46086</v>
      </c>
      <c r="C33" s="42">
        <f t="shared" si="29"/>
        <v>46092</v>
      </c>
      <c r="D33" s="14">
        <v>3321</v>
      </c>
      <c r="E33" s="14">
        <v>337</v>
      </c>
      <c r="F33" s="14">
        <v>4</v>
      </c>
      <c r="G33" s="14">
        <v>1</v>
      </c>
      <c r="H33" s="14">
        <v>81588</v>
      </c>
      <c r="I33" s="14" t="s">
        <v>2690</v>
      </c>
      <c r="J33" s="14">
        <v>55301716</v>
      </c>
      <c r="K33" s="14" t="s">
        <v>6196</v>
      </c>
      <c r="L33" s="18" t="s">
        <v>6200</v>
      </c>
      <c r="M33" s="15">
        <v>99900</v>
      </c>
      <c r="N33" s="63" t="s">
        <v>2569</v>
      </c>
      <c r="O33" s="15" t="s">
        <v>2577</v>
      </c>
      <c r="P33" s="63" t="s">
        <v>2569</v>
      </c>
    </row>
    <row r="34" spans="1:16" x14ac:dyDescent="0.35">
      <c r="A34" s="14" t="s">
        <v>6645</v>
      </c>
      <c r="B34" s="42">
        <f t="shared" ref="B34:C34" si="30">B33</f>
        <v>46086</v>
      </c>
      <c r="C34" s="42">
        <f t="shared" si="30"/>
        <v>46092</v>
      </c>
      <c r="D34" s="14">
        <v>3321</v>
      </c>
      <c r="E34" s="14">
        <v>337</v>
      </c>
      <c r="F34" s="14">
        <v>4</v>
      </c>
      <c r="G34" s="14">
        <v>1</v>
      </c>
      <c r="H34" s="14">
        <v>81588</v>
      </c>
      <c r="I34" s="14" t="s">
        <v>2690</v>
      </c>
      <c r="J34" s="14">
        <v>55301725</v>
      </c>
      <c r="K34" s="14" t="s">
        <v>6203</v>
      </c>
      <c r="L34" s="18" t="s">
        <v>6208</v>
      </c>
      <c r="M34" s="15">
        <v>99900</v>
      </c>
      <c r="N34" s="63" t="s">
        <v>2569</v>
      </c>
      <c r="O34" s="15" t="s">
        <v>2577</v>
      </c>
      <c r="P34" s="63" t="s">
        <v>2569</v>
      </c>
    </row>
    <row r="35" spans="1:16" x14ac:dyDescent="0.35">
      <c r="A35" s="14" t="s">
        <v>6645</v>
      </c>
      <c r="B35" s="42">
        <f t="shared" ref="B35:C35" si="31">B34</f>
        <v>46086</v>
      </c>
      <c r="C35" s="42">
        <f t="shared" si="31"/>
        <v>46092</v>
      </c>
      <c r="D35" s="14">
        <v>3321</v>
      </c>
      <c r="E35" s="14">
        <v>337</v>
      </c>
      <c r="F35" s="14">
        <v>4</v>
      </c>
      <c r="G35" s="14">
        <v>1</v>
      </c>
      <c r="H35" s="14">
        <v>81588</v>
      </c>
      <c r="I35" s="14" t="s">
        <v>2690</v>
      </c>
      <c r="J35" s="14">
        <v>55301734</v>
      </c>
      <c r="K35" s="14" t="s">
        <v>6203</v>
      </c>
      <c r="L35" s="18" t="s">
        <v>6204</v>
      </c>
      <c r="M35" s="15">
        <v>99900</v>
      </c>
      <c r="N35" s="63" t="s">
        <v>2569</v>
      </c>
      <c r="O35" s="15" t="s">
        <v>2577</v>
      </c>
      <c r="P35" s="63" t="s">
        <v>2569</v>
      </c>
    </row>
    <row r="36" spans="1:16" x14ac:dyDescent="0.35">
      <c r="A36" s="14" t="s">
        <v>6645</v>
      </c>
      <c r="B36" s="42">
        <f t="shared" ref="B36:C36" si="32">B35</f>
        <v>46086</v>
      </c>
      <c r="C36" s="42">
        <f t="shared" si="32"/>
        <v>46092</v>
      </c>
      <c r="D36" s="14">
        <v>3321</v>
      </c>
      <c r="E36" s="14">
        <v>337</v>
      </c>
      <c r="F36" s="14">
        <v>4</v>
      </c>
      <c r="G36" s="14">
        <v>1</v>
      </c>
      <c r="H36" s="14">
        <v>81588</v>
      </c>
      <c r="I36" s="14" t="s">
        <v>2690</v>
      </c>
      <c r="J36" s="14">
        <v>55301743</v>
      </c>
      <c r="K36" s="14" t="s">
        <v>6203</v>
      </c>
      <c r="L36" s="18" t="s">
        <v>6205</v>
      </c>
      <c r="M36" s="15">
        <v>99900</v>
      </c>
      <c r="N36" s="63" t="s">
        <v>2569</v>
      </c>
      <c r="O36" s="15" t="s">
        <v>2577</v>
      </c>
      <c r="P36" s="63" t="s">
        <v>2569</v>
      </c>
    </row>
    <row r="37" spans="1:16" x14ac:dyDescent="0.35">
      <c r="A37" s="14" t="s">
        <v>6645</v>
      </c>
      <c r="B37" s="42">
        <f t="shared" ref="B37:C37" si="33">B36</f>
        <v>46086</v>
      </c>
      <c r="C37" s="42">
        <f t="shared" si="33"/>
        <v>46092</v>
      </c>
      <c r="D37" s="14">
        <v>3321</v>
      </c>
      <c r="E37" s="14">
        <v>337</v>
      </c>
      <c r="F37" s="14">
        <v>4</v>
      </c>
      <c r="G37" s="14">
        <v>1</v>
      </c>
      <c r="H37" s="14">
        <v>81588</v>
      </c>
      <c r="I37" s="14" t="s">
        <v>2690</v>
      </c>
      <c r="J37" s="14">
        <v>55301752</v>
      </c>
      <c r="K37" s="14" t="s">
        <v>6203</v>
      </c>
      <c r="L37" s="18" t="s">
        <v>6207</v>
      </c>
      <c r="M37" s="15">
        <v>99900</v>
      </c>
      <c r="N37" s="63" t="s">
        <v>2569</v>
      </c>
      <c r="O37" s="15" t="s">
        <v>2577</v>
      </c>
      <c r="P37" s="63" t="s">
        <v>2569</v>
      </c>
    </row>
    <row r="38" spans="1:16" x14ac:dyDescent="0.35">
      <c r="A38" s="14" t="s">
        <v>6645</v>
      </c>
      <c r="B38" s="42">
        <f t="shared" ref="B38:C38" si="34">B37</f>
        <v>46086</v>
      </c>
      <c r="C38" s="42">
        <f t="shared" si="34"/>
        <v>46092</v>
      </c>
      <c r="D38" s="14">
        <v>3321</v>
      </c>
      <c r="E38" s="14">
        <v>337</v>
      </c>
      <c r="F38" s="14">
        <v>4</v>
      </c>
      <c r="G38" s="14">
        <v>1</v>
      </c>
      <c r="H38" s="14">
        <v>81588</v>
      </c>
      <c r="I38" s="14" t="s">
        <v>2690</v>
      </c>
      <c r="J38" s="14">
        <v>55301761</v>
      </c>
      <c r="K38" s="14" t="s">
        <v>6203</v>
      </c>
      <c r="L38" s="18" t="s">
        <v>6206</v>
      </c>
      <c r="M38" s="15">
        <v>99900</v>
      </c>
      <c r="N38" s="63" t="s">
        <v>2569</v>
      </c>
      <c r="O38" s="15" t="s">
        <v>2577</v>
      </c>
      <c r="P38" s="63" t="s">
        <v>2569</v>
      </c>
    </row>
    <row r="39" spans="1:16" x14ac:dyDescent="0.35">
      <c r="A39" s="14" t="s">
        <v>6645</v>
      </c>
      <c r="B39" s="42">
        <f t="shared" ref="B39:C39" si="35">B38</f>
        <v>46086</v>
      </c>
      <c r="C39" s="42">
        <f t="shared" si="35"/>
        <v>46092</v>
      </c>
      <c r="D39" s="14">
        <v>3321</v>
      </c>
      <c r="E39" s="14">
        <v>337</v>
      </c>
      <c r="F39" s="14">
        <v>4</v>
      </c>
      <c r="G39" s="14">
        <v>1</v>
      </c>
      <c r="H39" s="14">
        <v>81588</v>
      </c>
      <c r="I39" s="14" t="s">
        <v>2690</v>
      </c>
      <c r="J39" s="14">
        <v>55301770</v>
      </c>
      <c r="K39" s="14" t="s">
        <v>6203</v>
      </c>
      <c r="L39" s="18" t="s">
        <v>6209</v>
      </c>
      <c r="M39" s="15">
        <v>99900</v>
      </c>
      <c r="N39" s="63" t="s">
        <v>2569</v>
      </c>
      <c r="O39" s="15" t="s">
        <v>2577</v>
      </c>
      <c r="P39" s="63" t="s">
        <v>2569</v>
      </c>
    </row>
    <row r="40" spans="1:16" x14ac:dyDescent="0.35">
      <c r="A40" s="14" t="s">
        <v>6645</v>
      </c>
      <c r="B40" s="42">
        <f t="shared" ref="B40:C40" si="36">B39</f>
        <v>46086</v>
      </c>
      <c r="C40" s="42">
        <f t="shared" si="36"/>
        <v>46092</v>
      </c>
      <c r="D40" s="34">
        <v>3321</v>
      </c>
      <c r="E40" s="34">
        <v>337</v>
      </c>
      <c r="F40" s="34">
        <v>4</v>
      </c>
      <c r="G40" s="25">
        <v>1</v>
      </c>
      <c r="H40" s="25">
        <v>81588</v>
      </c>
      <c r="I40" s="34" t="s">
        <v>2690</v>
      </c>
      <c r="J40" s="25">
        <v>54954719</v>
      </c>
      <c r="K40" s="25" t="s">
        <v>5983</v>
      </c>
      <c r="L40" s="24" t="s">
        <v>5989</v>
      </c>
      <c r="M40" s="26">
        <v>129900</v>
      </c>
      <c r="N40" s="63" t="s">
        <v>2569</v>
      </c>
      <c r="O40" s="15" t="s">
        <v>2577</v>
      </c>
      <c r="P40" s="63" t="s">
        <v>2569</v>
      </c>
    </row>
    <row r="41" spans="1:16" x14ac:dyDescent="0.35">
      <c r="A41" s="14" t="s">
        <v>6645</v>
      </c>
      <c r="B41" s="42">
        <f t="shared" ref="B41:C41" si="37">B40</f>
        <v>46086</v>
      </c>
      <c r="C41" s="42">
        <f t="shared" si="37"/>
        <v>46092</v>
      </c>
      <c r="D41" s="34">
        <v>3321</v>
      </c>
      <c r="E41" s="34">
        <v>337</v>
      </c>
      <c r="F41" s="34">
        <v>4</v>
      </c>
      <c r="G41" s="25">
        <v>1</v>
      </c>
      <c r="H41" s="25">
        <v>81588</v>
      </c>
      <c r="I41" s="34" t="s">
        <v>2690</v>
      </c>
      <c r="J41" s="25">
        <v>54954728</v>
      </c>
      <c r="K41" s="25" t="s">
        <v>5983</v>
      </c>
      <c r="L41" s="24" t="s">
        <v>5984</v>
      </c>
      <c r="M41" s="26">
        <v>129900</v>
      </c>
      <c r="N41" s="63" t="s">
        <v>2569</v>
      </c>
      <c r="O41" s="15" t="s">
        <v>2577</v>
      </c>
      <c r="P41" s="63" t="s">
        <v>2569</v>
      </c>
    </row>
    <row r="42" spans="1:16" x14ac:dyDescent="0.35">
      <c r="A42" s="14" t="s">
        <v>6645</v>
      </c>
      <c r="B42" s="42">
        <f t="shared" ref="B42:C42" si="38">B41</f>
        <v>46086</v>
      </c>
      <c r="C42" s="42">
        <f t="shared" si="38"/>
        <v>46092</v>
      </c>
      <c r="D42" s="34">
        <v>3321</v>
      </c>
      <c r="E42" s="34">
        <v>337</v>
      </c>
      <c r="F42" s="34">
        <v>4</v>
      </c>
      <c r="G42" s="25">
        <v>1</v>
      </c>
      <c r="H42" s="25">
        <v>81588</v>
      </c>
      <c r="I42" s="34" t="s">
        <v>2690</v>
      </c>
      <c r="J42" s="25">
        <v>54954737</v>
      </c>
      <c r="K42" s="25" t="s">
        <v>5983</v>
      </c>
      <c r="L42" s="24" t="s">
        <v>5986</v>
      </c>
      <c r="M42" s="26">
        <v>129900</v>
      </c>
      <c r="N42" s="63" t="s">
        <v>2569</v>
      </c>
      <c r="O42" s="15" t="s">
        <v>2577</v>
      </c>
      <c r="P42" s="63" t="s">
        <v>2569</v>
      </c>
    </row>
    <row r="43" spans="1:16" x14ac:dyDescent="0.35">
      <c r="A43" s="14" t="s">
        <v>6645</v>
      </c>
      <c r="B43" s="42">
        <f t="shared" ref="B43:C43" si="39">B42</f>
        <v>46086</v>
      </c>
      <c r="C43" s="42">
        <f t="shared" si="39"/>
        <v>46092</v>
      </c>
      <c r="D43" s="34">
        <v>3321</v>
      </c>
      <c r="E43" s="34">
        <v>337</v>
      </c>
      <c r="F43" s="34">
        <v>4</v>
      </c>
      <c r="G43" s="25">
        <v>1</v>
      </c>
      <c r="H43" s="25">
        <v>81588</v>
      </c>
      <c r="I43" s="34" t="s">
        <v>2690</v>
      </c>
      <c r="J43" s="25">
        <v>54954746</v>
      </c>
      <c r="K43" s="25" t="s">
        <v>5983</v>
      </c>
      <c r="L43" s="24" t="s">
        <v>6516</v>
      </c>
      <c r="M43" s="26">
        <v>129900</v>
      </c>
      <c r="N43" s="63" t="s">
        <v>2569</v>
      </c>
      <c r="O43" s="15" t="s">
        <v>2577</v>
      </c>
      <c r="P43" s="63" t="s">
        <v>2569</v>
      </c>
    </row>
    <row r="44" spans="1:16" x14ac:dyDescent="0.35">
      <c r="A44" s="14" t="s">
        <v>6645</v>
      </c>
      <c r="B44" s="42">
        <f t="shared" ref="B44:C44" si="40">B43</f>
        <v>46086</v>
      </c>
      <c r="C44" s="42">
        <f t="shared" si="40"/>
        <v>46092</v>
      </c>
      <c r="D44" s="34">
        <v>3321</v>
      </c>
      <c r="E44" s="34">
        <v>337</v>
      </c>
      <c r="F44" s="34">
        <v>4</v>
      </c>
      <c r="G44" s="25">
        <v>1</v>
      </c>
      <c r="H44" s="25">
        <v>81588</v>
      </c>
      <c r="I44" s="34" t="s">
        <v>2690</v>
      </c>
      <c r="J44" s="25">
        <v>54954675</v>
      </c>
      <c r="K44" s="25" t="s">
        <v>6191</v>
      </c>
      <c r="L44" s="24" t="s">
        <v>6194</v>
      </c>
      <c r="M44" s="26">
        <v>129900</v>
      </c>
      <c r="N44" s="63" t="s">
        <v>2569</v>
      </c>
      <c r="O44" s="15" t="s">
        <v>2577</v>
      </c>
      <c r="P44" s="63" t="s">
        <v>2569</v>
      </c>
    </row>
    <row r="45" spans="1:16" x14ac:dyDescent="0.35">
      <c r="A45" s="14" t="s">
        <v>6645</v>
      </c>
      <c r="B45" s="42">
        <f t="shared" ref="B45:C45" si="41">B44</f>
        <v>46086</v>
      </c>
      <c r="C45" s="42">
        <f t="shared" si="41"/>
        <v>46092</v>
      </c>
      <c r="D45" s="34">
        <v>3321</v>
      </c>
      <c r="E45" s="34">
        <v>337</v>
      </c>
      <c r="F45" s="34">
        <v>4</v>
      </c>
      <c r="G45" s="25">
        <v>1</v>
      </c>
      <c r="H45" s="25">
        <v>81588</v>
      </c>
      <c r="I45" s="34" t="s">
        <v>2690</v>
      </c>
      <c r="J45" s="25">
        <v>54954684</v>
      </c>
      <c r="K45" s="25" t="s">
        <v>6191</v>
      </c>
      <c r="L45" s="24" t="s">
        <v>6195</v>
      </c>
      <c r="M45" s="26">
        <v>129900</v>
      </c>
      <c r="N45" s="63" t="s">
        <v>2569</v>
      </c>
      <c r="O45" s="15" t="s">
        <v>2577</v>
      </c>
      <c r="P45" s="63" t="s">
        <v>2569</v>
      </c>
    </row>
    <row r="46" spans="1:16" x14ac:dyDescent="0.35">
      <c r="A46" s="14" t="s">
        <v>6645</v>
      </c>
      <c r="B46" s="42">
        <f t="shared" ref="B46:C46" si="42">B45</f>
        <v>46086</v>
      </c>
      <c r="C46" s="42">
        <f t="shared" si="42"/>
        <v>46092</v>
      </c>
      <c r="D46" s="34">
        <v>3321</v>
      </c>
      <c r="E46" s="34">
        <v>337</v>
      </c>
      <c r="F46" s="34">
        <v>4</v>
      </c>
      <c r="G46" s="25">
        <v>1</v>
      </c>
      <c r="H46" s="25">
        <v>81588</v>
      </c>
      <c r="I46" s="34" t="s">
        <v>2690</v>
      </c>
      <c r="J46" s="25">
        <v>54954693</v>
      </c>
      <c r="K46" s="25" t="s">
        <v>6191</v>
      </c>
      <c r="L46" s="24" t="s">
        <v>6193</v>
      </c>
      <c r="M46" s="26">
        <v>129900</v>
      </c>
      <c r="N46" s="63" t="s">
        <v>2569</v>
      </c>
      <c r="O46" s="15" t="s">
        <v>2577</v>
      </c>
      <c r="P46" s="63" t="s">
        <v>2569</v>
      </c>
    </row>
    <row r="47" spans="1:16" x14ac:dyDescent="0.35">
      <c r="A47" s="14" t="s">
        <v>6645</v>
      </c>
      <c r="B47" s="42">
        <f t="shared" ref="B47:C47" si="43">B46</f>
        <v>46086</v>
      </c>
      <c r="C47" s="42">
        <f t="shared" si="43"/>
        <v>46092</v>
      </c>
      <c r="D47" s="34">
        <v>3321</v>
      </c>
      <c r="E47" s="34">
        <v>337</v>
      </c>
      <c r="F47" s="34">
        <v>4</v>
      </c>
      <c r="G47" s="25">
        <v>1</v>
      </c>
      <c r="H47" s="25">
        <v>81588</v>
      </c>
      <c r="I47" s="34" t="s">
        <v>2690</v>
      </c>
      <c r="J47" s="25">
        <v>54954700</v>
      </c>
      <c r="K47" s="25" t="s">
        <v>6191</v>
      </c>
      <c r="L47" s="24" t="s">
        <v>6192</v>
      </c>
      <c r="M47" s="26">
        <v>129900</v>
      </c>
      <c r="N47" s="63" t="s">
        <v>2569</v>
      </c>
      <c r="O47" s="15" t="s">
        <v>2577</v>
      </c>
      <c r="P47" s="63" t="s">
        <v>2569</v>
      </c>
    </row>
    <row r="48" spans="1:16" x14ac:dyDescent="0.35">
      <c r="A48" s="14" t="s">
        <v>6645</v>
      </c>
      <c r="B48" s="42">
        <f t="shared" ref="B48:C48" si="44">B47</f>
        <v>46086</v>
      </c>
      <c r="C48" s="42">
        <f t="shared" si="44"/>
        <v>46092</v>
      </c>
      <c r="D48" s="60">
        <v>3321</v>
      </c>
      <c r="E48" s="14">
        <v>337</v>
      </c>
      <c r="F48" s="60">
        <v>4</v>
      </c>
      <c r="G48" s="60">
        <v>3</v>
      </c>
      <c r="H48" s="60">
        <v>81588</v>
      </c>
      <c r="I48" s="14" t="s">
        <v>2690</v>
      </c>
      <c r="J48" s="60">
        <v>54954871</v>
      </c>
      <c r="K48" s="60" t="s">
        <v>5995</v>
      </c>
      <c r="L48" s="59" t="s">
        <v>5996</v>
      </c>
      <c r="M48" s="62">
        <v>199900</v>
      </c>
      <c r="N48" s="63" t="s">
        <v>2569</v>
      </c>
      <c r="O48" s="15" t="s">
        <v>2577</v>
      </c>
      <c r="P48" s="63" t="s">
        <v>2569</v>
      </c>
    </row>
    <row r="49" spans="1:16" x14ac:dyDescent="0.35">
      <c r="A49" s="14" t="s">
        <v>6645</v>
      </c>
      <c r="B49" s="42">
        <f t="shared" ref="B49:C49" si="45">B48</f>
        <v>46086</v>
      </c>
      <c r="C49" s="42">
        <f t="shared" si="45"/>
        <v>46092</v>
      </c>
      <c r="D49" s="60">
        <v>3321</v>
      </c>
      <c r="E49" s="14">
        <v>337</v>
      </c>
      <c r="F49" s="60">
        <v>4</v>
      </c>
      <c r="G49" s="60">
        <v>3</v>
      </c>
      <c r="H49" s="60">
        <v>81588</v>
      </c>
      <c r="I49" s="14" t="s">
        <v>2690</v>
      </c>
      <c r="J49" s="60">
        <v>54954880</v>
      </c>
      <c r="K49" s="60" t="s">
        <v>5995</v>
      </c>
      <c r="L49" s="59" t="s">
        <v>5997</v>
      </c>
      <c r="M49" s="62">
        <v>199900</v>
      </c>
      <c r="N49" s="63" t="s">
        <v>2569</v>
      </c>
      <c r="O49" s="15" t="s">
        <v>2577</v>
      </c>
      <c r="P49" s="63" t="s">
        <v>2569</v>
      </c>
    </row>
    <row r="50" spans="1:16" x14ac:dyDescent="0.35">
      <c r="A50" s="14" t="s">
        <v>6645</v>
      </c>
      <c r="B50" s="42">
        <f t="shared" ref="B50:C50" si="46">B49</f>
        <v>46086</v>
      </c>
      <c r="C50" s="42">
        <f t="shared" si="46"/>
        <v>46092</v>
      </c>
      <c r="D50" s="60">
        <v>3321</v>
      </c>
      <c r="E50" s="14">
        <v>337</v>
      </c>
      <c r="F50" s="60">
        <v>4</v>
      </c>
      <c r="G50" s="60">
        <v>3</v>
      </c>
      <c r="H50" s="60">
        <v>81588</v>
      </c>
      <c r="I50" s="14" t="s">
        <v>2690</v>
      </c>
      <c r="J50" s="60">
        <v>54954899</v>
      </c>
      <c r="K50" s="60" t="s">
        <v>5995</v>
      </c>
      <c r="L50" s="59" t="s">
        <v>5999</v>
      </c>
      <c r="M50" s="62">
        <v>199900</v>
      </c>
      <c r="N50" s="63" t="s">
        <v>2569</v>
      </c>
      <c r="O50" s="15" t="s">
        <v>2577</v>
      </c>
      <c r="P50" s="63" t="s">
        <v>2569</v>
      </c>
    </row>
    <row r="51" spans="1:16" x14ac:dyDescent="0.35">
      <c r="A51" s="14" t="s">
        <v>6645</v>
      </c>
      <c r="B51" s="42">
        <f t="shared" ref="B51:C51" si="47">B50</f>
        <v>46086</v>
      </c>
      <c r="C51" s="42">
        <f t="shared" si="47"/>
        <v>46092</v>
      </c>
      <c r="D51" s="60">
        <v>3321</v>
      </c>
      <c r="E51" s="14">
        <v>337</v>
      </c>
      <c r="F51" s="60">
        <v>4</v>
      </c>
      <c r="G51" s="60">
        <v>3</v>
      </c>
      <c r="H51" s="60">
        <v>81588</v>
      </c>
      <c r="I51" s="14" t="s">
        <v>2690</v>
      </c>
      <c r="J51" s="60">
        <v>54954906</v>
      </c>
      <c r="K51" s="60" t="s">
        <v>5995</v>
      </c>
      <c r="L51" s="59" t="s">
        <v>5998</v>
      </c>
      <c r="M51" s="62">
        <v>199900</v>
      </c>
      <c r="N51" s="63" t="s">
        <v>2569</v>
      </c>
      <c r="O51" s="15" t="s">
        <v>2577</v>
      </c>
      <c r="P51" s="63" t="s">
        <v>2569</v>
      </c>
    </row>
    <row r="52" spans="1:16" x14ac:dyDescent="0.35">
      <c r="A52" s="14" t="s">
        <v>6645</v>
      </c>
      <c r="B52" s="42">
        <f t="shared" ref="B52:C52" si="48">B51</f>
        <v>46086</v>
      </c>
      <c r="C52" s="42">
        <f t="shared" si="48"/>
        <v>46092</v>
      </c>
      <c r="D52" s="60">
        <v>3321</v>
      </c>
      <c r="E52" s="14">
        <v>337</v>
      </c>
      <c r="F52" s="60">
        <v>4</v>
      </c>
      <c r="G52" s="60">
        <v>5</v>
      </c>
      <c r="H52" s="60">
        <v>190</v>
      </c>
      <c r="I52" s="14" t="s">
        <v>2690</v>
      </c>
      <c r="J52" s="60">
        <v>54955076</v>
      </c>
      <c r="K52" s="60" t="s">
        <v>6000</v>
      </c>
      <c r="L52" s="59" t="s">
        <v>6002</v>
      </c>
      <c r="M52" s="62">
        <v>149900</v>
      </c>
      <c r="N52" s="63" t="s">
        <v>2569</v>
      </c>
      <c r="O52" s="15" t="s">
        <v>2577</v>
      </c>
      <c r="P52" s="63" t="s">
        <v>2569</v>
      </c>
    </row>
    <row r="53" spans="1:16" x14ac:dyDescent="0.35">
      <c r="A53" s="14" t="s">
        <v>6645</v>
      </c>
      <c r="B53" s="42">
        <f t="shared" ref="B53:C53" si="49">B52</f>
        <v>46086</v>
      </c>
      <c r="C53" s="42">
        <f t="shared" si="49"/>
        <v>46092</v>
      </c>
      <c r="D53" s="60">
        <v>3321</v>
      </c>
      <c r="E53" s="14">
        <v>337</v>
      </c>
      <c r="F53" s="60">
        <v>4</v>
      </c>
      <c r="G53" s="60">
        <v>5</v>
      </c>
      <c r="H53" s="60">
        <v>190</v>
      </c>
      <c r="I53" s="14" t="s">
        <v>2690</v>
      </c>
      <c r="J53" s="60">
        <v>54955085</v>
      </c>
      <c r="K53" s="60" t="s">
        <v>6000</v>
      </c>
      <c r="L53" s="59" t="s">
        <v>6004</v>
      </c>
      <c r="M53" s="62">
        <v>149900</v>
      </c>
      <c r="N53" s="63" t="s">
        <v>2569</v>
      </c>
      <c r="O53" s="15" t="s">
        <v>2577</v>
      </c>
      <c r="P53" s="63" t="s">
        <v>2569</v>
      </c>
    </row>
    <row r="54" spans="1:16" x14ac:dyDescent="0.35">
      <c r="A54" s="14" t="s">
        <v>6645</v>
      </c>
      <c r="B54" s="42">
        <f t="shared" ref="B54:C54" si="50">B53</f>
        <v>46086</v>
      </c>
      <c r="C54" s="42">
        <f t="shared" si="50"/>
        <v>46092</v>
      </c>
      <c r="D54" s="60">
        <v>3321</v>
      </c>
      <c r="E54" s="14">
        <v>337</v>
      </c>
      <c r="F54" s="60">
        <v>4</v>
      </c>
      <c r="G54" s="60">
        <v>5</v>
      </c>
      <c r="H54" s="60">
        <v>190</v>
      </c>
      <c r="I54" s="14" t="s">
        <v>2690</v>
      </c>
      <c r="J54" s="60">
        <v>54955094</v>
      </c>
      <c r="K54" s="60" t="s">
        <v>6000</v>
      </c>
      <c r="L54" s="59" t="s">
        <v>6003</v>
      </c>
      <c r="M54" s="62">
        <v>149900</v>
      </c>
      <c r="N54" s="63" t="s">
        <v>2569</v>
      </c>
      <c r="O54" s="15" t="s">
        <v>2577</v>
      </c>
      <c r="P54" s="63" t="s">
        <v>2569</v>
      </c>
    </row>
    <row r="55" spans="1:16" x14ac:dyDescent="0.35">
      <c r="A55" s="14" t="s">
        <v>6645</v>
      </c>
      <c r="B55" s="42">
        <f t="shared" ref="B55:C55" si="51">B54</f>
        <v>46086</v>
      </c>
      <c r="C55" s="42">
        <f t="shared" si="51"/>
        <v>46092</v>
      </c>
      <c r="D55" s="60">
        <v>3321</v>
      </c>
      <c r="E55" s="14">
        <v>337</v>
      </c>
      <c r="F55" s="60">
        <v>4</v>
      </c>
      <c r="G55" s="60">
        <v>5</v>
      </c>
      <c r="H55" s="60">
        <v>190</v>
      </c>
      <c r="I55" s="14" t="s">
        <v>2690</v>
      </c>
      <c r="J55" s="60">
        <v>54955101</v>
      </c>
      <c r="K55" s="60" t="s">
        <v>6000</v>
      </c>
      <c r="L55" s="59" t="s">
        <v>6001</v>
      </c>
      <c r="M55" s="62">
        <v>149900</v>
      </c>
      <c r="N55" s="63" t="s">
        <v>2569</v>
      </c>
      <c r="O55" s="15" t="s">
        <v>2577</v>
      </c>
      <c r="P55" s="63" t="s">
        <v>2569</v>
      </c>
    </row>
    <row r="56" spans="1:16" x14ac:dyDescent="0.35">
      <c r="A56" s="14" t="s">
        <v>6645</v>
      </c>
      <c r="B56" s="42">
        <f t="shared" ref="B56:C56" si="52">B55</f>
        <v>46086</v>
      </c>
      <c r="C56" s="42">
        <f t="shared" si="52"/>
        <v>46092</v>
      </c>
      <c r="D56" s="60">
        <v>3321</v>
      </c>
      <c r="E56" s="14">
        <v>337</v>
      </c>
      <c r="F56" s="60">
        <v>4</v>
      </c>
      <c r="G56" s="60">
        <v>3</v>
      </c>
      <c r="H56" s="60">
        <v>81005</v>
      </c>
      <c r="I56" s="14" t="s">
        <v>2690</v>
      </c>
      <c r="J56" s="60">
        <v>54954835</v>
      </c>
      <c r="K56" s="60" t="s">
        <v>6176</v>
      </c>
      <c r="L56" s="59" t="s">
        <v>6178</v>
      </c>
      <c r="M56" s="62">
        <v>199900</v>
      </c>
      <c r="N56" s="63" t="s">
        <v>2569</v>
      </c>
      <c r="O56" s="15" t="s">
        <v>2577</v>
      </c>
      <c r="P56" s="63" t="s">
        <v>2569</v>
      </c>
    </row>
    <row r="57" spans="1:16" x14ac:dyDescent="0.35">
      <c r="A57" s="14" t="s">
        <v>6645</v>
      </c>
      <c r="B57" s="42">
        <f t="shared" ref="B57:C57" si="53">B56</f>
        <v>46086</v>
      </c>
      <c r="C57" s="42">
        <f t="shared" si="53"/>
        <v>46092</v>
      </c>
      <c r="D57" s="60">
        <v>3321</v>
      </c>
      <c r="E57" s="14">
        <v>337</v>
      </c>
      <c r="F57" s="60">
        <v>4</v>
      </c>
      <c r="G57" s="60">
        <v>3</v>
      </c>
      <c r="H57" s="60">
        <v>81005</v>
      </c>
      <c r="I57" s="14" t="s">
        <v>2690</v>
      </c>
      <c r="J57" s="60">
        <v>54954844</v>
      </c>
      <c r="K57" s="60" t="s">
        <v>6176</v>
      </c>
      <c r="L57" s="59" t="s">
        <v>6177</v>
      </c>
      <c r="M57" s="62">
        <v>199900</v>
      </c>
      <c r="N57" s="63" t="s">
        <v>2569</v>
      </c>
      <c r="O57" s="15" t="s">
        <v>2577</v>
      </c>
      <c r="P57" s="63" t="s">
        <v>2569</v>
      </c>
    </row>
    <row r="58" spans="1:16" x14ac:dyDescent="0.35">
      <c r="A58" s="14" t="s">
        <v>6645</v>
      </c>
      <c r="B58" s="42">
        <f t="shared" ref="B58:C58" si="54">B57</f>
        <v>46086</v>
      </c>
      <c r="C58" s="42">
        <f t="shared" si="54"/>
        <v>46092</v>
      </c>
      <c r="D58" s="60">
        <v>3321</v>
      </c>
      <c r="E58" s="14">
        <v>337</v>
      </c>
      <c r="F58" s="60">
        <v>4</v>
      </c>
      <c r="G58" s="60">
        <v>3</v>
      </c>
      <c r="H58" s="60">
        <v>81005</v>
      </c>
      <c r="I58" s="14" t="s">
        <v>2690</v>
      </c>
      <c r="J58" s="60">
        <v>54954853</v>
      </c>
      <c r="K58" s="60" t="s">
        <v>6176</v>
      </c>
      <c r="L58" s="59" t="s">
        <v>6179</v>
      </c>
      <c r="M58" s="62">
        <v>199900</v>
      </c>
      <c r="N58" s="63" t="s">
        <v>2569</v>
      </c>
      <c r="O58" s="15" t="s">
        <v>2577</v>
      </c>
      <c r="P58" s="63" t="s">
        <v>2569</v>
      </c>
    </row>
    <row r="59" spans="1:16" x14ac:dyDescent="0.35">
      <c r="A59" s="14" t="s">
        <v>6645</v>
      </c>
      <c r="B59" s="42">
        <f t="shared" ref="B59:C59" si="55">B58</f>
        <v>46086</v>
      </c>
      <c r="C59" s="42">
        <f t="shared" si="55"/>
        <v>46092</v>
      </c>
      <c r="D59" s="60">
        <v>3321</v>
      </c>
      <c r="E59" s="14">
        <v>337</v>
      </c>
      <c r="F59" s="60">
        <v>4</v>
      </c>
      <c r="G59" s="60">
        <v>3</v>
      </c>
      <c r="H59" s="60">
        <v>81005</v>
      </c>
      <c r="I59" s="14" t="s">
        <v>2690</v>
      </c>
      <c r="J59" s="60">
        <v>54954862</v>
      </c>
      <c r="K59" s="60" t="s">
        <v>6176</v>
      </c>
      <c r="L59" s="59" t="s">
        <v>6180</v>
      </c>
      <c r="M59" s="62">
        <v>199900</v>
      </c>
      <c r="N59" s="63" t="s">
        <v>2569</v>
      </c>
      <c r="O59" s="15" t="s">
        <v>2577</v>
      </c>
      <c r="P59" s="63" t="s">
        <v>2569</v>
      </c>
    </row>
    <row r="60" spans="1:16" x14ac:dyDescent="0.35">
      <c r="A60" s="14" t="s">
        <v>6645</v>
      </c>
      <c r="B60" s="42">
        <f t="shared" ref="B60:C60" si="56">B59</f>
        <v>46086</v>
      </c>
      <c r="C60" s="42">
        <f t="shared" si="56"/>
        <v>46092</v>
      </c>
      <c r="D60" s="60">
        <v>3321</v>
      </c>
      <c r="E60" s="14">
        <v>337</v>
      </c>
      <c r="F60" s="60">
        <v>4</v>
      </c>
      <c r="G60" s="60">
        <v>5</v>
      </c>
      <c r="H60" s="60">
        <v>190</v>
      </c>
      <c r="I60" s="14" t="s">
        <v>2690</v>
      </c>
      <c r="J60" s="60">
        <v>54954997</v>
      </c>
      <c r="K60" s="60" t="s">
        <v>6186</v>
      </c>
      <c r="L60" s="59" t="s">
        <v>6189</v>
      </c>
      <c r="M60" s="62">
        <v>149900</v>
      </c>
      <c r="N60" s="63" t="s">
        <v>2569</v>
      </c>
      <c r="O60" s="15" t="s">
        <v>2577</v>
      </c>
      <c r="P60" s="63" t="s">
        <v>2569</v>
      </c>
    </row>
    <row r="61" spans="1:16" x14ac:dyDescent="0.35">
      <c r="A61" s="14" t="s">
        <v>6645</v>
      </c>
      <c r="B61" s="42">
        <f t="shared" ref="B61:C61" si="57">B60</f>
        <v>46086</v>
      </c>
      <c r="C61" s="42">
        <f t="shared" si="57"/>
        <v>46092</v>
      </c>
      <c r="D61" s="60">
        <v>3321</v>
      </c>
      <c r="E61" s="14">
        <v>337</v>
      </c>
      <c r="F61" s="60">
        <v>4</v>
      </c>
      <c r="G61" s="60">
        <v>5</v>
      </c>
      <c r="H61" s="60">
        <v>190</v>
      </c>
      <c r="I61" s="14" t="s">
        <v>2690</v>
      </c>
      <c r="J61" s="60">
        <v>54955003</v>
      </c>
      <c r="K61" s="60" t="s">
        <v>6186</v>
      </c>
      <c r="L61" s="59" t="s">
        <v>6190</v>
      </c>
      <c r="M61" s="62">
        <v>149900</v>
      </c>
      <c r="N61" s="63" t="s">
        <v>2569</v>
      </c>
      <c r="O61" s="15" t="s">
        <v>2577</v>
      </c>
      <c r="P61" s="63" t="s">
        <v>2569</v>
      </c>
    </row>
    <row r="62" spans="1:16" x14ac:dyDescent="0.35">
      <c r="A62" s="14" t="s">
        <v>6645</v>
      </c>
      <c r="B62" s="42">
        <f t="shared" ref="B62:C62" si="58">B61</f>
        <v>46086</v>
      </c>
      <c r="C62" s="42">
        <f t="shared" si="58"/>
        <v>46092</v>
      </c>
      <c r="D62" s="60">
        <v>3321</v>
      </c>
      <c r="E62" s="14">
        <v>337</v>
      </c>
      <c r="F62" s="60">
        <v>4</v>
      </c>
      <c r="G62" s="60">
        <v>5</v>
      </c>
      <c r="H62" s="60">
        <v>190</v>
      </c>
      <c r="I62" s="14" t="s">
        <v>2690</v>
      </c>
      <c r="J62" s="60">
        <v>54955012</v>
      </c>
      <c r="K62" s="60" t="s">
        <v>6186</v>
      </c>
      <c r="L62" s="59" t="s">
        <v>6187</v>
      </c>
      <c r="M62" s="62">
        <v>149900</v>
      </c>
      <c r="N62" s="63" t="s">
        <v>2569</v>
      </c>
      <c r="O62" s="15" t="s">
        <v>2577</v>
      </c>
      <c r="P62" s="63" t="s">
        <v>2569</v>
      </c>
    </row>
    <row r="63" spans="1:16" x14ac:dyDescent="0.35">
      <c r="A63" s="14" t="s">
        <v>6645</v>
      </c>
      <c r="B63" s="42">
        <f t="shared" ref="B63:C63" si="59">B62</f>
        <v>46086</v>
      </c>
      <c r="C63" s="42">
        <f t="shared" si="59"/>
        <v>46092</v>
      </c>
      <c r="D63" s="60">
        <v>3321</v>
      </c>
      <c r="E63" s="14">
        <v>337</v>
      </c>
      <c r="F63" s="60">
        <v>4</v>
      </c>
      <c r="G63" s="60">
        <v>5</v>
      </c>
      <c r="H63" s="60">
        <v>190</v>
      </c>
      <c r="I63" s="14" t="s">
        <v>2690</v>
      </c>
      <c r="J63" s="60">
        <v>54955021</v>
      </c>
      <c r="K63" s="60" t="s">
        <v>6186</v>
      </c>
      <c r="L63" s="59" t="s">
        <v>6188</v>
      </c>
      <c r="M63" s="62">
        <v>149900</v>
      </c>
      <c r="N63" s="63" t="s">
        <v>2569</v>
      </c>
      <c r="O63" s="15" t="s">
        <v>2577</v>
      </c>
      <c r="P63" s="63" t="s">
        <v>2569</v>
      </c>
    </row>
  </sheetData>
  <autoFilter ref="A1:P1" xr:uid="{A98DA6A5-931F-4C4C-A73C-7E8B7CE9A86D}"/>
  <phoneticPr fontId="8" type="noConversion"/>
  <conditionalFormatting sqref="J1 J68:J1048576">
    <cfRule type="duplicateValues" dxfId="43" priority="38"/>
    <cfRule type="duplicateValues" dxfId="42" priority="39"/>
    <cfRule type="duplicateValues" dxfId="41" priority="40"/>
  </conditionalFormatting>
  <conditionalFormatting sqref="J2:J5">
    <cfRule type="duplicateValues" dxfId="40" priority="18"/>
  </conditionalFormatting>
  <conditionalFormatting sqref="J4:J5">
    <cfRule type="duplicateValues" dxfId="39" priority="19"/>
    <cfRule type="duplicateValues" dxfId="38" priority="20"/>
    <cfRule type="duplicateValues" dxfId="37" priority="21"/>
  </conditionalFormatting>
  <conditionalFormatting sqref="J6:J27">
    <cfRule type="duplicateValues" dxfId="36" priority="14"/>
    <cfRule type="duplicateValues" dxfId="35" priority="15"/>
    <cfRule type="duplicateValues" dxfId="34" priority="16"/>
    <cfRule type="duplicateValues" dxfId="33" priority="17"/>
  </conditionalFormatting>
  <conditionalFormatting sqref="J28:J39">
    <cfRule type="duplicateValues" dxfId="32" priority="10"/>
    <cfRule type="duplicateValues" dxfId="31" priority="11"/>
    <cfRule type="duplicateValues" dxfId="30" priority="12"/>
    <cfRule type="duplicateValues" dxfId="29" priority="13"/>
  </conditionalFormatting>
  <conditionalFormatting sqref="J40:J47">
    <cfRule type="duplicateValues" dxfId="28" priority="6"/>
    <cfRule type="duplicateValues" dxfId="27" priority="7"/>
    <cfRule type="duplicateValues" dxfId="26" priority="8"/>
    <cfRule type="duplicateValues" dxfId="25" priority="9"/>
  </conditionalFormatting>
  <conditionalFormatting sqref="J48:J63">
    <cfRule type="duplicateValues" dxfId="24" priority="1"/>
    <cfRule type="duplicateValues" dxfId="23" priority="2"/>
    <cfRule type="duplicateValues" dxfId="22" priority="3"/>
    <cfRule type="duplicateValues" dxfId="21" priority="4"/>
    <cfRule type="duplicateValues" dxfId="20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2" activePane="bottomLeft" state="frozen"/>
      <selection activeCell="M23" sqref="M23"/>
      <selection pane="bottomLeft" activeCell="B2" sqref="B2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42">
        <f>'2025 AUG B1G1-3321'!B87</f>
        <v>46086</v>
      </c>
      <c r="C2" s="42">
        <f>'2025 AUG B1G1-3321'!C87</f>
        <v>46092</v>
      </c>
      <c r="D2" s="6">
        <v>3321</v>
      </c>
      <c r="E2" s="6">
        <v>337</v>
      </c>
      <c r="F2" s="6">
        <v>4</v>
      </c>
      <c r="G2" s="6">
        <v>3</v>
      </c>
      <c r="H2" s="6">
        <v>81005</v>
      </c>
      <c r="I2" s="6" t="s">
        <v>2690</v>
      </c>
      <c r="J2" s="6">
        <v>52133270</v>
      </c>
      <c r="K2" s="6" t="s">
        <v>4809</v>
      </c>
      <c r="L2" s="17" t="s">
        <v>4812</v>
      </c>
      <c r="M2" s="8">
        <v>229900</v>
      </c>
      <c r="N2" s="9">
        <v>0.8</v>
      </c>
      <c r="O2" s="8">
        <f>M2-((80*M2)/100)</f>
        <v>45980</v>
      </c>
      <c r="P2" s="6" t="s">
        <v>16</v>
      </c>
    </row>
    <row r="3" spans="1:16" x14ac:dyDescent="0.35">
      <c r="A3" s="34" t="s">
        <v>6371</v>
      </c>
      <c r="B3" s="35">
        <f>B2</f>
        <v>46086</v>
      </c>
      <c r="C3" s="35">
        <f>C2</f>
        <v>46092</v>
      </c>
      <c r="D3" s="6">
        <v>3321</v>
      </c>
      <c r="E3" s="6">
        <v>337</v>
      </c>
      <c r="F3" s="6">
        <v>4</v>
      </c>
      <c r="G3" s="6">
        <v>3</v>
      </c>
      <c r="H3" s="6">
        <v>81005</v>
      </c>
      <c r="I3" s="6" t="s">
        <v>2690</v>
      </c>
      <c r="J3" s="6">
        <v>52133289</v>
      </c>
      <c r="K3" s="6" t="s">
        <v>4809</v>
      </c>
      <c r="L3" s="17" t="s">
        <v>4810</v>
      </c>
      <c r="M3" s="8">
        <v>229900</v>
      </c>
      <c r="N3" s="37">
        <v>0.8</v>
      </c>
      <c r="O3" s="36">
        <f>M3-((80*M3)/100)</f>
        <v>45980</v>
      </c>
      <c r="P3" s="6" t="s">
        <v>16</v>
      </c>
    </row>
    <row r="4" spans="1:16" x14ac:dyDescent="0.35">
      <c r="A4" s="34" t="s">
        <v>6371</v>
      </c>
      <c r="B4" s="35">
        <f t="shared" ref="B4:B29" si="0">B3</f>
        <v>46086</v>
      </c>
      <c r="C4" s="35">
        <f t="shared" ref="C4:C29" si="1">C3</f>
        <v>46092</v>
      </c>
      <c r="D4" s="6">
        <v>3321</v>
      </c>
      <c r="E4" s="6">
        <v>337</v>
      </c>
      <c r="F4" s="6">
        <v>4</v>
      </c>
      <c r="G4" s="6">
        <v>3</v>
      </c>
      <c r="H4" s="6">
        <v>81005</v>
      </c>
      <c r="I4" s="6" t="s">
        <v>2690</v>
      </c>
      <c r="J4" s="6">
        <v>52133298</v>
      </c>
      <c r="K4" s="6" t="s">
        <v>4809</v>
      </c>
      <c r="L4" s="17" t="s">
        <v>4813</v>
      </c>
      <c r="M4" s="8">
        <v>229900</v>
      </c>
      <c r="N4" s="37">
        <v>0.8</v>
      </c>
      <c r="O4" s="36">
        <f t="shared" ref="O4:O29" si="2">M4-((80*M4)/100)</f>
        <v>45980</v>
      </c>
      <c r="P4" s="6" t="s">
        <v>16</v>
      </c>
    </row>
    <row r="5" spans="1:16" x14ac:dyDescent="0.35">
      <c r="A5" s="34" t="s">
        <v>6371</v>
      </c>
      <c r="B5" s="35">
        <f t="shared" si="0"/>
        <v>46086</v>
      </c>
      <c r="C5" s="35">
        <f t="shared" si="1"/>
        <v>46092</v>
      </c>
      <c r="D5" s="34">
        <v>3321</v>
      </c>
      <c r="E5" s="34">
        <v>337</v>
      </c>
      <c r="F5" s="34">
        <v>4</v>
      </c>
      <c r="G5" s="34">
        <v>3</v>
      </c>
      <c r="H5" s="6">
        <v>81005</v>
      </c>
      <c r="I5" s="6" t="s">
        <v>2690</v>
      </c>
      <c r="J5" s="6">
        <v>52133305</v>
      </c>
      <c r="K5" s="6" t="s">
        <v>4809</v>
      </c>
      <c r="L5" s="17" t="s">
        <v>4811</v>
      </c>
      <c r="M5" s="8">
        <v>229900</v>
      </c>
      <c r="N5" s="37">
        <v>0.8</v>
      </c>
      <c r="O5" s="36">
        <f t="shared" si="2"/>
        <v>45980</v>
      </c>
      <c r="P5" s="6" t="s">
        <v>16</v>
      </c>
    </row>
    <row r="6" spans="1:16" x14ac:dyDescent="0.35">
      <c r="A6" s="34" t="s">
        <v>6371</v>
      </c>
      <c r="B6" s="35">
        <f t="shared" si="0"/>
        <v>46086</v>
      </c>
      <c r="C6" s="35">
        <f t="shared" si="1"/>
        <v>46092</v>
      </c>
      <c r="D6" s="34">
        <v>3321</v>
      </c>
      <c r="E6" s="34">
        <v>337</v>
      </c>
      <c r="F6" s="34">
        <v>4</v>
      </c>
      <c r="G6" s="34">
        <v>3</v>
      </c>
      <c r="H6" s="6">
        <v>81005</v>
      </c>
      <c r="I6" s="6" t="s">
        <v>2690</v>
      </c>
      <c r="J6" s="6">
        <v>52133314</v>
      </c>
      <c r="K6" s="6" t="s">
        <v>5400</v>
      </c>
      <c r="L6" s="17" t="s">
        <v>5401</v>
      </c>
      <c r="M6" s="8">
        <v>229900</v>
      </c>
      <c r="N6" s="37">
        <v>0.8</v>
      </c>
      <c r="O6" s="36">
        <f t="shared" si="2"/>
        <v>45980</v>
      </c>
      <c r="P6" s="6" t="s">
        <v>16</v>
      </c>
    </row>
    <row r="7" spans="1:16" x14ac:dyDescent="0.35">
      <c r="A7" s="34" t="s">
        <v>6371</v>
      </c>
      <c r="B7" s="35">
        <f t="shared" si="0"/>
        <v>46086</v>
      </c>
      <c r="C7" s="35">
        <f t="shared" si="1"/>
        <v>46092</v>
      </c>
      <c r="D7" s="34">
        <v>3321</v>
      </c>
      <c r="E7" s="34">
        <v>337</v>
      </c>
      <c r="F7" s="34">
        <v>4</v>
      </c>
      <c r="G7" s="34">
        <v>3</v>
      </c>
      <c r="H7" s="6">
        <v>81005</v>
      </c>
      <c r="I7" s="6" t="s">
        <v>2690</v>
      </c>
      <c r="J7" s="6">
        <v>52133323</v>
      </c>
      <c r="K7" s="6" t="s">
        <v>5400</v>
      </c>
      <c r="L7" s="17" t="s">
        <v>5402</v>
      </c>
      <c r="M7" s="8">
        <v>229900</v>
      </c>
      <c r="N7" s="37">
        <v>0.8</v>
      </c>
      <c r="O7" s="36">
        <f t="shared" si="2"/>
        <v>45980</v>
      </c>
      <c r="P7" s="6" t="s">
        <v>16</v>
      </c>
    </row>
    <row r="8" spans="1:16" x14ac:dyDescent="0.35">
      <c r="A8" s="34" t="s">
        <v>6371</v>
      </c>
      <c r="B8" s="35">
        <f t="shared" si="0"/>
        <v>46086</v>
      </c>
      <c r="C8" s="35">
        <f t="shared" si="1"/>
        <v>46092</v>
      </c>
      <c r="D8" s="34">
        <v>3321</v>
      </c>
      <c r="E8" s="34">
        <v>337</v>
      </c>
      <c r="F8" s="34">
        <v>4</v>
      </c>
      <c r="G8" s="34">
        <v>3</v>
      </c>
      <c r="H8" s="6">
        <v>81005</v>
      </c>
      <c r="I8" s="6" t="s">
        <v>2690</v>
      </c>
      <c r="J8" s="6">
        <v>52133332</v>
      </c>
      <c r="K8" s="6" t="s">
        <v>5400</v>
      </c>
      <c r="L8" s="17" t="s">
        <v>5403</v>
      </c>
      <c r="M8" s="8">
        <v>229900</v>
      </c>
      <c r="N8" s="37">
        <v>0.8</v>
      </c>
      <c r="O8" s="36">
        <f t="shared" si="2"/>
        <v>45980</v>
      </c>
      <c r="P8" s="6" t="s">
        <v>16</v>
      </c>
    </row>
    <row r="9" spans="1:16" x14ac:dyDescent="0.35">
      <c r="A9" s="34" t="s">
        <v>6371</v>
      </c>
      <c r="B9" s="35">
        <f t="shared" si="0"/>
        <v>46086</v>
      </c>
      <c r="C9" s="35">
        <f t="shared" si="1"/>
        <v>46092</v>
      </c>
      <c r="D9" s="34">
        <v>3321</v>
      </c>
      <c r="E9" s="34">
        <v>337</v>
      </c>
      <c r="F9" s="34">
        <v>4</v>
      </c>
      <c r="G9" s="34">
        <v>3</v>
      </c>
      <c r="H9" s="6">
        <v>81005</v>
      </c>
      <c r="I9" s="6" t="s">
        <v>2690</v>
      </c>
      <c r="J9" s="6">
        <v>52133341</v>
      </c>
      <c r="K9" s="6" t="s">
        <v>5400</v>
      </c>
      <c r="L9" s="17" t="s">
        <v>5404</v>
      </c>
      <c r="M9" s="8">
        <v>229900</v>
      </c>
      <c r="N9" s="37">
        <v>0.8</v>
      </c>
      <c r="O9" s="36">
        <f t="shared" si="2"/>
        <v>45980</v>
      </c>
      <c r="P9" s="6" t="s">
        <v>16</v>
      </c>
    </row>
    <row r="10" spans="1:16" x14ac:dyDescent="0.35">
      <c r="A10" s="34" t="s">
        <v>6371</v>
      </c>
      <c r="B10" s="35">
        <f t="shared" si="0"/>
        <v>46086</v>
      </c>
      <c r="C10" s="35">
        <f t="shared" si="1"/>
        <v>46092</v>
      </c>
      <c r="D10" s="34">
        <v>3321</v>
      </c>
      <c r="E10" s="34">
        <v>337</v>
      </c>
      <c r="F10" s="34">
        <v>4</v>
      </c>
      <c r="G10" s="34">
        <v>3</v>
      </c>
      <c r="H10" s="6">
        <v>81005</v>
      </c>
      <c r="I10" s="6" t="s">
        <v>2690</v>
      </c>
      <c r="J10" s="6">
        <v>52133529</v>
      </c>
      <c r="K10" s="6" t="s">
        <v>4795</v>
      </c>
      <c r="L10" s="17" t="s">
        <v>4801</v>
      </c>
      <c r="M10" s="8">
        <v>299900</v>
      </c>
      <c r="N10" s="37">
        <v>0.8</v>
      </c>
      <c r="O10" s="36">
        <f t="shared" si="2"/>
        <v>59980</v>
      </c>
      <c r="P10" s="6" t="s">
        <v>16</v>
      </c>
    </row>
    <row r="11" spans="1:16" x14ac:dyDescent="0.35">
      <c r="A11" s="34" t="s">
        <v>6371</v>
      </c>
      <c r="B11" s="35">
        <f t="shared" si="0"/>
        <v>46086</v>
      </c>
      <c r="C11" s="35">
        <f t="shared" si="1"/>
        <v>46092</v>
      </c>
      <c r="D11" s="34">
        <v>3321</v>
      </c>
      <c r="E11" s="34">
        <v>337</v>
      </c>
      <c r="F11" s="34">
        <v>4</v>
      </c>
      <c r="G11" s="34">
        <v>3</v>
      </c>
      <c r="H11" s="6">
        <v>81005</v>
      </c>
      <c r="I11" s="6" t="s">
        <v>2690</v>
      </c>
      <c r="J11" s="6">
        <v>52133538</v>
      </c>
      <c r="K11" s="6" t="s">
        <v>4795</v>
      </c>
      <c r="L11" s="17" t="s">
        <v>4799</v>
      </c>
      <c r="M11" s="8">
        <v>299900</v>
      </c>
      <c r="N11" s="37">
        <v>0.8</v>
      </c>
      <c r="O11" s="36">
        <f t="shared" si="2"/>
        <v>59980</v>
      </c>
      <c r="P11" s="6" t="s">
        <v>16</v>
      </c>
    </row>
    <row r="12" spans="1:16" x14ac:dyDescent="0.35">
      <c r="A12" s="34" t="s">
        <v>6371</v>
      </c>
      <c r="B12" s="35">
        <f t="shared" si="0"/>
        <v>46086</v>
      </c>
      <c r="C12" s="35">
        <f t="shared" si="1"/>
        <v>46092</v>
      </c>
      <c r="D12" s="34">
        <v>3321</v>
      </c>
      <c r="E12" s="34">
        <v>337</v>
      </c>
      <c r="F12" s="34">
        <v>4</v>
      </c>
      <c r="G12" s="34">
        <v>3</v>
      </c>
      <c r="H12" s="6">
        <v>81005</v>
      </c>
      <c r="I12" s="6" t="s">
        <v>2690</v>
      </c>
      <c r="J12" s="6">
        <v>52133547</v>
      </c>
      <c r="K12" s="6" t="s">
        <v>4795</v>
      </c>
      <c r="L12" s="17" t="s">
        <v>4796</v>
      </c>
      <c r="M12" s="8">
        <v>299900</v>
      </c>
      <c r="N12" s="37">
        <v>0.8</v>
      </c>
      <c r="O12" s="36">
        <f t="shared" si="2"/>
        <v>59980</v>
      </c>
      <c r="P12" s="6" t="s">
        <v>16</v>
      </c>
    </row>
    <row r="13" spans="1:16" x14ac:dyDescent="0.35">
      <c r="A13" s="34" t="s">
        <v>6371</v>
      </c>
      <c r="B13" s="35">
        <f t="shared" si="0"/>
        <v>46086</v>
      </c>
      <c r="C13" s="35">
        <f t="shared" si="1"/>
        <v>46092</v>
      </c>
      <c r="D13" s="34">
        <v>3321</v>
      </c>
      <c r="E13" s="34">
        <v>337</v>
      </c>
      <c r="F13" s="34">
        <v>4</v>
      </c>
      <c r="G13" s="34">
        <v>3</v>
      </c>
      <c r="H13" s="6">
        <v>81005</v>
      </c>
      <c r="I13" s="6" t="s">
        <v>2690</v>
      </c>
      <c r="J13" s="6">
        <v>52133556</v>
      </c>
      <c r="K13" s="6" t="s">
        <v>4795</v>
      </c>
      <c r="L13" s="17" t="s">
        <v>4797</v>
      </c>
      <c r="M13" s="8">
        <v>299900</v>
      </c>
      <c r="N13" s="37">
        <v>0.8</v>
      </c>
      <c r="O13" s="36">
        <f t="shared" si="2"/>
        <v>59980</v>
      </c>
      <c r="P13" s="6" t="s">
        <v>16</v>
      </c>
    </row>
    <row r="14" spans="1:16" x14ac:dyDescent="0.35">
      <c r="A14" s="34" t="s">
        <v>6371</v>
      </c>
      <c r="B14" s="35">
        <f t="shared" si="0"/>
        <v>46086</v>
      </c>
      <c r="C14" s="35">
        <f t="shared" si="1"/>
        <v>46092</v>
      </c>
      <c r="D14" s="34">
        <v>3321</v>
      </c>
      <c r="E14" s="34">
        <v>337</v>
      </c>
      <c r="F14" s="34">
        <v>4</v>
      </c>
      <c r="G14" s="34">
        <v>3</v>
      </c>
      <c r="H14" s="6">
        <v>81005</v>
      </c>
      <c r="I14" s="6" t="s">
        <v>2690</v>
      </c>
      <c r="J14" s="6">
        <v>52133565</v>
      </c>
      <c r="K14" s="6" t="s">
        <v>4795</v>
      </c>
      <c r="L14" s="17" t="s">
        <v>4800</v>
      </c>
      <c r="M14" s="8">
        <v>299900</v>
      </c>
      <c r="N14" s="37">
        <v>0.8</v>
      </c>
      <c r="O14" s="36">
        <f t="shared" si="2"/>
        <v>59980</v>
      </c>
      <c r="P14" s="6" t="s">
        <v>16</v>
      </c>
    </row>
    <row r="15" spans="1:16" x14ac:dyDescent="0.35">
      <c r="A15" s="34" t="s">
        <v>6371</v>
      </c>
      <c r="B15" s="35">
        <f t="shared" si="0"/>
        <v>46086</v>
      </c>
      <c r="C15" s="35">
        <f t="shared" si="1"/>
        <v>46092</v>
      </c>
      <c r="D15" s="34">
        <v>3321</v>
      </c>
      <c r="E15" s="34">
        <v>337</v>
      </c>
      <c r="F15" s="34">
        <v>4</v>
      </c>
      <c r="G15" s="34">
        <v>3</v>
      </c>
      <c r="H15" s="6">
        <v>81005</v>
      </c>
      <c r="I15" s="6" t="s">
        <v>2690</v>
      </c>
      <c r="J15" s="6">
        <v>52133574</v>
      </c>
      <c r="K15" s="6" t="s">
        <v>4795</v>
      </c>
      <c r="L15" s="17" t="s">
        <v>4798</v>
      </c>
      <c r="M15" s="8">
        <v>299900</v>
      </c>
      <c r="N15" s="37">
        <v>0.8</v>
      </c>
      <c r="O15" s="36">
        <f t="shared" si="2"/>
        <v>59980</v>
      </c>
      <c r="P15" s="6" t="s">
        <v>16</v>
      </c>
    </row>
    <row r="16" spans="1:16" x14ac:dyDescent="0.35">
      <c r="A16" s="34" t="s">
        <v>6371</v>
      </c>
      <c r="B16" s="35">
        <f t="shared" si="0"/>
        <v>46086</v>
      </c>
      <c r="C16" s="35">
        <f t="shared" si="1"/>
        <v>46092</v>
      </c>
      <c r="D16" s="34">
        <v>3321</v>
      </c>
      <c r="E16" s="34">
        <v>337</v>
      </c>
      <c r="F16" s="34">
        <v>4</v>
      </c>
      <c r="G16" s="34">
        <v>3</v>
      </c>
      <c r="H16" s="6">
        <v>81005</v>
      </c>
      <c r="I16" s="6" t="s">
        <v>2690</v>
      </c>
      <c r="J16" s="6">
        <v>52133583</v>
      </c>
      <c r="K16" s="6" t="s">
        <v>4802</v>
      </c>
      <c r="L16" s="17" t="s">
        <v>4806</v>
      </c>
      <c r="M16" s="8">
        <v>299900</v>
      </c>
      <c r="N16" s="37">
        <v>0.8</v>
      </c>
      <c r="O16" s="36">
        <f t="shared" si="2"/>
        <v>59980</v>
      </c>
      <c r="P16" s="6" t="s">
        <v>16</v>
      </c>
    </row>
    <row r="17" spans="1:16" x14ac:dyDescent="0.35">
      <c r="A17" s="34" t="s">
        <v>6371</v>
      </c>
      <c r="B17" s="35">
        <f t="shared" si="0"/>
        <v>46086</v>
      </c>
      <c r="C17" s="35">
        <f t="shared" si="1"/>
        <v>46092</v>
      </c>
      <c r="D17" s="34">
        <v>3321</v>
      </c>
      <c r="E17" s="34">
        <v>337</v>
      </c>
      <c r="F17" s="34">
        <v>4</v>
      </c>
      <c r="G17" s="34">
        <v>3</v>
      </c>
      <c r="H17" s="6">
        <v>81005</v>
      </c>
      <c r="I17" s="6" t="s">
        <v>2690</v>
      </c>
      <c r="J17" s="6">
        <v>52133592</v>
      </c>
      <c r="K17" s="6" t="s">
        <v>4802</v>
      </c>
      <c r="L17" s="17" t="s">
        <v>4808</v>
      </c>
      <c r="M17" s="8">
        <v>299900</v>
      </c>
      <c r="N17" s="37">
        <v>0.8</v>
      </c>
      <c r="O17" s="36">
        <f t="shared" si="2"/>
        <v>59980</v>
      </c>
      <c r="P17" s="6" t="s">
        <v>16</v>
      </c>
    </row>
    <row r="18" spans="1:16" x14ac:dyDescent="0.35">
      <c r="A18" s="34" t="s">
        <v>6371</v>
      </c>
      <c r="B18" s="35">
        <f t="shared" si="0"/>
        <v>46086</v>
      </c>
      <c r="C18" s="35">
        <f t="shared" si="1"/>
        <v>46092</v>
      </c>
      <c r="D18" s="34">
        <v>3321</v>
      </c>
      <c r="E18" s="34">
        <v>337</v>
      </c>
      <c r="F18" s="34">
        <v>4</v>
      </c>
      <c r="G18" s="34">
        <v>3</v>
      </c>
      <c r="H18" s="6">
        <v>81005</v>
      </c>
      <c r="I18" s="6" t="s">
        <v>2690</v>
      </c>
      <c r="J18" s="6">
        <v>52133609</v>
      </c>
      <c r="K18" s="6" t="s">
        <v>4802</v>
      </c>
      <c r="L18" s="17" t="s">
        <v>4805</v>
      </c>
      <c r="M18" s="8">
        <v>299900</v>
      </c>
      <c r="N18" s="37">
        <v>0.8</v>
      </c>
      <c r="O18" s="36">
        <f t="shared" si="2"/>
        <v>59980</v>
      </c>
      <c r="P18" s="6" t="s">
        <v>16</v>
      </c>
    </row>
    <row r="19" spans="1:16" x14ac:dyDescent="0.35">
      <c r="A19" s="34" t="s">
        <v>6371</v>
      </c>
      <c r="B19" s="35">
        <f t="shared" si="0"/>
        <v>46086</v>
      </c>
      <c r="C19" s="35">
        <f t="shared" si="1"/>
        <v>46092</v>
      </c>
      <c r="D19" s="34">
        <v>3321</v>
      </c>
      <c r="E19" s="34">
        <v>337</v>
      </c>
      <c r="F19" s="34">
        <v>4</v>
      </c>
      <c r="G19" s="34">
        <v>3</v>
      </c>
      <c r="H19" s="6">
        <v>81005</v>
      </c>
      <c r="I19" s="6" t="s">
        <v>2690</v>
      </c>
      <c r="J19" s="6">
        <v>52133618</v>
      </c>
      <c r="K19" s="6" t="s">
        <v>4802</v>
      </c>
      <c r="L19" s="17" t="s">
        <v>4804</v>
      </c>
      <c r="M19" s="8">
        <v>299900</v>
      </c>
      <c r="N19" s="37">
        <v>0.8</v>
      </c>
      <c r="O19" s="36">
        <f t="shared" si="2"/>
        <v>59980</v>
      </c>
      <c r="P19" s="6" t="s">
        <v>16</v>
      </c>
    </row>
    <row r="20" spans="1:16" x14ac:dyDescent="0.35">
      <c r="A20" s="34" t="s">
        <v>6371</v>
      </c>
      <c r="B20" s="35">
        <f t="shared" si="0"/>
        <v>46086</v>
      </c>
      <c r="C20" s="35">
        <f t="shared" si="1"/>
        <v>46092</v>
      </c>
      <c r="D20" s="34">
        <v>3321</v>
      </c>
      <c r="E20" s="34">
        <v>337</v>
      </c>
      <c r="F20" s="34">
        <v>4</v>
      </c>
      <c r="G20" s="34">
        <v>3</v>
      </c>
      <c r="H20" s="6">
        <v>81005</v>
      </c>
      <c r="I20" s="6" t="s">
        <v>2690</v>
      </c>
      <c r="J20" s="6">
        <v>52133627</v>
      </c>
      <c r="K20" s="6" t="s">
        <v>4802</v>
      </c>
      <c r="L20" s="17" t="s">
        <v>4807</v>
      </c>
      <c r="M20" s="8">
        <v>299900</v>
      </c>
      <c r="N20" s="37">
        <v>0.8</v>
      </c>
      <c r="O20" s="36">
        <f t="shared" si="2"/>
        <v>59980</v>
      </c>
      <c r="P20" s="6" t="s">
        <v>16</v>
      </c>
    </row>
    <row r="21" spans="1:16" x14ac:dyDescent="0.35">
      <c r="A21" s="34" t="s">
        <v>6371</v>
      </c>
      <c r="B21" s="35">
        <f t="shared" si="0"/>
        <v>46086</v>
      </c>
      <c r="C21" s="35">
        <f t="shared" si="1"/>
        <v>46092</v>
      </c>
      <c r="D21" s="34">
        <v>3321</v>
      </c>
      <c r="E21" s="34">
        <v>337</v>
      </c>
      <c r="F21" s="34">
        <v>4</v>
      </c>
      <c r="G21" s="34">
        <v>3</v>
      </c>
      <c r="H21" s="6">
        <v>81005</v>
      </c>
      <c r="I21" s="6" t="s">
        <v>2690</v>
      </c>
      <c r="J21" s="6">
        <v>52133636</v>
      </c>
      <c r="K21" s="6" t="s">
        <v>4802</v>
      </c>
      <c r="L21" s="17" t="s">
        <v>4803</v>
      </c>
      <c r="M21" s="8">
        <v>299900</v>
      </c>
      <c r="N21" s="37">
        <v>0.8</v>
      </c>
      <c r="O21" s="36">
        <f t="shared" si="2"/>
        <v>59980</v>
      </c>
      <c r="P21" s="6" t="s">
        <v>16</v>
      </c>
    </row>
    <row r="22" spans="1:16" x14ac:dyDescent="0.35">
      <c r="A22" s="34" t="s">
        <v>6371</v>
      </c>
      <c r="B22" s="35">
        <f t="shared" si="0"/>
        <v>46086</v>
      </c>
      <c r="C22" s="35">
        <f t="shared" si="1"/>
        <v>46092</v>
      </c>
      <c r="D22" s="34">
        <v>3321</v>
      </c>
      <c r="E22" s="34">
        <v>337</v>
      </c>
      <c r="F22" s="34">
        <v>4</v>
      </c>
      <c r="G22" s="34">
        <v>3</v>
      </c>
      <c r="H22" s="6">
        <v>81698</v>
      </c>
      <c r="I22" s="6" t="s">
        <v>2690</v>
      </c>
      <c r="J22" s="6">
        <v>51607251</v>
      </c>
      <c r="K22" s="6" t="s">
        <v>4563</v>
      </c>
      <c r="L22" s="17" t="s">
        <v>4566</v>
      </c>
      <c r="M22" s="8">
        <v>339900</v>
      </c>
      <c r="N22" s="37">
        <v>0.8</v>
      </c>
      <c r="O22" s="36">
        <f t="shared" si="2"/>
        <v>67980</v>
      </c>
      <c r="P22" s="6" t="s">
        <v>16</v>
      </c>
    </row>
    <row r="23" spans="1:16" x14ac:dyDescent="0.35">
      <c r="A23" s="34" t="s">
        <v>6371</v>
      </c>
      <c r="B23" s="35">
        <f t="shared" si="0"/>
        <v>46086</v>
      </c>
      <c r="C23" s="35">
        <f t="shared" si="1"/>
        <v>46092</v>
      </c>
      <c r="D23" s="34">
        <v>3321</v>
      </c>
      <c r="E23" s="34">
        <v>337</v>
      </c>
      <c r="F23" s="34">
        <v>4</v>
      </c>
      <c r="G23" s="34">
        <v>3</v>
      </c>
      <c r="H23" s="6">
        <v>81698</v>
      </c>
      <c r="I23" s="6" t="s">
        <v>2690</v>
      </c>
      <c r="J23" s="6">
        <v>51607260</v>
      </c>
      <c r="K23" s="6" t="s">
        <v>4563</v>
      </c>
      <c r="L23" s="17" t="s">
        <v>4567</v>
      </c>
      <c r="M23" s="8">
        <v>339900</v>
      </c>
      <c r="N23" s="37">
        <v>0.8</v>
      </c>
      <c r="O23" s="36">
        <f t="shared" si="2"/>
        <v>67980</v>
      </c>
      <c r="P23" s="6" t="s">
        <v>16</v>
      </c>
    </row>
    <row r="24" spans="1:16" x14ac:dyDescent="0.35">
      <c r="A24" s="34" t="s">
        <v>6371</v>
      </c>
      <c r="B24" s="35">
        <f t="shared" si="0"/>
        <v>46086</v>
      </c>
      <c r="C24" s="35">
        <f t="shared" si="1"/>
        <v>46092</v>
      </c>
      <c r="D24" s="34">
        <v>3321</v>
      </c>
      <c r="E24" s="34">
        <v>337</v>
      </c>
      <c r="F24" s="34">
        <v>4</v>
      </c>
      <c r="G24" s="34">
        <v>3</v>
      </c>
      <c r="H24" s="6">
        <v>81698</v>
      </c>
      <c r="I24" s="6" t="s">
        <v>2690</v>
      </c>
      <c r="J24" s="6">
        <v>51607279</v>
      </c>
      <c r="K24" s="6" t="s">
        <v>4563</v>
      </c>
      <c r="L24" s="17" t="s">
        <v>4564</v>
      </c>
      <c r="M24" s="8">
        <v>339900</v>
      </c>
      <c r="N24" s="37">
        <v>0.8</v>
      </c>
      <c r="O24" s="36">
        <f t="shared" si="2"/>
        <v>67980</v>
      </c>
      <c r="P24" s="6" t="s">
        <v>16</v>
      </c>
    </row>
    <row r="25" spans="1:16" x14ac:dyDescent="0.35">
      <c r="A25" s="34" t="s">
        <v>6371</v>
      </c>
      <c r="B25" s="35">
        <f t="shared" si="0"/>
        <v>46086</v>
      </c>
      <c r="C25" s="35">
        <f t="shared" si="1"/>
        <v>46092</v>
      </c>
      <c r="D25" s="34">
        <v>3321</v>
      </c>
      <c r="E25" s="34">
        <v>337</v>
      </c>
      <c r="F25" s="34">
        <v>4</v>
      </c>
      <c r="G25" s="34">
        <v>3</v>
      </c>
      <c r="H25" s="6">
        <v>81698</v>
      </c>
      <c r="I25" s="6" t="s">
        <v>2690</v>
      </c>
      <c r="J25" s="6">
        <v>51607288</v>
      </c>
      <c r="K25" s="6" t="s">
        <v>4563</v>
      </c>
      <c r="L25" s="17" t="s">
        <v>4565</v>
      </c>
      <c r="M25" s="8">
        <v>339900</v>
      </c>
      <c r="N25" s="37">
        <v>0.8</v>
      </c>
      <c r="O25" s="36">
        <f t="shared" si="2"/>
        <v>67980</v>
      </c>
      <c r="P25" s="6" t="s">
        <v>16</v>
      </c>
    </row>
    <row r="26" spans="1:16" x14ac:dyDescent="0.35">
      <c r="A26" s="34" t="s">
        <v>6371</v>
      </c>
      <c r="B26" s="35">
        <f t="shared" si="0"/>
        <v>46086</v>
      </c>
      <c r="C26" s="35">
        <f t="shared" si="1"/>
        <v>46092</v>
      </c>
      <c r="D26" s="34">
        <v>3321</v>
      </c>
      <c r="E26" s="34">
        <v>337</v>
      </c>
      <c r="F26" s="34">
        <v>4</v>
      </c>
      <c r="G26" s="34">
        <v>3</v>
      </c>
      <c r="H26" s="6">
        <v>81698</v>
      </c>
      <c r="I26" s="6" t="s">
        <v>2690</v>
      </c>
      <c r="J26" s="6">
        <v>52133663</v>
      </c>
      <c r="K26" s="6" t="s">
        <v>4814</v>
      </c>
      <c r="L26" s="17" t="s">
        <v>4815</v>
      </c>
      <c r="M26" s="8">
        <v>339900</v>
      </c>
      <c r="N26" s="37">
        <v>0.8</v>
      </c>
      <c r="O26" s="36">
        <f t="shared" si="2"/>
        <v>67980</v>
      </c>
      <c r="P26" s="6" t="s">
        <v>16</v>
      </c>
    </row>
    <row r="27" spans="1:16" x14ac:dyDescent="0.35">
      <c r="A27" s="34" t="s">
        <v>6371</v>
      </c>
      <c r="B27" s="35">
        <f t="shared" si="0"/>
        <v>46086</v>
      </c>
      <c r="C27" s="35">
        <f t="shared" si="1"/>
        <v>46092</v>
      </c>
      <c r="D27" s="34">
        <v>3321</v>
      </c>
      <c r="E27" s="34">
        <v>337</v>
      </c>
      <c r="F27" s="34">
        <v>4</v>
      </c>
      <c r="G27" s="34">
        <v>3</v>
      </c>
      <c r="H27" s="6">
        <v>81698</v>
      </c>
      <c r="I27" s="6" t="s">
        <v>2690</v>
      </c>
      <c r="J27" s="6">
        <v>52296845</v>
      </c>
      <c r="K27" s="6" t="s">
        <v>4814</v>
      </c>
      <c r="L27" s="17" t="s">
        <v>4817</v>
      </c>
      <c r="M27" s="8">
        <v>339900</v>
      </c>
      <c r="N27" s="37">
        <v>0.8</v>
      </c>
      <c r="O27" s="36">
        <f t="shared" si="2"/>
        <v>67980</v>
      </c>
      <c r="P27" s="6" t="s">
        <v>16</v>
      </c>
    </row>
    <row r="28" spans="1:16" x14ac:dyDescent="0.35">
      <c r="A28" s="34" t="s">
        <v>6371</v>
      </c>
      <c r="B28" s="35">
        <f t="shared" si="0"/>
        <v>46086</v>
      </c>
      <c r="C28" s="35">
        <f t="shared" si="1"/>
        <v>46092</v>
      </c>
      <c r="D28" s="34">
        <v>3321</v>
      </c>
      <c r="E28" s="34">
        <v>337</v>
      </c>
      <c r="F28" s="34">
        <v>4</v>
      </c>
      <c r="G28" s="34">
        <v>3</v>
      </c>
      <c r="H28" s="6">
        <v>81698</v>
      </c>
      <c r="I28" s="6" t="s">
        <v>2690</v>
      </c>
      <c r="J28" s="6">
        <v>52296854</v>
      </c>
      <c r="K28" s="6" t="s">
        <v>4814</v>
      </c>
      <c r="L28" s="17" t="s">
        <v>4816</v>
      </c>
      <c r="M28" s="8">
        <v>339900</v>
      </c>
      <c r="N28" s="37">
        <v>0.8</v>
      </c>
      <c r="O28" s="36">
        <f t="shared" si="2"/>
        <v>67980</v>
      </c>
      <c r="P28" s="6" t="s">
        <v>16</v>
      </c>
    </row>
    <row r="29" spans="1:16" x14ac:dyDescent="0.35">
      <c r="A29" s="34" t="s">
        <v>6371</v>
      </c>
      <c r="B29" s="35">
        <f t="shared" si="0"/>
        <v>46086</v>
      </c>
      <c r="C29" s="35">
        <f t="shared" si="1"/>
        <v>46092</v>
      </c>
      <c r="D29" s="34">
        <v>3321</v>
      </c>
      <c r="E29" s="34">
        <v>337</v>
      </c>
      <c r="F29" s="34">
        <v>4</v>
      </c>
      <c r="G29" s="34">
        <v>3</v>
      </c>
      <c r="H29" s="6">
        <v>81698</v>
      </c>
      <c r="I29" s="6" t="s">
        <v>2690</v>
      </c>
      <c r="J29" s="6">
        <v>52296863</v>
      </c>
      <c r="K29" s="6" t="s">
        <v>4814</v>
      </c>
      <c r="L29" s="17" t="s">
        <v>4818</v>
      </c>
      <c r="M29" s="8">
        <v>339900</v>
      </c>
      <c r="N29" s="37">
        <v>0.8</v>
      </c>
      <c r="O29" s="36">
        <f t="shared" si="2"/>
        <v>67980</v>
      </c>
      <c r="P29" s="6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0EA-CDA5-4A05-8864-5CD1CBDF6476}">
  <dimension ref="A1:P244"/>
  <sheetViews>
    <sheetView zoomScale="69" zoomScaleNormal="100" workbookViewId="0">
      <pane ySplit="1" topLeftCell="A104" activePane="bottomLeft" state="frozen"/>
      <selection activeCell="I231" sqref="I231"/>
      <selection pane="bottomLeft" activeCell="A125" sqref="A125"/>
    </sheetView>
  </sheetViews>
  <sheetFormatPr defaultColWidth="8.6328125" defaultRowHeight="14.5" x14ac:dyDescent="0.35"/>
  <cols>
    <col min="1" max="1" width="22.8164062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70.81640625" style="19" customWidth="1"/>
    <col min="13" max="13" width="20.90625" style="39" bestFit="1" customWidth="1"/>
    <col min="14" max="14" width="18.08984375" style="5" customWidth="1"/>
    <col min="15" max="15" width="19.90625" style="39" bestFit="1" customWidth="1"/>
    <col min="16" max="16" width="19.906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6783</v>
      </c>
      <c r="B2" s="42">
        <f>'2025 AUG B1G1-3321'!B87</f>
        <v>46086</v>
      </c>
      <c r="C2" s="42">
        <f>'2025 AUG B1G1-3321'!C87</f>
        <v>46092</v>
      </c>
      <c r="D2" s="34">
        <v>3321</v>
      </c>
      <c r="E2" s="34">
        <v>337</v>
      </c>
      <c r="F2" s="34">
        <v>4</v>
      </c>
      <c r="G2" s="34">
        <v>1</v>
      </c>
      <c r="H2" s="34">
        <v>81676</v>
      </c>
      <c r="I2" s="34" t="s">
        <v>2690</v>
      </c>
      <c r="J2" s="34">
        <v>20597875</v>
      </c>
      <c r="K2" s="34" t="s">
        <v>3498</v>
      </c>
      <c r="L2" s="40" t="s">
        <v>3499</v>
      </c>
      <c r="M2" s="36">
        <v>129900</v>
      </c>
      <c r="N2" s="36" t="s">
        <v>2569</v>
      </c>
      <c r="O2" s="34" t="s">
        <v>2586</v>
      </c>
      <c r="P2" s="36" t="s">
        <v>2569</v>
      </c>
    </row>
    <row r="3" spans="1:16" x14ac:dyDescent="0.35">
      <c r="A3" s="34" t="str">
        <f>A2</f>
        <v>2024 JULY-DEC B1G2</v>
      </c>
      <c r="B3" s="35">
        <f>B2</f>
        <v>46086</v>
      </c>
      <c r="C3" s="35">
        <f>C2</f>
        <v>46092</v>
      </c>
      <c r="D3" s="34">
        <v>3321</v>
      </c>
      <c r="E3" s="34">
        <v>337</v>
      </c>
      <c r="F3" s="34">
        <v>4</v>
      </c>
      <c r="G3" s="34">
        <v>1</v>
      </c>
      <c r="H3" s="34">
        <v>81676</v>
      </c>
      <c r="I3" s="34" t="s">
        <v>2690</v>
      </c>
      <c r="J3" s="34">
        <v>20597893</v>
      </c>
      <c r="K3" s="34" t="s">
        <v>3498</v>
      </c>
      <c r="L3" s="40" t="s">
        <v>3500</v>
      </c>
      <c r="M3" s="36">
        <v>129900</v>
      </c>
      <c r="N3" s="36" t="s">
        <v>2569</v>
      </c>
      <c r="O3" s="34" t="str">
        <f>O2</f>
        <v>B1G2</v>
      </c>
      <c r="P3" s="36" t="s">
        <v>2569</v>
      </c>
    </row>
    <row r="4" spans="1:16" x14ac:dyDescent="0.35">
      <c r="A4" s="34" t="str">
        <f t="shared" ref="A4:C67" si="0">A3</f>
        <v>2024 JULY-DEC B1G2</v>
      </c>
      <c r="B4" s="35">
        <f t="shared" si="0"/>
        <v>46086</v>
      </c>
      <c r="C4" s="35">
        <f t="shared" si="0"/>
        <v>46092</v>
      </c>
      <c r="D4" s="34">
        <v>3321</v>
      </c>
      <c r="E4" s="34">
        <v>337</v>
      </c>
      <c r="F4" s="34">
        <v>4</v>
      </c>
      <c r="G4" s="34">
        <v>1</v>
      </c>
      <c r="H4" s="34">
        <v>81676</v>
      </c>
      <c r="I4" s="34" t="s">
        <v>2690</v>
      </c>
      <c r="J4" s="34">
        <v>20597900</v>
      </c>
      <c r="K4" s="34" t="s">
        <v>3498</v>
      </c>
      <c r="L4" s="40" t="s">
        <v>3501</v>
      </c>
      <c r="M4" s="36">
        <v>129900</v>
      </c>
      <c r="N4" s="36" t="s">
        <v>2569</v>
      </c>
      <c r="O4" s="34" t="str">
        <f t="shared" ref="O4:O67" si="1">O3</f>
        <v>B1G2</v>
      </c>
      <c r="P4" s="36" t="s">
        <v>2569</v>
      </c>
    </row>
    <row r="5" spans="1:16" x14ac:dyDescent="0.35">
      <c r="A5" s="34" t="str">
        <f t="shared" si="0"/>
        <v>2024 JULY-DEC B1G2</v>
      </c>
      <c r="B5" s="35">
        <f t="shared" si="0"/>
        <v>46086</v>
      </c>
      <c r="C5" s="35">
        <f t="shared" si="0"/>
        <v>46092</v>
      </c>
      <c r="D5" s="34">
        <v>3321</v>
      </c>
      <c r="E5" s="34">
        <v>337</v>
      </c>
      <c r="F5" s="34">
        <v>4</v>
      </c>
      <c r="G5" s="34">
        <v>1</v>
      </c>
      <c r="H5" s="34">
        <v>81676</v>
      </c>
      <c r="I5" s="34" t="s">
        <v>2690</v>
      </c>
      <c r="J5" s="34">
        <v>20597937</v>
      </c>
      <c r="K5" s="34" t="s">
        <v>3498</v>
      </c>
      <c r="L5" s="40" t="s">
        <v>3502</v>
      </c>
      <c r="M5" s="36">
        <v>129900</v>
      </c>
      <c r="N5" s="36" t="s">
        <v>2569</v>
      </c>
      <c r="O5" s="34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JULY-DEC B1G2</v>
      </c>
      <c r="B6" s="35">
        <f t="shared" si="0"/>
        <v>46086</v>
      </c>
      <c r="C6" s="35">
        <f t="shared" si="0"/>
        <v>46092</v>
      </c>
      <c r="D6" s="34">
        <v>3321</v>
      </c>
      <c r="E6" s="34">
        <v>337</v>
      </c>
      <c r="F6" s="34">
        <v>4</v>
      </c>
      <c r="G6" s="34">
        <v>1</v>
      </c>
      <c r="H6" s="34">
        <v>81676</v>
      </c>
      <c r="I6" s="34" t="s">
        <v>2690</v>
      </c>
      <c r="J6" s="34">
        <v>20597955</v>
      </c>
      <c r="K6" s="34" t="s">
        <v>3503</v>
      </c>
      <c r="L6" s="40" t="s">
        <v>3504</v>
      </c>
      <c r="M6" s="36">
        <v>139900</v>
      </c>
      <c r="N6" s="36" t="s">
        <v>2569</v>
      </c>
      <c r="O6" s="34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JULY-DEC B1G2</v>
      </c>
      <c r="B7" s="35">
        <f t="shared" si="0"/>
        <v>46086</v>
      </c>
      <c r="C7" s="35">
        <f t="shared" si="0"/>
        <v>46092</v>
      </c>
      <c r="D7" s="34">
        <v>3321</v>
      </c>
      <c r="E7" s="34">
        <v>337</v>
      </c>
      <c r="F7" s="34">
        <v>4</v>
      </c>
      <c r="G7" s="34">
        <v>1</v>
      </c>
      <c r="H7" s="34">
        <v>81676</v>
      </c>
      <c r="I7" s="34" t="s">
        <v>2690</v>
      </c>
      <c r="J7" s="34">
        <v>20597973</v>
      </c>
      <c r="K7" s="34" t="s">
        <v>3503</v>
      </c>
      <c r="L7" s="40" t="s">
        <v>3505</v>
      </c>
      <c r="M7" s="36">
        <v>139900</v>
      </c>
      <c r="N7" s="36" t="s">
        <v>2569</v>
      </c>
      <c r="O7" s="34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JULY-DEC B1G2</v>
      </c>
      <c r="B8" s="35">
        <f t="shared" si="0"/>
        <v>46086</v>
      </c>
      <c r="C8" s="35">
        <f t="shared" si="0"/>
        <v>46092</v>
      </c>
      <c r="D8" s="34">
        <v>3321</v>
      </c>
      <c r="E8" s="34">
        <v>337</v>
      </c>
      <c r="F8" s="34">
        <v>4</v>
      </c>
      <c r="G8" s="34">
        <v>1</v>
      </c>
      <c r="H8" s="34">
        <v>81676</v>
      </c>
      <c r="I8" s="34" t="s">
        <v>2690</v>
      </c>
      <c r="J8" s="34">
        <v>20598007</v>
      </c>
      <c r="K8" s="34" t="s">
        <v>3503</v>
      </c>
      <c r="L8" s="40" t="s">
        <v>3506</v>
      </c>
      <c r="M8" s="36">
        <v>139900</v>
      </c>
      <c r="N8" s="36" t="s">
        <v>2569</v>
      </c>
      <c r="O8" s="34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JULY-DEC B1G2</v>
      </c>
      <c r="B9" s="35">
        <f t="shared" si="0"/>
        <v>46086</v>
      </c>
      <c r="C9" s="35">
        <f t="shared" si="0"/>
        <v>46092</v>
      </c>
      <c r="D9" s="34">
        <v>3321</v>
      </c>
      <c r="E9" s="34">
        <v>337</v>
      </c>
      <c r="F9" s="34">
        <v>4</v>
      </c>
      <c r="G9" s="34">
        <v>1</v>
      </c>
      <c r="H9" s="34">
        <v>81676</v>
      </c>
      <c r="I9" s="34" t="s">
        <v>2690</v>
      </c>
      <c r="J9" s="34">
        <v>20598016</v>
      </c>
      <c r="K9" s="34" t="s">
        <v>3503</v>
      </c>
      <c r="L9" s="40" t="s">
        <v>3507</v>
      </c>
      <c r="M9" s="36">
        <v>139900</v>
      </c>
      <c r="N9" s="36" t="s">
        <v>2569</v>
      </c>
      <c r="O9" s="34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JULY-DEC B1G2</v>
      </c>
      <c r="B10" s="35">
        <f t="shared" si="0"/>
        <v>46086</v>
      </c>
      <c r="C10" s="35">
        <f t="shared" si="0"/>
        <v>46092</v>
      </c>
      <c r="D10" s="34">
        <v>3321</v>
      </c>
      <c r="E10" s="34">
        <v>337</v>
      </c>
      <c r="F10" s="34">
        <v>4</v>
      </c>
      <c r="G10" s="34">
        <v>1</v>
      </c>
      <c r="H10" s="34">
        <v>81676</v>
      </c>
      <c r="I10" s="34" t="s">
        <v>2690</v>
      </c>
      <c r="J10" s="34">
        <v>21324854</v>
      </c>
      <c r="K10" s="34" t="s">
        <v>3508</v>
      </c>
      <c r="L10" s="40" t="s">
        <v>3509</v>
      </c>
      <c r="M10" s="36">
        <v>129900</v>
      </c>
      <c r="N10" s="36" t="s">
        <v>2569</v>
      </c>
      <c r="O10" s="34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JULY-DEC B1G2</v>
      </c>
      <c r="B11" s="35">
        <f t="shared" si="0"/>
        <v>46086</v>
      </c>
      <c r="C11" s="35">
        <f t="shared" si="0"/>
        <v>46092</v>
      </c>
      <c r="D11" s="34">
        <v>3321</v>
      </c>
      <c r="E11" s="34">
        <v>337</v>
      </c>
      <c r="F11" s="34">
        <v>4</v>
      </c>
      <c r="G11" s="34">
        <v>1</v>
      </c>
      <c r="H11" s="34">
        <v>81676</v>
      </c>
      <c r="I11" s="34" t="s">
        <v>2690</v>
      </c>
      <c r="J11" s="34">
        <v>21324989</v>
      </c>
      <c r="K11" s="34" t="s">
        <v>3508</v>
      </c>
      <c r="L11" s="40" t="s">
        <v>3510</v>
      </c>
      <c r="M11" s="36">
        <v>129900</v>
      </c>
      <c r="N11" s="36" t="s">
        <v>2569</v>
      </c>
      <c r="O11" s="34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JULY-DEC B1G2</v>
      </c>
      <c r="B12" s="35">
        <f t="shared" si="0"/>
        <v>46086</v>
      </c>
      <c r="C12" s="35">
        <f t="shared" si="0"/>
        <v>46092</v>
      </c>
      <c r="D12" s="34">
        <v>3321</v>
      </c>
      <c r="E12" s="34">
        <v>337</v>
      </c>
      <c r="F12" s="34">
        <v>4</v>
      </c>
      <c r="G12" s="34">
        <v>1</v>
      </c>
      <c r="H12" s="34">
        <v>81676</v>
      </c>
      <c r="I12" s="34" t="s">
        <v>2690</v>
      </c>
      <c r="J12" s="34">
        <v>21324998</v>
      </c>
      <c r="K12" s="34" t="s">
        <v>3508</v>
      </c>
      <c r="L12" s="40" t="s">
        <v>3511</v>
      </c>
      <c r="M12" s="36">
        <v>129900</v>
      </c>
      <c r="N12" s="36" t="s">
        <v>2569</v>
      </c>
      <c r="O12" s="34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JULY-DEC B1G2</v>
      </c>
      <c r="B13" s="35">
        <f t="shared" si="0"/>
        <v>46086</v>
      </c>
      <c r="C13" s="35">
        <f t="shared" si="0"/>
        <v>46092</v>
      </c>
      <c r="D13" s="34">
        <v>3321</v>
      </c>
      <c r="E13" s="34">
        <v>337</v>
      </c>
      <c r="F13" s="34">
        <v>4</v>
      </c>
      <c r="G13" s="34">
        <v>1</v>
      </c>
      <c r="H13" s="34">
        <v>81676</v>
      </c>
      <c r="I13" s="34" t="s">
        <v>2690</v>
      </c>
      <c r="J13" s="34">
        <v>21325004</v>
      </c>
      <c r="K13" s="34" t="s">
        <v>3508</v>
      </c>
      <c r="L13" s="40" t="s">
        <v>3512</v>
      </c>
      <c r="M13" s="36">
        <v>129900</v>
      </c>
      <c r="N13" s="36" t="s">
        <v>2569</v>
      </c>
      <c r="O13" s="34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JULY-DEC B1G2</v>
      </c>
      <c r="B14" s="35">
        <f t="shared" si="0"/>
        <v>46086</v>
      </c>
      <c r="C14" s="35">
        <f t="shared" si="0"/>
        <v>46092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20597615</v>
      </c>
      <c r="K14" s="34" t="s">
        <v>3828</v>
      </c>
      <c r="L14" s="40" t="s">
        <v>3812</v>
      </c>
      <c r="M14" s="36">
        <v>179900</v>
      </c>
      <c r="N14" s="36" t="s">
        <v>2569</v>
      </c>
      <c r="O14" s="34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JULY-DEC B1G2</v>
      </c>
      <c r="B15" s="35">
        <f t="shared" si="0"/>
        <v>46086</v>
      </c>
      <c r="C15" s="35">
        <f t="shared" si="0"/>
        <v>46092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20597624</v>
      </c>
      <c r="K15" s="34" t="s">
        <v>3828</v>
      </c>
      <c r="L15" s="40" t="s">
        <v>3813</v>
      </c>
      <c r="M15" s="36">
        <v>179900</v>
      </c>
      <c r="N15" s="36" t="s">
        <v>2569</v>
      </c>
      <c r="O15" s="34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JULY-DEC B1G2</v>
      </c>
      <c r="B16" s="35">
        <f t="shared" si="0"/>
        <v>46086</v>
      </c>
      <c r="C16" s="35">
        <f t="shared" si="0"/>
        <v>46092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20597633</v>
      </c>
      <c r="K16" s="34" t="s">
        <v>3828</v>
      </c>
      <c r="L16" s="40" t="s">
        <v>3814</v>
      </c>
      <c r="M16" s="36">
        <v>179900</v>
      </c>
      <c r="N16" s="36" t="s">
        <v>2569</v>
      </c>
      <c r="O16" s="34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JULY-DEC B1G2</v>
      </c>
      <c r="B17" s="35">
        <f t="shared" si="0"/>
        <v>46086</v>
      </c>
      <c r="C17" s="35">
        <f t="shared" si="0"/>
        <v>46092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20597740</v>
      </c>
      <c r="K17" s="34" t="s">
        <v>3828</v>
      </c>
      <c r="L17" s="40" t="s">
        <v>3815</v>
      </c>
      <c r="M17" s="36">
        <v>179900</v>
      </c>
      <c r="N17" s="36" t="s">
        <v>2569</v>
      </c>
      <c r="O17" s="34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JULY-DEC B1G2</v>
      </c>
      <c r="B18" s="35">
        <f t="shared" si="0"/>
        <v>46086</v>
      </c>
      <c r="C18" s="35">
        <f t="shared" si="0"/>
        <v>46092</v>
      </c>
      <c r="D18" s="34">
        <v>3321</v>
      </c>
      <c r="E18" s="34">
        <v>337</v>
      </c>
      <c r="F18" s="34">
        <v>4</v>
      </c>
      <c r="G18" s="34">
        <v>1</v>
      </c>
      <c r="H18" s="34">
        <v>81676</v>
      </c>
      <c r="I18" s="34" t="s">
        <v>2690</v>
      </c>
      <c r="J18" s="34">
        <v>22754021</v>
      </c>
      <c r="K18" s="34" t="s">
        <v>3829</v>
      </c>
      <c r="L18" s="40" t="s">
        <v>3816</v>
      </c>
      <c r="M18" s="36">
        <v>129900</v>
      </c>
      <c r="N18" s="36" t="s">
        <v>2569</v>
      </c>
      <c r="O18" s="34" t="str">
        <f t="shared" si="1"/>
        <v>B1G2</v>
      </c>
      <c r="P18" s="36" t="s">
        <v>2569</v>
      </c>
    </row>
    <row r="19" spans="1:16" x14ac:dyDescent="0.35">
      <c r="A19" s="34" t="str">
        <f t="shared" si="0"/>
        <v>2024 JULY-DEC B1G2</v>
      </c>
      <c r="B19" s="35">
        <f t="shared" si="0"/>
        <v>46086</v>
      </c>
      <c r="C19" s="35">
        <f t="shared" si="0"/>
        <v>46092</v>
      </c>
      <c r="D19" s="34">
        <v>3321</v>
      </c>
      <c r="E19" s="34">
        <v>337</v>
      </c>
      <c r="F19" s="34">
        <v>4</v>
      </c>
      <c r="G19" s="34">
        <v>1</v>
      </c>
      <c r="H19" s="34">
        <v>81676</v>
      </c>
      <c r="I19" s="34" t="s">
        <v>2690</v>
      </c>
      <c r="J19" s="34">
        <v>22754030</v>
      </c>
      <c r="K19" s="34" t="s">
        <v>3829</v>
      </c>
      <c r="L19" s="40" t="s">
        <v>3817</v>
      </c>
      <c r="M19" s="36">
        <v>129900</v>
      </c>
      <c r="N19" s="36" t="s">
        <v>2569</v>
      </c>
      <c r="O19" s="34" t="str">
        <f t="shared" si="1"/>
        <v>B1G2</v>
      </c>
      <c r="P19" s="36" t="s">
        <v>2569</v>
      </c>
    </row>
    <row r="20" spans="1:16" x14ac:dyDescent="0.35">
      <c r="A20" s="34" t="str">
        <f t="shared" si="0"/>
        <v>2024 JULY-DEC B1G2</v>
      </c>
      <c r="B20" s="35">
        <f t="shared" si="0"/>
        <v>46086</v>
      </c>
      <c r="C20" s="35">
        <f t="shared" si="0"/>
        <v>46092</v>
      </c>
      <c r="D20" s="34">
        <v>3321</v>
      </c>
      <c r="E20" s="34">
        <v>337</v>
      </c>
      <c r="F20" s="34">
        <v>4</v>
      </c>
      <c r="G20" s="34">
        <v>1</v>
      </c>
      <c r="H20" s="34">
        <v>81676</v>
      </c>
      <c r="I20" s="34" t="s">
        <v>2690</v>
      </c>
      <c r="J20" s="34">
        <v>22754049</v>
      </c>
      <c r="K20" s="34" t="s">
        <v>3829</v>
      </c>
      <c r="L20" s="40" t="s">
        <v>3818</v>
      </c>
      <c r="M20" s="36">
        <v>129900</v>
      </c>
      <c r="N20" s="36" t="s">
        <v>2569</v>
      </c>
      <c r="O20" s="34" t="str">
        <f t="shared" si="1"/>
        <v>B1G2</v>
      </c>
      <c r="P20" s="36" t="s">
        <v>2569</v>
      </c>
    </row>
    <row r="21" spans="1:16" x14ac:dyDescent="0.35">
      <c r="A21" s="34" t="str">
        <f t="shared" si="0"/>
        <v>2024 JULY-DEC B1G2</v>
      </c>
      <c r="B21" s="35">
        <f t="shared" si="0"/>
        <v>46086</v>
      </c>
      <c r="C21" s="35">
        <f t="shared" si="0"/>
        <v>46092</v>
      </c>
      <c r="D21" s="34">
        <v>3321</v>
      </c>
      <c r="E21" s="34">
        <v>337</v>
      </c>
      <c r="F21" s="34">
        <v>4</v>
      </c>
      <c r="G21" s="34">
        <v>1</v>
      </c>
      <c r="H21" s="34">
        <v>81676</v>
      </c>
      <c r="I21" s="34" t="s">
        <v>2690</v>
      </c>
      <c r="J21" s="34">
        <v>22754058</v>
      </c>
      <c r="K21" s="34" t="s">
        <v>3829</v>
      </c>
      <c r="L21" s="40" t="s">
        <v>3819</v>
      </c>
      <c r="M21" s="36">
        <v>129900</v>
      </c>
      <c r="N21" s="36" t="s">
        <v>2569</v>
      </c>
      <c r="O21" s="34" t="str">
        <f t="shared" si="1"/>
        <v>B1G2</v>
      </c>
      <c r="P21" s="36" t="s">
        <v>2569</v>
      </c>
    </row>
    <row r="22" spans="1:16" x14ac:dyDescent="0.35">
      <c r="A22" s="34" t="str">
        <f t="shared" si="0"/>
        <v>2024 JULY-DEC B1G2</v>
      </c>
      <c r="B22" s="35">
        <f t="shared" si="0"/>
        <v>46086</v>
      </c>
      <c r="C22" s="35">
        <f t="shared" si="0"/>
        <v>46092</v>
      </c>
      <c r="D22" s="34">
        <v>3321</v>
      </c>
      <c r="E22" s="34">
        <v>337</v>
      </c>
      <c r="F22" s="34">
        <v>4</v>
      </c>
      <c r="G22" s="34">
        <v>1</v>
      </c>
      <c r="H22" s="34">
        <v>81676</v>
      </c>
      <c r="I22" s="34" t="s">
        <v>2690</v>
      </c>
      <c r="J22" s="34">
        <v>22754067</v>
      </c>
      <c r="K22" s="34" t="s">
        <v>3830</v>
      </c>
      <c r="L22" s="40" t="s">
        <v>3820</v>
      </c>
      <c r="M22" s="36">
        <v>129900</v>
      </c>
      <c r="N22" s="36" t="s">
        <v>2569</v>
      </c>
      <c r="O22" s="34" t="str">
        <f t="shared" si="1"/>
        <v>B1G2</v>
      </c>
      <c r="P22" s="36" t="s">
        <v>2569</v>
      </c>
    </row>
    <row r="23" spans="1:16" x14ac:dyDescent="0.35">
      <c r="A23" s="34" t="str">
        <f t="shared" si="0"/>
        <v>2024 JULY-DEC B1G2</v>
      </c>
      <c r="B23" s="35">
        <f t="shared" si="0"/>
        <v>46086</v>
      </c>
      <c r="C23" s="35">
        <f t="shared" si="0"/>
        <v>46092</v>
      </c>
      <c r="D23" s="34">
        <v>3321</v>
      </c>
      <c r="E23" s="34">
        <v>337</v>
      </c>
      <c r="F23" s="34">
        <v>4</v>
      </c>
      <c r="G23" s="34">
        <v>1</v>
      </c>
      <c r="H23" s="34">
        <v>81676</v>
      </c>
      <c r="I23" s="34" t="s">
        <v>2690</v>
      </c>
      <c r="J23" s="34">
        <v>22754076</v>
      </c>
      <c r="K23" s="34" t="s">
        <v>3830</v>
      </c>
      <c r="L23" s="40" t="s">
        <v>3821</v>
      </c>
      <c r="M23" s="36">
        <v>129900</v>
      </c>
      <c r="N23" s="36" t="s">
        <v>2569</v>
      </c>
      <c r="O23" s="34" t="str">
        <f t="shared" si="1"/>
        <v>B1G2</v>
      </c>
      <c r="P23" s="36" t="s">
        <v>2569</v>
      </c>
    </row>
    <row r="24" spans="1:16" x14ac:dyDescent="0.35">
      <c r="A24" s="34" t="str">
        <f t="shared" si="0"/>
        <v>2024 JULY-DEC B1G2</v>
      </c>
      <c r="B24" s="35">
        <f t="shared" si="0"/>
        <v>46086</v>
      </c>
      <c r="C24" s="35">
        <f t="shared" si="0"/>
        <v>46092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22754405</v>
      </c>
      <c r="K24" s="34" t="s">
        <v>3830</v>
      </c>
      <c r="L24" s="40" t="s">
        <v>3822</v>
      </c>
      <c r="M24" s="36">
        <v>129900</v>
      </c>
      <c r="N24" s="36" t="s">
        <v>2569</v>
      </c>
      <c r="O24" s="34" t="str">
        <f t="shared" si="1"/>
        <v>B1G2</v>
      </c>
      <c r="P24" s="36" t="s">
        <v>2569</v>
      </c>
    </row>
    <row r="25" spans="1:16" x14ac:dyDescent="0.35">
      <c r="A25" s="34" t="str">
        <f t="shared" si="0"/>
        <v>2024 JULY-DEC B1G2</v>
      </c>
      <c r="B25" s="35">
        <f t="shared" si="0"/>
        <v>46086</v>
      </c>
      <c r="C25" s="35">
        <f t="shared" si="0"/>
        <v>46092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22754414</v>
      </c>
      <c r="K25" s="34" t="s">
        <v>3830</v>
      </c>
      <c r="L25" s="40" t="s">
        <v>3823</v>
      </c>
      <c r="M25" s="36">
        <v>129900</v>
      </c>
      <c r="N25" s="36" t="s">
        <v>2569</v>
      </c>
      <c r="O25" s="34" t="str">
        <f t="shared" si="1"/>
        <v>B1G2</v>
      </c>
      <c r="P25" s="36" t="s">
        <v>2569</v>
      </c>
    </row>
    <row r="26" spans="1:16" x14ac:dyDescent="0.35">
      <c r="A26" s="34" t="str">
        <f t="shared" si="0"/>
        <v>2024 JULY-DEC B1G2</v>
      </c>
      <c r="B26" s="35">
        <f t="shared" si="0"/>
        <v>46086</v>
      </c>
      <c r="C26" s="35">
        <f t="shared" si="0"/>
        <v>46092</v>
      </c>
      <c r="D26" s="34">
        <v>3321</v>
      </c>
      <c r="E26" s="34">
        <v>337</v>
      </c>
      <c r="F26" s="34">
        <v>4</v>
      </c>
      <c r="G26" s="34">
        <v>5</v>
      </c>
      <c r="H26" s="34">
        <v>81421</v>
      </c>
      <c r="I26" s="34" t="s">
        <v>2690</v>
      </c>
      <c r="J26" s="34">
        <v>20597571</v>
      </c>
      <c r="K26" s="34" t="s">
        <v>3831</v>
      </c>
      <c r="L26" s="40" t="s">
        <v>3824</v>
      </c>
      <c r="M26" s="36">
        <v>259900</v>
      </c>
      <c r="N26" s="36" t="s">
        <v>2569</v>
      </c>
      <c r="O26" s="34" t="str">
        <f t="shared" si="1"/>
        <v>B1G2</v>
      </c>
      <c r="P26" s="36" t="s">
        <v>2569</v>
      </c>
    </row>
    <row r="27" spans="1:16" x14ac:dyDescent="0.35">
      <c r="A27" s="34" t="str">
        <f t="shared" si="0"/>
        <v>2024 JULY-DEC B1G2</v>
      </c>
      <c r="B27" s="35">
        <f t="shared" si="0"/>
        <v>46086</v>
      </c>
      <c r="C27" s="35">
        <f t="shared" si="0"/>
        <v>46092</v>
      </c>
      <c r="D27" s="34">
        <v>3321</v>
      </c>
      <c r="E27" s="34">
        <v>337</v>
      </c>
      <c r="F27" s="34">
        <v>4</v>
      </c>
      <c r="G27" s="34">
        <v>5</v>
      </c>
      <c r="H27" s="34">
        <v>81421</v>
      </c>
      <c r="I27" s="34" t="s">
        <v>2690</v>
      </c>
      <c r="J27" s="34">
        <v>20597580</v>
      </c>
      <c r="K27" s="34" t="s">
        <v>3831</v>
      </c>
      <c r="L27" s="40" t="s">
        <v>3825</v>
      </c>
      <c r="M27" s="36">
        <v>259900</v>
      </c>
      <c r="N27" s="36" t="s">
        <v>2569</v>
      </c>
      <c r="O27" s="34" t="str">
        <f t="shared" si="1"/>
        <v>B1G2</v>
      </c>
      <c r="P27" s="36" t="s">
        <v>2569</v>
      </c>
    </row>
    <row r="28" spans="1:16" x14ac:dyDescent="0.35">
      <c r="A28" s="34" t="str">
        <f t="shared" si="0"/>
        <v>2024 JULY-DEC B1G2</v>
      </c>
      <c r="B28" s="35">
        <f t="shared" si="0"/>
        <v>46086</v>
      </c>
      <c r="C28" s="35">
        <f t="shared" si="0"/>
        <v>46092</v>
      </c>
      <c r="D28" s="34">
        <v>3321</v>
      </c>
      <c r="E28" s="34">
        <v>337</v>
      </c>
      <c r="F28" s="34">
        <v>4</v>
      </c>
      <c r="G28" s="34">
        <v>5</v>
      </c>
      <c r="H28" s="34">
        <v>81421</v>
      </c>
      <c r="I28" s="34" t="s">
        <v>2690</v>
      </c>
      <c r="J28" s="34">
        <v>20597599</v>
      </c>
      <c r="K28" s="34" t="s">
        <v>3831</v>
      </c>
      <c r="L28" s="40" t="s">
        <v>3826</v>
      </c>
      <c r="M28" s="36">
        <v>259900</v>
      </c>
      <c r="N28" s="36" t="s">
        <v>2569</v>
      </c>
      <c r="O28" s="34" t="str">
        <f t="shared" si="1"/>
        <v>B1G2</v>
      </c>
      <c r="P28" s="36" t="s">
        <v>2569</v>
      </c>
    </row>
    <row r="29" spans="1:16" x14ac:dyDescent="0.35">
      <c r="A29" s="34" t="str">
        <f t="shared" si="0"/>
        <v>2024 JULY-DEC B1G2</v>
      </c>
      <c r="B29" s="35">
        <f t="shared" si="0"/>
        <v>46086</v>
      </c>
      <c r="C29" s="35">
        <f t="shared" si="0"/>
        <v>46092</v>
      </c>
      <c r="D29" s="34">
        <v>3321</v>
      </c>
      <c r="E29" s="34">
        <v>337</v>
      </c>
      <c r="F29" s="34">
        <v>4</v>
      </c>
      <c r="G29" s="34">
        <v>5</v>
      </c>
      <c r="H29" s="34">
        <v>81421</v>
      </c>
      <c r="I29" s="34" t="s">
        <v>2690</v>
      </c>
      <c r="J29" s="34">
        <v>20597606</v>
      </c>
      <c r="K29" s="34" t="s">
        <v>3831</v>
      </c>
      <c r="L29" s="40" t="s">
        <v>3827</v>
      </c>
      <c r="M29" s="36">
        <v>259900</v>
      </c>
      <c r="N29" s="36" t="s">
        <v>2569</v>
      </c>
      <c r="O29" s="34" t="str">
        <f t="shared" si="1"/>
        <v>B1G2</v>
      </c>
      <c r="P29" s="36" t="s">
        <v>2569</v>
      </c>
    </row>
    <row r="30" spans="1:16" x14ac:dyDescent="0.35">
      <c r="A30" s="34" t="str">
        <f t="shared" si="0"/>
        <v>2024 JULY-DEC B1G2</v>
      </c>
      <c r="B30" s="35">
        <f t="shared" si="0"/>
        <v>46086</v>
      </c>
      <c r="C30" s="35">
        <f t="shared" si="0"/>
        <v>46092</v>
      </c>
      <c r="D30" s="34">
        <v>3321</v>
      </c>
      <c r="E30" s="34">
        <v>337</v>
      </c>
      <c r="F30" s="34">
        <v>4</v>
      </c>
      <c r="G30" s="34">
        <v>5</v>
      </c>
      <c r="H30" s="34">
        <v>81005</v>
      </c>
      <c r="I30" s="34" t="s">
        <v>2690</v>
      </c>
      <c r="J30" s="34">
        <v>22754423</v>
      </c>
      <c r="K30" s="34" t="s">
        <v>3851</v>
      </c>
      <c r="L30" s="40" t="s">
        <v>3852</v>
      </c>
      <c r="M30" s="36">
        <v>279900</v>
      </c>
      <c r="N30" s="36" t="s">
        <v>2569</v>
      </c>
      <c r="O30" s="34" t="str">
        <f t="shared" si="1"/>
        <v>B1G2</v>
      </c>
      <c r="P30" s="36" t="s">
        <v>2569</v>
      </c>
    </row>
    <row r="31" spans="1:16" x14ac:dyDescent="0.35">
      <c r="A31" s="34" t="str">
        <f t="shared" si="0"/>
        <v>2024 JULY-DEC B1G2</v>
      </c>
      <c r="B31" s="35">
        <f t="shared" si="0"/>
        <v>46086</v>
      </c>
      <c r="C31" s="35">
        <f t="shared" si="0"/>
        <v>46092</v>
      </c>
      <c r="D31" s="34">
        <v>3321</v>
      </c>
      <c r="E31" s="34">
        <v>337</v>
      </c>
      <c r="F31" s="34">
        <v>4</v>
      </c>
      <c r="G31" s="34">
        <v>5</v>
      </c>
      <c r="H31" s="34">
        <v>81005</v>
      </c>
      <c r="I31" s="34" t="s">
        <v>2690</v>
      </c>
      <c r="J31" s="34">
        <v>22754432</v>
      </c>
      <c r="K31" s="34" t="s">
        <v>3851</v>
      </c>
      <c r="L31" s="40" t="s">
        <v>3853</v>
      </c>
      <c r="M31" s="36">
        <v>279900</v>
      </c>
      <c r="N31" s="36" t="s">
        <v>2569</v>
      </c>
      <c r="O31" s="34" t="str">
        <f t="shared" si="1"/>
        <v>B1G2</v>
      </c>
      <c r="P31" s="36" t="s">
        <v>2569</v>
      </c>
    </row>
    <row r="32" spans="1:16" x14ac:dyDescent="0.35">
      <c r="A32" s="34" t="str">
        <f t="shared" si="0"/>
        <v>2024 JULY-DEC B1G2</v>
      </c>
      <c r="B32" s="35">
        <f t="shared" si="0"/>
        <v>46086</v>
      </c>
      <c r="C32" s="35">
        <f t="shared" si="0"/>
        <v>46092</v>
      </c>
      <c r="D32" s="34">
        <v>3321</v>
      </c>
      <c r="E32" s="34">
        <v>337</v>
      </c>
      <c r="F32" s="34">
        <v>4</v>
      </c>
      <c r="G32" s="34">
        <v>5</v>
      </c>
      <c r="H32" s="34">
        <v>81005</v>
      </c>
      <c r="I32" s="34" t="s">
        <v>2690</v>
      </c>
      <c r="J32" s="34">
        <v>22754441</v>
      </c>
      <c r="K32" s="34" t="s">
        <v>3851</v>
      </c>
      <c r="L32" s="40" t="s">
        <v>3854</v>
      </c>
      <c r="M32" s="36">
        <v>279900</v>
      </c>
      <c r="N32" s="36" t="s">
        <v>2569</v>
      </c>
      <c r="O32" s="34" t="str">
        <f t="shared" si="1"/>
        <v>B1G2</v>
      </c>
      <c r="P32" s="36" t="s">
        <v>2569</v>
      </c>
    </row>
    <row r="33" spans="1:16" x14ac:dyDescent="0.35">
      <c r="A33" s="34" t="str">
        <f t="shared" si="0"/>
        <v>2024 JULY-DEC B1G2</v>
      </c>
      <c r="B33" s="35">
        <f t="shared" si="0"/>
        <v>46086</v>
      </c>
      <c r="C33" s="35">
        <f t="shared" si="0"/>
        <v>46092</v>
      </c>
      <c r="D33" s="34">
        <v>3321</v>
      </c>
      <c r="E33" s="34">
        <v>337</v>
      </c>
      <c r="F33" s="34">
        <v>4</v>
      </c>
      <c r="G33" s="34">
        <v>5</v>
      </c>
      <c r="H33" s="34">
        <v>81005</v>
      </c>
      <c r="I33" s="34" t="s">
        <v>2690</v>
      </c>
      <c r="J33" s="34">
        <v>22754450</v>
      </c>
      <c r="K33" s="34" t="s">
        <v>3851</v>
      </c>
      <c r="L33" s="40" t="s">
        <v>3855</v>
      </c>
      <c r="M33" s="36">
        <v>279900</v>
      </c>
      <c r="N33" s="36" t="s">
        <v>2569</v>
      </c>
      <c r="O33" s="34" t="str">
        <f t="shared" si="1"/>
        <v>B1G2</v>
      </c>
      <c r="P33" s="36" t="s">
        <v>2569</v>
      </c>
    </row>
    <row r="34" spans="1:16" x14ac:dyDescent="0.35">
      <c r="A34" s="34" t="str">
        <f t="shared" si="0"/>
        <v>2024 JULY-DEC B1G2</v>
      </c>
      <c r="B34" s="35">
        <f t="shared" si="0"/>
        <v>46086</v>
      </c>
      <c r="C34" s="35">
        <f t="shared" si="0"/>
        <v>46092</v>
      </c>
      <c r="D34" s="34">
        <v>3321</v>
      </c>
      <c r="E34" s="34">
        <v>337</v>
      </c>
      <c r="F34" s="34">
        <v>4</v>
      </c>
      <c r="G34" s="34">
        <v>5</v>
      </c>
      <c r="H34" s="34">
        <v>81005</v>
      </c>
      <c r="I34" s="34" t="s">
        <v>2690</v>
      </c>
      <c r="J34" s="34">
        <v>22754469</v>
      </c>
      <c r="K34" s="34" t="s">
        <v>3851</v>
      </c>
      <c r="L34" s="40" t="s">
        <v>3856</v>
      </c>
      <c r="M34" s="36">
        <v>279900</v>
      </c>
      <c r="N34" s="36" t="s">
        <v>2569</v>
      </c>
      <c r="O34" s="34" t="str">
        <f t="shared" si="1"/>
        <v>B1G2</v>
      </c>
      <c r="P34" s="36" t="s">
        <v>2569</v>
      </c>
    </row>
    <row r="35" spans="1:16" x14ac:dyDescent="0.35">
      <c r="A35" s="34" t="str">
        <f t="shared" si="0"/>
        <v>2024 JULY-DEC B1G2</v>
      </c>
      <c r="B35" s="35">
        <f t="shared" si="0"/>
        <v>46086</v>
      </c>
      <c r="C35" s="35">
        <f t="shared" si="0"/>
        <v>46092</v>
      </c>
      <c r="D35" s="34">
        <v>3321</v>
      </c>
      <c r="E35" s="34">
        <v>337</v>
      </c>
      <c r="F35" s="34">
        <v>4</v>
      </c>
      <c r="G35" s="34">
        <v>1</v>
      </c>
      <c r="H35" s="34">
        <v>81048</v>
      </c>
      <c r="I35" s="34" t="s">
        <v>2690</v>
      </c>
      <c r="J35" s="34">
        <v>24391795</v>
      </c>
      <c r="K35" s="34" t="s">
        <v>3882</v>
      </c>
      <c r="L35" s="40" t="s">
        <v>3883</v>
      </c>
      <c r="M35" s="36">
        <v>159900</v>
      </c>
      <c r="N35" s="36" t="s">
        <v>2569</v>
      </c>
      <c r="O35" s="34" t="str">
        <f t="shared" si="1"/>
        <v>B1G2</v>
      </c>
      <c r="P35" s="36" t="s">
        <v>2569</v>
      </c>
    </row>
    <row r="36" spans="1:16" x14ac:dyDescent="0.35">
      <c r="A36" s="34" t="str">
        <f t="shared" si="0"/>
        <v>2024 JULY-DEC B1G2</v>
      </c>
      <c r="B36" s="35">
        <f t="shared" si="0"/>
        <v>46086</v>
      </c>
      <c r="C36" s="35">
        <f t="shared" si="0"/>
        <v>46092</v>
      </c>
      <c r="D36" s="34">
        <v>3321</v>
      </c>
      <c r="E36" s="34">
        <v>337</v>
      </c>
      <c r="F36" s="34">
        <v>4</v>
      </c>
      <c r="G36" s="34">
        <v>1</v>
      </c>
      <c r="H36" s="34">
        <v>81048</v>
      </c>
      <c r="I36" s="34" t="s">
        <v>2690</v>
      </c>
      <c r="J36" s="34">
        <v>24391802</v>
      </c>
      <c r="K36" s="34" t="s">
        <v>3882</v>
      </c>
      <c r="L36" s="40" t="s">
        <v>3884</v>
      </c>
      <c r="M36" s="36">
        <v>159900</v>
      </c>
      <c r="N36" s="36" t="s">
        <v>2569</v>
      </c>
      <c r="O36" s="34" t="str">
        <f t="shared" si="1"/>
        <v>B1G2</v>
      </c>
      <c r="P36" s="36" t="s">
        <v>2569</v>
      </c>
    </row>
    <row r="37" spans="1:16" x14ac:dyDescent="0.35">
      <c r="A37" s="34" t="str">
        <f t="shared" si="0"/>
        <v>2024 JULY-DEC B1G2</v>
      </c>
      <c r="B37" s="35">
        <f t="shared" si="0"/>
        <v>46086</v>
      </c>
      <c r="C37" s="35">
        <f t="shared" si="0"/>
        <v>46092</v>
      </c>
      <c r="D37" s="34">
        <v>3321</v>
      </c>
      <c r="E37" s="34">
        <v>337</v>
      </c>
      <c r="F37" s="34">
        <v>4</v>
      </c>
      <c r="G37" s="34">
        <v>1</v>
      </c>
      <c r="H37" s="34">
        <v>81048</v>
      </c>
      <c r="I37" s="34" t="s">
        <v>2690</v>
      </c>
      <c r="J37" s="34">
        <v>24391811</v>
      </c>
      <c r="K37" s="34" t="s">
        <v>3882</v>
      </c>
      <c r="L37" s="40" t="s">
        <v>3885</v>
      </c>
      <c r="M37" s="36">
        <v>159900</v>
      </c>
      <c r="N37" s="36" t="s">
        <v>2569</v>
      </c>
      <c r="O37" s="34" t="str">
        <f t="shared" si="1"/>
        <v>B1G2</v>
      </c>
      <c r="P37" s="36" t="s">
        <v>2569</v>
      </c>
    </row>
    <row r="38" spans="1:16" x14ac:dyDescent="0.35">
      <c r="A38" s="34" t="str">
        <f t="shared" si="0"/>
        <v>2024 JULY-DEC B1G2</v>
      </c>
      <c r="B38" s="35">
        <f t="shared" si="0"/>
        <v>46086</v>
      </c>
      <c r="C38" s="35">
        <f t="shared" si="0"/>
        <v>46092</v>
      </c>
      <c r="D38" s="34">
        <v>3321</v>
      </c>
      <c r="E38" s="34">
        <v>337</v>
      </c>
      <c r="F38" s="34">
        <v>4</v>
      </c>
      <c r="G38" s="34">
        <v>1</v>
      </c>
      <c r="H38" s="34">
        <v>81048</v>
      </c>
      <c r="I38" s="34" t="s">
        <v>2690</v>
      </c>
      <c r="J38" s="34">
        <v>24391820</v>
      </c>
      <c r="K38" s="34" t="s">
        <v>3882</v>
      </c>
      <c r="L38" s="40" t="s">
        <v>3886</v>
      </c>
      <c r="M38" s="36">
        <v>159900</v>
      </c>
      <c r="N38" s="36" t="s">
        <v>2569</v>
      </c>
      <c r="O38" s="34" t="str">
        <f t="shared" si="1"/>
        <v>B1G2</v>
      </c>
      <c r="P38" s="36" t="s">
        <v>2569</v>
      </c>
    </row>
    <row r="39" spans="1:16" x14ac:dyDescent="0.35">
      <c r="A39" s="34" t="str">
        <f t="shared" si="0"/>
        <v>2024 JULY-DEC B1G2</v>
      </c>
      <c r="B39" s="35">
        <f t="shared" si="0"/>
        <v>46086</v>
      </c>
      <c r="C39" s="35">
        <f t="shared" si="0"/>
        <v>46092</v>
      </c>
      <c r="D39" s="34">
        <v>3321</v>
      </c>
      <c r="E39" s="34">
        <v>337</v>
      </c>
      <c r="F39" s="34">
        <v>4</v>
      </c>
      <c r="G39" s="34">
        <v>1</v>
      </c>
      <c r="H39" s="34">
        <v>81048</v>
      </c>
      <c r="I39" s="34" t="s">
        <v>2690</v>
      </c>
      <c r="J39" s="34">
        <v>24390232</v>
      </c>
      <c r="K39" s="34" t="s">
        <v>3887</v>
      </c>
      <c r="L39" s="40" t="s">
        <v>3888</v>
      </c>
      <c r="M39" s="36">
        <v>149900</v>
      </c>
      <c r="N39" s="36" t="s">
        <v>2569</v>
      </c>
      <c r="O39" s="34" t="str">
        <f t="shared" si="1"/>
        <v>B1G2</v>
      </c>
      <c r="P39" s="36" t="s">
        <v>2569</v>
      </c>
    </row>
    <row r="40" spans="1:16" x14ac:dyDescent="0.35">
      <c r="A40" s="34" t="str">
        <f t="shared" si="0"/>
        <v>2024 JULY-DEC B1G2</v>
      </c>
      <c r="B40" s="35">
        <f t="shared" si="0"/>
        <v>46086</v>
      </c>
      <c r="C40" s="35">
        <f t="shared" si="0"/>
        <v>46092</v>
      </c>
      <c r="D40" s="34">
        <v>3321</v>
      </c>
      <c r="E40" s="34">
        <v>337</v>
      </c>
      <c r="F40" s="34">
        <v>4</v>
      </c>
      <c r="G40" s="34">
        <v>1</v>
      </c>
      <c r="H40" s="34">
        <v>81048</v>
      </c>
      <c r="I40" s="34" t="s">
        <v>2690</v>
      </c>
      <c r="J40" s="34">
        <v>24390241</v>
      </c>
      <c r="K40" s="34" t="s">
        <v>3887</v>
      </c>
      <c r="L40" s="40" t="s">
        <v>3889</v>
      </c>
      <c r="M40" s="36">
        <v>149900</v>
      </c>
      <c r="N40" s="36" t="s">
        <v>2569</v>
      </c>
      <c r="O40" s="34" t="str">
        <f t="shared" si="1"/>
        <v>B1G2</v>
      </c>
      <c r="P40" s="36" t="s">
        <v>2569</v>
      </c>
    </row>
    <row r="41" spans="1:16" x14ac:dyDescent="0.35">
      <c r="A41" s="34" t="str">
        <f t="shared" si="0"/>
        <v>2024 JULY-DEC B1G2</v>
      </c>
      <c r="B41" s="35">
        <f t="shared" si="0"/>
        <v>46086</v>
      </c>
      <c r="C41" s="35">
        <f t="shared" si="0"/>
        <v>46092</v>
      </c>
      <c r="D41" s="34">
        <v>3321</v>
      </c>
      <c r="E41" s="34">
        <v>337</v>
      </c>
      <c r="F41" s="34">
        <v>4</v>
      </c>
      <c r="G41" s="34">
        <v>1</v>
      </c>
      <c r="H41" s="34">
        <v>81048</v>
      </c>
      <c r="I41" s="34" t="s">
        <v>2690</v>
      </c>
      <c r="J41" s="34">
        <v>24390250</v>
      </c>
      <c r="K41" s="34" t="s">
        <v>3887</v>
      </c>
      <c r="L41" s="40" t="s">
        <v>3890</v>
      </c>
      <c r="M41" s="36">
        <v>149900</v>
      </c>
      <c r="N41" s="36" t="s">
        <v>2569</v>
      </c>
      <c r="O41" s="34" t="str">
        <f t="shared" si="1"/>
        <v>B1G2</v>
      </c>
      <c r="P41" s="36" t="s">
        <v>2569</v>
      </c>
    </row>
    <row r="42" spans="1:16" x14ac:dyDescent="0.35">
      <c r="A42" s="34" t="str">
        <f t="shared" si="0"/>
        <v>2024 JULY-DEC B1G2</v>
      </c>
      <c r="B42" s="35">
        <f t="shared" si="0"/>
        <v>46086</v>
      </c>
      <c r="C42" s="35">
        <f t="shared" si="0"/>
        <v>46092</v>
      </c>
      <c r="D42" s="34">
        <v>3321</v>
      </c>
      <c r="E42" s="34">
        <v>337</v>
      </c>
      <c r="F42" s="34">
        <v>4</v>
      </c>
      <c r="G42" s="34">
        <v>1</v>
      </c>
      <c r="H42" s="34">
        <v>81048</v>
      </c>
      <c r="I42" s="34" t="s">
        <v>2690</v>
      </c>
      <c r="J42" s="34">
        <v>24390269</v>
      </c>
      <c r="K42" s="34" t="s">
        <v>3887</v>
      </c>
      <c r="L42" s="40" t="s">
        <v>3891</v>
      </c>
      <c r="M42" s="36">
        <v>149900</v>
      </c>
      <c r="N42" s="36" t="s">
        <v>2569</v>
      </c>
      <c r="O42" s="34" t="str">
        <f t="shared" si="1"/>
        <v>B1G2</v>
      </c>
      <c r="P42" s="36" t="s">
        <v>2569</v>
      </c>
    </row>
    <row r="43" spans="1:16" x14ac:dyDescent="0.35">
      <c r="A43" s="34" t="str">
        <f t="shared" si="0"/>
        <v>2024 JULY-DEC B1G2</v>
      </c>
      <c r="B43" s="35">
        <f t="shared" si="0"/>
        <v>46086</v>
      </c>
      <c r="C43" s="35">
        <f t="shared" si="0"/>
        <v>46092</v>
      </c>
      <c r="D43" s="34">
        <v>3321</v>
      </c>
      <c r="E43" s="34">
        <v>337</v>
      </c>
      <c r="F43" s="34">
        <v>4</v>
      </c>
      <c r="G43" s="34">
        <v>1</v>
      </c>
      <c r="H43" s="34">
        <v>81048</v>
      </c>
      <c r="I43" s="34" t="s">
        <v>2690</v>
      </c>
      <c r="J43" s="34">
        <v>24391759</v>
      </c>
      <c r="K43" s="34" t="s">
        <v>3892</v>
      </c>
      <c r="L43" s="40" t="s">
        <v>3893</v>
      </c>
      <c r="M43" s="36">
        <v>159900</v>
      </c>
      <c r="N43" s="36" t="s">
        <v>2569</v>
      </c>
      <c r="O43" s="34" t="str">
        <f t="shared" si="1"/>
        <v>B1G2</v>
      </c>
      <c r="P43" s="36" t="s">
        <v>2569</v>
      </c>
    </row>
    <row r="44" spans="1:16" x14ac:dyDescent="0.35">
      <c r="A44" s="34" t="str">
        <f t="shared" si="0"/>
        <v>2024 JULY-DEC B1G2</v>
      </c>
      <c r="B44" s="35">
        <f t="shared" si="0"/>
        <v>46086</v>
      </c>
      <c r="C44" s="35">
        <f t="shared" si="0"/>
        <v>46092</v>
      </c>
      <c r="D44" s="34">
        <v>3321</v>
      </c>
      <c r="E44" s="34">
        <v>337</v>
      </c>
      <c r="F44" s="34">
        <v>4</v>
      </c>
      <c r="G44" s="34">
        <v>1</v>
      </c>
      <c r="H44" s="34">
        <v>81048</v>
      </c>
      <c r="I44" s="34" t="s">
        <v>2690</v>
      </c>
      <c r="J44" s="34">
        <v>24391768</v>
      </c>
      <c r="K44" s="34" t="s">
        <v>3892</v>
      </c>
      <c r="L44" s="40" t="s">
        <v>3894</v>
      </c>
      <c r="M44" s="36">
        <v>159900</v>
      </c>
      <c r="N44" s="36" t="s">
        <v>2569</v>
      </c>
      <c r="O44" s="34" t="str">
        <f t="shared" si="1"/>
        <v>B1G2</v>
      </c>
      <c r="P44" s="36" t="s">
        <v>2569</v>
      </c>
    </row>
    <row r="45" spans="1:16" x14ac:dyDescent="0.35">
      <c r="A45" s="34" t="str">
        <f t="shared" si="0"/>
        <v>2024 JULY-DEC B1G2</v>
      </c>
      <c r="B45" s="35">
        <f t="shared" si="0"/>
        <v>46086</v>
      </c>
      <c r="C45" s="35">
        <f t="shared" si="0"/>
        <v>46092</v>
      </c>
      <c r="D45" s="34">
        <v>3321</v>
      </c>
      <c r="E45" s="34">
        <v>337</v>
      </c>
      <c r="F45" s="34">
        <v>4</v>
      </c>
      <c r="G45" s="34">
        <v>1</v>
      </c>
      <c r="H45" s="34">
        <v>81048</v>
      </c>
      <c r="I45" s="34" t="s">
        <v>2690</v>
      </c>
      <c r="J45" s="34">
        <v>24391777</v>
      </c>
      <c r="K45" s="34" t="s">
        <v>3892</v>
      </c>
      <c r="L45" s="40" t="s">
        <v>3895</v>
      </c>
      <c r="M45" s="36">
        <v>159900</v>
      </c>
      <c r="N45" s="36" t="s">
        <v>2569</v>
      </c>
      <c r="O45" s="34" t="str">
        <f t="shared" si="1"/>
        <v>B1G2</v>
      </c>
      <c r="P45" s="36" t="s">
        <v>2569</v>
      </c>
    </row>
    <row r="46" spans="1:16" x14ac:dyDescent="0.35">
      <c r="A46" s="34" t="str">
        <f t="shared" si="0"/>
        <v>2024 JULY-DEC B1G2</v>
      </c>
      <c r="B46" s="35">
        <f t="shared" si="0"/>
        <v>46086</v>
      </c>
      <c r="C46" s="35">
        <f t="shared" si="0"/>
        <v>46092</v>
      </c>
      <c r="D46" s="34">
        <v>3321</v>
      </c>
      <c r="E46" s="34">
        <v>337</v>
      </c>
      <c r="F46" s="34">
        <v>4</v>
      </c>
      <c r="G46" s="34">
        <v>1</v>
      </c>
      <c r="H46" s="34">
        <v>81048</v>
      </c>
      <c r="I46" s="34" t="s">
        <v>2690</v>
      </c>
      <c r="J46" s="34">
        <v>24391786</v>
      </c>
      <c r="K46" s="34" t="s">
        <v>3892</v>
      </c>
      <c r="L46" s="40" t="s">
        <v>3896</v>
      </c>
      <c r="M46" s="36">
        <v>159900</v>
      </c>
      <c r="N46" s="36" t="s">
        <v>2569</v>
      </c>
      <c r="O46" s="34" t="str">
        <f t="shared" si="1"/>
        <v>B1G2</v>
      </c>
      <c r="P46" s="36" t="s">
        <v>2569</v>
      </c>
    </row>
    <row r="47" spans="1:16" x14ac:dyDescent="0.35">
      <c r="A47" s="34" t="str">
        <f t="shared" si="0"/>
        <v>2024 JULY-DEC B1G2</v>
      </c>
      <c r="B47" s="35">
        <f t="shared" si="0"/>
        <v>46086</v>
      </c>
      <c r="C47" s="35">
        <f t="shared" si="0"/>
        <v>46092</v>
      </c>
      <c r="D47" s="34">
        <v>3321</v>
      </c>
      <c r="E47" s="34">
        <v>337</v>
      </c>
      <c r="F47" s="34">
        <v>4</v>
      </c>
      <c r="G47" s="34">
        <v>1</v>
      </c>
      <c r="H47" s="34">
        <v>81048</v>
      </c>
      <c r="I47" s="34" t="s">
        <v>2690</v>
      </c>
      <c r="J47" s="34">
        <v>24391731</v>
      </c>
      <c r="K47" s="34" t="s">
        <v>3897</v>
      </c>
      <c r="L47" s="40" t="s">
        <v>3898</v>
      </c>
      <c r="M47" s="36">
        <v>159900</v>
      </c>
      <c r="N47" s="36" t="s">
        <v>2569</v>
      </c>
      <c r="O47" s="34" t="str">
        <f t="shared" si="1"/>
        <v>B1G2</v>
      </c>
      <c r="P47" s="36" t="s">
        <v>2569</v>
      </c>
    </row>
    <row r="48" spans="1:16" x14ac:dyDescent="0.35">
      <c r="A48" s="34" t="str">
        <f t="shared" si="0"/>
        <v>2024 JULY-DEC B1G2</v>
      </c>
      <c r="B48" s="35">
        <f t="shared" si="0"/>
        <v>46086</v>
      </c>
      <c r="C48" s="35">
        <f t="shared" si="0"/>
        <v>46092</v>
      </c>
      <c r="D48" s="34">
        <v>3321</v>
      </c>
      <c r="E48" s="34">
        <v>337</v>
      </c>
      <c r="F48" s="34">
        <v>4</v>
      </c>
      <c r="G48" s="34">
        <v>1</v>
      </c>
      <c r="H48" s="34">
        <v>81048</v>
      </c>
      <c r="I48" s="34" t="s">
        <v>2690</v>
      </c>
      <c r="J48" s="34">
        <v>24391713</v>
      </c>
      <c r="K48" s="34" t="s">
        <v>3897</v>
      </c>
      <c r="L48" s="40" t="s">
        <v>3899</v>
      </c>
      <c r="M48" s="36">
        <v>159900</v>
      </c>
      <c r="N48" s="36" t="s">
        <v>2569</v>
      </c>
      <c r="O48" s="34" t="str">
        <f t="shared" si="1"/>
        <v>B1G2</v>
      </c>
      <c r="P48" s="36" t="s">
        <v>2569</v>
      </c>
    </row>
    <row r="49" spans="1:16" x14ac:dyDescent="0.35">
      <c r="A49" s="34" t="str">
        <f t="shared" si="0"/>
        <v>2024 JULY-DEC B1G2</v>
      </c>
      <c r="B49" s="35">
        <f t="shared" si="0"/>
        <v>46086</v>
      </c>
      <c r="C49" s="35">
        <f t="shared" si="0"/>
        <v>46092</v>
      </c>
      <c r="D49" s="34">
        <v>3321</v>
      </c>
      <c r="E49" s="34">
        <v>337</v>
      </c>
      <c r="F49" s="34">
        <v>4</v>
      </c>
      <c r="G49" s="34">
        <v>1</v>
      </c>
      <c r="H49" s="34">
        <v>81048</v>
      </c>
      <c r="I49" s="34" t="s">
        <v>2690</v>
      </c>
      <c r="J49" s="34">
        <v>24391722</v>
      </c>
      <c r="K49" s="34" t="s">
        <v>3897</v>
      </c>
      <c r="L49" s="40" t="s">
        <v>6755</v>
      </c>
      <c r="M49" s="36">
        <v>159900</v>
      </c>
      <c r="N49" s="36" t="s">
        <v>2569</v>
      </c>
      <c r="O49" s="34" t="str">
        <f t="shared" si="1"/>
        <v>B1G2</v>
      </c>
      <c r="P49" s="36" t="s">
        <v>2569</v>
      </c>
    </row>
    <row r="50" spans="1:16" x14ac:dyDescent="0.35">
      <c r="A50" s="34" t="str">
        <f t="shared" si="0"/>
        <v>2024 JULY-DEC B1G2</v>
      </c>
      <c r="B50" s="35">
        <f t="shared" si="0"/>
        <v>46086</v>
      </c>
      <c r="C50" s="35">
        <f t="shared" si="0"/>
        <v>46092</v>
      </c>
      <c r="D50" s="34">
        <v>3321</v>
      </c>
      <c r="E50" s="34">
        <v>337</v>
      </c>
      <c r="F50" s="34">
        <v>4</v>
      </c>
      <c r="G50" s="34">
        <v>1</v>
      </c>
      <c r="H50" s="34">
        <v>81048</v>
      </c>
      <c r="I50" s="34" t="s">
        <v>2690</v>
      </c>
      <c r="J50" s="34">
        <v>24391740</v>
      </c>
      <c r="K50" s="34" t="s">
        <v>3897</v>
      </c>
      <c r="L50" s="40" t="s">
        <v>3900</v>
      </c>
      <c r="M50" s="36">
        <v>159900</v>
      </c>
      <c r="N50" s="36" t="s">
        <v>2569</v>
      </c>
      <c r="O50" s="34" t="str">
        <f t="shared" si="1"/>
        <v>B1G2</v>
      </c>
      <c r="P50" s="36" t="s">
        <v>2569</v>
      </c>
    </row>
    <row r="51" spans="1:16" x14ac:dyDescent="0.35">
      <c r="A51" s="34" t="str">
        <f t="shared" si="0"/>
        <v>2024 JULY-DEC B1G2</v>
      </c>
      <c r="B51" s="35">
        <f t="shared" si="0"/>
        <v>46086</v>
      </c>
      <c r="C51" s="35">
        <f t="shared" si="0"/>
        <v>46092</v>
      </c>
      <c r="D51" s="34">
        <v>3321</v>
      </c>
      <c r="E51" s="34">
        <v>337</v>
      </c>
      <c r="F51" s="34">
        <v>4</v>
      </c>
      <c r="G51" s="34">
        <v>1</v>
      </c>
      <c r="H51" s="34">
        <v>81676</v>
      </c>
      <c r="I51" s="34" t="s">
        <v>2690</v>
      </c>
      <c r="J51" s="34">
        <v>24391839</v>
      </c>
      <c r="K51" s="34" t="s">
        <v>3901</v>
      </c>
      <c r="L51" s="40" t="s">
        <v>3902</v>
      </c>
      <c r="M51" s="36">
        <v>129900</v>
      </c>
      <c r="N51" s="36" t="s">
        <v>2569</v>
      </c>
      <c r="O51" s="34" t="str">
        <f t="shared" si="1"/>
        <v>B1G2</v>
      </c>
      <c r="P51" s="36" t="s">
        <v>2569</v>
      </c>
    </row>
    <row r="52" spans="1:16" x14ac:dyDescent="0.35">
      <c r="A52" s="34" t="str">
        <f t="shared" si="0"/>
        <v>2024 JULY-DEC B1G2</v>
      </c>
      <c r="B52" s="35">
        <f t="shared" si="0"/>
        <v>46086</v>
      </c>
      <c r="C52" s="35">
        <f t="shared" si="0"/>
        <v>46092</v>
      </c>
      <c r="D52" s="34">
        <v>3321</v>
      </c>
      <c r="E52" s="34">
        <v>337</v>
      </c>
      <c r="F52" s="34">
        <v>4</v>
      </c>
      <c r="G52" s="34">
        <v>1</v>
      </c>
      <c r="H52" s="34">
        <v>81676</v>
      </c>
      <c r="I52" s="34" t="s">
        <v>2690</v>
      </c>
      <c r="J52" s="34">
        <v>24391848</v>
      </c>
      <c r="K52" s="34" t="s">
        <v>3901</v>
      </c>
      <c r="L52" s="40" t="s">
        <v>3903</v>
      </c>
      <c r="M52" s="36">
        <v>129900</v>
      </c>
      <c r="N52" s="36" t="s">
        <v>2569</v>
      </c>
      <c r="O52" s="34" t="str">
        <f t="shared" si="1"/>
        <v>B1G2</v>
      </c>
      <c r="P52" s="36" t="s">
        <v>2569</v>
      </c>
    </row>
    <row r="53" spans="1:16" x14ac:dyDescent="0.35">
      <c r="A53" s="34" t="str">
        <f t="shared" si="0"/>
        <v>2024 JULY-DEC B1G2</v>
      </c>
      <c r="B53" s="35">
        <f t="shared" si="0"/>
        <v>46086</v>
      </c>
      <c r="C53" s="35">
        <f t="shared" si="0"/>
        <v>46092</v>
      </c>
      <c r="D53" s="34">
        <v>3321</v>
      </c>
      <c r="E53" s="34">
        <v>337</v>
      </c>
      <c r="F53" s="34">
        <v>4</v>
      </c>
      <c r="G53" s="34">
        <v>1</v>
      </c>
      <c r="H53" s="34">
        <v>81676</v>
      </c>
      <c r="I53" s="34" t="s">
        <v>2690</v>
      </c>
      <c r="J53" s="34">
        <v>24391857</v>
      </c>
      <c r="K53" s="34" t="s">
        <v>3901</v>
      </c>
      <c r="L53" s="40" t="s">
        <v>3904</v>
      </c>
      <c r="M53" s="36">
        <v>129900</v>
      </c>
      <c r="N53" s="36" t="s">
        <v>2569</v>
      </c>
      <c r="O53" s="34" t="str">
        <f t="shared" si="1"/>
        <v>B1G2</v>
      </c>
      <c r="P53" s="36" t="s">
        <v>2569</v>
      </c>
    </row>
    <row r="54" spans="1:16" x14ac:dyDescent="0.35">
      <c r="A54" s="34" t="str">
        <f t="shared" si="0"/>
        <v>2024 JULY-DEC B1G2</v>
      </c>
      <c r="B54" s="35">
        <f t="shared" si="0"/>
        <v>46086</v>
      </c>
      <c r="C54" s="35">
        <f t="shared" si="0"/>
        <v>46092</v>
      </c>
      <c r="D54" s="34">
        <v>3321</v>
      </c>
      <c r="E54" s="34">
        <v>337</v>
      </c>
      <c r="F54" s="34">
        <v>4</v>
      </c>
      <c r="G54" s="34">
        <v>1</v>
      </c>
      <c r="H54" s="34">
        <v>81676</v>
      </c>
      <c r="I54" s="34" t="s">
        <v>2690</v>
      </c>
      <c r="J54" s="34">
        <v>24391866</v>
      </c>
      <c r="K54" s="34" t="s">
        <v>3901</v>
      </c>
      <c r="L54" s="40" t="s">
        <v>3905</v>
      </c>
      <c r="M54" s="36">
        <v>129900</v>
      </c>
      <c r="N54" s="36" t="s">
        <v>2569</v>
      </c>
      <c r="O54" s="34" t="str">
        <f t="shared" si="1"/>
        <v>B1G2</v>
      </c>
      <c r="P54" s="36" t="s">
        <v>2569</v>
      </c>
    </row>
    <row r="55" spans="1:16" x14ac:dyDescent="0.35">
      <c r="A55" s="34" t="str">
        <f t="shared" si="0"/>
        <v>2024 JULY-DEC B1G2</v>
      </c>
      <c r="B55" s="35">
        <f t="shared" si="0"/>
        <v>46086</v>
      </c>
      <c r="C55" s="35">
        <f t="shared" si="0"/>
        <v>46092</v>
      </c>
      <c r="D55" s="34">
        <v>3321</v>
      </c>
      <c r="E55" s="34">
        <v>337</v>
      </c>
      <c r="F55" s="34">
        <v>4</v>
      </c>
      <c r="G55" s="34">
        <v>1</v>
      </c>
      <c r="H55" s="34">
        <v>81676</v>
      </c>
      <c r="I55" s="34" t="s">
        <v>2690</v>
      </c>
      <c r="J55" s="34">
        <v>24390894</v>
      </c>
      <c r="K55" s="34" t="s">
        <v>3906</v>
      </c>
      <c r="L55" s="40" t="s">
        <v>3907</v>
      </c>
      <c r="M55" s="36">
        <v>119900</v>
      </c>
      <c r="N55" s="36" t="s">
        <v>2569</v>
      </c>
      <c r="O55" s="34" t="str">
        <f t="shared" si="1"/>
        <v>B1G2</v>
      </c>
      <c r="P55" s="36" t="s">
        <v>2569</v>
      </c>
    </row>
    <row r="56" spans="1:16" x14ac:dyDescent="0.35">
      <c r="A56" s="34" t="str">
        <f t="shared" si="0"/>
        <v>2024 JULY-DEC B1G2</v>
      </c>
      <c r="B56" s="35">
        <f t="shared" si="0"/>
        <v>46086</v>
      </c>
      <c r="C56" s="35">
        <f t="shared" si="0"/>
        <v>46092</v>
      </c>
      <c r="D56" s="34">
        <v>3321</v>
      </c>
      <c r="E56" s="34">
        <v>337</v>
      </c>
      <c r="F56" s="34">
        <v>4</v>
      </c>
      <c r="G56" s="34">
        <v>1</v>
      </c>
      <c r="H56" s="34">
        <v>81676</v>
      </c>
      <c r="I56" s="34" t="s">
        <v>2690</v>
      </c>
      <c r="J56" s="34">
        <v>24390901</v>
      </c>
      <c r="K56" s="34" t="s">
        <v>3906</v>
      </c>
      <c r="L56" s="40" t="s">
        <v>3908</v>
      </c>
      <c r="M56" s="36">
        <v>119900</v>
      </c>
      <c r="N56" s="36" t="s">
        <v>2569</v>
      </c>
      <c r="O56" s="34" t="str">
        <f t="shared" si="1"/>
        <v>B1G2</v>
      </c>
      <c r="P56" s="36" t="s">
        <v>2569</v>
      </c>
    </row>
    <row r="57" spans="1:16" x14ac:dyDescent="0.35">
      <c r="A57" s="34" t="str">
        <f t="shared" si="0"/>
        <v>2024 JULY-DEC B1G2</v>
      </c>
      <c r="B57" s="35">
        <f t="shared" si="0"/>
        <v>46086</v>
      </c>
      <c r="C57" s="35">
        <f t="shared" si="0"/>
        <v>46092</v>
      </c>
      <c r="D57" s="34">
        <v>3321</v>
      </c>
      <c r="E57" s="34">
        <v>337</v>
      </c>
      <c r="F57" s="34">
        <v>4</v>
      </c>
      <c r="G57" s="34">
        <v>1</v>
      </c>
      <c r="H57" s="34">
        <v>81676</v>
      </c>
      <c r="I57" s="34" t="s">
        <v>2690</v>
      </c>
      <c r="J57" s="34">
        <v>24390910</v>
      </c>
      <c r="K57" s="34" t="s">
        <v>3906</v>
      </c>
      <c r="L57" s="40" t="s">
        <v>3909</v>
      </c>
      <c r="M57" s="36">
        <v>119900</v>
      </c>
      <c r="N57" s="36" t="s">
        <v>2569</v>
      </c>
      <c r="O57" s="34" t="str">
        <f t="shared" si="1"/>
        <v>B1G2</v>
      </c>
      <c r="P57" s="36" t="s">
        <v>2569</v>
      </c>
    </row>
    <row r="58" spans="1:16" x14ac:dyDescent="0.35">
      <c r="A58" s="34" t="str">
        <f t="shared" si="0"/>
        <v>2024 JULY-DEC B1G2</v>
      </c>
      <c r="B58" s="35">
        <f t="shared" si="0"/>
        <v>46086</v>
      </c>
      <c r="C58" s="35">
        <f t="shared" si="0"/>
        <v>46092</v>
      </c>
      <c r="D58" s="34">
        <v>3321</v>
      </c>
      <c r="E58" s="34">
        <v>337</v>
      </c>
      <c r="F58" s="34">
        <v>4</v>
      </c>
      <c r="G58" s="34">
        <v>1</v>
      </c>
      <c r="H58" s="34">
        <v>81676</v>
      </c>
      <c r="I58" s="34" t="s">
        <v>2690</v>
      </c>
      <c r="J58" s="34">
        <v>24390974</v>
      </c>
      <c r="K58" s="34" t="s">
        <v>3906</v>
      </c>
      <c r="L58" s="40" t="s">
        <v>3910</v>
      </c>
      <c r="M58" s="36">
        <v>119900</v>
      </c>
      <c r="N58" s="36" t="s">
        <v>2569</v>
      </c>
      <c r="O58" s="34" t="str">
        <f t="shared" si="1"/>
        <v>B1G2</v>
      </c>
      <c r="P58" s="36" t="s">
        <v>2569</v>
      </c>
    </row>
    <row r="59" spans="1:16" x14ac:dyDescent="0.35">
      <c r="A59" s="34" t="str">
        <f t="shared" si="0"/>
        <v>2024 JULY-DEC B1G2</v>
      </c>
      <c r="B59" s="35">
        <f t="shared" si="0"/>
        <v>46086</v>
      </c>
      <c r="C59" s="35">
        <f t="shared" si="0"/>
        <v>46092</v>
      </c>
      <c r="D59" s="34">
        <v>3321</v>
      </c>
      <c r="E59" s="34">
        <v>337</v>
      </c>
      <c r="F59" s="34">
        <v>4</v>
      </c>
      <c r="G59" s="34">
        <v>1</v>
      </c>
      <c r="H59" s="34">
        <v>81676</v>
      </c>
      <c r="I59" s="34" t="s">
        <v>2690</v>
      </c>
      <c r="J59" s="34">
        <v>24391679</v>
      </c>
      <c r="K59" s="34" t="s">
        <v>3911</v>
      </c>
      <c r="L59" s="40" t="s">
        <v>3912</v>
      </c>
      <c r="M59" s="36">
        <v>119900</v>
      </c>
      <c r="N59" s="36" t="s">
        <v>2569</v>
      </c>
      <c r="O59" s="34" t="str">
        <f t="shared" si="1"/>
        <v>B1G2</v>
      </c>
      <c r="P59" s="36" t="s">
        <v>2569</v>
      </c>
    </row>
    <row r="60" spans="1:16" x14ac:dyDescent="0.35">
      <c r="A60" s="34" t="str">
        <f t="shared" si="0"/>
        <v>2024 JULY-DEC B1G2</v>
      </c>
      <c r="B60" s="35">
        <f t="shared" si="0"/>
        <v>46086</v>
      </c>
      <c r="C60" s="35">
        <f t="shared" si="0"/>
        <v>46092</v>
      </c>
      <c r="D60" s="34">
        <v>3321</v>
      </c>
      <c r="E60" s="34">
        <v>337</v>
      </c>
      <c r="F60" s="34">
        <v>4</v>
      </c>
      <c r="G60" s="34">
        <v>1</v>
      </c>
      <c r="H60" s="34">
        <v>81676</v>
      </c>
      <c r="I60" s="34" t="s">
        <v>2690</v>
      </c>
      <c r="J60" s="34">
        <v>24391688</v>
      </c>
      <c r="K60" s="34" t="s">
        <v>3911</v>
      </c>
      <c r="L60" s="40" t="s">
        <v>3913</v>
      </c>
      <c r="M60" s="36">
        <v>119900</v>
      </c>
      <c r="N60" s="36" t="s">
        <v>2569</v>
      </c>
      <c r="O60" s="34" t="str">
        <f t="shared" si="1"/>
        <v>B1G2</v>
      </c>
      <c r="P60" s="36" t="s">
        <v>2569</v>
      </c>
    </row>
    <row r="61" spans="1:16" x14ac:dyDescent="0.35">
      <c r="A61" s="34" t="str">
        <f t="shared" si="0"/>
        <v>2024 JULY-DEC B1G2</v>
      </c>
      <c r="B61" s="35">
        <f t="shared" si="0"/>
        <v>46086</v>
      </c>
      <c r="C61" s="35">
        <f t="shared" si="0"/>
        <v>46092</v>
      </c>
      <c r="D61" s="34">
        <v>3321</v>
      </c>
      <c r="E61" s="34">
        <v>337</v>
      </c>
      <c r="F61" s="34">
        <v>4</v>
      </c>
      <c r="G61" s="34">
        <v>1</v>
      </c>
      <c r="H61" s="34">
        <v>81676</v>
      </c>
      <c r="I61" s="34" t="s">
        <v>2690</v>
      </c>
      <c r="J61" s="34">
        <v>24391697</v>
      </c>
      <c r="K61" s="34" t="s">
        <v>3911</v>
      </c>
      <c r="L61" s="40" t="s">
        <v>3914</v>
      </c>
      <c r="M61" s="36">
        <v>119900</v>
      </c>
      <c r="N61" s="36" t="s">
        <v>2569</v>
      </c>
      <c r="O61" s="34" t="str">
        <f t="shared" si="1"/>
        <v>B1G2</v>
      </c>
      <c r="P61" s="36" t="s">
        <v>2569</v>
      </c>
    </row>
    <row r="62" spans="1:16" x14ac:dyDescent="0.35">
      <c r="A62" s="34" t="str">
        <f t="shared" si="0"/>
        <v>2024 JULY-DEC B1G2</v>
      </c>
      <c r="B62" s="35">
        <f t="shared" si="0"/>
        <v>46086</v>
      </c>
      <c r="C62" s="35">
        <f t="shared" si="0"/>
        <v>46092</v>
      </c>
      <c r="D62" s="34">
        <v>3321</v>
      </c>
      <c r="E62" s="34">
        <v>337</v>
      </c>
      <c r="F62" s="34">
        <v>4</v>
      </c>
      <c r="G62" s="34">
        <v>1</v>
      </c>
      <c r="H62" s="34">
        <v>81676</v>
      </c>
      <c r="I62" s="34" t="s">
        <v>2690</v>
      </c>
      <c r="J62" s="34">
        <v>24391704</v>
      </c>
      <c r="K62" s="34" t="s">
        <v>3911</v>
      </c>
      <c r="L62" s="40" t="s">
        <v>3915</v>
      </c>
      <c r="M62" s="36">
        <v>119900</v>
      </c>
      <c r="N62" s="36" t="s">
        <v>2569</v>
      </c>
      <c r="O62" s="34" t="str">
        <f t="shared" si="1"/>
        <v>B1G2</v>
      </c>
      <c r="P62" s="36" t="s">
        <v>2569</v>
      </c>
    </row>
    <row r="63" spans="1:16" x14ac:dyDescent="0.35">
      <c r="A63" s="34" t="str">
        <f t="shared" si="0"/>
        <v>2024 JULY-DEC B1G2</v>
      </c>
      <c r="B63" s="35">
        <f t="shared" si="0"/>
        <v>46086</v>
      </c>
      <c r="C63" s="35">
        <f t="shared" si="0"/>
        <v>46092</v>
      </c>
      <c r="D63" s="34">
        <v>3321</v>
      </c>
      <c r="E63" s="34">
        <v>337</v>
      </c>
      <c r="F63" s="34">
        <v>4</v>
      </c>
      <c r="G63" s="34">
        <v>5</v>
      </c>
      <c r="H63" s="34">
        <v>81698</v>
      </c>
      <c r="I63" s="34" t="s">
        <v>2690</v>
      </c>
      <c r="J63" s="34">
        <v>23115415</v>
      </c>
      <c r="K63" s="34" t="s">
        <v>3916</v>
      </c>
      <c r="L63" s="40" t="s">
        <v>3917</v>
      </c>
      <c r="M63" s="36">
        <v>289900</v>
      </c>
      <c r="N63" s="36" t="s">
        <v>2569</v>
      </c>
      <c r="O63" s="34" t="str">
        <f t="shared" si="1"/>
        <v>B1G2</v>
      </c>
      <c r="P63" s="36" t="s">
        <v>2569</v>
      </c>
    </row>
    <row r="64" spans="1:16" x14ac:dyDescent="0.35">
      <c r="A64" s="34" t="str">
        <f t="shared" si="0"/>
        <v>2024 JULY-DEC B1G2</v>
      </c>
      <c r="B64" s="35">
        <f t="shared" si="0"/>
        <v>46086</v>
      </c>
      <c r="C64" s="35">
        <f t="shared" si="0"/>
        <v>46092</v>
      </c>
      <c r="D64" s="34">
        <v>3321</v>
      </c>
      <c r="E64" s="34">
        <v>337</v>
      </c>
      <c r="F64" s="34">
        <v>4</v>
      </c>
      <c r="G64" s="34">
        <v>5</v>
      </c>
      <c r="H64" s="34">
        <v>81698</v>
      </c>
      <c r="I64" s="34" t="s">
        <v>2690</v>
      </c>
      <c r="J64" s="34">
        <v>23115424</v>
      </c>
      <c r="K64" s="34" t="s">
        <v>3916</v>
      </c>
      <c r="L64" s="40" t="s">
        <v>3918</v>
      </c>
      <c r="M64" s="36">
        <v>289900</v>
      </c>
      <c r="N64" s="36" t="s">
        <v>2569</v>
      </c>
      <c r="O64" s="34" t="str">
        <f t="shared" si="1"/>
        <v>B1G2</v>
      </c>
      <c r="P64" s="36" t="s">
        <v>2569</v>
      </c>
    </row>
    <row r="65" spans="1:16" x14ac:dyDescent="0.35">
      <c r="A65" s="34" t="str">
        <f t="shared" si="0"/>
        <v>2024 JULY-DEC B1G2</v>
      </c>
      <c r="B65" s="35">
        <f t="shared" si="0"/>
        <v>46086</v>
      </c>
      <c r="C65" s="35">
        <f t="shared" si="0"/>
        <v>46092</v>
      </c>
      <c r="D65" s="34">
        <v>3321</v>
      </c>
      <c r="E65" s="34">
        <v>337</v>
      </c>
      <c r="F65" s="34">
        <v>4</v>
      </c>
      <c r="G65" s="34">
        <v>5</v>
      </c>
      <c r="H65" s="34">
        <v>81698</v>
      </c>
      <c r="I65" s="34" t="s">
        <v>2690</v>
      </c>
      <c r="J65" s="34">
        <v>23115862</v>
      </c>
      <c r="K65" s="34" t="s">
        <v>3916</v>
      </c>
      <c r="L65" s="40" t="s">
        <v>3919</v>
      </c>
      <c r="M65" s="36">
        <v>289900</v>
      </c>
      <c r="N65" s="36" t="s">
        <v>2569</v>
      </c>
      <c r="O65" s="34" t="str">
        <f t="shared" si="1"/>
        <v>B1G2</v>
      </c>
      <c r="P65" s="36" t="s">
        <v>2569</v>
      </c>
    </row>
    <row r="66" spans="1:16" x14ac:dyDescent="0.35">
      <c r="A66" s="34" t="str">
        <f t="shared" si="0"/>
        <v>2024 JULY-DEC B1G2</v>
      </c>
      <c r="B66" s="35">
        <f t="shared" si="0"/>
        <v>46086</v>
      </c>
      <c r="C66" s="35">
        <f t="shared" si="0"/>
        <v>46092</v>
      </c>
      <c r="D66" s="34">
        <v>3321</v>
      </c>
      <c r="E66" s="34">
        <v>337</v>
      </c>
      <c r="F66" s="34">
        <v>4</v>
      </c>
      <c r="G66" s="34">
        <v>5</v>
      </c>
      <c r="H66" s="34">
        <v>81698</v>
      </c>
      <c r="I66" s="34" t="s">
        <v>2690</v>
      </c>
      <c r="J66" s="34">
        <v>23115871</v>
      </c>
      <c r="K66" s="34" t="s">
        <v>3916</v>
      </c>
      <c r="L66" s="40" t="s">
        <v>3920</v>
      </c>
      <c r="M66" s="36">
        <v>289900</v>
      </c>
      <c r="N66" s="36" t="s">
        <v>2569</v>
      </c>
      <c r="O66" s="34" t="str">
        <f t="shared" si="1"/>
        <v>B1G2</v>
      </c>
      <c r="P66" s="36" t="s">
        <v>2569</v>
      </c>
    </row>
    <row r="67" spans="1:16" x14ac:dyDescent="0.35">
      <c r="A67" s="34" t="str">
        <f t="shared" si="0"/>
        <v>2024 JULY-DEC B1G2</v>
      </c>
      <c r="B67" s="35">
        <f t="shared" si="0"/>
        <v>46086</v>
      </c>
      <c r="C67" s="35">
        <f t="shared" si="0"/>
        <v>46092</v>
      </c>
      <c r="D67" s="34">
        <v>3321</v>
      </c>
      <c r="E67" s="34">
        <v>337</v>
      </c>
      <c r="F67" s="34">
        <v>4</v>
      </c>
      <c r="G67" s="34">
        <v>5</v>
      </c>
      <c r="H67" s="34">
        <v>81005</v>
      </c>
      <c r="I67" s="34" t="s">
        <v>2690</v>
      </c>
      <c r="J67" s="34">
        <v>23118476</v>
      </c>
      <c r="K67" s="34" t="s">
        <v>3921</v>
      </c>
      <c r="L67" s="40" t="s">
        <v>3922</v>
      </c>
      <c r="M67" s="36">
        <v>279900</v>
      </c>
      <c r="N67" s="36" t="s">
        <v>2569</v>
      </c>
      <c r="O67" s="34" t="str">
        <f t="shared" si="1"/>
        <v>B1G2</v>
      </c>
      <c r="P67" s="36" t="s">
        <v>2569</v>
      </c>
    </row>
    <row r="68" spans="1:16" x14ac:dyDescent="0.35">
      <c r="A68" s="34" t="str">
        <f t="shared" ref="A68:C109" si="2">A67</f>
        <v>2024 JULY-DEC B1G2</v>
      </c>
      <c r="B68" s="35">
        <f t="shared" si="2"/>
        <v>46086</v>
      </c>
      <c r="C68" s="35">
        <f t="shared" si="2"/>
        <v>46092</v>
      </c>
      <c r="D68" s="34">
        <v>3321</v>
      </c>
      <c r="E68" s="34">
        <v>337</v>
      </c>
      <c r="F68" s="34">
        <v>4</v>
      </c>
      <c r="G68" s="34">
        <v>5</v>
      </c>
      <c r="H68" s="34">
        <v>81005</v>
      </c>
      <c r="I68" s="34" t="s">
        <v>2690</v>
      </c>
      <c r="J68" s="34">
        <v>23118485</v>
      </c>
      <c r="K68" s="34" t="s">
        <v>3921</v>
      </c>
      <c r="L68" s="40" t="s">
        <v>3923</v>
      </c>
      <c r="M68" s="36">
        <v>279900</v>
      </c>
      <c r="N68" s="36" t="s">
        <v>2569</v>
      </c>
      <c r="O68" s="34" t="str">
        <f t="shared" ref="O68:O108" si="3">O67</f>
        <v>B1G2</v>
      </c>
      <c r="P68" s="36" t="s">
        <v>2569</v>
      </c>
    </row>
    <row r="69" spans="1:16" x14ac:dyDescent="0.35">
      <c r="A69" s="34" t="str">
        <f t="shared" si="2"/>
        <v>2024 JULY-DEC B1G2</v>
      </c>
      <c r="B69" s="35">
        <f t="shared" si="2"/>
        <v>46086</v>
      </c>
      <c r="C69" s="35">
        <f t="shared" si="2"/>
        <v>46092</v>
      </c>
      <c r="D69" s="34">
        <v>3321</v>
      </c>
      <c r="E69" s="34">
        <v>337</v>
      </c>
      <c r="F69" s="34">
        <v>4</v>
      </c>
      <c r="G69" s="34">
        <v>5</v>
      </c>
      <c r="H69" s="34">
        <v>81005</v>
      </c>
      <c r="I69" s="34" t="s">
        <v>2690</v>
      </c>
      <c r="J69" s="34">
        <v>23119386</v>
      </c>
      <c r="K69" s="34" t="s">
        <v>3921</v>
      </c>
      <c r="L69" s="40" t="s">
        <v>3924</v>
      </c>
      <c r="M69" s="36">
        <v>279900</v>
      </c>
      <c r="N69" s="36" t="s">
        <v>2569</v>
      </c>
      <c r="O69" s="34" t="str">
        <f t="shared" si="3"/>
        <v>B1G2</v>
      </c>
      <c r="P69" s="36" t="s">
        <v>2569</v>
      </c>
    </row>
    <row r="70" spans="1:16" x14ac:dyDescent="0.35">
      <c r="A70" s="34" t="str">
        <f t="shared" si="2"/>
        <v>2024 JULY-DEC B1G2</v>
      </c>
      <c r="B70" s="35">
        <f t="shared" si="2"/>
        <v>46086</v>
      </c>
      <c r="C70" s="35">
        <f t="shared" si="2"/>
        <v>46092</v>
      </c>
      <c r="D70" s="34">
        <v>3321</v>
      </c>
      <c r="E70" s="34">
        <v>337</v>
      </c>
      <c r="F70" s="34">
        <v>4</v>
      </c>
      <c r="G70" s="34">
        <v>5</v>
      </c>
      <c r="H70" s="34">
        <v>81005</v>
      </c>
      <c r="I70" s="34" t="s">
        <v>2690</v>
      </c>
      <c r="J70" s="34">
        <v>23119395</v>
      </c>
      <c r="K70" s="34" t="s">
        <v>3921</v>
      </c>
      <c r="L70" s="40" t="s">
        <v>3925</v>
      </c>
      <c r="M70" s="36">
        <v>279900</v>
      </c>
      <c r="N70" s="36" t="s">
        <v>2569</v>
      </c>
      <c r="O70" s="34" t="str">
        <f t="shared" si="3"/>
        <v>B1G2</v>
      </c>
      <c r="P70" s="36" t="s">
        <v>2569</v>
      </c>
    </row>
    <row r="71" spans="1:16" x14ac:dyDescent="0.35">
      <c r="A71" s="34" t="str">
        <f t="shared" si="2"/>
        <v>2024 JULY-DEC B1G2</v>
      </c>
      <c r="B71" s="35">
        <f t="shared" si="2"/>
        <v>46086</v>
      </c>
      <c r="C71" s="35">
        <f t="shared" si="2"/>
        <v>46092</v>
      </c>
      <c r="D71" s="34">
        <v>3321</v>
      </c>
      <c r="E71" s="34">
        <v>337</v>
      </c>
      <c r="F71" s="34">
        <v>4</v>
      </c>
      <c r="G71" s="34">
        <v>5</v>
      </c>
      <c r="H71" s="34">
        <v>81005</v>
      </c>
      <c r="I71" s="34" t="s">
        <v>2690</v>
      </c>
      <c r="J71" s="34">
        <v>23119402</v>
      </c>
      <c r="K71" s="34" t="s">
        <v>3921</v>
      </c>
      <c r="L71" s="40" t="s">
        <v>3926</v>
      </c>
      <c r="M71" s="36">
        <v>279900</v>
      </c>
      <c r="N71" s="36" t="s">
        <v>2569</v>
      </c>
      <c r="O71" s="34" t="str">
        <f t="shared" si="3"/>
        <v>B1G2</v>
      </c>
      <c r="P71" s="36" t="s">
        <v>2569</v>
      </c>
    </row>
    <row r="72" spans="1:16" x14ac:dyDescent="0.35">
      <c r="A72" s="34" t="str">
        <f t="shared" si="2"/>
        <v>2024 JULY-DEC B1G2</v>
      </c>
      <c r="B72" s="35">
        <f t="shared" si="2"/>
        <v>46086</v>
      </c>
      <c r="C72" s="35">
        <f t="shared" si="2"/>
        <v>46092</v>
      </c>
      <c r="D72" s="34">
        <v>3321</v>
      </c>
      <c r="E72" s="34">
        <v>337</v>
      </c>
      <c r="F72" s="34">
        <v>4</v>
      </c>
      <c r="G72" s="34">
        <v>1</v>
      </c>
      <c r="H72" s="34">
        <v>81676</v>
      </c>
      <c r="I72" s="34" t="s">
        <v>2690</v>
      </c>
      <c r="J72" s="34">
        <v>24390983</v>
      </c>
      <c r="K72" s="34" t="s">
        <v>3967</v>
      </c>
      <c r="L72" s="40" t="s">
        <v>3968</v>
      </c>
      <c r="M72" s="36">
        <v>119900</v>
      </c>
      <c r="N72" s="36" t="s">
        <v>2569</v>
      </c>
      <c r="O72" s="34" t="str">
        <f t="shared" si="3"/>
        <v>B1G2</v>
      </c>
      <c r="P72" s="36" t="s">
        <v>2569</v>
      </c>
    </row>
    <row r="73" spans="1:16" x14ac:dyDescent="0.35">
      <c r="A73" s="34" t="str">
        <f t="shared" si="2"/>
        <v>2024 JULY-DEC B1G2</v>
      </c>
      <c r="B73" s="35">
        <f t="shared" si="2"/>
        <v>46086</v>
      </c>
      <c r="C73" s="35">
        <f t="shared" si="2"/>
        <v>46092</v>
      </c>
      <c r="D73" s="34">
        <v>3321</v>
      </c>
      <c r="E73" s="34">
        <v>337</v>
      </c>
      <c r="F73" s="34">
        <v>4</v>
      </c>
      <c r="G73" s="34">
        <v>1</v>
      </c>
      <c r="H73" s="34">
        <v>81676</v>
      </c>
      <c r="I73" s="34" t="s">
        <v>2690</v>
      </c>
      <c r="J73" s="34">
        <v>24390992</v>
      </c>
      <c r="K73" s="34" t="s">
        <v>3967</v>
      </c>
      <c r="L73" s="40" t="s">
        <v>3969</v>
      </c>
      <c r="M73" s="36">
        <v>119900</v>
      </c>
      <c r="N73" s="36" t="s">
        <v>2569</v>
      </c>
      <c r="O73" s="34" t="str">
        <f t="shared" si="3"/>
        <v>B1G2</v>
      </c>
      <c r="P73" s="36" t="s">
        <v>2569</v>
      </c>
    </row>
    <row r="74" spans="1:16" x14ac:dyDescent="0.35">
      <c r="A74" s="34" t="str">
        <f t="shared" si="2"/>
        <v>2024 JULY-DEC B1G2</v>
      </c>
      <c r="B74" s="35">
        <f t="shared" si="2"/>
        <v>46086</v>
      </c>
      <c r="C74" s="35">
        <f t="shared" si="2"/>
        <v>46092</v>
      </c>
      <c r="D74" s="34">
        <v>3321</v>
      </c>
      <c r="E74" s="34">
        <v>337</v>
      </c>
      <c r="F74" s="34">
        <v>4</v>
      </c>
      <c r="G74" s="34">
        <v>1</v>
      </c>
      <c r="H74" s="34">
        <v>81676</v>
      </c>
      <c r="I74" s="34" t="s">
        <v>2690</v>
      </c>
      <c r="J74" s="34">
        <v>24391008</v>
      </c>
      <c r="K74" s="34" t="s">
        <v>3967</v>
      </c>
      <c r="L74" s="40" t="s">
        <v>3970</v>
      </c>
      <c r="M74" s="36">
        <v>119900</v>
      </c>
      <c r="N74" s="36" t="s">
        <v>2569</v>
      </c>
      <c r="O74" s="34" t="str">
        <f t="shared" si="3"/>
        <v>B1G2</v>
      </c>
      <c r="P74" s="36" t="s">
        <v>2569</v>
      </c>
    </row>
    <row r="75" spans="1:16" x14ac:dyDescent="0.35">
      <c r="A75" s="34" t="str">
        <f t="shared" si="2"/>
        <v>2024 JULY-DEC B1G2</v>
      </c>
      <c r="B75" s="35">
        <f t="shared" si="2"/>
        <v>46086</v>
      </c>
      <c r="C75" s="35">
        <f t="shared" si="2"/>
        <v>46092</v>
      </c>
      <c r="D75" s="34">
        <v>3321</v>
      </c>
      <c r="E75" s="34">
        <v>337</v>
      </c>
      <c r="F75" s="34">
        <v>4</v>
      </c>
      <c r="G75" s="34">
        <v>1</v>
      </c>
      <c r="H75" s="34">
        <v>81676</v>
      </c>
      <c r="I75" s="34" t="s">
        <v>2690</v>
      </c>
      <c r="J75" s="34">
        <v>24391017</v>
      </c>
      <c r="K75" s="34" t="s">
        <v>3967</v>
      </c>
      <c r="L75" s="40" t="s">
        <v>3971</v>
      </c>
      <c r="M75" s="36">
        <v>119900</v>
      </c>
      <c r="N75" s="36" t="s">
        <v>2569</v>
      </c>
      <c r="O75" s="34" t="str">
        <f t="shared" si="3"/>
        <v>B1G2</v>
      </c>
      <c r="P75" s="36" t="s">
        <v>2569</v>
      </c>
    </row>
    <row r="76" spans="1:16" x14ac:dyDescent="0.35">
      <c r="A76" s="34" t="str">
        <f t="shared" si="2"/>
        <v>2024 JULY-DEC B1G2</v>
      </c>
      <c r="B76" s="35">
        <f t="shared" si="2"/>
        <v>46086</v>
      </c>
      <c r="C76" s="35">
        <f t="shared" si="2"/>
        <v>46092</v>
      </c>
      <c r="D76" s="34">
        <v>3321</v>
      </c>
      <c r="E76" s="34">
        <v>337</v>
      </c>
      <c r="F76" s="34">
        <v>4</v>
      </c>
      <c r="G76" s="34">
        <v>5</v>
      </c>
      <c r="H76" s="34">
        <v>81005</v>
      </c>
      <c r="I76" s="34" t="s">
        <v>2690</v>
      </c>
      <c r="J76" s="34">
        <v>23119411</v>
      </c>
      <c r="K76" s="34" t="s">
        <v>3972</v>
      </c>
      <c r="L76" s="40" t="s">
        <v>3973</v>
      </c>
      <c r="M76" s="36">
        <v>279900</v>
      </c>
      <c r="N76" s="36" t="s">
        <v>2569</v>
      </c>
      <c r="O76" s="34" t="str">
        <f t="shared" si="3"/>
        <v>B1G2</v>
      </c>
      <c r="P76" s="36" t="s">
        <v>2569</v>
      </c>
    </row>
    <row r="77" spans="1:16" x14ac:dyDescent="0.35">
      <c r="A77" s="34" t="str">
        <f t="shared" si="2"/>
        <v>2024 JULY-DEC B1G2</v>
      </c>
      <c r="B77" s="35">
        <f t="shared" si="2"/>
        <v>46086</v>
      </c>
      <c r="C77" s="35">
        <f t="shared" si="2"/>
        <v>46092</v>
      </c>
      <c r="D77" s="34">
        <v>3321</v>
      </c>
      <c r="E77" s="34">
        <v>337</v>
      </c>
      <c r="F77" s="34">
        <v>4</v>
      </c>
      <c r="G77" s="34">
        <v>5</v>
      </c>
      <c r="H77" s="34">
        <v>81005</v>
      </c>
      <c r="I77" s="34" t="s">
        <v>2690</v>
      </c>
      <c r="J77" s="34">
        <v>23119993</v>
      </c>
      <c r="K77" s="34" t="s">
        <v>3972</v>
      </c>
      <c r="L77" s="40" t="s">
        <v>3974</v>
      </c>
      <c r="M77" s="36">
        <v>279900</v>
      </c>
      <c r="N77" s="36" t="s">
        <v>2569</v>
      </c>
      <c r="O77" s="34" t="str">
        <f t="shared" si="3"/>
        <v>B1G2</v>
      </c>
      <c r="P77" s="36" t="s">
        <v>2569</v>
      </c>
    </row>
    <row r="78" spans="1:16" x14ac:dyDescent="0.35">
      <c r="A78" s="34" t="str">
        <f t="shared" si="2"/>
        <v>2024 JULY-DEC B1G2</v>
      </c>
      <c r="B78" s="35">
        <f t="shared" si="2"/>
        <v>46086</v>
      </c>
      <c r="C78" s="35">
        <f t="shared" si="2"/>
        <v>46092</v>
      </c>
      <c r="D78" s="34">
        <v>3321</v>
      </c>
      <c r="E78" s="34">
        <v>337</v>
      </c>
      <c r="F78" s="34">
        <v>4</v>
      </c>
      <c r="G78" s="34">
        <v>5</v>
      </c>
      <c r="H78" s="34">
        <v>81005</v>
      </c>
      <c r="I78" s="34" t="s">
        <v>2690</v>
      </c>
      <c r="J78" s="34">
        <v>23120007</v>
      </c>
      <c r="K78" s="34" t="s">
        <v>3972</v>
      </c>
      <c r="L78" s="40" t="s">
        <v>3975</v>
      </c>
      <c r="M78" s="36">
        <v>279900</v>
      </c>
      <c r="N78" s="36" t="s">
        <v>2569</v>
      </c>
      <c r="O78" s="34" t="str">
        <f t="shared" si="3"/>
        <v>B1G2</v>
      </c>
      <c r="P78" s="36" t="s">
        <v>2569</v>
      </c>
    </row>
    <row r="79" spans="1:16" x14ac:dyDescent="0.35">
      <c r="A79" s="34" t="str">
        <f t="shared" si="2"/>
        <v>2024 JULY-DEC B1G2</v>
      </c>
      <c r="B79" s="35">
        <f t="shared" si="2"/>
        <v>46086</v>
      </c>
      <c r="C79" s="35">
        <f t="shared" si="2"/>
        <v>46092</v>
      </c>
      <c r="D79" s="34">
        <v>3321</v>
      </c>
      <c r="E79" s="34">
        <v>337</v>
      </c>
      <c r="F79" s="34">
        <v>4</v>
      </c>
      <c r="G79" s="34">
        <v>5</v>
      </c>
      <c r="H79" s="34">
        <v>81005</v>
      </c>
      <c r="I79" s="34" t="s">
        <v>2690</v>
      </c>
      <c r="J79" s="34">
        <v>23120016</v>
      </c>
      <c r="K79" s="34" t="s">
        <v>3972</v>
      </c>
      <c r="L79" s="40" t="s">
        <v>3976</v>
      </c>
      <c r="M79" s="36">
        <v>279900</v>
      </c>
      <c r="N79" s="36" t="s">
        <v>2569</v>
      </c>
      <c r="O79" s="34" t="str">
        <f t="shared" si="3"/>
        <v>B1G2</v>
      </c>
      <c r="P79" s="36" t="s">
        <v>2569</v>
      </c>
    </row>
    <row r="80" spans="1:16" x14ac:dyDescent="0.35">
      <c r="A80" s="34" t="str">
        <f t="shared" si="2"/>
        <v>2024 JULY-DEC B1G2</v>
      </c>
      <c r="B80" s="35">
        <f t="shared" si="2"/>
        <v>46086</v>
      </c>
      <c r="C80" s="35">
        <f t="shared" si="2"/>
        <v>46092</v>
      </c>
      <c r="D80" s="34">
        <v>3321</v>
      </c>
      <c r="E80" s="34">
        <v>337</v>
      </c>
      <c r="F80" s="34">
        <v>4</v>
      </c>
      <c r="G80" s="34">
        <v>5</v>
      </c>
      <c r="H80" s="34">
        <v>81005</v>
      </c>
      <c r="I80" s="34" t="s">
        <v>2690</v>
      </c>
      <c r="J80" s="34">
        <v>23120025</v>
      </c>
      <c r="K80" s="34" t="s">
        <v>3972</v>
      </c>
      <c r="L80" s="40" t="s">
        <v>3977</v>
      </c>
      <c r="M80" s="36">
        <v>279900</v>
      </c>
      <c r="N80" s="36" t="s">
        <v>2569</v>
      </c>
      <c r="O80" s="34" t="str">
        <f t="shared" si="3"/>
        <v>B1G2</v>
      </c>
      <c r="P80" s="36" t="s">
        <v>2569</v>
      </c>
    </row>
    <row r="81" spans="1:16" x14ac:dyDescent="0.35">
      <c r="A81" s="34" t="str">
        <f t="shared" si="2"/>
        <v>2024 JULY-DEC B1G2</v>
      </c>
      <c r="B81" s="35">
        <f t="shared" si="2"/>
        <v>46086</v>
      </c>
      <c r="C81" s="35">
        <f t="shared" si="2"/>
        <v>46092</v>
      </c>
      <c r="D81" s="34">
        <v>3321</v>
      </c>
      <c r="E81" s="34">
        <v>337</v>
      </c>
      <c r="F81" s="34">
        <v>4</v>
      </c>
      <c r="G81" s="34">
        <v>1</v>
      </c>
      <c r="H81" s="34">
        <v>81676</v>
      </c>
      <c r="I81" s="34" t="s">
        <v>2690</v>
      </c>
      <c r="J81" s="34">
        <v>24391320</v>
      </c>
      <c r="K81" s="34" t="s">
        <v>3978</v>
      </c>
      <c r="L81" s="40" t="s">
        <v>3979</v>
      </c>
      <c r="M81" s="36">
        <v>119900</v>
      </c>
      <c r="N81" s="36" t="s">
        <v>2569</v>
      </c>
      <c r="O81" s="34" t="str">
        <f t="shared" si="3"/>
        <v>B1G2</v>
      </c>
      <c r="P81" s="36" t="s">
        <v>2569</v>
      </c>
    </row>
    <row r="82" spans="1:16" x14ac:dyDescent="0.35">
      <c r="A82" s="34" t="str">
        <f t="shared" si="2"/>
        <v>2024 JULY-DEC B1G2</v>
      </c>
      <c r="B82" s="35">
        <f t="shared" si="2"/>
        <v>46086</v>
      </c>
      <c r="C82" s="35">
        <f t="shared" si="2"/>
        <v>46092</v>
      </c>
      <c r="D82" s="34">
        <v>3321</v>
      </c>
      <c r="E82" s="34">
        <v>337</v>
      </c>
      <c r="F82" s="34">
        <v>4</v>
      </c>
      <c r="G82" s="34">
        <v>1</v>
      </c>
      <c r="H82" s="34">
        <v>81676</v>
      </c>
      <c r="I82" s="34" t="s">
        <v>2690</v>
      </c>
      <c r="J82" s="34">
        <v>24391642</v>
      </c>
      <c r="K82" s="34" t="s">
        <v>3978</v>
      </c>
      <c r="L82" s="40" t="s">
        <v>3980</v>
      </c>
      <c r="M82" s="36">
        <v>119900</v>
      </c>
      <c r="N82" s="36" t="s">
        <v>2569</v>
      </c>
      <c r="O82" s="34" t="str">
        <f t="shared" si="3"/>
        <v>B1G2</v>
      </c>
      <c r="P82" s="36" t="s">
        <v>2569</v>
      </c>
    </row>
    <row r="83" spans="1:16" x14ac:dyDescent="0.35">
      <c r="A83" s="34" t="str">
        <f t="shared" si="2"/>
        <v>2024 JULY-DEC B1G2</v>
      </c>
      <c r="B83" s="35">
        <f t="shared" si="2"/>
        <v>46086</v>
      </c>
      <c r="C83" s="35">
        <f t="shared" si="2"/>
        <v>46092</v>
      </c>
      <c r="D83" s="34">
        <v>3321</v>
      </c>
      <c r="E83" s="34">
        <v>337</v>
      </c>
      <c r="F83" s="34">
        <v>4</v>
      </c>
      <c r="G83" s="34">
        <v>1</v>
      </c>
      <c r="H83" s="34">
        <v>81676</v>
      </c>
      <c r="I83" s="34" t="s">
        <v>2690</v>
      </c>
      <c r="J83" s="34">
        <v>24391651</v>
      </c>
      <c r="K83" s="34" t="s">
        <v>3978</v>
      </c>
      <c r="L83" s="40" t="s">
        <v>3981</v>
      </c>
      <c r="M83" s="36">
        <v>119900</v>
      </c>
      <c r="N83" s="36" t="s">
        <v>2569</v>
      </c>
      <c r="O83" s="34" t="str">
        <f t="shared" si="3"/>
        <v>B1G2</v>
      </c>
      <c r="P83" s="36" t="s">
        <v>2569</v>
      </c>
    </row>
    <row r="84" spans="1:16" x14ac:dyDescent="0.35">
      <c r="A84" s="34" t="str">
        <f t="shared" si="2"/>
        <v>2024 JULY-DEC B1G2</v>
      </c>
      <c r="B84" s="35">
        <f t="shared" si="2"/>
        <v>46086</v>
      </c>
      <c r="C84" s="35">
        <f t="shared" si="2"/>
        <v>46092</v>
      </c>
      <c r="D84" s="34">
        <v>3321</v>
      </c>
      <c r="E84" s="34">
        <v>337</v>
      </c>
      <c r="F84" s="34">
        <v>4</v>
      </c>
      <c r="G84" s="34">
        <v>1</v>
      </c>
      <c r="H84" s="34">
        <v>81676</v>
      </c>
      <c r="I84" s="34" t="s">
        <v>2690</v>
      </c>
      <c r="J84" s="34">
        <v>24391660</v>
      </c>
      <c r="K84" s="34" t="s">
        <v>3978</v>
      </c>
      <c r="L84" s="40" t="s">
        <v>3982</v>
      </c>
      <c r="M84" s="36">
        <v>119900</v>
      </c>
      <c r="N84" s="36" t="s">
        <v>2569</v>
      </c>
      <c r="O84" s="34" t="str">
        <f t="shared" si="3"/>
        <v>B1G2</v>
      </c>
      <c r="P84" s="36" t="s">
        <v>2569</v>
      </c>
    </row>
    <row r="85" spans="1:16" x14ac:dyDescent="0.35">
      <c r="A85" s="34" t="str">
        <f t="shared" si="2"/>
        <v>2024 JULY-DEC B1G2</v>
      </c>
      <c r="B85" s="35">
        <f t="shared" si="2"/>
        <v>46086</v>
      </c>
      <c r="C85" s="35">
        <f t="shared" si="2"/>
        <v>46092</v>
      </c>
      <c r="D85" s="34">
        <v>3321</v>
      </c>
      <c r="E85" s="34">
        <v>337</v>
      </c>
      <c r="F85" s="34">
        <v>4</v>
      </c>
      <c r="G85" s="34">
        <v>1</v>
      </c>
      <c r="H85" s="34">
        <v>81676</v>
      </c>
      <c r="I85" s="34" t="s">
        <v>2690</v>
      </c>
      <c r="J85" s="34">
        <v>24391875</v>
      </c>
      <c r="K85" s="34" t="s">
        <v>3983</v>
      </c>
      <c r="L85" s="40" t="s">
        <v>3984</v>
      </c>
      <c r="M85" s="36">
        <v>129900</v>
      </c>
      <c r="N85" s="36" t="s">
        <v>2569</v>
      </c>
      <c r="O85" s="34" t="str">
        <f t="shared" si="3"/>
        <v>B1G2</v>
      </c>
      <c r="P85" s="36" t="s">
        <v>2569</v>
      </c>
    </row>
    <row r="86" spans="1:16" x14ac:dyDescent="0.35">
      <c r="A86" s="34" t="str">
        <f t="shared" si="2"/>
        <v>2024 JULY-DEC B1G2</v>
      </c>
      <c r="B86" s="35">
        <f t="shared" si="2"/>
        <v>46086</v>
      </c>
      <c r="C86" s="35">
        <f t="shared" si="2"/>
        <v>46092</v>
      </c>
      <c r="D86" s="34">
        <v>3321</v>
      </c>
      <c r="E86" s="34">
        <v>337</v>
      </c>
      <c r="F86" s="34">
        <v>4</v>
      </c>
      <c r="G86" s="34">
        <v>1</v>
      </c>
      <c r="H86" s="34">
        <v>81676</v>
      </c>
      <c r="I86" s="34" t="s">
        <v>2690</v>
      </c>
      <c r="J86" s="34">
        <v>24392534</v>
      </c>
      <c r="K86" s="34" t="s">
        <v>3983</v>
      </c>
      <c r="L86" s="40" t="s">
        <v>3985</v>
      </c>
      <c r="M86" s="36">
        <v>129900</v>
      </c>
      <c r="N86" s="36" t="s">
        <v>2569</v>
      </c>
      <c r="O86" s="34" t="str">
        <f t="shared" si="3"/>
        <v>B1G2</v>
      </c>
      <c r="P86" s="36" t="s">
        <v>2569</v>
      </c>
    </row>
    <row r="87" spans="1:16" x14ac:dyDescent="0.35">
      <c r="A87" s="34" t="str">
        <f t="shared" si="2"/>
        <v>2024 JULY-DEC B1G2</v>
      </c>
      <c r="B87" s="35">
        <f t="shared" si="2"/>
        <v>46086</v>
      </c>
      <c r="C87" s="35">
        <f t="shared" si="2"/>
        <v>46092</v>
      </c>
      <c r="D87" s="34">
        <v>3321</v>
      </c>
      <c r="E87" s="34">
        <v>337</v>
      </c>
      <c r="F87" s="34">
        <v>4</v>
      </c>
      <c r="G87" s="34">
        <v>1</v>
      </c>
      <c r="H87" s="34">
        <v>81676</v>
      </c>
      <c r="I87" s="34" t="s">
        <v>2690</v>
      </c>
      <c r="J87" s="34">
        <v>24392552</v>
      </c>
      <c r="K87" s="34" t="s">
        <v>3983</v>
      </c>
      <c r="L87" s="40" t="s">
        <v>3986</v>
      </c>
      <c r="M87" s="36">
        <v>129900</v>
      </c>
      <c r="N87" s="36" t="s">
        <v>2569</v>
      </c>
      <c r="O87" s="34" t="str">
        <f t="shared" si="3"/>
        <v>B1G2</v>
      </c>
      <c r="P87" s="36" t="s">
        <v>2569</v>
      </c>
    </row>
    <row r="88" spans="1:16" x14ac:dyDescent="0.35">
      <c r="A88" s="34" t="str">
        <f t="shared" si="2"/>
        <v>2024 JULY-DEC B1G2</v>
      </c>
      <c r="B88" s="35">
        <f t="shared" si="2"/>
        <v>46086</v>
      </c>
      <c r="C88" s="35">
        <f t="shared" si="2"/>
        <v>46092</v>
      </c>
      <c r="D88" s="34">
        <v>3321</v>
      </c>
      <c r="E88" s="34">
        <v>337</v>
      </c>
      <c r="F88" s="34">
        <v>4</v>
      </c>
      <c r="G88" s="34">
        <v>1</v>
      </c>
      <c r="H88" s="34">
        <v>81676</v>
      </c>
      <c r="I88" s="34" t="s">
        <v>2690</v>
      </c>
      <c r="J88" s="34">
        <v>24392543</v>
      </c>
      <c r="K88" s="34" t="s">
        <v>3983</v>
      </c>
      <c r="L88" s="40" t="s">
        <v>3987</v>
      </c>
      <c r="M88" s="36">
        <v>129900</v>
      </c>
      <c r="N88" s="36" t="s">
        <v>2569</v>
      </c>
      <c r="O88" s="34" t="str">
        <f t="shared" si="3"/>
        <v>B1G2</v>
      </c>
      <c r="P88" s="36" t="s">
        <v>2569</v>
      </c>
    </row>
    <row r="89" spans="1:16" x14ac:dyDescent="0.35">
      <c r="A89" s="34" t="str">
        <f t="shared" si="2"/>
        <v>2024 JULY-DEC B1G2</v>
      </c>
      <c r="B89" s="35">
        <f t="shared" si="2"/>
        <v>46086</v>
      </c>
      <c r="C89" s="35">
        <f t="shared" si="2"/>
        <v>46092</v>
      </c>
      <c r="D89" s="34">
        <v>3321</v>
      </c>
      <c r="E89" s="34">
        <v>337</v>
      </c>
      <c r="F89" s="34">
        <v>4</v>
      </c>
      <c r="G89" s="34">
        <v>1</v>
      </c>
      <c r="H89" s="34">
        <v>81421</v>
      </c>
      <c r="I89" s="34" t="s">
        <v>2690</v>
      </c>
      <c r="J89" s="34">
        <v>23114970</v>
      </c>
      <c r="K89" s="34" t="s">
        <v>3988</v>
      </c>
      <c r="L89" s="40" t="s">
        <v>3989</v>
      </c>
      <c r="M89" s="36">
        <v>179900</v>
      </c>
      <c r="N89" s="36" t="s">
        <v>2569</v>
      </c>
      <c r="O89" s="34" t="str">
        <f t="shared" si="3"/>
        <v>B1G2</v>
      </c>
      <c r="P89" s="36" t="s">
        <v>2569</v>
      </c>
    </row>
    <row r="90" spans="1:16" x14ac:dyDescent="0.35">
      <c r="A90" s="34" t="str">
        <f t="shared" si="2"/>
        <v>2024 JULY-DEC B1G2</v>
      </c>
      <c r="B90" s="35">
        <f t="shared" si="2"/>
        <v>46086</v>
      </c>
      <c r="C90" s="35">
        <f t="shared" si="2"/>
        <v>46092</v>
      </c>
      <c r="D90" s="34">
        <v>3321</v>
      </c>
      <c r="E90" s="34">
        <v>337</v>
      </c>
      <c r="F90" s="34">
        <v>4</v>
      </c>
      <c r="G90" s="34">
        <v>1</v>
      </c>
      <c r="H90" s="34">
        <v>81421</v>
      </c>
      <c r="I90" s="34" t="s">
        <v>2690</v>
      </c>
      <c r="J90" s="34">
        <v>23114989</v>
      </c>
      <c r="K90" s="34" t="s">
        <v>3988</v>
      </c>
      <c r="L90" s="40" t="s">
        <v>3990</v>
      </c>
      <c r="M90" s="36">
        <v>179900</v>
      </c>
      <c r="N90" s="36" t="s">
        <v>2569</v>
      </c>
      <c r="O90" s="34" t="str">
        <f t="shared" si="3"/>
        <v>B1G2</v>
      </c>
      <c r="P90" s="36" t="s">
        <v>2569</v>
      </c>
    </row>
    <row r="91" spans="1:16" x14ac:dyDescent="0.35">
      <c r="A91" s="34" t="str">
        <f t="shared" si="2"/>
        <v>2024 JULY-DEC B1G2</v>
      </c>
      <c r="B91" s="35">
        <f t="shared" si="2"/>
        <v>46086</v>
      </c>
      <c r="C91" s="35">
        <f t="shared" si="2"/>
        <v>46092</v>
      </c>
      <c r="D91" s="34">
        <v>3321</v>
      </c>
      <c r="E91" s="34">
        <v>337</v>
      </c>
      <c r="F91" s="34">
        <v>4</v>
      </c>
      <c r="G91" s="34">
        <v>1</v>
      </c>
      <c r="H91" s="34">
        <v>81421</v>
      </c>
      <c r="I91" s="34" t="s">
        <v>2690</v>
      </c>
      <c r="J91" s="34">
        <v>23114998</v>
      </c>
      <c r="K91" s="34" t="s">
        <v>3988</v>
      </c>
      <c r="L91" s="40" t="s">
        <v>3991</v>
      </c>
      <c r="M91" s="36">
        <v>179900</v>
      </c>
      <c r="N91" s="36" t="s">
        <v>2569</v>
      </c>
      <c r="O91" s="34" t="str">
        <f t="shared" si="3"/>
        <v>B1G2</v>
      </c>
      <c r="P91" s="36" t="s">
        <v>2569</v>
      </c>
    </row>
    <row r="92" spans="1:16" x14ac:dyDescent="0.35">
      <c r="A92" s="34" t="str">
        <f t="shared" si="2"/>
        <v>2024 JULY-DEC B1G2</v>
      </c>
      <c r="B92" s="35">
        <f t="shared" si="2"/>
        <v>46086</v>
      </c>
      <c r="C92" s="35">
        <f t="shared" si="2"/>
        <v>46092</v>
      </c>
      <c r="D92" s="34">
        <v>3321</v>
      </c>
      <c r="E92" s="34">
        <v>337</v>
      </c>
      <c r="F92" s="34">
        <v>4</v>
      </c>
      <c r="G92" s="34">
        <v>1</v>
      </c>
      <c r="H92" s="34">
        <v>81421</v>
      </c>
      <c r="I92" s="34" t="s">
        <v>2690</v>
      </c>
      <c r="J92" s="34">
        <v>23115004</v>
      </c>
      <c r="K92" s="34" t="s">
        <v>3988</v>
      </c>
      <c r="L92" s="40" t="s">
        <v>3992</v>
      </c>
      <c r="M92" s="36">
        <v>179900</v>
      </c>
      <c r="N92" s="36" t="s">
        <v>2569</v>
      </c>
      <c r="O92" s="34" t="str">
        <f t="shared" si="3"/>
        <v>B1G2</v>
      </c>
      <c r="P92" s="36" t="s">
        <v>2569</v>
      </c>
    </row>
    <row r="93" spans="1:16" x14ac:dyDescent="0.35">
      <c r="A93" s="34" t="str">
        <f t="shared" si="2"/>
        <v>2024 JULY-DEC B1G2</v>
      </c>
      <c r="B93" s="35">
        <f t="shared" si="2"/>
        <v>46086</v>
      </c>
      <c r="C93" s="35">
        <f t="shared" si="2"/>
        <v>46092</v>
      </c>
      <c r="D93" s="34">
        <v>3321</v>
      </c>
      <c r="E93" s="34">
        <v>337</v>
      </c>
      <c r="F93" s="34">
        <v>4</v>
      </c>
      <c r="G93" s="34">
        <v>1</v>
      </c>
      <c r="H93" s="34">
        <v>81421</v>
      </c>
      <c r="I93" s="34" t="s">
        <v>2690</v>
      </c>
      <c r="J93" s="34">
        <v>23114612</v>
      </c>
      <c r="K93" s="34" t="s">
        <v>3993</v>
      </c>
      <c r="L93" s="40" t="s">
        <v>3994</v>
      </c>
      <c r="M93" s="36">
        <v>179900</v>
      </c>
      <c r="N93" s="36" t="s">
        <v>2569</v>
      </c>
      <c r="O93" s="34" t="str">
        <f t="shared" si="3"/>
        <v>B1G2</v>
      </c>
      <c r="P93" s="36" t="s">
        <v>2569</v>
      </c>
    </row>
    <row r="94" spans="1:16" x14ac:dyDescent="0.35">
      <c r="A94" s="34" t="str">
        <f t="shared" si="2"/>
        <v>2024 JULY-DEC B1G2</v>
      </c>
      <c r="B94" s="35">
        <f t="shared" si="2"/>
        <v>46086</v>
      </c>
      <c r="C94" s="35">
        <f t="shared" si="2"/>
        <v>46092</v>
      </c>
      <c r="D94" s="34">
        <v>3321</v>
      </c>
      <c r="E94" s="34">
        <v>337</v>
      </c>
      <c r="F94" s="34">
        <v>4</v>
      </c>
      <c r="G94" s="34">
        <v>1</v>
      </c>
      <c r="H94" s="34">
        <v>81421</v>
      </c>
      <c r="I94" s="34" t="s">
        <v>2690</v>
      </c>
      <c r="J94" s="34">
        <v>23114765</v>
      </c>
      <c r="K94" s="34" t="s">
        <v>3993</v>
      </c>
      <c r="L94" s="40" t="s">
        <v>3995</v>
      </c>
      <c r="M94" s="36">
        <v>179900</v>
      </c>
      <c r="N94" s="36" t="s">
        <v>2569</v>
      </c>
      <c r="O94" s="34" t="str">
        <f t="shared" si="3"/>
        <v>B1G2</v>
      </c>
      <c r="P94" s="36" t="s">
        <v>2569</v>
      </c>
    </row>
    <row r="95" spans="1:16" x14ac:dyDescent="0.35">
      <c r="A95" s="34" t="str">
        <f t="shared" si="2"/>
        <v>2024 JULY-DEC B1G2</v>
      </c>
      <c r="B95" s="35">
        <f t="shared" si="2"/>
        <v>46086</v>
      </c>
      <c r="C95" s="35">
        <f t="shared" si="2"/>
        <v>46092</v>
      </c>
      <c r="D95" s="34">
        <v>3321</v>
      </c>
      <c r="E95" s="34">
        <v>337</v>
      </c>
      <c r="F95" s="34">
        <v>4</v>
      </c>
      <c r="G95" s="34">
        <v>1</v>
      </c>
      <c r="H95" s="34">
        <v>81421</v>
      </c>
      <c r="I95" s="34" t="s">
        <v>2690</v>
      </c>
      <c r="J95" s="34">
        <v>23114818</v>
      </c>
      <c r="K95" s="34" t="s">
        <v>3993</v>
      </c>
      <c r="L95" s="40" t="s">
        <v>3996</v>
      </c>
      <c r="M95" s="36">
        <v>179900</v>
      </c>
      <c r="N95" s="36" t="s">
        <v>2569</v>
      </c>
      <c r="O95" s="34" t="str">
        <f t="shared" si="3"/>
        <v>B1G2</v>
      </c>
      <c r="P95" s="36" t="s">
        <v>2569</v>
      </c>
    </row>
    <row r="96" spans="1:16" x14ac:dyDescent="0.35">
      <c r="A96" s="34" t="str">
        <f t="shared" si="2"/>
        <v>2024 JULY-DEC B1G2</v>
      </c>
      <c r="B96" s="35">
        <f t="shared" si="2"/>
        <v>46086</v>
      </c>
      <c r="C96" s="35">
        <f t="shared" si="2"/>
        <v>46092</v>
      </c>
      <c r="D96" s="34">
        <v>3321</v>
      </c>
      <c r="E96" s="34">
        <v>337</v>
      </c>
      <c r="F96" s="34">
        <v>4</v>
      </c>
      <c r="G96" s="34">
        <v>1</v>
      </c>
      <c r="H96" s="34">
        <v>81421</v>
      </c>
      <c r="I96" s="34" t="s">
        <v>2690</v>
      </c>
      <c r="J96" s="34">
        <v>23114925</v>
      </c>
      <c r="K96" s="34" t="s">
        <v>3993</v>
      </c>
      <c r="L96" s="40" t="s">
        <v>3997</v>
      </c>
      <c r="M96" s="36">
        <v>179900</v>
      </c>
      <c r="N96" s="36" t="s">
        <v>2569</v>
      </c>
      <c r="O96" s="34" t="str">
        <f t="shared" si="3"/>
        <v>B1G2</v>
      </c>
      <c r="P96" s="36" t="s">
        <v>2569</v>
      </c>
    </row>
    <row r="97" spans="1:16" x14ac:dyDescent="0.35">
      <c r="A97" s="34" t="str">
        <f t="shared" si="2"/>
        <v>2024 JULY-DEC B1G2</v>
      </c>
      <c r="B97" s="35">
        <f t="shared" si="2"/>
        <v>46086</v>
      </c>
      <c r="C97" s="35">
        <f t="shared" si="2"/>
        <v>46092</v>
      </c>
      <c r="D97" s="34">
        <v>3321</v>
      </c>
      <c r="E97" s="34">
        <v>337</v>
      </c>
      <c r="F97" s="34">
        <v>4</v>
      </c>
      <c r="G97" s="34">
        <v>3</v>
      </c>
      <c r="H97" s="34">
        <v>81421</v>
      </c>
      <c r="I97" s="34" t="s">
        <v>2690</v>
      </c>
      <c r="J97" s="34">
        <v>23115013</v>
      </c>
      <c r="K97" s="34" t="s">
        <v>3998</v>
      </c>
      <c r="L97" s="40" t="s">
        <v>3999</v>
      </c>
      <c r="M97" s="36">
        <v>289900</v>
      </c>
      <c r="N97" s="36" t="s">
        <v>2569</v>
      </c>
      <c r="O97" s="34" t="str">
        <f t="shared" si="3"/>
        <v>B1G2</v>
      </c>
      <c r="P97" s="36" t="s">
        <v>2569</v>
      </c>
    </row>
    <row r="98" spans="1:16" x14ac:dyDescent="0.35">
      <c r="A98" s="34" t="str">
        <f t="shared" si="2"/>
        <v>2024 JULY-DEC B1G2</v>
      </c>
      <c r="B98" s="35">
        <f t="shared" si="2"/>
        <v>46086</v>
      </c>
      <c r="C98" s="35">
        <f t="shared" si="2"/>
        <v>46092</v>
      </c>
      <c r="D98" s="34">
        <v>3321</v>
      </c>
      <c r="E98" s="34">
        <v>337</v>
      </c>
      <c r="F98" s="34">
        <v>4</v>
      </c>
      <c r="G98" s="34">
        <v>3</v>
      </c>
      <c r="H98" s="34">
        <v>81421</v>
      </c>
      <c r="I98" s="34" t="s">
        <v>2690</v>
      </c>
      <c r="J98" s="34">
        <v>23115068</v>
      </c>
      <c r="K98" s="34" t="s">
        <v>3998</v>
      </c>
      <c r="L98" s="40" t="s">
        <v>4000</v>
      </c>
      <c r="M98" s="36">
        <v>289900</v>
      </c>
      <c r="N98" s="36" t="s">
        <v>2569</v>
      </c>
      <c r="O98" s="34" t="str">
        <f t="shared" si="3"/>
        <v>B1G2</v>
      </c>
      <c r="P98" s="36" t="s">
        <v>2569</v>
      </c>
    </row>
    <row r="99" spans="1:16" x14ac:dyDescent="0.35">
      <c r="A99" s="34" t="str">
        <f t="shared" si="2"/>
        <v>2024 JULY-DEC B1G2</v>
      </c>
      <c r="B99" s="35">
        <f t="shared" si="2"/>
        <v>46086</v>
      </c>
      <c r="C99" s="35">
        <f t="shared" si="2"/>
        <v>46092</v>
      </c>
      <c r="D99" s="34">
        <v>3321</v>
      </c>
      <c r="E99" s="34">
        <v>337</v>
      </c>
      <c r="F99" s="34">
        <v>4</v>
      </c>
      <c r="G99" s="34">
        <v>3</v>
      </c>
      <c r="H99" s="34">
        <v>81421</v>
      </c>
      <c r="I99" s="34" t="s">
        <v>2690</v>
      </c>
      <c r="J99" s="34">
        <v>25022842</v>
      </c>
      <c r="K99" s="34" t="s">
        <v>3998</v>
      </c>
      <c r="L99" s="40" t="s">
        <v>4001</v>
      </c>
      <c r="M99" s="36">
        <v>289900</v>
      </c>
      <c r="N99" s="36" t="s">
        <v>2569</v>
      </c>
      <c r="O99" s="34" t="str">
        <f t="shared" si="3"/>
        <v>B1G2</v>
      </c>
      <c r="P99" s="36" t="s">
        <v>2569</v>
      </c>
    </row>
    <row r="100" spans="1:16" x14ac:dyDescent="0.35">
      <c r="A100" s="34" t="str">
        <f t="shared" si="2"/>
        <v>2024 JULY-DEC B1G2</v>
      </c>
      <c r="B100" s="35">
        <f t="shared" si="2"/>
        <v>46086</v>
      </c>
      <c r="C100" s="35">
        <f t="shared" si="2"/>
        <v>46092</v>
      </c>
      <c r="D100" s="34">
        <v>3321</v>
      </c>
      <c r="E100" s="34">
        <v>337</v>
      </c>
      <c r="F100" s="34">
        <v>4</v>
      </c>
      <c r="G100" s="34">
        <v>3</v>
      </c>
      <c r="H100" s="34">
        <v>81421</v>
      </c>
      <c r="I100" s="34" t="s">
        <v>2690</v>
      </c>
      <c r="J100" s="34">
        <v>25022851</v>
      </c>
      <c r="K100" s="34" t="s">
        <v>3998</v>
      </c>
      <c r="L100" s="40" t="s">
        <v>4002</v>
      </c>
      <c r="M100" s="36">
        <v>289900</v>
      </c>
      <c r="N100" s="36" t="s">
        <v>2569</v>
      </c>
      <c r="O100" s="34" t="str">
        <f t="shared" si="3"/>
        <v>B1G2</v>
      </c>
      <c r="P100" s="36" t="s">
        <v>2569</v>
      </c>
    </row>
    <row r="101" spans="1:16" x14ac:dyDescent="0.35">
      <c r="A101" s="34" t="str">
        <f t="shared" si="2"/>
        <v>2024 JULY-DEC B1G2</v>
      </c>
      <c r="B101" s="35">
        <f t="shared" si="2"/>
        <v>46086</v>
      </c>
      <c r="C101" s="35">
        <f t="shared" si="2"/>
        <v>46092</v>
      </c>
      <c r="D101" s="34">
        <v>3321</v>
      </c>
      <c r="E101" s="34">
        <v>337</v>
      </c>
      <c r="F101" s="34">
        <v>4</v>
      </c>
      <c r="G101" s="34">
        <v>4</v>
      </c>
      <c r="H101" s="34">
        <v>81421</v>
      </c>
      <c r="I101" s="34" t="s">
        <v>2690</v>
      </c>
      <c r="J101" s="34">
        <v>23115148</v>
      </c>
      <c r="K101" s="34" t="s">
        <v>4003</v>
      </c>
      <c r="L101" s="40" t="s">
        <v>4004</v>
      </c>
      <c r="M101" s="36">
        <v>229900</v>
      </c>
      <c r="N101" s="36" t="s">
        <v>2569</v>
      </c>
      <c r="O101" s="34" t="str">
        <f t="shared" si="3"/>
        <v>B1G2</v>
      </c>
      <c r="P101" s="36" t="s">
        <v>2569</v>
      </c>
    </row>
    <row r="102" spans="1:16" x14ac:dyDescent="0.35">
      <c r="A102" s="34" t="str">
        <f t="shared" si="2"/>
        <v>2024 JULY-DEC B1G2</v>
      </c>
      <c r="B102" s="35">
        <f t="shared" si="2"/>
        <v>46086</v>
      </c>
      <c r="C102" s="35">
        <f t="shared" si="2"/>
        <v>46092</v>
      </c>
      <c r="D102" s="34">
        <v>3321</v>
      </c>
      <c r="E102" s="34">
        <v>337</v>
      </c>
      <c r="F102" s="34">
        <v>4</v>
      </c>
      <c r="G102" s="34">
        <v>4</v>
      </c>
      <c r="H102" s="34">
        <v>81421</v>
      </c>
      <c r="I102" s="34" t="s">
        <v>2690</v>
      </c>
      <c r="J102" s="34">
        <v>23115166</v>
      </c>
      <c r="K102" s="34" t="s">
        <v>4003</v>
      </c>
      <c r="L102" s="40" t="s">
        <v>4005</v>
      </c>
      <c r="M102" s="36">
        <v>229900</v>
      </c>
      <c r="N102" s="36" t="s">
        <v>2569</v>
      </c>
      <c r="O102" s="34" t="str">
        <f t="shared" si="3"/>
        <v>B1G2</v>
      </c>
      <c r="P102" s="36" t="s">
        <v>2569</v>
      </c>
    </row>
    <row r="103" spans="1:16" x14ac:dyDescent="0.35">
      <c r="A103" s="34" t="str">
        <f t="shared" si="2"/>
        <v>2024 JULY-DEC B1G2</v>
      </c>
      <c r="B103" s="35">
        <f t="shared" si="2"/>
        <v>46086</v>
      </c>
      <c r="C103" s="35">
        <f t="shared" si="2"/>
        <v>46092</v>
      </c>
      <c r="D103" s="34">
        <v>3321</v>
      </c>
      <c r="E103" s="34">
        <v>337</v>
      </c>
      <c r="F103" s="34">
        <v>4</v>
      </c>
      <c r="G103" s="34">
        <v>4</v>
      </c>
      <c r="H103" s="34">
        <v>81421</v>
      </c>
      <c r="I103" s="34" t="s">
        <v>2690</v>
      </c>
      <c r="J103" s="34">
        <v>25022888</v>
      </c>
      <c r="K103" s="34" t="s">
        <v>4003</v>
      </c>
      <c r="L103" s="40" t="s">
        <v>4006</v>
      </c>
      <c r="M103" s="36">
        <v>229900</v>
      </c>
      <c r="N103" s="36" t="s">
        <v>2569</v>
      </c>
      <c r="O103" s="34" t="str">
        <f t="shared" si="3"/>
        <v>B1G2</v>
      </c>
      <c r="P103" s="36" t="s">
        <v>2569</v>
      </c>
    </row>
    <row r="104" spans="1:16" x14ac:dyDescent="0.35">
      <c r="A104" s="34" t="str">
        <f t="shared" si="2"/>
        <v>2024 JULY-DEC B1G2</v>
      </c>
      <c r="B104" s="35">
        <f t="shared" si="2"/>
        <v>46086</v>
      </c>
      <c r="C104" s="35">
        <f t="shared" si="2"/>
        <v>46092</v>
      </c>
      <c r="D104" s="34">
        <v>3321</v>
      </c>
      <c r="E104" s="34">
        <v>337</v>
      </c>
      <c r="F104" s="34">
        <v>4</v>
      </c>
      <c r="G104" s="34">
        <v>4</v>
      </c>
      <c r="H104" s="34">
        <v>81421</v>
      </c>
      <c r="I104" s="34" t="s">
        <v>2690</v>
      </c>
      <c r="J104" s="34">
        <v>25022897</v>
      </c>
      <c r="K104" s="34" t="s">
        <v>4003</v>
      </c>
      <c r="L104" s="40" t="s">
        <v>4007</v>
      </c>
      <c r="M104" s="36">
        <v>229900</v>
      </c>
      <c r="N104" s="36" t="s">
        <v>2569</v>
      </c>
      <c r="O104" s="34" t="str">
        <f t="shared" si="3"/>
        <v>B1G2</v>
      </c>
      <c r="P104" s="36" t="s">
        <v>2569</v>
      </c>
    </row>
    <row r="105" spans="1:16" x14ac:dyDescent="0.35">
      <c r="A105" s="34" t="str">
        <f t="shared" si="2"/>
        <v>2024 JULY-DEC B1G2</v>
      </c>
      <c r="B105" s="35">
        <f t="shared" si="2"/>
        <v>46086</v>
      </c>
      <c r="C105" s="35">
        <f t="shared" si="2"/>
        <v>46092</v>
      </c>
      <c r="D105" s="34">
        <v>3321</v>
      </c>
      <c r="E105" s="34">
        <v>337</v>
      </c>
      <c r="F105" s="34">
        <v>4</v>
      </c>
      <c r="G105" s="34">
        <v>5</v>
      </c>
      <c r="H105" s="34">
        <v>81698</v>
      </c>
      <c r="I105" s="34" t="s">
        <v>2690</v>
      </c>
      <c r="J105" s="34">
        <v>23115880</v>
      </c>
      <c r="K105" s="34" t="s">
        <v>4008</v>
      </c>
      <c r="L105" s="40" t="s">
        <v>4009</v>
      </c>
      <c r="M105" s="36">
        <v>299900</v>
      </c>
      <c r="N105" s="36" t="s">
        <v>2569</v>
      </c>
      <c r="O105" s="34" t="str">
        <f t="shared" si="3"/>
        <v>B1G2</v>
      </c>
      <c r="P105" s="36" t="s">
        <v>2569</v>
      </c>
    </row>
    <row r="106" spans="1:16" x14ac:dyDescent="0.35">
      <c r="A106" s="34" t="str">
        <f t="shared" si="2"/>
        <v>2024 JULY-DEC B1G2</v>
      </c>
      <c r="B106" s="35">
        <f t="shared" si="2"/>
        <v>46086</v>
      </c>
      <c r="C106" s="35">
        <f t="shared" si="2"/>
        <v>46092</v>
      </c>
      <c r="D106" s="34">
        <v>3321</v>
      </c>
      <c r="E106" s="34">
        <v>337</v>
      </c>
      <c r="F106" s="34">
        <v>4</v>
      </c>
      <c r="G106" s="34">
        <v>5</v>
      </c>
      <c r="H106" s="34">
        <v>81698</v>
      </c>
      <c r="I106" s="34" t="s">
        <v>2690</v>
      </c>
      <c r="J106" s="34">
        <v>23115899</v>
      </c>
      <c r="K106" s="34" t="s">
        <v>4008</v>
      </c>
      <c r="L106" s="40" t="s">
        <v>4010</v>
      </c>
      <c r="M106" s="36">
        <v>299900</v>
      </c>
      <c r="N106" s="36" t="s">
        <v>2569</v>
      </c>
      <c r="O106" s="34" t="str">
        <f t="shared" si="3"/>
        <v>B1G2</v>
      </c>
      <c r="P106" s="36" t="s">
        <v>2569</v>
      </c>
    </row>
    <row r="107" spans="1:16" x14ac:dyDescent="0.35">
      <c r="A107" s="34" t="str">
        <f t="shared" si="2"/>
        <v>2024 JULY-DEC B1G2</v>
      </c>
      <c r="B107" s="35">
        <f t="shared" si="2"/>
        <v>46086</v>
      </c>
      <c r="C107" s="35">
        <f t="shared" si="2"/>
        <v>46092</v>
      </c>
      <c r="D107" s="34">
        <v>3321</v>
      </c>
      <c r="E107" s="34">
        <v>337</v>
      </c>
      <c r="F107" s="34">
        <v>4</v>
      </c>
      <c r="G107" s="34">
        <v>5</v>
      </c>
      <c r="H107" s="34">
        <v>81698</v>
      </c>
      <c r="I107" s="34" t="s">
        <v>2690</v>
      </c>
      <c r="J107" s="34">
        <v>23116683</v>
      </c>
      <c r="K107" s="34" t="s">
        <v>4008</v>
      </c>
      <c r="L107" s="40" t="s">
        <v>4011</v>
      </c>
      <c r="M107" s="36">
        <v>299900</v>
      </c>
      <c r="N107" s="36" t="s">
        <v>2569</v>
      </c>
      <c r="O107" s="34" t="str">
        <f t="shared" si="3"/>
        <v>B1G2</v>
      </c>
      <c r="P107" s="36" t="s">
        <v>2569</v>
      </c>
    </row>
    <row r="108" spans="1:16" x14ac:dyDescent="0.35">
      <c r="A108" s="34" t="str">
        <f t="shared" si="2"/>
        <v>2024 JULY-DEC B1G2</v>
      </c>
      <c r="B108" s="35">
        <f t="shared" si="2"/>
        <v>46086</v>
      </c>
      <c r="C108" s="35">
        <f t="shared" si="2"/>
        <v>46092</v>
      </c>
      <c r="D108" s="34">
        <v>3321</v>
      </c>
      <c r="E108" s="34">
        <v>337</v>
      </c>
      <c r="F108" s="34">
        <v>4</v>
      </c>
      <c r="G108" s="34">
        <v>5</v>
      </c>
      <c r="H108" s="34">
        <v>81698</v>
      </c>
      <c r="I108" s="34" t="s">
        <v>2690</v>
      </c>
      <c r="J108" s="34">
        <v>23116754</v>
      </c>
      <c r="K108" s="34" t="s">
        <v>4008</v>
      </c>
      <c r="L108" s="40" t="s">
        <v>4012</v>
      </c>
      <c r="M108" s="36">
        <v>299900</v>
      </c>
      <c r="N108" s="36" t="s">
        <v>2569</v>
      </c>
      <c r="O108" s="34" t="str">
        <f t="shared" si="3"/>
        <v>B1G2</v>
      </c>
      <c r="P108" s="36" t="s">
        <v>2569</v>
      </c>
    </row>
    <row r="109" spans="1:16" x14ac:dyDescent="0.35">
      <c r="A109" s="34" t="str">
        <f t="shared" si="2"/>
        <v>2024 JULY-DEC B1G2</v>
      </c>
      <c r="B109" s="35">
        <f t="shared" ref="B109:C109" si="4">B108</f>
        <v>46086</v>
      </c>
      <c r="C109" s="35">
        <f t="shared" si="4"/>
        <v>46092</v>
      </c>
      <c r="D109" s="34">
        <v>3321</v>
      </c>
      <c r="E109" s="34">
        <v>337</v>
      </c>
      <c r="F109" s="34">
        <v>4</v>
      </c>
      <c r="G109" s="34">
        <v>1</v>
      </c>
      <c r="H109" s="34">
        <v>81462</v>
      </c>
      <c r="I109" s="34" t="s">
        <v>2690</v>
      </c>
      <c r="J109" s="34">
        <v>26741886</v>
      </c>
      <c r="K109" s="34" t="s">
        <v>4153</v>
      </c>
      <c r="L109" s="40" t="s">
        <v>4154</v>
      </c>
      <c r="M109" s="36">
        <v>139900</v>
      </c>
      <c r="N109" s="36" t="s">
        <v>2569</v>
      </c>
      <c r="O109" s="34" t="s">
        <v>2586</v>
      </c>
      <c r="P109" s="36" t="s">
        <v>2569</v>
      </c>
    </row>
    <row r="110" spans="1:16" x14ac:dyDescent="0.35">
      <c r="A110" s="34" t="str">
        <f t="shared" ref="A110:C173" si="5">A109</f>
        <v>2024 JULY-DEC B1G2</v>
      </c>
      <c r="B110" s="35">
        <f t="shared" si="5"/>
        <v>46086</v>
      </c>
      <c r="C110" s="35">
        <f t="shared" si="5"/>
        <v>46092</v>
      </c>
      <c r="D110" s="34">
        <v>3321</v>
      </c>
      <c r="E110" s="34">
        <v>337</v>
      </c>
      <c r="F110" s="34">
        <v>4</v>
      </c>
      <c r="G110" s="34">
        <v>1</v>
      </c>
      <c r="H110" s="34">
        <v>81462</v>
      </c>
      <c r="I110" s="34" t="s">
        <v>2690</v>
      </c>
      <c r="J110" s="34">
        <v>26741895</v>
      </c>
      <c r="K110" s="34" t="s">
        <v>4153</v>
      </c>
      <c r="L110" s="40" t="s">
        <v>4155</v>
      </c>
      <c r="M110" s="36">
        <v>139900</v>
      </c>
      <c r="N110" s="36" t="s">
        <v>2569</v>
      </c>
      <c r="O110" s="34" t="str">
        <f t="shared" ref="O110:O141" si="6">O109</f>
        <v>B1G2</v>
      </c>
      <c r="P110" s="36" t="s">
        <v>2569</v>
      </c>
    </row>
    <row r="111" spans="1:16" x14ac:dyDescent="0.35">
      <c r="A111" s="34" t="str">
        <f t="shared" si="5"/>
        <v>2024 JULY-DEC B1G2</v>
      </c>
      <c r="B111" s="35">
        <f t="shared" si="5"/>
        <v>46086</v>
      </c>
      <c r="C111" s="35">
        <f t="shared" si="5"/>
        <v>46092</v>
      </c>
      <c r="D111" s="34">
        <v>3321</v>
      </c>
      <c r="E111" s="34">
        <v>337</v>
      </c>
      <c r="F111" s="34">
        <v>4</v>
      </c>
      <c r="G111" s="34">
        <v>1</v>
      </c>
      <c r="H111" s="34">
        <v>81462</v>
      </c>
      <c r="I111" s="34" t="s">
        <v>2690</v>
      </c>
      <c r="J111" s="34">
        <v>26741902</v>
      </c>
      <c r="K111" s="34" t="s">
        <v>4153</v>
      </c>
      <c r="L111" s="40" t="s">
        <v>4156</v>
      </c>
      <c r="M111" s="36">
        <v>139900</v>
      </c>
      <c r="N111" s="36" t="s">
        <v>2569</v>
      </c>
      <c r="O111" s="34" t="str">
        <f t="shared" si="6"/>
        <v>B1G2</v>
      </c>
      <c r="P111" s="36" t="s">
        <v>2569</v>
      </c>
    </row>
    <row r="112" spans="1:16" x14ac:dyDescent="0.35">
      <c r="A112" s="34" t="str">
        <f t="shared" si="5"/>
        <v>2024 JULY-DEC B1G2</v>
      </c>
      <c r="B112" s="35">
        <f t="shared" si="5"/>
        <v>46086</v>
      </c>
      <c r="C112" s="35">
        <f t="shared" si="5"/>
        <v>46092</v>
      </c>
      <c r="D112" s="34">
        <v>3321</v>
      </c>
      <c r="E112" s="34">
        <v>337</v>
      </c>
      <c r="F112" s="34">
        <v>4</v>
      </c>
      <c r="G112" s="34">
        <v>1</v>
      </c>
      <c r="H112" s="34">
        <v>81462</v>
      </c>
      <c r="I112" s="34" t="s">
        <v>2690</v>
      </c>
      <c r="J112" s="34">
        <v>26741911</v>
      </c>
      <c r="K112" s="34" t="s">
        <v>4153</v>
      </c>
      <c r="L112" s="40" t="s">
        <v>4157</v>
      </c>
      <c r="M112" s="36">
        <v>139900</v>
      </c>
      <c r="N112" s="36" t="s">
        <v>2569</v>
      </c>
      <c r="O112" s="34" t="str">
        <f t="shared" si="6"/>
        <v>B1G2</v>
      </c>
      <c r="P112" s="36" t="s">
        <v>2569</v>
      </c>
    </row>
    <row r="113" spans="1:16" x14ac:dyDescent="0.35">
      <c r="A113" s="34" t="str">
        <f t="shared" si="5"/>
        <v>2024 JULY-DEC B1G2</v>
      </c>
      <c r="B113" s="35">
        <f t="shared" si="5"/>
        <v>46086</v>
      </c>
      <c r="C113" s="35">
        <f t="shared" si="5"/>
        <v>46092</v>
      </c>
      <c r="D113" s="34">
        <v>3321</v>
      </c>
      <c r="E113" s="34">
        <v>337</v>
      </c>
      <c r="F113" s="34">
        <v>4</v>
      </c>
      <c r="G113" s="34">
        <v>3</v>
      </c>
      <c r="H113" s="34">
        <v>81005</v>
      </c>
      <c r="I113" s="34" t="s">
        <v>2690</v>
      </c>
      <c r="J113" s="34">
        <v>26741760</v>
      </c>
      <c r="K113" s="34" t="s">
        <v>4158</v>
      </c>
      <c r="L113" s="40" t="s">
        <v>4159</v>
      </c>
      <c r="M113" s="36">
        <v>219900</v>
      </c>
      <c r="N113" s="36" t="s">
        <v>2569</v>
      </c>
      <c r="O113" s="34" t="str">
        <f t="shared" si="6"/>
        <v>B1G2</v>
      </c>
      <c r="P113" s="36" t="s">
        <v>2569</v>
      </c>
    </row>
    <row r="114" spans="1:16" x14ac:dyDescent="0.35">
      <c r="A114" s="34" t="str">
        <f t="shared" si="5"/>
        <v>2024 JULY-DEC B1G2</v>
      </c>
      <c r="B114" s="35">
        <f t="shared" si="5"/>
        <v>46086</v>
      </c>
      <c r="C114" s="35">
        <f t="shared" si="5"/>
        <v>46092</v>
      </c>
      <c r="D114" s="34">
        <v>3321</v>
      </c>
      <c r="E114" s="34">
        <v>337</v>
      </c>
      <c r="F114" s="34">
        <v>4</v>
      </c>
      <c r="G114" s="34">
        <v>3</v>
      </c>
      <c r="H114" s="34">
        <v>81005</v>
      </c>
      <c r="I114" s="34" t="s">
        <v>2690</v>
      </c>
      <c r="J114" s="34">
        <v>26741779</v>
      </c>
      <c r="K114" s="34" t="s">
        <v>4158</v>
      </c>
      <c r="L114" s="40" t="s">
        <v>4160</v>
      </c>
      <c r="M114" s="36">
        <v>219900</v>
      </c>
      <c r="N114" s="36" t="s">
        <v>2569</v>
      </c>
      <c r="O114" s="34" t="str">
        <f t="shared" si="6"/>
        <v>B1G2</v>
      </c>
      <c r="P114" s="36" t="s">
        <v>2569</v>
      </c>
    </row>
    <row r="115" spans="1:16" x14ac:dyDescent="0.35">
      <c r="A115" s="34" t="str">
        <f t="shared" si="5"/>
        <v>2024 JULY-DEC B1G2</v>
      </c>
      <c r="B115" s="35">
        <f t="shared" si="5"/>
        <v>46086</v>
      </c>
      <c r="C115" s="35">
        <f t="shared" si="5"/>
        <v>46092</v>
      </c>
      <c r="D115" s="34">
        <v>3321</v>
      </c>
      <c r="E115" s="34">
        <v>337</v>
      </c>
      <c r="F115" s="34">
        <v>4</v>
      </c>
      <c r="G115" s="34">
        <v>3</v>
      </c>
      <c r="H115" s="34">
        <v>81005</v>
      </c>
      <c r="I115" s="34" t="s">
        <v>2690</v>
      </c>
      <c r="J115" s="34">
        <v>26741788</v>
      </c>
      <c r="K115" s="34" t="s">
        <v>4158</v>
      </c>
      <c r="L115" s="40" t="s">
        <v>4161</v>
      </c>
      <c r="M115" s="36">
        <v>219900</v>
      </c>
      <c r="N115" s="36" t="s">
        <v>2569</v>
      </c>
      <c r="O115" s="34" t="str">
        <f t="shared" si="6"/>
        <v>B1G2</v>
      </c>
      <c r="P115" s="36" t="s">
        <v>2569</v>
      </c>
    </row>
    <row r="116" spans="1:16" x14ac:dyDescent="0.35">
      <c r="A116" s="34" t="str">
        <f t="shared" si="5"/>
        <v>2024 JULY-DEC B1G2</v>
      </c>
      <c r="B116" s="35">
        <f t="shared" si="5"/>
        <v>46086</v>
      </c>
      <c r="C116" s="35">
        <f t="shared" si="5"/>
        <v>46092</v>
      </c>
      <c r="D116" s="34">
        <v>3321</v>
      </c>
      <c r="E116" s="34">
        <v>337</v>
      </c>
      <c r="F116" s="34">
        <v>4</v>
      </c>
      <c r="G116" s="34">
        <v>3</v>
      </c>
      <c r="H116" s="34">
        <v>81005</v>
      </c>
      <c r="I116" s="34" t="s">
        <v>2690</v>
      </c>
      <c r="J116" s="34">
        <v>26741751</v>
      </c>
      <c r="K116" s="34" t="s">
        <v>4158</v>
      </c>
      <c r="L116" s="40" t="s">
        <v>4162</v>
      </c>
      <c r="M116" s="36">
        <v>219900</v>
      </c>
      <c r="N116" s="36" t="s">
        <v>2569</v>
      </c>
      <c r="O116" s="34" t="str">
        <f t="shared" si="6"/>
        <v>B1G2</v>
      </c>
      <c r="P116" s="36" t="s">
        <v>2569</v>
      </c>
    </row>
    <row r="117" spans="1:16" x14ac:dyDescent="0.35">
      <c r="A117" s="34" t="str">
        <f t="shared" si="5"/>
        <v>2024 JULY-DEC B1G2</v>
      </c>
      <c r="B117" s="35">
        <f t="shared" si="5"/>
        <v>46086</v>
      </c>
      <c r="C117" s="35">
        <f t="shared" si="5"/>
        <v>46092</v>
      </c>
      <c r="D117" s="34">
        <v>3321</v>
      </c>
      <c r="E117" s="34">
        <v>337</v>
      </c>
      <c r="F117" s="34">
        <v>4</v>
      </c>
      <c r="G117" s="34">
        <v>3</v>
      </c>
      <c r="H117" s="34">
        <v>81005</v>
      </c>
      <c r="I117" s="34" t="s">
        <v>2690</v>
      </c>
      <c r="J117" s="34">
        <v>26741797</v>
      </c>
      <c r="K117" s="34" t="s">
        <v>4158</v>
      </c>
      <c r="L117" s="40" t="s">
        <v>4163</v>
      </c>
      <c r="M117" s="36">
        <v>219900</v>
      </c>
      <c r="N117" s="36" t="s">
        <v>2569</v>
      </c>
      <c r="O117" s="34" t="str">
        <f t="shared" si="6"/>
        <v>B1G2</v>
      </c>
      <c r="P117" s="36" t="s">
        <v>2569</v>
      </c>
    </row>
    <row r="118" spans="1:16" x14ac:dyDescent="0.35">
      <c r="A118" s="34" t="str">
        <f t="shared" si="5"/>
        <v>2024 JULY-DEC B1G2</v>
      </c>
      <c r="B118" s="35">
        <f t="shared" si="5"/>
        <v>46086</v>
      </c>
      <c r="C118" s="35">
        <f t="shared" si="5"/>
        <v>46092</v>
      </c>
      <c r="D118" s="34">
        <v>3321</v>
      </c>
      <c r="E118" s="34">
        <v>337</v>
      </c>
      <c r="F118" s="34">
        <v>4</v>
      </c>
      <c r="G118" s="34">
        <v>5</v>
      </c>
      <c r="H118" s="34">
        <v>81421</v>
      </c>
      <c r="I118" s="34" t="s">
        <v>2690</v>
      </c>
      <c r="J118" s="34">
        <v>24392650</v>
      </c>
      <c r="K118" s="34" t="s">
        <v>4164</v>
      </c>
      <c r="L118" s="40" t="s">
        <v>4165</v>
      </c>
      <c r="M118" s="36">
        <v>299900</v>
      </c>
      <c r="N118" s="36" t="s">
        <v>2569</v>
      </c>
      <c r="O118" s="34" t="str">
        <f t="shared" si="6"/>
        <v>B1G2</v>
      </c>
      <c r="P118" s="36" t="s">
        <v>2569</v>
      </c>
    </row>
    <row r="119" spans="1:16" x14ac:dyDescent="0.35">
      <c r="A119" s="34" t="str">
        <f t="shared" si="5"/>
        <v>2024 JULY-DEC B1G2</v>
      </c>
      <c r="B119" s="35">
        <f t="shared" si="5"/>
        <v>46086</v>
      </c>
      <c r="C119" s="35">
        <f t="shared" si="5"/>
        <v>46092</v>
      </c>
      <c r="D119" s="34">
        <v>3321</v>
      </c>
      <c r="E119" s="34">
        <v>337</v>
      </c>
      <c r="F119" s="34">
        <v>4</v>
      </c>
      <c r="G119" s="34">
        <v>5</v>
      </c>
      <c r="H119" s="34">
        <v>81421</v>
      </c>
      <c r="I119" s="34" t="s">
        <v>2690</v>
      </c>
      <c r="J119" s="34">
        <v>24392669</v>
      </c>
      <c r="K119" s="34" t="s">
        <v>4164</v>
      </c>
      <c r="L119" s="40" t="s">
        <v>4166</v>
      </c>
      <c r="M119" s="36">
        <v>299900</v>
      </c>
      <c r="N119" s="36" t="s">
        <v>2569</v>
      </c>
      <c r="O119" s="34" t="str">
        <f t="shared" si="6"/>
        <v>B1G2</v>
      </c>
      <c r="P119" s="36" t="s">
        <v>2569</v>
      </c>
    </row>
    <row r="120" spans="1:16" x14ac:dyDescent="0.35">
      <c r="A120" s="34" t="str">
        <f t="shared" si="5"/>
        <v>2024 JULY-DEC B1G2</v>
      </c>
      <c r="B120" s="35">
        <f t="shared" si="5"/>
        <v>46086</v>
      </c>
      <c r="C120" s="35">
        <f t="shared" si="5"/>
        <v>46092</v>
      </c>
      <c r="D120" s="34">
        <v>3321</v>
      </c>
      <c r="E120" s="34">
        <v>337</v>
      </c>
      <c r="F120" s="34">
        <v>4</v>
      </c>
      <c r="G120" s="34">
        <v>5</v>
      </c>
      <c r="H120" s="34">
        <v>81421</v>
      </c>
      <c r="I120" s="34" t="s">
        <v>2690</v>
      </c>
      <c r="J120" s="34">
        <v>24392687</v>
      </c>
      <c r="K120" s="34" t="s">
        <v>4164</v>
      </c>
      <c r="L120" s="40" t="s">
        <v>4167</v>
      </c>
      <c r="M120" s="36">
        <v>299900</v>
      </c>
      <c r="N120" s="36" t="s">
        <v>2569</v>
      </c>
      <c r="O120" s="34" t="str">
        <f t="shared" si="6"/>
        <v>B1G2</v>
      </c>
      <c r="P120" s="36" t="s">
        <v>2569</v>
      </c>
    </row>
    <row r="121" spans="1:16" x14ac:dyDescent="0.35">
      <c r="A121" s="34" t="str">
        <f t="shared" si="5"/>
        <v>2024 JULY-DEC B1G2</v>
      </c>
      <c r="B121" s="35">
        <f t="shared" si="5"/>
        <v>46086</v>
      </c>
      <c r="C121" s="35">
        <f t="shared" si="5"/>
        <v>46092</v>
      </c>
      <c r="D121" s="34">
        <v>3321</v>
      </c>
      <c r="E121" s="34">
        <v>337</v>
      </c>
      <c r="F121" s="34">
        <v>4</v>
      </c>
      <c r="G121" s="34">
        <v>5</v>
      </c>
      <c r="H121" s="34">
        <v>81421</v>
      </c>
      <c r="I121" s="34" t="s">
        <v>2690</v>
      </c>
      <c r="J121" s="34">
        <v>24392678</v>
      </c>
      <c r="K121" s="34" t="s">
        <v>4164</v>
      </c>
      <c r="L121" s="40" t="s">
        <v>4168</v>
      </c>
      <c r="M121" s="36">
        <v>299900</v>
      </c>
      <c r="N121" s="36" t="s">
        <v>2569</v>
      </c>
      <c r="O121" s="34" t="str">
        <f t="shared" si="6"/>
        <v>B1G2</v>
      </c>
      <c r="P121" s="36" t="s">
        <v>2569</v>
      </c>
    </row>
    <row r="122" spans="1:16" x14ac:dyDescent="0.35">
      <c r="A122" s="34" t="str">
        <f t="shared" si="5"/>
        <v>2024 JULY-DEC B1G2</v>
      </c>
      <c r="B122" s="35">
        <f t="shared" si="5"/>
        <v>46086</v>
      </c>
      <c r="C122" s="35">
        <f t="shared" si="5"/>
        <v>46092</v>
      </c>
      <c r="D122" s="34">
        <v>3321</v>
      </c>
      <c r="E122" s="34">
        <v>337</v>
      </c>
      <c r="F122" s="34">
        <v>4</v>
      </c>
      <c r="G122" s="34">
        <v>4</v>
      </c>
      <c r="H122" s="34">
        <v>81421</v>
      </c>
      <c r="I122" s="34" t="s">
        <v>2690</v>
      </c>
      <c r="J122" s="34">
        <v>23115111</v>
      </c>
      <c r="K122" s="34" t="s">
        <v>4169</v>
      </c>
      <c r="L122" s="40" t="s">
        <v>4170</v>
      </c>
      <c r="M122" s="36">
        <v>229900</v>
      </c>
      <c r="N122" s="36" t="s">
        <v>2569</v>
      </c>
      <c r="O122" s="34" t="str">
        <f t="shared" si="6"/>
        <v>B1G2</v>
      </c>
      <c r="P122" s="36" t="s">
        <v>2569</v>
      </c>
    </row>
    <row r="123" spans="1:16" x14ac:dyDescent="0.35">
      <c r="A123" s="34" t="str">
        <f t="shared" si="5"/>
        <v>2024 JULY-DEC B1G2</v>
      </c>
      <c r="B123" s="35">
        <f t="shared" si="5"/>
        <v>46086</v>
      </c>
      <c r="C123" s="35">
        <f t="shared" si="5"/>
        <v>46092</v>
      </c>
      <c r="D123" s="34">
        <v>3321</v>
      </c>
      <c r="E123" s="34">
        <v>337</v>
      </c>
      <c r="F123" s="34">
        <v>4</v>
      </c>
      <c r="G123" s="34">
        <v>4</v>
      </c>
      <c r="H123" s="34">
        <v>81421</v>
      </c>
      <c r="I123" s="34" t="s">
        <v>2690</v>
      </c>
      <c r="J123" s="34">
        <v>23115102</v>
      </c>
      <c r="K123" s="34" t="s">
        <v>4169</v>
      </c>
      <c r="L123" s="40" t="s">
        <v>4171</v>
      </c>
      <c r="M123" s="36">
        <v>229900</v>
      </c>
      <c r="N123" s="36" t="s">
        <v>2569</v>
      </c>
      <c r="O123" s="34" t="str">
        <f t="shared" si="6"/>
        <v>B1G2</v>
      </c>
      <c r="P123" s="36" t="s">
        <v>2569</v>
      </c>
    </row>
    <row r="124" spans="1:16" x14ac:dyDescent="0.35">
      <c r="A124" s="34" t="str">
        <f t="shared" si="5"/>
        <v>2024 JULY-DEC B1G2</v>
      </c>
      <c r="B124" s="35">
        <f t="shared" si="5"/>
        <v>46086</v>
      </c>
      <c r="C124" s="35">
        <f t="shared" si="5"/>
        <v>46092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25022860</v>
      </c>
      <c r="K124" s="34" t="s">
        <v>4169</v>
      </c>
      <c r="L124" s="40" t="s">
        <v>4172</v>
      </c>
      <c r="M124" s="36">
        <v>229900</v>
      </c>
      <c r="N124" s="36" t="s">
        <v>2569</v>
      </c>
      <c r="O124" s="34" t="str">
        <f t="shared" si="6"/>
        <v>B1G2</v>
      </c>
      <c r="P124" s="36" t="s">
        <v>2569</v>
      </c>
    </row>
    <row r="125" spans="1:16" x14ac:dyDescent="0.35">
      <c r="A125" s="34" t="str">
        <f t="shared" si="5"/>
        <v>2024 JULY-DEC B1G2</v>
      </c>
      <c r="B125" s="35">
        <f t="shared" si="5"/>
        <v>46086</v>
      </c>
      <c r="C125" s="35">
        <f t="shared" si="5"/>
        <v>46092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25022879</v>
      </c>
      <c r="K125" s="34" t="s">
        <v>4169</v>
      </c>
      <c r="L125" s="40" t="s">
        <v>4173</v>
      </c>
      <c r="M125" s="36">
        <v>229900</v>
      </c>
      <c r="N125" s="36" t="s">
        <v>2569</v>
      </c>
      <c r="O125" s="34" t="str">
        <f t="shared" si="6"/>
        <v>B1G2</v>
      </c>
      <c r="P125" s="36" t="s">
        <v>2569</v>
      </c>
    </row>
    <row r="126" spans="1:16" x14ac:dyDescent="0.35">
      <c r="A126" s="34" t="str">
        <f t="shared" si="5"/>
        <v>2024 JULY-DEC B1G2</v>
      </c>
      <c r="B126" s="35">
        <f t="shared" si="5"/>
        <v>46086</v>
      </c>
      <c r="C126" s="35">
        <f t="shared" si="5"/>
        <v>46092</v>
      </c>
      <c r="D126" s="34">
        <v>3321</v>
      </c>
      <c r="E126" s="34">
        <v>337</v>
      </c>
      <c r="F126" s="34">
        <v>4</v>
      </c>
      <c r="G126" s="34">
        <v>5</v>
      </c>
      <c r="H126" s="34">
        <v>81421</v>
      </c>
      <c r="I126" s="34" t="s">
        <v>2690</v>
      </c>
      <c r="J126" s="34">
        <v>23117717</v>
      </c>
      <c r="K126" s="34" t="s">
        <v>4174</v>
      </c>
      <c r="L126" s="40" t="s">
        <v>4175</v>
      </c>
      <c r="M126" s="36">
        <v>259900</v>
      </c>
      <c r="N126" s="36" t="s">
        <v>2569</v>
      </c>
      <c r="O126" s="34" t="str">
        <f t="shared" si="6"/>
        <v>B1G2</v>
      </c>
      <c r="P126" s="36" t="s">
        <v>2569</v>
      </c>
    </row>
    <row r="127" spans="1:16" x14ac:dyDescent="0.35">
      <c r="A127" s="34" t="str">
        <f t="shared" si="5"/>
        <v>2024 JULY-DEC B1G2</v>
      </c>
      <c r="B127" s="35">
        <f t="shared" si="5"/>
        <v>46086</v>
      </c>
      <c r="C127" s="35">
        <f t="shared" si="5"/>
        <v>46092</v>
      </c>
      <c r="D127" s="34">
        <v>3321</v>
      </c>
      <c r="E127" s="34">
        <v>337</v>
      </c>
      <c r="F127" s="34">
        <v>4</v>
      </c>
      <c r="G127" s="34">
        <v>5</v>
      </c>
      <c r="H127" s="34">
        <v>81421</v>
      </c>
      <c r="I127" s="34" t="s">
        <v>2690</v>
      </c>
      <c r="J127" s="34">
        <v>23117824</v>
      </c>
      <c r="K127" s="34" t="s">
        <v>4174</v>
      </c>
      <c r="L127" s="40" t="s">
        <v>4176</v>
      </c>
      <c r="M127" s="36">
        <v>259900</v>
      </c>
      <c r="N127" s="36" t="s">
        <v>2569</v>
      </c>
      <c r="O127" s="34" t="str">
        <f t="shared" si="6"/>
        <v>B1G2</v>
      </c>
      <c r="P127" s="36" t="s">
        <v>2569</v>
      </c>
    </row>
    <row r="128" spans="1:16" x14ac:dyDescent="0.35">
      <c r="A128" s="34" t="str">
        <f t="shared" si="5"/>
        <v>2024 JULY-DEC B1G2</v>
      </c>
      <c r="B128" s="35">
        <f t="shared" si="5"/>
        <v>46086</v>
      </c>
      <c r="C128" s="35">
        <f t="shared" si="5"/>
        <v>46092</v>
      </c>
      <c r="D128" s="34">
        <v>3321</v>
      </c>
      <c r="E128" s="34">
        <v>337</v>
      </c>
      <c r="F128" s="34">
        <v>4</v>
      </c>
      <c r="G128" s="34">
        <v>5</v>
      </c>
      <c r="H128" s="34">
        <v>81421</v>
      </c>
      <c r="I128" s="34" t="s">
        <v>2690</v>
      </c>
      <c r="J128" s="34">
        <v>23117842</v>
      </c>
      <c r="K128" s="34" t="s">
        <v>4174</v>
      </c>
      <c r="L128" s="40" t="s">
        <v>4177</v>
      </c>
      <c r="M128" s="36">
        <v>259900</v>
      </c>
      <c r="N128" s="36" t="s">
        <v>2569</v>
      </c>
      <c r="O128" s="34" t="str">
        <f t="shared" si="6"/>
        <v>B1G2</v>
      </c>
      <c r="P128" s="36" t="s">
        <v>2569</v>
      </c>
    </row>
    <row r="129" spans="1:16" x14ac:dyDescent="0.35">
      <c r="A129" s="34" t="str">
        <f t="shared" si="5"/>
        <v>2024 JULY-DEC B1G2</v>
      </c>
      <c r="B129" s="35">
        <f t="shared" si="5"/>
        <v>46086</v>
      </c>
      <c r="C129" s="35">
        <f t="shared" si="5"/>
        <v>46092</v>
      </c>
      <c r="D129" s="34">
        <v>3321</v>
      </c>
      <c r="E129" s="34">
        <v>337</v>
      </c>
      <c r="F129" s="34">
        <v>4</v>
      </c>
      <c r="G129" s="34">
        <v>5</v>
      </c>
      <c r="H129" s="34">
        <v>81421</v>
      </c>
      <c r="I129" s="34" t="s">
        <v>2690</v>
      </c>
      <c r="J129" s="34">
        <v>23117833</v>
      </c>
      <c r="K129" s="34" t="s">
        <v>4174</v>
      </c>
      <c r="L129" s="40" t="s">
        <v>4178</v>
      </c>
      <c r="M129" s="36">
        <v>259900</v>
      </c>
      <c r="N129" s="36" t="s">
        <v>2569</v>
      </c>
      <c r="O129" s="34" t="str">
        <f t="shared" si="6"/>
        <v>B1G2</v>
      </c>
      <c r="P129" s="36" t="s">
        <v>2569</v>
      </c>
    </row>
    <row r="130" spans="1:16" x14ac:dyDescent="0.35">
      <c r="A130" s="34" t="str">
        <f t="shared" si="5"/>
        <v>2024 JULY-DEC B1G2</v>
      </c>
      <c r="B130" s="35">
        <f t="shared" si="5"/>
        <v>46086</v>
      </c>
      <c r="C130" s="35">
        <f t="shared" si="5"/>
        <v>46092</v>
      </c>
      <c r="D130" s="34">
        <v>3321</v>
      </c>
      <c r="E130" s="34">
        <v>337</v>
      </c>
      <c r="F130" s="34">
        <v>4</v>
      </c>
      <c r="G130" s="34">
        <v>1</v>
      </c>
      <c r="H130" s="34">
        <v>81676</v>
      </c>
      <c r="I130" s="34" t="s">
        <v>2690</v>
      </c>
      <c r="J130" s="34">
        <v>24392561</v>
      </c>
      <c r="K130" s="34" t="s">
        <v>4179</v>
      </c>
      <c r="L130" s="40" t="s">
        <v>4180</v>
      </c>
      <c r="M130" s="36">
        <v>129900</v>
      </c>
      <c r="N130" s="36" t="s">
        <v>2569</v>
      </c>
      <c r="O130" s="34" t="str">
        <f t="shared" si="6"/>
        <v>B1G2</v>
      </c>
      <c r="P130" s="36" t="s">
        <v>2569</v>
      </c>
    </row>
    <row r="131" spans="1:16" x14ac:dyDescent="0.35">
      <c r="A131" s="34" t="str">
        <f t="shared" si="5"/>
        <v>2024 JULY-DEC B1G2</v>
      </c>
      <c r="B131" s="35">
        <f t="shared" si="5"/>
        <v>46086</v>
      </c>
      <c r="C131" s="35">
        <f t="shared" si="5"/>
        <v>46092</v>
      </c>
      <c r="D131" s="34">
        <v>3321</v>
      </c>
      <c r="E131" s="34">
        <v>337</v>
      </c>
      <c r="F131" s="34">
        <v>4</v>
      </c>
      <c r="G131" s="34">
        <v>1</v>
      </c>
      <c r="H131" s="34">
        <v>81676</v>
      </c>
      <c r="I131" s="34" t="s">
        <v>2690</v>
      </c>
      <c r="J131" s="34">
        <v>24392570</v>
      </c>
      <c r="K131" s="34" t="s">
        <v>4179</v>
      </c>
      <c r="L131" s="40" t="s">
        <v>4181</v>
      </c>
      <c r="M131" s="36">
        <v>129900</v>
      </c>
      <c r="N131" s="36" t="s">
        <v>2569</v>
      </c>
      <c r="O131" s="34" t="str">
        <f t="shared" si="6"/>
        <v>B1G2</v>
      </c>
      <c r="P131" s="36" t="s">
        <v>2569</v>
      </c>
    </row>
    <row r="132" spans="1:16" x14ac:dyDescent="0.35">
      <c r="A132" s="34" t="str">
        <f t="shared" si="5"/>
        <v>2024 JULY-DEC B1G2</v>
      </c>
      <c r="B132" s="35">
        <f t="shared" si="5"/>
        <v>46086</v>
      </c>
      <c r="C132" s="35">
        <f t="shared" si="5"/>
        <v>46092</v>
      </c>
      <c r="D132" s="34">
        <v>3321</v>
      </c>
      <c r="E132" s="34">
        <v>337</v>
      </c>
      <c r="F132" s="34">
        <v>4</v>
      </c>
      <c r="G132" s="34">
        <v>1</v>
      </c>
      <c r="H132" s="34">
        <v>81676</v>
      </c>
      <c r="I132" s="34" t="s">
        <v>2690</v>
      </c>
      <c r="J132" s="34">
        <v>24392589</v>
      </c>
      <c r="K132" s="34" t="s">
        <v>4179</v>
      </c>
      <c r="L132" s="40" t="s">
        <v>4182</v>
      </c>
      <c r="M132" s="36">
        <v>129900</v>
      </c>
      <c r="N132" s="36" t="s">
        <v>2569</v>
      </c>
      <c r="O132" s="34" t="str">
        <f t="shared" si="6"/>
        <v>B1G2</v>
      </c>
      <c r="P132" s="36" t="s">
        <v>2569</v>
      </c>
    </row>
    <row r="133" spans="1:16" x14ac:dyDescent="0.35">
      <c r="A133" s="34" t="str">
        <f t="shared" si="5"/>
        <v>2024 JULY-DEC B1G2</v>
      </c>
      <c r="B133" s="35">
        <f t="shared" si="5"/>
        <v>46086</v>
      </c>
      <c r="C133" s="35">
        <f t="shared" si="5"/>
        <v>46092</v>
      </c>
      <c r="D133" s="34">
        <v>3321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2690</v>
      </c>
      <c r="J133" s="34">
        <v>24392598</v>
      </c>
      <c r="K133" s="34" t="s">
        <v>4179</v>
      </c>
      <c r="L133" s="40" t="s">
        <v>4183</v>
      </c>
      <c r="M133" s="36">
        <v>129900</v>
      </c>
      <c r="N133" s="36" t="s">
        <v>2569</v>
      </c>
      <c r="O133" s="34" t="str">
        <f t="shared" si="6"/>
        <v>B1G2</v>
      </c>
      <c r="P133" s="36" t="s">
        <v>2569</v>
      </c>
    </row>
    <row r="134" spans="1:16" x14ac:dyDescent="0.35">
      <c r="A134" s="34" t="str">
        <f t="shared" si="5"/>
        <v>2024 JULY-DEC B1G2</v>
      </c>
      <c r="B134" s="35">
        <f t="shared" si="5"/>
        <v>46086</v>
      </c>
      <c r="C134" s="35">
        <f t="shared" si="5"/>
        <v>46092</v>
      </c>
      <c r="D134" s="34">
        <v>3321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2690</v>
      </c>
      <c r="J134" s="34">
        <v>24392623</v>
      </c>
      <c r="K134" s="34" t="s">
        <v>4184</v>
      </c>
      <c r="L134" s="40" t="s">
        <v>4185</v>
      </c>
      <c r="M134" s="36">
        <v>129900</v>
      </c>
      <c r="N134" s="36" t="s">
        <v>2569</v>
      </c>
      <c r="O134" s="34" t="str">
        <f t="shared" si="6"/>
        <v>B1G2</v>
      </c>
      <c r="P134" s="36" t="s">
        <v>2569</v>
      </c>
    </row>
    <row r="135" spans="1:16" x14ac:dyDescent="0.35">
      <c r="A135" s="34" t="str">
        <f t="shared" si="5"/>
        <v>2024 JULY-DEC B1G2</v>
      </c>
      <c r="B135" s="35">
        <f t="shared" si="5"/>
        <v>46086</v>
      </c>
      <c r="C135" s="35">
        <f t="shared" si="5"/>
        <v>46092</v>
      </c>
      <c r="D135" s="34">
        <v>3321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2690</v>
      </c>
      <c r="J135" s="34">
        <v>24392605</v>
      </c>
      <c r="K135" s="34" t="s">
        <v>4184</v>
      </c>
      <c r="L135" s="40" t="s">
        <v>4186</v>
      </c>
      <c r="M135" s="36">
        <v>129900</v>
      </c>
      <c r="N135" s="36" t="s">
        <v>2569</v>
      </c>
      <c r="O135" s="34" t="str">
        <f t="shared" si="6"/>
        <v>B1G2</v>
      </c>
      <c r="P135" s="36" t="s">
        <v>2569</v>
      </c>
    </row>
    <row r="136" spans="1:16" x14ac:dyDescent="0.35">
      <c r="A136" s="34" t="str">
        <f t="shared" si="5"/>
        <v>2024 JULY-DEC B1G2</v>
      </c>
      <c r="B136" s="35">
        <f t="shared" si="5"/>
        <v>46086</v>
      </c>
      <c r="C136" s="35">
        <f t="shared" si="5"/>
        <v>46092</v>
      </c>
      <c r="D136" s="34">
        <v>3321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2690</v>
      </c>
      <c r="J136" s="34">
        <v>24392632</v>
      </c>
      <c r="K136" s="34" t="s">
        <v>4184</v>
      </c>
      <c r="L136" s="40" t="s">
        <v>4187</v>
      </c>
      <c r="M136" s="36">
        <v>129900</v>
      </c>
      <c r="N136" s="36" t="s">
        <v>2569</v>
      </c>
      <c r="O136" s="34" t="str">
        <f t="shared" si="6"/>
        <v>B1G2</v>
      </c>
      <c r="P136" s="36" t="s">
        <v>2569</v>
      </c>
    </row>
    <row r="137" spans="1:16" x14ac:dyDescent="0.35">
      <c r="A137" s="34" t="str">
        <f t="shared" si="5"/>
        <v>2024 JULY-DEC B1G2</v>
      </c>
      <c r="B137" s="35">
        <f t="shared" si="5"/>
        <v>46086</v>
      </c>
      <c r="C137" s="35">
        <f t="shared" si="5"/>
        <v>46092</v>
      </c>
      <c r="D137" s="34">
        <v>3321</v>
      </c>
      <c r="E137" s="34">
        <v>337</v>
      </c>
      <c r="F137" s="34">
        <v>4</v>
      </c>
      <c r="G137" s="34">
        <v>1</v>
      </c>
      <c r="H137" s="34">
        <v>81676</v>
      </c>
      <c r="I137" s="34" t="s">
        <v>2690</v>
      </c>
      <c r="J137" s="34">
        <v>24392641</v>
      </c>
      <c r="K137" s="34" t="s">
        <v>4184</v>
      </c>
      <c r="L137" s="40" t="s">
        <v>4188</v>
      </c>
      <c r="M137" s="36">
        <v>129900</v>
      </c>
      <c r="N137" s="36" t="s">
        <v>2569</v>
      </c>
      <c r="O137" s="34" t="str">
        <f t="shared" si="6"/>
        <v>B1G2</v>
      </c>
      <c r="P137" s="36" t="s">
        <v>2569</v>
      </c>
    </row>
    <row r="138" spans="1:16" x14ac:dyDescent="0.35">
      <c r="A138" s="34" t="str">
        <f t="shared" si="5"/>
        <v>2024 JULY-DEC B1G2</v>
      </c>
      <c r="B138" s="35">
        <f t="shared" si="5"/>
        <v>46086</v>
      </c>
      <c r="C138" s="35">
        <f t="shared" si="5"/>
        <v>46092</v>
      </c>
      <c r="D138" s="34">
        <v>3321</v>
      </c>
      <c r="E138" s="34">
        <v>337</v>
      </c>
      <c r="F138" s="34">
        <v>4</v>
      </c>
      <c r="G138" s="34">
        <v>1</v>
      </c>
      <c r="H138" s="34">
        <v>81462</v>
      </c>
      <c r="I138" s="34" t="s">
        <v>2690</v>
      </c>
      <c r="J138" s="34">
        <v>26741920</v>
      </c>
      <c r="K138" s="34" t="s">
        <v>4189</v>
      </c>
      <c r="L138" s="40" t="s">
        <v>4190</v>
      </c>
      <c r="M138" s="36">
        <v>149900</v>
      </c>
      <c r="N138" s="36" t="s">
        <v>2569</v>
      </c>
      <c r="O138" s="34" t="str">
        <f t="shared" si="6"/>
        <v>B1G2</v>
      </c>
      <c r="P138" s="36" t="s">
        <v>2569</v>
      </c>
    </row>
    <row r="139" spans="1:16" x14ac:dyDescent="0.35">
      <c r="A139" s="34" t="str">
        <f t="shared" si="5"/>
        <v>2024 JULY-DEC B1G2</v>
      </c>
      <c r="B139" s="35">
        <f t="shared" si="5"/>
        <v>46086</v>
      </c>
      <c r="C139" s="35">
        <f t="shared" si="5"/>
        <v>46092</v>
      </c>
      <c r="D139" s="34">
        <v>3321</v>
      </c>
      <c r="E139" s="34">
        <v>337</v>
      </c>
      <c r="F139" s="34">
        <v>4</v>
      </c>
      <c r="G139" s="34">
        <v>1</v>
      </c>
      <c r="H139" s="34">
        <v>81462</v>
      </c>
      <c r="I139" s="34" t="s">
        <v>2690</v>
      </c>
      <c r="J139" s="34">
        <v>26741939</v>
      </c>
      <c r="K139" s="34" t="s">
        <v>4189</v>
      </c>
      <c r="L139" s="40" t="s">
        <v>4191</v>
      </c>
      <c r="M139" s="36">
        <v>149900</v>
      </c>
      <c r="N139" s="36" t="s">
        <v>2569</v>
      </c>
      <c r="O139" s="34" t="str">
        <f t="shared" si="6"/>
        <v>B1G2</v>
      </c>
      <c r="P139" s="36" t="s">
        <v>2569</v>
      </c>
    </row>
    <row r="140" spans="1:16" x14ac:dyDescent="0.35">
      <c r="A140" s="34" t="str">
        <f t="shared" si="5"/>
        <v>2024 JULY-DEC B1G2</v>
      </c>
      <c r="B140" s="35">
        <f t="shared" si="5"/>
        <v>46086</v>
      </c>
      <c r="C140" s="35">
        <f t="shared" si="5"/>
        <v>46092</v>
      </c>
      <c r="D140" s="34">
        <v>3321</v>
      </c>
      <c r="E140" s="34">
        <v>337</v>
      </c>
      <c r="F140" s="34">
        <v>4</v>
      </c>
      <c r="G140" s="34">
        <v>1</v>
      </c>
      <c r="H140" s="34">
        <v>81462</v>
      </c>
      <c r="I140" s="34" t="s">
        <v>2690</v>
      </c>
      <c r="J140" s="34">
        <v>26741948</v>
      </c>
      <c r="K140" s="34" t="s">
        <v>4189</v>
      </c>
      <c r="L140" s="40" t="s">
        <v>4192</v>
      </c>
      <c r="M140" s="36">
        <v>149900</v>
      </c>
      <c r="N140" s="36" t="s">
        <v>2569</v>
      </c>
      <c r="O140" s="34" t="str">
        <f t="shared" si="6"/>
        <v>B1G2</v>
      </c>
      <c r="P140" s="36" t="s">
        <v>2569</v>
      </c>
    </row>
    <row r="141" spans="1:16" x14ac:dyDescent="0.35">
      <c r="A141" s="34" t="str">
        <f t="shared" si="5"/>
        <v>2024 JULY-DEC B1G2</v>
      </c>
      <c r="B141" s="35">
        <f t="shared" si="5"/>
        <v>46086</v>
      </c>
      <c r="C141" s="35">
        <f t="shared" si="5"/>
        <v>46092</v>
      </c>
      <c r="D141" s="34">
        <v>3321</v>
      </c>
      <c r="E141" s="34">
        <v>337</v>
      </c>
      <c r="F141" s="34">
        <v>4</v>
      </c>
      <c r="G141" s="34">
        <v>1</v>
      </c>
      <c r="H141" s="34">
        <v>81462</v>
      </c>
      <c r="I141" s="34" t="s">
        <v>2690</v>
      </c>
      <c r="J141" s="34">
        <v>26741957</v>
      </c>
      <c r="K141" s="34" t="s">
        <v>4189</v>
      </c>
      <c r="L141" s="40" t="s">
        <v>4193</v>
      </c>
      <c r="M141" s="36">
        <v>149900</v>
      </c>
      <c r="N141" s="36" t="s">
        <v>2569</v>
      </c>
      <c r="O141" s="34" t="str">
        <f t="shared" si="6"/>
        <v>B1G2</v>
      </c>
      <c r="P141" s="36" t="s">
        <v>2569</v>
      </c>
    </row>
    <row r="142" spans="1:16" x14ac:dyDescent="0.35">
      <c r="A142" s="34" t="str">
        <f t="shared" si="5"/>
        <v>2024 JULY-DEC B1G2</v>
      </c>
      <c r="B142" s="35">
        <f t="shared" si="5"/>
        <v>46086</v>
      </c>
      <c r="C142" s="35">
        <f t="shared" si="5"/>
        <v>46092</v>
      </c>
      <c r="D142" s="34">
        <v>3321</v>
      </c>
      <c r="E142" s="34">
        <v>337</v>
      </c>
      <c r="F142" s="34">
        <v>4</v>
      </c>
      <c r="G142" s="34">
        <v>1</v>
      </c>
      <c r="H142" s="34">
        <v>81462</v>
      </c>
      <c r="I142" s="34" t="s">
        <v>2690</v>
      </c>
      <c r="J142" s="34">
        <v>26741840</v>
      </c>
      <c r="K142" s="34" t="s">
        <v>4194</v>
      </c>
      <c r="L142" s="40" t="s">
        <v>4195</v>
      </c>
      <c r="M142" s="36">
        <v>139900</v>
      </c>
      <c r="N142" s="36" t="s">
        <v>2569</v>
      </c>
      <c r="O142" s="34" t="str">
        <f t="shared" ref="O142:O173" si="7">O141</f>
        <v>B1G2</v>
      </c>
      <c r="P142" s="36" t="s">
        <v>2569</v>
      </c>
    </row>
    <row r="143" spans="1:16" x14ac:dyDescent="0.35">
      <c r="A143" s="34" t="str">
        <f t="shared" si="5"/>
        <v>2024 JULY-DEC B1G2</v>
      </c>
      <c r="B143" s="35">
        <f t="shared" si="5"/>
        <v>46086</v>
      </c>
      <c r="C143" s="35">
        <f t="shared" si="5"/>
        <v>46092</v>
      </c>
      <c r="D143" s="34">
        <v>3321</v>
      </c>
      <c r="E143" s="34">
        <v>337</v>
      </c>
      <c r="F143" s="34">
        <v>4</v>
      </c>
      <c r="G143" s="34">
        <v>1</v>
      </c>
      <c r="H143" s="34">
        <v>81462</v>
      </c>
      <c r="I143" s="34" t="s">
        <v>2690</v>
      </c>
      <c r="J143" s="34">
        <v>26741859</v>
      </c>
      <c r="K143" s="34" t="s">
        <v>4194</v>
      </c>
      <c r="L143" s="40" t="s">
        <v>4196</v>
      </c>
      <c r="M143" s="36">
        <v>139900</v>
      </c>
      <c r="N143" s="36" t="s">
        <v>2569</v>
      </c>
      <c r="O143" s="34" t="str">
        <f t="shared" si="7"/>
        <v>B1G2</v>
      </c>
      <c r="P143" s="36" t="s">
        <v>2569</v>
      </c>
    </row>
    <row r="144" spans="1:16" x14ac:dyDescent="0.35">
      <c r="A144" s="34" t="str">
        <f t="shared" si="5"/>
        <v>2024 JULY-DEC B1G2</v>
      </c>
      <c r="B144" s="35">
        <f t="shared" si="5"/>
        <v>46086</v>
      </c>
      <c r="C144" s="35">
        <f t="shared" si="5"/>
        <v>46092</v>
      </c>
      <c r="D144" s="34">
        <v>3321</v>
      </c>
      <c r="E144" s="34">
        <v>337</v>
      </c>
      <c r="F144" s="34">
        <v>4</v>
      </c>
      <c r="G144" s="34">
        <v>1</v>
      </c>
      <c r="H144" s="34">
        <v>81462</v>
      </c>
      <c r="I144" s="34" t="s">
        <v>2690</v>
      </c>
      <c r="J144" s="34">
        <v>26741868</v>
      </c>
      <c r="K144" s="34" t="s">
        <v>4194</v>
      </c>
      <c r="L144" s="40" t="s">
        <v>4197</v>
      </c>
      <c r="M144" s="36">
        <v>139900</v>
      </c>
      <c r="N144" s="36" t="s">
        <v>2569</v>
      </c>
      <c r="O144" s="34" t="str">
        <f t="shared" si="7"/>
        <v>B1G2</v>
      </c>
      <c r="P144" s="36" t="s">
        <v>2569</v>
      </c>
    </row>
    <row r="145" spans="1:16" x14ac:dyDescent="0.35">
      <c r="A145" s="34" t="str">
        <f t="shared" si="5"/>
        <v>2024 JULY-DEC B1G2</v>
      </c>
      <c r="B145" s="35">
        <f t="shared" si="5"/>
        <v>46086</v>
      </c>
      <c r="C145" s="35">
        <f t="shared" si="5"/>
        <v>46092</v>
      </c>
      <c r="D145" s="34">
        <v>3321</v>
      </c>
      <c r="E145" s="34">
        <v>337</v>
      </c>
      <c r="F145" s="34">
        <v>4</v>
      </c>
      <c r="G145" s="34">
        <v>1</v>
      </c>
      <c r="H145" s="34">
        <v>81462</v>
      </c>
      <c r="I145" s="34" t="s">
        <v>2690</v>
      </c>
      <c r="J145" s="34">
        <v>26741877</v>
      </c>
      <c r="K145" s="34" t="s">
        <v>4194</v>
      </c>
      <c r="L145" s="40" t="s">
        <v>4198</v>
      </c>
      <c r="M145" s="36">
        <v>139900</v>
      </c>
      <c r="N145" s="36" t="s">
        <v>2569</v>
      </c>
      <c r="O145" s="34" t="str">
        <f t="shared" si="7"/>
        <v>B1G2</v>
      </c>
      <c r="P145" s="36" t="s">
        <v>2569</v>
      </c>
    </row>
    <row r="146" spans="1:16" x14ac:dyDescent="0.35">
      <c r="A146" s="34" t="str">
        <f t="shared" si="5"/>
        <v>2024 JULY-DEC B1G2</v>
      </c>
      <c r="B146" s="35">
        <f t="shared" si="5"/>
        <v>46086</v>
      </c>
      <c r="C146" s="35">
        <f t="shared" si="5"/>
        <v>46092</v>
      </c>
      <c r="D146" s="34">
        <v>3321</v>
      </c>
      <c r="E146" s="34">
        <v>337</v>
      </c>
      <c r="F146" s="34">
        <v>4</v>
      </c>
      <c r="G146" s="34">
        <v>1</v>
      </c>
      <c r="H146" s="34">
        <v>81676</v>
      </c>
      <c r="I146" s="34" t="s">
        <v>2690</v>
      </c>
      <c r="J146" s="34">
        <v>45900187</v>
      </c>
      <c r="K146" s="34" t="s">
        <v>4199</v>
      </c>
      <c r="L146" s="40" t="s">
        <v>6751</v>
      </c>
      <c r="M146" s="36">
        <v>139900</v>
      </c>
      <c r="N146" s="36" t="s">
        <v>2569</v>
      </c>
      <c r="O146" s="34" t="str">
        <f t="shared" si="7"/>
        <v>B1G2</v>
      </c>
      <c r="P146" s="36" t="s">
        <v>2569</v>
      </c>
    </row>
    <row r="147" spans="1:16" x14ac:dyDescent="0.35">
      <c r="A147" s="34" t="str">
        <f t="shared" si="5"/>
        <v>2024 JULY-DEC B1G2</v>
      </c>
      <c r="B147" s="35">
        <f t="shared" si="5"/>
        <v>46086</v>
      </c>
      <c r="C147" s="35">
        <f t="shared" si="5"/>
        <v>46092</v>
      </c>
      <c r="D147" s="34">
        <v>3321</v>
      </c>
      <c r="E147" s="34">
        <v>337</v>
      </c>
      <c r="F147" s="34">
        <v>4</v>
      </c>
      <c r="G147" s="34">
        <v>1</v>
      </c>
      <c r="H147" s="34">
        <v>81676</v>
      </c>
      <c r="I147" s="34" t="s">
        <v>2690</v>
      </c>
      <c r="J147" s="34">
        <v>45900196</v>
      </c>
      <c r="K147" s="34" t="s">
        <v>4199</v>
      </c>
      <c r="L147" s="40" t="s">
        <v>6752</v>
      </c>
      <c r="M147" s="36">
        <v>139900</v>
      </c>
      <c r="N147" s="36" t="s">
        <v>2569</v>
      </c>
      <c r="O147" s="34" t="str">
        <f t="shared" si="7"/>
        <v>B1G2</v>
      </c>
      <c r="P147" s="36" t="s">
        <v>2569</v>
      </c>
    </row>
    <row r="148" spans="1:16" x14ac:dyDescent="0.35">
      <c r="A148" s="34" t="str">
        <f t="shared" si="5"/>
        <v>2024 JULY-DEC B1G2</v>
      </c>
      <c r="B148" s="35">
        <f t="shared" si="5"/>
        <v>46086</v>
      </c>
      <c r="C148" s="35">
        <f t="shared" si="5"/>
        <v>46092</v>
      </c>
      <c r="D148" s="34">
        <v>3321</v>
      </c>
      <c r="E148" s="34">
        <v>337</v>
      </c>
      <c r="F148" s="34">
        <v>4</v>
      </c>
      <c r="G148" s="34">
        <v>1</v>
      </c>
      <c r="H148" s="34">
        <v>81676</v>
      </c>
      <c r="I148" s="34" t="s">
        <v>2690</v>
      </c>
      <c r="J148" s="34">
        <v>45900203</v>
      </c>
      <c r="K148" s="34" t="s">
        <v>4199</v>
      </c>
      <c r="L148" s="40" t="s">
        <v>6753</v>
      </c>
      <c r="M148" s="36">
        <v>139900</v>
      </c>
      <c r="N148" s="36" t="s">
        <v>2569</v>
      </c>
      <c r="O148" s="34" t="str">
        <f t="shared" si="7"/>
        <v>B1G2</v>
      </c>
      <c r="P148" s="36" t="s">
        <v>2569</v>
      </c>
    </row>
    <row r="149" spans="1:16" x14ac:dyDescent="0.35">
      <c r="A149" s="34" t="str">
        <f t="shared" si="5"/>
        <v>2024 JULY-DEC B1G2</v>
      </c>
      <c r="B149" s="35">
        <f t="shared" si="5"/>
        <v>46086</v>
      </c>
      <c r="C149" s="35">
        <f t="shared" si="5"/>
        <v>46092</v>
      </c>
      <c r="D149" s="34">
        <v>3321</v>
      </c>
      <c r="E149" s="34">
        <v>337</v>
      </c>
      <c r="F149" s="34">
        <v>4</v>
      </c>
      <c r="G149" s="34">
        <v>1</v>
      </c>
      <c r="H149" s="34">
        <v>81676</v>
      </c>
      <c r="I149" s="34" t="s">
        <v>2690</v>
      </c>
      <c r="J149" s="34">
        <v>45900212</v>
      </c>
      <c r="K149" s="34" t="s">
        <v>4199</v>
      </c>
      <c r="L149" s="40" t="s">
        <v>6754</v>
      </c>
      <c r="M149" s="36">
        <v>139900</v>
      </c>
      <c r="N149" s="36" t="s">
        <v>2569</v>
      </c>
      <c r="O149" s="34" t="str">
        <f t="shared" si="7"/>
        <v>B1G2</v>
      </c>
      <c r="P149" s="36" t="s">
        <v>2569</v>
      </c>
    </row>
    <row r="150" spans="1:16" x14ac:dyDescent="0.35">
      <c r="A150" s="34" t="str">
        <f t="shared" si="5"/>
        <v>2024 JULY-DEC B1G2</v>
      </c>
      <c r="B150" s="35">
        <f t="shared" si="5"/>
        <v>46086</v>
      </c>
      <c r="C150" s="35">
        <f t="shared" si="5"/>
        <v>46092</v>
      </c>
      <c r="D150" s="34">
        <v>3321</v>
      </c>
      <c r="E150" s="34">
        <v>337</v>
      </c>
      <c r="F150" s="34">
        <v>4</v>
      </c>
      <c r="G150" s="34">
        <v>1</v>
      </c>
      <c r="H150" s="34">
        <v>81676</v>
      </c>
      <c r="I150" s="34" t="s">
        <v>2690</v>
      </c>
      <c r="J150" s="34">
        <v>45900258</v>
      </c>
      <c r="K150" s="34" t="s">
        <v>4200</v>
      </c>
      <c r="L150" s="40" t="s">
        <v>4201</v>
      </c>
      <c r="M150" s="36">
        <v>139900</v>
      </c>
      <c r="N150" s="36" t="s">
        <v>2569</v>
      </c>
      <c r="O150" s="34" t="str">
        <f t="shared" si="7"/>
        <v>B1G2</v>
      </c>
      <c r="P150" s="36" t="s">
        <v>2569</v>
      </c>
    </row>
    <row r="151" spans="1:16" x14ac:dyDescent="0.35">
      <c r="A151" s="34" t="str">
        <f t="shared" si="5"/>
        <v>2024 JULY-DEC B1G2</v>
      </c>
      <c r="B151" s="35">
        <f t="shared" si="5"/>
        <v>46086</v>
      </c>
      <c r="C151" s="35">
        <f t="shared" si="5"/>
        <v>46092</v>
      </c>
      <c r="D151" s="34">
        <v>3321</v>
      </c>
      <c r="E151" s="34">
        <v>337</v>
      </c>
      <c r="F151" s="34">
        <v>4</v>
      </c>
      <c r="G151" s="34">
        <v>1</v>
      </c>
      <c r="H151" s="34">
        <v>81676</v>
      </c>
      <c r="I151" s="34" t="s">
        <v>2690</v>
      </c>
      <c r="J151" s="34">
        <v>45900221</v>
      </c>
      <c r="K151" s="34" t="s">
        <v>4200</v>
      </c>
      <c r="L151" s="40" t="s">
        <v>4202</v>
      </c>
      <c r="M151" s="36">
        <v>139900</v>
      </c>
      <c r="N151" s="36" t="s">
        <v>2569</v>
      </c>
      <c r="O151" s="34" t="str">
        <f t="shared" si="7"/>
        <v>B1G2</v>
      </c>
      <c r="P151" s="36" t="s">
        <v>2569</v>
      </c>
    </row>
    <row r="152" spans="1:16" x14ac:dyDescent="0.35">
      <c r="A152" s="34" t="str">
        <f t="shared" si="5"/>
        <v>2024 JULY-DEC B1G2</v>
      </c>
      <c r="B152" s="35">
        <f t="shared" si="5"/>
        <v>46086</v>
      </c>
      <c r="C152" s="35">
        <f t="shared" si="5"/>
        <v>46092</v>
      </c>
      <c r="D152" s="34">
        <v>3321</v>
      </c>
      <c r="E152" s="34">
        <v>337</v>
      </c>
      <c r="F152" s="34">
        <v>4</v>
      </c>
      <c r="G152" s="34">
        <v>1</v>
      </c>
      <c r="H152" s="34">
        <v>81676</v>
      </c>
      <c r="I152" s="34" t="s">
        <v>2690</v>
      </c>
      <c r="J152" s="34">
        <v>45900230</v>
      </c>
      <c r="K152" s="34" t="s">
        <v>4200</v>
      </c>
      <c r="L152" s="40" t="s">
        <v>4203</v>
      </c>
      <c r="M152" s="36">
        <v>139900</v>
      </c>
      <c r="N152" s="36" t="s">
        <v>2569</v>
      </c>
      <c r="O152" s="34" t="str">
        <f t="shared" si="7"/>
        <v>B1G2</v>
      </c>
      <c r="P152" s="36" t="s">
        <v>2569</v>
      </c>
    </row>
    <row r="153" spans="1:16" x14ac:dyDescent="0.35">
      <c r="A153" s="34" t="str">
        <f t="shared" si="5"/>
        <v>2024 JULY-DEC B1G2</v>
      </c>
      <c r="B153" s="35">
        <f t="shared" si="5"/>
        <v>46086</v>
      </c>
      <c r="C153" s="35">
        <f t="shared" si="5"/>
        <v>46092</v>
      </c>
      <c r="D153" s="34">
        <v>3321</v>
      </c>
      <c r="E153" s="34">
        <v>337</v>
      </c>
      <c r="F153" s="34">
        <v>4</v>
      </c>
      <c r="G153" s="34">
        <v>1</v>
      </c>
      <c r="H153" s="34">
        <v>81676</v>
      </c>
      <c r="I153" s="34" t="s">
        <v>2690</v>
      </c>
      <c r="J153" s="34">
        <v>45900249</v>
      </c>
      <c r="K153" s="34" t="s">
        <v>4200</v>
      </c>
      <c r="L153" s="40" t="s">
        <v>4204</v>
      </c>
      <c r="M153" s="36">
        <v>139900</v>
      </c>
      <c r="N153" s="36" t="s">
        <v>2569</v>
      </c>
      <c r="O153" s="34" t="str">
        <f t="shared" si="7"/>
        <v>B1G2</v>
      </c>
      <c r="P153" s="36" t="s">
        <v>2569</v>
      </c>
    </row>
    <row r="154" spans="1:16" x14ac:dyDescent="0.35">
      <c r="A154" s="34" t="str">
        <f t="shared" si="5"/>
        <v>2024 JULY-DEC B1G2</v>
      </c>
      <c r="B154" s="35">
        <f t="shared" si="5"/>
        <v>46086</v>
      </c>
      <c r="C154" s="35">
        <f t="shared" si="5"/>
        <v>46092</v>
      </c>
      <c r="D154" s="34">
        <v>3321</v>
      </c>
      <c r="E154" s="34">
        <v>337</v>
      </c>
      <c r="F154" s="34">
        <v>4</v>
      </c>
      <c r="G154" s="34">
        <v>5</v>
      </c>
      <c r="H154" s="34">
        <v>81421</v>
      </c>
      <c r="I154" s="34" t="s">
        <v>2690</v>
      </c>
      <c r="J154" s="34">
        <v>23117048</v>
      </c>
      <c r="K154" s="34" t="s">
        <v>4205</v>
      </c>
      <c r="L154" s="40" t="s">
        <v>4206</v>
      </c>
      <c r="M154" s="36">
        <v>259900</v>
      </c>
      <c r="N154" s="36" t="s">
        <v>2569</v>
      </c>
      <c r="O154" s="34" t="str">
        <f t="shared" si="7"/>
        <v>B1G2</v>
      </c>
      <c r="P154" s="36" t="s">
        <v>2569</v>
      </c>
    </row>
    <row r="155" spans="1:16" x14ac:dyDescent="0.35">
      <c r="A155" s="34" t="str">
        <f t="shared" si="5"/>
        <v>2024 JULY-DEC B1G2</v>
      </c>
      <c r="B155" s="35">
        <f t="shared" si="5"/>
        <v>46086</v>
      </c>
      <c r="C155" s="35">
        <f t="shared" si="5"/>
        <v>46092</v>
      </c>
      <c r="D155" s="34">
        <v>3321</v>
      </c>
      <c r="E155" s="34">
        <v>337</v>
      </c>
      <c r="F155" s="34">
        <v>4</v>
      </c>
      <c r="G155" s="34">
        <v>5</v>
      </c>
      <c r="H155" s="34">
        <v>81421</v>
      </c>
      <c r="I155" s="34" t="s">
        <v>2690</v>
      </c>
      <c r="J155" s="34">
        <v>23117682</v>
      </c>
      <c r="K155" s="34" t="s">
        <v>4205</v>
      </c>
      <c r="L155" s="40" t="s">
        <v>4207</v>
      </c>
      <c r="M155" s="36">
        <v>259900</v>
      </c>
      <c r="N155" s="36" t="s">
        <v>2569</v>
      </c>
      <c r="O155" s="34" t="str">
        <f t="shared" si="7"/>
        <v>B1G2</v>
      </c>
      <c r="P155" s="36" t="s">
        <v>2569</v>
      </c>
    </row>
    <row r="156" spans="1:16" x14ac:dyDescent="0.35">
      <c r="A156" s="34" t="str">
        <f t="shared" si="5"/>
        <v>2024 JULY-DEC B1G2</v>
      </c>
      <c r="B156" s="35">
        <f t="shared" si="5"/>
        <v>46086</v>
      </c>
      <c r="C156" s="35">
        <f t="shared" si="5"/>
        <v>46092</v>
      </c>
      <c r="D156" s="34">
        <v>3321</v>
      </c>
      <c r="E156" s="34">
        <v>337</v>
      </c>
      <c r="F156" s="34">
        <v>4</v>
      </c>
      <c r="G156" s="34">
        <v>5</v>
      </c>
      <c r="H156" s="34">
        <v>81421</v>
      </c>
      <c r="I156" s="34" t="s">
        <v>2690</v>
      </c>
      <c r="J156" s="34">
        <v>23117691</v>
      </c>
      <c r="K156" s="34" t="s">
        <v>4205</v>
      </c>
      <c r="L156" s="40" t="s">
        <v>4208</v>
      </c>
      <c r="M156" s="36">
        <v>259900</v>
      </c>
      <c r="N156" s="36" t="s">
        <v>2569</v>
      </c>
      <c r="O156" s="34" t="str">
        <f t="shared" si="7"/>
        <v>B1G2</v>
      </c>
      <c r="P156" s="36" t="s">
        <v>2569</v>
      </c>
    </row>
    <row r="157" spans="1:16" x14ac:dyDescent="0.35">
      <c r="A157" s="34" t="str">
        <f t="shared" si="5"/>
        <v>2024 JULY-DEC B1G2</v>
      </c>
      <c r="B157" s="35">
        <f t="shared" si="5"/>
        <v>46086</v>
      </c>
      <c r="C157" s="35">
        <f t="shared" si="5"/>
        <v>46092</v>
      </c>
      <c r="D157" s="34">
        <v>3321</v>
      </c>
      <c r="E157" s="34">
        <v>337</v>
      </c>
      <c r="F157" s="34">
        <v>4</v>
      </c>
      <c r="G157" s="34">
        <v>5</v>
      </c>
      <c r="H157" s="34">
        <v>81421</v>
      </c>
      <c r="I157" s="34" t="s">
        <v>2690</v>
      </c>
      <c r="J157" s="34">
        <v>23117708</v>
      </c>
      <c r="K157" s="34" t="s">
        <v>4205</v>
      </c>
      <c r="L157" s="40" t="s">
        <v>4209</v>
      </c>
      <c r="M157" s="36">
        <v>259900</v>
      </c>
      <c r="N157" s="36" t="s">
        <v>2569</v>
      </c>
      <c r="O157" s="34" t="str">
        <f t="shared" si="7"/>
        <v>B1G2</v>
      </c>
      <c r="P157" s="36" t="s">
        <v>2569</v>
      </c>
    </row>
    <row r="158" spans="1:16" x14ac:dyDescent="0.35">
      <c r="A158" s="34" t="str">
        <f t="shared" si="5"/>
        <v>2024 JULY-DEC B1G2</v>
      </c>
      <c r="B158" s="35">
        <f t="shared" si="5"/>
        <v>46086</v>
      </c>
      <c r="C158" s="35">
        <f t="shared" si="5"/>
        <v>46092</v>
      </c>
      <c r="D158" s="34">
        <v>3321</v>
      </c>
      <c r="E158" s="34">
        <v>337</v>
      </c>
      <c r="F158" s="34">
        <v>4</v>
      </c>
      <c r="G158" s="34">
        <v>5</v>
      </c>
      <c r="H158" s="34">
        <v>81421</v>
      </c>
      <c r="I158" s="34" t="s">
        <v>2690</v>
      </c>
      <c r="J158" s="34">
        <v>45965957</v>
      </c>
      <c r="K158" s="34" t="s">
        <v>4210</v>
      </c>
      <c r="L158" s="40" t="s">
        <v>4211</v>
      </c>
      <c r="M158" s="36">
        <v>259900</v>
      </c>
      <c r="N158" s="36" t="s">
        <v>2569</v>
      </c>
      <c r="O158" s="34" t="str">
        <f t="shared" si="7"/>
        <v>B1G2</v>
      </c>
      <c r="P158" s="36" t="s">
        <v>2569</v>
      </c>
    </row>
    <row r="159" spans="1:16" x14ac:dyDescent="0.35">
      <c r="A159" s="34" t="str">
        <f t="shared" si="5"/>
        <v>2024 JULY-DEC B1G2</v>
      </c>
      <c r="B159" s="35">
        <f t="shared" si="5"/>
        <v>46086</v>
      </c>
      <c r="C159" s="35">
        <f t="shared" si="5"/>
        <v>46092</v>
      </c>
      <c r="D159" s="34">
        <v>3321</v>
      </c>
      <c r="E159" s="34">
        <v>337</v>
      </c>
      <c r="F159" s="34">
        <v>4</v>
      </c>
      <c r="G159" s="34">
        <v>5</v>
      </c>
      <c r="H159" s="34">
        <v>81421</v>
      </c>
      <c r="I159" s="34" t="s">
        <v>2690</v>
      </c>
      <c r="J159" s="34">
        <v>45965966</v>
      </c>
      <c r="K159" s="34" t="s">
        <v>4210</v>
      </c>
      <c r="L159" s="40" t="s">
        <v>4212</v>
      </c>
      <c r="M159" s="36">
        <v>259900</v>
      </c>
      <c r="N159" s="36" t="s">
        <v>2569</v>
      </c>
      <c r="O159" s="34" t="str">
        <f t="shared" si="7"/>
        <v>B1G2</v>
      </c>
      <c r="P159" s="36" t="s">
        <v>2569</v>
      </c>
    </row>
    <row r="160" spans="1:16" x14ac:dyDescent="0.35">
      <c r="A160" s="34" t="str">
        <f t="shared" si="5"/>
        <v>2024 JULY-DEC B1G2</v>
      </c>
      <c r="B160" s="35">
        <f t="shared" si="5"/>
        <v>46086</v>
      </c>
      <c r="C160" s="35">
        <f t="shared" si="5"/>
        <v>46092</v>
      </c>
      <c r="D160" s="34">
        <v>3321</v>
      </c>
      <c r="E160" s="34">
        <v>337</v>
      </c>
      <c r="F160" s="34">
        <v>4</v>
      </c>
      <c r="G160" s="34">
        <v>5</v>
      </c>
      <c r="H160" s="34">
        <v>81421</v>
      </c>
      <c r="I160" s="34" t="s">
        <v>2690</v>
      </c>
      <c r="J160" s="34">
        <v>45965975</v>
      </c>
      <c r="K160" s="34" t="s">
        <v>4210</v>
      </c>
      <c r="L160" s="40" t="s">
        <v>4213</v>
      </c>
      <c r="M160" s="36">
        <v>259900</v>
      </c>
      <c r="N160" s="36" t="s">
        <v>2569</v>
      </c>
      <c r="O160" s="34" t="str">
        <f t="shared" si="7"/>
        <v>B1G2</v>
      </c>
      <c r="P160" s="36" t="s">
        <v>2569</v>
      </c>
    </row>
    <row r="161" spans="1:16" x14ac:dyDescent="0.35">
      <c r="A161" s="34" t="str">
        <f t="shared" si="5"/>
        <v>2024 JULY-DEC B1G2</v>
      </c>
      <c r="B161" s="35">
        <f t="shared" si="5"/>
        <v>46086</v>
      </c>
      <c r="C161" s="35">
        <f t="shared" si="5"/>
        <v>46092</v>
      </c>
      <c r="D161" s="34">
        <v>3321</v>
      </c>
      <c r="E161" s="34">
        <v>337</v>
      </c>
      <c r="F161" s="34">
        <v>4</v>
      </c>
      <c r="G161" s="34">
        <v>5</v>
      </c>
      <c r="H161" s="34">
        <v>81421</v>
      </c>
      <c r="I161" s="34" t="s">
        <v>2690</v>
      </c>
      <c r="J161" s="34">
        <v>45965984</v>
      </c>
      <c r="K161" s="34" t="s">
        <v>4210</v>
      </c>
      <c r="L161" s="40" t="s">
        <v>4214</v>
      </c>
      <c r="M161" s="36">
        <v>259900</v>
      </c>
      <c r="N161" s="36" t="s">
        <v>2569</v>
      </c>
      <c r="O161" s="34" t="str">
        <f t="shared" si="7"/>
        <v>B1G2</v>
      </c>
      <c r="P161" s="36" t="s">
        <v>2569</v>
      </c>
    </row>
    <row r="162" spans="1:16" x14ac:dyDescent="0.35">
      <c r="A162" s="34" t="str">
        <f t="shared" si="5"/>
        <v>2024 JULY-DEC B1G2</v>
      </c>
      <c r="B162" s="35">
        <f t="shared" si="5"/>
        <v>46086</v>
      </c>
      <c r="C162" s="35">
        <f t="shared" si="5"/>
        <v>46092</v>
      </c>
      <c r="D162" s="34">
        <v>3321</v>
      </c>
      <c r="E162" s="34">
        <v>337</v>
      </c>
      <c r="F162" s="34">
        <v>4</v>
      </c>
      <c r="G162" s="34">
        <v>5</v>
      </c>
      <c r="H162" s="34">
        <v>81005</v>
      </c>
      <c r="I162" s="34" t="s">
        <v>2690</v>
      </c>
      <c r="J162" s="34">
        <v>26742081</v>
      </c>
      <c r="K162" s="34" t="s">
        <v>4215</v>
      </c>
      <c r="L162" s="40" t="s">
        <v>4216</v>
      </c>
      <c r="M162" s="36">
        <v>259900</v>
      </c>
      <c r="N162" s="36" t="s">
        <v>2569</v>
      </c>
      <c r="O162" s="34" t="str">
        <f t="shared" si="7"/>
        <v>B1G2</v>
      </c>
      <c r="P162" s="36" t="s">
        <v>2569</v>
      </c>
    </row>
    <row r="163" spans="1:16" x14ac:dyDescent="0.35">
      <c r="A163" s="34" t="str">
        <f t="shared" si="5"/>
        <v>2024 JULY-DEC B1G2</v>
      </c>
      <c r="B163" s="35">
        <f t="shared" si="5"/>
        <v>46086</v>
      </c>
      <c r="C163" s="35">
        <f t="shared" si="5"/>
        <v>46092</v>
      </c>
      <c r="D163" s="34">
        <v>3321</v>
      </c>
      <c r="E163" s="34">
        <v>337</v>
      </c>
      <c r="F163" s="34">
        <v>4</v>
      </c>
      <c r="G163" s="34">
        <v>5</v>
      </c>
      <c r="H163" s="34">
        <v>81005</v>
      </c>
      <c r="I163" s="34" t="s">
        <v>2690</v>
      </c>
      <c r="J163" s="34">
        <v>26742090</v>
      </c>
      <c r="K163" s="34" t="s">
        <v>4215</v>
      </c>
      <c r="L163" s="40" t="s">
        <v>4217</v>
      </c>
      <c r="M163" s="36">
        <v>259900</v>
      </c>
      <c r="N163" s="36" t="s">
        <v>2569</v>
      </c>
      <c r="O163" s="34" t="str">
        <f t="shared" si="7"/>
        <v>B1G2</v>
      </c>
      <c r="P163" s="36" t="s">
        <v>2569</v>
      </c>
    </row>
    <row r="164" spans="1:16" x14ac:dyDescent="0.35">
      <c r="A164" s="34" t="str">
        <f t="shared" si="5"/>
        <v>2024 JULY-DEC B1G2</v>
      </c>
      <c r="B164" s="35">
        <f t="shared" si="5"/>
        <v>46086</v>
      </c>
      <c r="C164" s="35">
        <f t="shared" si="5"/>
        <v>46092</v>
      </c>
      <c r="D164" s="34">
        <v>3321</v>
      </c>
      <c r="E164" s="34">
        <v>337</v>
      </c>
      <c r="F164" s="34">
        <v>4</v>
      </c>
      <c r="G164" s="34">
        <v>5</v>
      </c>
      <c r="H164" s="34">
        <v>81005</v>
      </c>
      <c r="I164" s="34" t="s">
        <v>2690</v>
      </c>
      <c r="J164" s="34">
        <v>26742107</v>
      </c>
      <c r="K164" s="34" t="s">
        <v>4215</v>
      </c>
      <c r="L164" s="40" t="s">
        <v>4218</v>
      </c>
      <c r="M164" s="36">
        <v>259900</v>
      </c>
      <c r="N164" s="36" t="s">
        <v>2569</v>
      </c>
      <c r="O164" s="34" t="str">
        <f t="shared" si="7"/>
        <v>B1G2</v>
      </c>
      <c r="P164" s="36" t="s">
        <v>2569</v>
      </c>
    </row>
    <row r="165" spans="1:16" x14ac:dyDescent="0.35">
      <c r="A165" s="34" t="str">
        <f t="shared" si="5"/>
        <v>2024 JULY-DEC B1G2</v>
      </c>
      <c r="B165" s="35">
        <f t="shared" si="5"/>
        <v>46086</v>
      </c>
      <c r="C165" s="35">
        <f t="shared" si="5"/>
        <v>46092</v>
      </c>
      <c r="D165" s="34">
        <v>3321</v>
      </c>
      <c r="E165" s="34">
        <v>337</v>
      </c>
      <c r="F165" s="34">
        <v>4</v>
      </c>
      <c r="G165" s="34">
        <v>5</v>
      </c>
      <c r="H165" s="34">
        <v>81005</v>
      </c>
      <c r="I165" s="34" t="s">
        <v>2690</v>
      </c>
      <c r="J165" s="34">
        <v>26742116</v>
      </c>
      <c r="K165" s="34" t="s">
        <v>4215</v>
      </c>
      <c r="L165" s="40" t="s">
        <v>4219</v>
      </c>
      <c r="M165" s="36">
        <v>259900</v>
      </c>
      <c r="N165" s="36" t="s">
        <v>2569</v>
      </c>
      <c r="O165" s="34" t="str">
        <f t="shared" si="7"/>
        <v>B1G2</v>
      </c>
      <c r="P165" s="36" t="s">
        <v>2569</v>
      </c>
    </row>
    <row r="166" spans="1:16" x14ac:dyDescent="0.35">
      <c r="A166" s="34" t="str">
        <f t="shared" si="5"/>
        <v>2024 JULY-DEC B1G2</v>
      </c>
      <c r="B166" s="35">
        <f t="shared" si="5"/>
        <v>46086</v>
      </c>
      <c r="C166" s="35">
        <f t="shared" si="5"/>
        <v>46092</v>
      </c>
      <c r="D166" s="34">
        <v>3321</v>
      </c>
      <c r="E166" s="34">
        <v>337</v>
      </c>
      <c r="F166" s="34">
        <v>4</v>
      </c>
      <c r="G166" s="34">
        <v>5</v>
      </c>
      <c r="H166" s="34">
        <v>81005</v>
      </c>
      <c r="I166" s="34" t="s">
        <v>2690</v>
      </c>
      <c r="J166" s="34">
        <v>26742125</v>
      </c>
      <c r="K166" s="34" t="s">
        <v>4215</v>
      </c>
      <c r="L166" s="40" t="s">
        <v>4220</v>
      </c>
      <c r="M166" s="36">
        <v>259900</v>
      </c>
      <c r="N166" s="36" t="s">
        <v>2569</v>
      </c>
      <c r="O166" s="34" t="str">
        <f t="shared" si="7"/>
        <v>B1G2</v>
      </c>
      <c r="P166" s="36" t="s">
        <v>2569</v>
      </c>
    </row>
    <row r="167" spans="1:16" x14ac:dyDescent="0.35">
      <c r="A167" s="34" t="str">
        <f t="shared" si="5"/>
        <v>2024 JULY-DEC B1G2</v>
      </c>
      <c r="B167" s="35">
        <f t="shared" si="5"/>
        <v>46086</v>
      </c>
      <c r="C167" s="35">
        <f t="shared" si="5"/>
        <v>46092</v>
      </c>
      <c r="D167" s="34">
        <v>3321</v>
      </c>
      <c r="E167" s="34">
        <v>337</v>
      </c>
      <c r="F167" s="34">
        <v>4</v>
      </c>
      <c r="G167" s="34">
        <v>5</v>
      </c>
      <c r="H167" s="34">
        <v>81005</v>
      </c>
      <c r="I167" s="34" t="s">
        <v>2690</v>
      </c>
      <c r="J167" s="34">
        <v>26742134</v>
      </c>
      <c r="K167" s="34" t="s">
        <v>4221</v>
      </c>
      <c r="L167" s="40" t="s">
        <v>4222</v>
      </c>
      <c r="M167" s="36">
        <v>259900</v>
      </c>
      <c r="N167" s="36" t="s">
        <v>2569</v>
      </c>
      <c r="O167" s="34" t="str">
        <f t="shared" si="7"/>
        <v>B1G2</v>
      </c>
      <c r="P167" s="36" t="s">
        <v>2569</v>
      </c>
    </row>
    <row r="168" spans="1:16" x14ac:dyDescent="0.35">
      <c r="A168" s="34" t="str">
        <f t="shared" si="5"/>
        <v>2024 JULY-DEC B1G2</v>
      </c>
      <c r="B168" s="35">
        <f t="shared" si="5"/>
        <v>46086</v>
      </c>
      <c r="C168" s="35">
        <f t="shared" si="5"/>
        <v>46092</v>
      </c>
      <c r="D168" s="34">
        <v>3321</v>
      </c>
      <c r="E168" s="34">
        <v>337</v>
      </c>
      <c r="F168" s="34">
        <v>4</v>
      </c>
      <c r="G168" s="34">
        <v>5</v>
      </c>
      <c r="H168" s="34">
        <v>81005</v>
      </c>
      <c r="I168" s="34" t="s">
        <v>2690</v>
      </c>
      <c r="J168" s="34">
        <v>26742143</v>
      </c>
      <c r="K168" s="34" t="s">
        <v>4221</v>
      </c>
      <c r="L168" s="40" t="s">
        <v>4223</v>
      </c>
      <c r="M168" s="36">
        <v>259900</v>
      </c>
      <c r="N168" s="36" t="s">
        <v>2569</v>
      </c>
      <c r="O168" s="34" t="str">
        <f t="shared" si="7"/>
        <v>B1G2</v>
      </c>
      <c r="P168" s="36" t="s">
        <v>2569</v>
      </c>
    </row>
    <row r="169" spans="1:16" x14ac:dyDescent="0.35">
      <c r="A169" s="34" t="str">
        <f t="shared" si="5"/>
        <v>2024 JULY-DEC B1G2</v>
      </c>
      <c r="B169" s="35">
        <f t="shared" si="5"/>
        <v>46086</v>
      </c>
      <c r="C169" s="35">
        <f t="shared" si="5"/>
        <v>46092</v>
      </c>
      <c r="D169" s="34">
        <v>3321</v>
      </c>
      <c r="E169" s="34">
        <v>337</v>
      </c>
      <c r="F169" s="34">
        <v>4</v>
      </c>
      <c r="G169" s="34">
        <v>5</v>
      </c>
      <c r="H169" s="34">
        <v>81005</v>
      </c>
      <c r="I169" s="34" t="s">
        <v>2690</v>
      </c>
      <c r="J169" s="34">
        <v>26742152</v>
      </c>
      <c r="K169" s="34" t="s">
        <v>4221</v>
      </c>
      <c r="L169" s="40" t="s">
        <v>4224</v>
      </c>
      <c r="M169" s="36">
        <v>259900</v>
      </c>
      <c r="N169" s="36" t="s">
        <v>2569</v>
      </c>
      <c r="O169" s="34" t="str">
        <f t="shared" si="7"/>
        <v>B1G2</v>
      </c>
      <c r="P169" s="36" t="s">
        <v>2569</v>
      </c>
    </row>
    <row r="170" spans="1:16" x14ac:dyDescent="0.35">
      <c r="A170" s="34" t="str">
        <f t="shared" si="5"/>
        <v>2024 JULY-DEC B1G2</v>
      </c>
      <c r="B170" s="35">
        <f t="shared" si="5"/>
        <v>46086</v>
      </c>
      <c r="C170" s="35">
        <f t="shared" si="5"/>
        <v>46092</v>
      </c>
      <c r="D170" s="34">
        <v>3321</v>
      </c>
      <c r="E170" s="34">
        <v>337</v>
      </c>
      <c r="F170" s="34">
        <v>4</v>
      </c>
      <c r="G170" s="34">
        <v>5</v>
      </c>
      <c r="H170" s="34">
        <v>81005</v>
      </c>
      <c r="I170" s="34" t="s">
        <v>2690</v>
      </c>
      <c r="J170" s="34">
        <v>26742161</v>
      </c>
      <c r="K170" s="34" t="s">
        <v>4221</v>
      </c>
      <c r="L170" s="40" t="s">
        <v>4225</v>
      </c>
      <c r="M170" s="36">
        <v>259900</v>
      </c>
      <c r="N170" s="36" t="s">
        <v>2569</v>
      </c>
      <c r="O170" s="34" t="str">
        <f t="shared" si="7"/>
        <v>B1G2</v>
      </c>
      <c r="P170" s="36" t="s">
        <v>2569</v>
      </c>
    </row>
    <row r="171" spans="1:16" x14ac:dyDescent="0.35">
      <c r="A171" s="34" t="str">
        <f t="shared" si="5"/>
        <v>2024 JULY-DEC B1G2</v>
      </c>
      <c r="B171" s="35">
        <f t="shared" si="5"/>
        <v>46086</v>
      </c>
      <c r="C171" s="35">
        <f t="shared" si="5"/>
        <v>46092</v>
      </c>
      <c r="D171" s="34">
        <v>3321</v>
      </c>
      <c r="E171" s="34">
        <v>337</v>
      </c>
      <c r="F171" s="34">
        <v>4</v>
      </c>
      <c r="G171" s="34">
        <v>5</v>
      </c>
      <c r="H171" s="34">
        <v>81005</v>
      </c>
      <c r="I171" s="34" t="s">
        <v>2690</v>
      </c>
      <c r="J171" s="34">
        <v>26742170</v>
      </c>
      <c r="K171" s="34" t="s">
        <v>4221</v>
      </c>
      <c r="L171" s="40" t="s">
        <v>4226</v>
      </c>
      <c r="M171" s="36">
        <v>259900</v>
      </c>
      <c r="N171" s="36" t="s">
        <v>2569</v>
      </c>
      <c r="O171" s="34" t="str">
        <f t="shared" si="7"/>
        <v>B1G2</v>
      </c>
      <c r="P171" s="36" t="s">
        <v>2569</v>
      </c>
    </row>
    <row r="172" spans="1:16" x14ac:dyDescent="0.35">
      <c r="A172" s="34" t="str">
        <f t="shared" si="5"/>
        <v>2024 JULY-DEC B1G2</v>
      </c>
      <c r="B172" s="35">
        <f t="shared" si="5"/>
        <v>46086</v>
      </c>
      <c r="C172" s="35">
        <f t="shared" si="5"/>
        <v>46092</v>
      </c>
      <c r="D172" s="34">
        <v>3321</v>
      </c>
      <c r="E172" s="34">
        <v>337</v>
      </c>
      <c r="F172" s="34">
        <v>4</v>
      </c>
      <c r="G172" s="34">
        <v>1</v>
      </c>
      <c r="H172" s="34">
        <v>81421</v>
      </c>
      <c r="I172" s="34" t="s">
        <v>2690</v>
      </c>
      <c r="J172" s="34">
        <v>26741804</v>
      </c>
      <c r="K172" s="34" t="s">
        <v>4227</v>
      </c>
      <c r="L172" s="40" t="s">
        <v>4228</v>
      </c>
      <c r="M172" s="36">
        <v>179900</v>
      </c>
      <c r="N172" s="36" t="s">
        <v>2569</v>
      </c>
      <c r="O172" s="34" t="str">
        <f t="shared" si="7"/>
        <v>B1G2</v>
      </c>
      <c r="P172" s="36" t="s">
        <v>2569</v>
      </c>
    </row>
    <row r="173" spans="1:16" x14ac:dyDescent="0.35">
      <c r="A173" s="34" t="str">
        <f t="shared" si="5"/>
        <v>2024 JULY-DEC B1G2</v>
      </c>
      <c r="B173" s="35">
        <f t="shared" si="5"/>
        <v>46086</v>
      </c>
      <c r="C173" s="35">
        <f t="shared" si="5"/>
        <v>46092</v>
      </c>
      <c r="D173" s="34">
        <v>3321</v>
      </c>
      <c r="E173" s="34">
        <v>337</v>
      </c>
      <c r="F173" s="34">
        <v>4</v>
      </c>
      <c r="G173" s="34">
        <v>1</v>
      </c>
      <c r="H173" s="34">
        <v>81421</v>
      </c>
      <c r="I173" s="34" t="s">
        <v>2690</v>
      </c>
      <c r="J173" s="34">
        <v>26741813</v>
      </c>
      <c r="K173" s="34" t="s">
        <v>4227</v>
      </c>
      <c r="L173" s="40" t="s">
        <v>4229</v>
      </c>
      <c r="M173" s="36">
        <v>179900</v>
      </c>
      <c r="N173" s="36" t="s">
        <v>2569</v>
      </c>
      <c r="O173" s="34" t="str">
        <f t="shared" si="7"/>
        <v>B1G2</v>
      </c>
      <c r="P173" s="36" t="s">
        <v>2569</v>
      </c>
    </row>
    <row r="174" spans="1:16" x14ac:dyDescent="0.35">
      <c r="A174" s="34" t="str">
        <f t="shared" ref="A174:C237" si="8">A173</f>
        <v>2024 JULY-DEC B1G2</v>
      </c>
      <c r="B174" s="35">
        <f t="shared" si="8"/>
        <v>46086</v>
      </c>
      <c r="C174" s="35">
        <f t="shared" si="8"/>
        <v>46092</v>
      </c>
      <c r="D174" s="34">
        <v>3321</v>
      </c>
      <c r="E174" s="34">
        <v>337</v>
      </c>
      <c r="F174" s="34">
        <v>4</v>
      </c>
      <c r="G174" s="34">
        <v>1</v>
      </c>
      <c r="H174" s="34">
        <v>81421</v>
      </c>
      <c r="I174" s="34" t="s">
        <v>2690</v>
      </c>
      <c r="J174" s="34">
        <v>26741822</v>
      </c>
      <c r="K174" s="34" t="s">
        <v>4227</v>
      </c>
      <c r="L174" s="40" t="s">
        <v>4230</v>
      </c>
      <c r="M174" s="36">
        <v>179900</v>
      </c>
      <c r="N174" s="36" t="s">
        <v>2569</v>
      </c>
      <c r="O174" s="34" t="str">
        <f t="shared" ref="O174:O205" si="9">O173</f>
        <v>B1G2</v>
      </c>
      <c r="P174" s="36" t="s">
        <v>2569</v>
      </c>
    </row>
    <row r="175" spans="1:16" x14ac:dyDescent="0.35">
      <c r="A175" s="34" t="str">
        <f t="shared" si="8"/>
        <v>2024 JULY-DEC B1G2</v>
      </c>
      <c r="B175" s="35">
        <f t="shared" si="8"/>
        <v>46086</v>
      </c>
      <c r="C175" s="35">
        <f t="shared" si="8"/>
        <v>46092</v>
      </c>
      <c r="D175" s="34">
        <v>3321</v>
      </c>
      <c r="E175" s="34">
        <v>337</v>
      </c>
      <c r="F175" s="34">
        <v>4</v>
      </c>
      <c r="G175" s="34">
        <v>3</v>
      </c>
      <c r="H175" s="34">
        <v>81421</v>
      </c>
      <c r="I175" s="34" t="s">
        <v>2690</v>
      </c>
      <c r="J175" s="34">
        <v>26741966</v>
      </c>
      <c r="K175" s="34" t="s">
        <v>4232</v>
      </c>
      <c r="L175" s="40" t="s">
        <v>4233</v>
      </c>
      <c r="M175" s="36">
        <v>229900</v>
      </c>
      <c r="N175" s="36" t="s">
        <v>2569</v>
      </c>
      <c r="O175" s="34" t="str">
        <f t="shared" si="9"/>
        <v>B1G2</v>
      </c>
      <c r="P175" s="36" t="s">
        <v>2569</v>
      </c>
    </row>
    <row r="176" spans="1:16" x14ac:dyDescent="0.35">
      <c r="A176" s="34" t="str">
        <f t="shared" si="8"/>
        <v>2024 JULY-DEC B1G2</v>
      </c>
      <c r="B176" s="35">
        <f t="shared" si="8"/>
        <v>46086</v>
      </c>
      <c r="C176" s="35">
        <f t="shared" si="8"/>
        <v>46092</v>
      </c>
      <c r="D176" s="34">
        <v>3321</v>
      </c>
      <c r="E176" s="34">
        <v>337</v>
      </c>
      <c r="F176" s="34">
        <v>4</v>
      </c>
      <c r="G176" s="34">
        <v>3</v>
      </c>
      <c r="H176" s="34">
        <v>81421</v>
      </c>
      <c r="I176" s="34" t="s">
        <v>2690</v>
      </c>
      <c r="J176" s="34">
        <v>26741975</v>
      </c>
      <c r="K176" s="34" t="s">
        <v>4232</v>
      </c>
      <c r="L176" s="40" t="s">
        <v>4234</v>
      </c>
      <c r="M176" s="36">
        <v>229900</v>
      </c>
      <c r="N176" s="36" t="s">
        <v>2569</v>
      </c>
      <c r="O176" s="34" t="str">
        <f t="shared" si="9"/>
        <v>B1G2</v>
      </c>
      <c r="P176" s="36" t="s">
        <v>2569</v>
      </c>
    </row>
    <row r="177" spans="1:16" x14ac:dyDescent="0.35">
      <c r="A177" s="34" t="str">
        <f t="shared" si="8"/>
        <v>2024 JULY-DEC B1G2</v>
      </c>
      <c r="B177" s="35">
        <f t="shared" si="8"/>
        <v>46086</v>
      </c>
      <c r="C177" s="35">
        <f t="shared" si="8"/>
        <v>46092</v>
      </c>
      <c r="D177" s="34">
        <v>3321</v>
      </c>
      <c r="E177" s="34">
        <v>337</v>
      </c>
      <c r="F177" s="34">
        <v>4</v>
      </c>
      <c r="G177" s="34">
        <v>3</v>
      </c>
      <c r="H177" s="34">
        <v>81421</v>
      </c>
      <c r="I177" s="34" t="s">
        <v>2690</v>
      </c>
      <c r="J177" s="34">
        <v>26742027</v>
      </c>
      <c r="K177" s="34" t="s">
        <v>4232</v>
      </c>
      <c r="L177" s="40" t="s">
        <v>4235</v>
      </c>
      <c r="M177" s="36">
        <v>229900</v>
      </c>
      <c r="N177" s="36" t="s">
        <v>2569</v>
      </c>
      <c r="O177" s="34" t="str">
        <f t="shared" si="9"/>
        <v>B1G2</v>
      </c>
      <c r="P177" s="36" t="s">
        <v>2569</v>
      </c>
    </row>
    <row r="178" spans="1:16" x14ac:dyDescent="0.35">
      <c r="A178" s="34" t="str">
        <f t="shared" si="8"/>
        <v>2024 JULY-DEC B1G2</v>
      </c>
      <c r="B178" s="35">
        <f t="shared" si="8"/>
        <v>46086</v>
      </c>
      <c r="C178" s="35">
        <f t="shared" si="8"/>
        <v>46092</v>
      </c>
      <c r="D178" s="34">
        <v>3321</v>
      </c>
      <c r="E178" s="34">
        <v>337</v>
      </c>
      <c r="F178" s="34">
        <v>4</v>
      </c>
      <c r="G178" s="34">
        <v>1</v>
      </c>
      <c r="H178" s="34">
        <v>81421</v>
      </c>
      <c r="I178" s="34" t="s">
        <v>2690</v>
      </c>
      <c r="J178" s="34">
        <v>26741831</v>
      </c>
      <c r="K178" s="34" t="s">
        <v>4227</v>
      </c>
      <c r="L178" s="40" t="s">
        <v>4231</v>
      </c>
      <c r="M178" s="36">
        <v>179900</v>
      </c>
      <c r="N178" s="36" t="s">
        <v>2569</v>
      </c>
      <c r="O178" s="34" t="str">
        <f t="shared" si="9"/>
        <v>B1G2</v>
      </c>
      <c r="P178" s="36" t="s">
        <v>2569</v>
      </c>
    </row>
    <row r="179" spans="1:16" x14ac:dyDescent="0.35">
      <c r="A179" s="34" t="str">
        <f t="shared" si="8"/>
        <v>2024 JULY-DEC B1G2</v>
      </c>
      <c r="B179" s="35">
        <f t="shared" si="8"/>
        <v>46086</v>
      </c>
      <c r="C179" s="35">
        <f t="shared" si="8"/>
        <v>46092</v>
      </c>
      <c r="D179" s="34">
        <v>3321</v>
      </c>
      <c r="E179" s="34">
        <v>337</v>
      </c>
      <c r="F179" s="34">
        <v>4</v>
      </c>
      <c r="G179" s="34">
        <v>3</v>
      </c>
      <c r="H179" s="34">
        <v>81421</v>
      </c>
      <c r="I179" s="34" t="s">
        <v>2690</v>
      </c>
      <c r="J179" s="34">
        <v>26742036</v>
      </c>
      <c r="K179" s="34" t="s">
        <v>4232</v>
      </c>
      <c r="L179" s="40" t="s">
        <v>4236</v>
      </c>
      <c r="M179" s="36">
        <v>229900</v>
      </c>
      <c r="N179" s="36" t="s">
        <v>2569</v>
      </c>
      <c r="O179" s="34" t="str">
        <f t="shared" si="9"/>
        <v>B1G2</v>
      </c>
      <c r="P179" s="36" t="s">
        <v>2569</v>
      </c>
    </row>
    <row r="180" spans="1:16" x14ac:dyDescent="0.35">
      <c r="A180" s="34" t="str">
        <f t="shared" si="8"/>
        <v>2024 JULY-DEC B1G2</v>
      </c>
      <c r="B180" s="35">
        <f t="shared" si="8"/>
        <v>46086</v>
      </c>
      <c r="C180" s="35">
        <f t="shared" si="8"/>
        <v>46092</v>
      </c>
      <c r="D180" s="34">
        <v>3321</v>
      </c>
      <c r="E180" s="34">
        <v>337</v>
      </c>
      <c r="F180" s="34">
        <v>4</v>
      </c>
      <c r="G180" s="34">
        <v>3</v>
      </c>
      <c r="H180" s="34">
        <v>81005</v>
      </c>
      <c r="I180" s="34" t="s">
        <v>2690</v>
      </c>
      <c r="J180" s="34">
        <v>50028085</v>
      </c>
      <c r="K180" s="34" t="s">
        <v>4237</v>
      </c>
      <c r="L180" s="40" t="s">
        <v>4238</v>
      </c>
      <c r="M180" s="36">
        <v>269900</v>
      </c>
      <c r="N180" s="36" t="s">
        <v>2569</v>
      </c>
      <c r="O180" s="34" t="str">
        <f t="shared" si="9"/>
        <v>B1G2</v>
      </c>
      <c r="P180" s="36" t="s">
        <v>2569</v>
      </c>
    </row>
    <row r="181" spans="1:16" x14ac:dyDescent="0.35">
      <c r="A181" s="34" t="str">
        <f t="shared" si="8"/>
        <v>2024 JULY-DEC B1G2</v>
      </c>
      <c r="B181" s="35">
        <f t="shared" si="8"/>
        <v>46086</v>
      </c>
      <c r="C181" s="35">
        <f t="shared" si="8"/>
        <v>46092</v>
      </c>
      <c r="D181" s="34">
        <v>3321</v>
      </c>
      <c r="E181" s="34">
        <v>337</v>
      </c>
      <c r="F181" s="34">
        <v>4</v>
      </c>
      <c r="G181" s="34">
        <v>3</v>
      </c>
      <c r="H181" s="34">
        <v>81005</v>
      </c>
      <c r="I181" s="34" t="s">
        <v>2690</v>
      </c>
      <c r="J181" s="34">
        <v>50028094</v>
      </c>
      <c r="K181" s="34" t="s">
        <v>4237</v>
      </c>
      <c r="L181" s="40" t="s">
        <v>4239</v>
      </c>
      <c r="M181" s="36">
        <v>269900</v>
      </c>
      <c r="N181" s="36" t="s">
        <v>2569</v>
      </c>
      <c r="O181" s="34" t="str">
        <f t="shared" si="9"/>
        <v>B1G2</v>
      </c>
      <c r="P181" s="36" t="s">
        <v>2569</v>
      </c>
    </row>
    <row r="182" spans="1:16" x14ac:dyDescent="0.35">
      <c r="A182" s="34" t="str">
        <f t="shared" si="8"/>
        <v>2024 JULY-DEC B1G2</v>
      </c>
      <c r="B182" s="35">
        <f t="shared" si="8"/>
        <v>46086</v>
      </c>
      <c r="C182" s="35">
        <f t="shared" si="8"/>
        <v>46092</v>
      </c>
      <c r="D182" s="34">
        <v>3321</v>
      </c>
      <c r="E182" s="34">
        <v>337</v>
      </c>
      <c r="F182" s="34">
        <v>4</v>
      </c>
      <c r="G182" s="34">
        <v>3</v>
      </c>
      <c r="H182" s="34">
        <v>81005</v>
      </c>
      <c r="I182" s="34" t="s">
        <v>2690</v>
      </c>
      <c r="J182" s="34">
        <v>50028101</v>
      </c>
      <c r="K182" s="34" t="s">
        <v>4237</v>
      </c>
      <c r="L182" s="40" t="s">
        <v>4240</v>
      </c>
      <c r="M182" s="36">
        <v>269900</v>
      </c>
      <c r="N182" s="36" t="s">
        <v>2569</v>
      </c>
      <c r="O182" s="34" t="str">
        <f t="shared" si="9"/>
        <v>B1G2</v>
      </c>
      <c r="P182" s="36" t="s">
        <v>2569</v>
      </c>
    </row>
    <row r="183" spans="1:16" x14ac:dyDescent="0.35">
      <c r="A183" s="34" t="str">
        <f t="shared" si="8"/>
        <v>2024 JULY-DEC B1G2</v>
      </c>
      <c r="B183" s="35">
        <f t="shared" si="8"/>
        <v>46086</v>
      </c>
      <c r="C183" s="35">
        <f t="shared" si="8"/>
        <v>46092</v>
      </c>
      <c r="D183" s="34">
        <v>3321</v>
      </c>
      <c r="E183" s="34">
        <v>337</v>
      </c>
      <c r="F183" s="34">
        <v>4</v>
      </c>
      <c r="G183" s="34">
        <v>3</v>
      </c>
      <c r="H183" s="34">
        <v>81005</v>
      </c>
      <c r="I183" s="34" t="s">
        <v>2690</v>
      </c>
      <c r="J183" s="34">
        <v>50028110</v>
      </c>
      <c r="K183" s="34" t="s">
        <v>4237</v>
      </c>
      <c r="L183" s="40" t="s">
        <v>4241</v>
      </c>
      <c r="M183" s="36">
        <v>269900</v>
      </c>
      <c r="N183" s="36" t="s">
        <v>2569</v>
      </c>
      <c r="O183" s="34" t="str">
        <f t="shared" si="9"/>
        <v>B1G2</v>
      </c>
      <c r="P183" s="36" t="s">
        <v>2569</v>
      </c>
    </row>
    <row r="184" spans="1:16" x14ac:dyDescent="0.35">
      <c r="A184" s="34" t="str">
        <f t="shared" si="8"/>
        <v>2024 JULY-DEC B1G2</v>
      </c>
      <c r="B184" s="35">
        <f t="shared" si="8"/>
        <v>46086</v>
      </c>
      <c r="C184" s="35">
        <f t="shared" si="8"/>
        <v>46092</v>
      </c>
      <c r="D184" s="34">
        <v>3321</v>
      </c>
      <c r="E184" s="34">
        <v>337</v>
      </c>
      <c r="F184" s="34">
        <v>4</v>
      </c>
      <c r="G184" s="34">
        <v>3</v>
      </c>
      <c r="H184" s="34">
        <v>81800</v>
      </c>
      <c r="I184" s="34" t="s">
        <v>2690</v>
      </c>
      <c r="J184" s="34">
        <v>50028049</v>
      </c>
      <c r="K184" s="34" t="s">
        <v>4242</v>
      </c>
      <c r="L184" s="40" t="s">
        <v>4243</v>
      </c>
      <c r="M184" s="36">
        <v>239900</v>
      </c>
      <c r="N184" s="36" t="s">
        <v>2569</v>
      </c>
      <c r="O184" s="34" t="str">
        <f t="shared" si="9"/>
        <v>B1G2</v>
      </c>
      <c r="P184" s="36" t="s">
        <v>2569</v>
      </c>
    </row>
    <row r="185" spans="1:16" x14ac:dyDescent="0.35">
      <c r="A185" s="34" t="str">
        <f t="shared" si="8"/>
        <v>2024 JULY-DEC B1G2</v>
      </c>
      <c r="B185" s="35">
        <f t="shared" si="8"/>
        <v>46086</v>
      </c>
      <c r="C185" s="35">
        <f t="shared" si="8"/>
        <v>46092</v>
      </c>
      <c r="D185" s="34">
        <v>3321</v>
      </c>
      <c r="E185" s="34">
        <v>337</v>
      </c>
      <c r="F185" s="34">
        <v>4</v>
      </c>
      <c r="G185" s="34">
        <v>3</v>
      </c>
      <c r="H185" s="34">
        <v>81800</v>
      </c>
      <c r="I185" s="34" t="s">
        <v>2690</v>
      </c>
      <c r="J185" s="34">
        <v>50028058</v>
      </c>
      <c r="K185" s="34" t="s">
        <v>4242</v>
      </c>
      <c r="L185" s="40" t="s">
        <v>4244</v>
      </c>
      <c r="M185" s="36">
        <v>239900</v>
      </c>
      <c r="N185" s="36" t="s">
        <v>2569</v>
      </c>
      <c r="O185" s="34" t="str">
        <f t="shared" si="9"/>
        <v>B1G2</v>
      </c>
      <c r="P185" s="36" t="s">
        <v>2569</v>
      </c>
    </row>
    <row r="186" spans="1:16" x14ac:dyDescent="0.35">
      <c r="A186" s="34" t="str">
        <f t="shared" si="8"/>
        <v>2024 JULY-DEC B1G2</v>
      </c>
      <c r="B186" s="35">
        <f t="shared" si="8"/>
        <v>46086</v>
      </c>
      <c r="C186" s="35">
        <f t="shared" si="8"/>
        <v>46092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50028067</v>
      </c>
      <c r="K186" s="34" t="s">
        <v>4242</v>
      </c>
      <c r="L186" s="40" t="s">
        <v>4245</v>
      </c>
      <c r="M186" s="36">
        <v>239900</v>
      </c>
      <c r="N186" s="36" t="s">
        <v>2569</v>
      </c>
      <c r="O186" s="34" t="str">
        <f t="shared" si="9"/>
        <v>B1G2</v>
      </c>
      <c r="P186" s="36" t="s">
        <v>2569</v>
      </c>
    </row>
    <row r="187" spans="1:16" x14ac:dyDescent="0.35">
      <c r="A187" s="34" t="str">
        <f t="shared" si="8"/>
        <v>2024 JULY-DEC B1G2</v>
      </c>
      <c r="B187" s="35">
        <f t="shared" si="8"/>
        <v>46086</v>
      </c>
      <c r="C187" s="35">
        <f t="shared" si="8"/>
        <v>46092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50028076</v>
      </c>
      <c r="K187" s="34" t="s">
        <v>4242</v>
      </c>
      <c r="L187" s="40" t="s">
        <v>4246</v>
      </c>
      <c r="M187" s="36">
        <v>239900</v>
      </c>
      <c r="N187" s="36" t="s">
        <v>2569</v>
      </c>
      <c r="O187" s="34" t="str">
        <f t="shared" si="9"/>
        <v>B1G2</v>
      </c>
      <c r="P187" s="36" t="s">
        <v>2569</v>
      </c>
    </row>
    <row r="188" spans="1:16" x14ac:dyDescent="0.35">
      <c r="A188" s="34" t="str">
        <f t="shared" si="8"/>
        <v>2024 JULY-DEC B1G2</v>
      </c>
      <c r="B188" s="35">
        <f t="shared" si="8"/>
        <v>46086</v>
      </c>
      <c r="C188" s="35">
        <f t="shared" si="8"/>
        <v>46092</v>
      </c>
      <c r="D188" s="34">
        <v>3321</v>
      </c>
      <c r="E188" s="34">
        <v>337</v>
      </c>
      <c r="F188" s="34">
        <v>4</v>
      </c>
      <c r="G188" s="34">
        <v>4</v>
      </c>
      <c r="H188" s="34">
        <v>81800</v>
      </c>
      <c r="I188" s="34" t="s">
        <v>2690</v>
      </c>
      <c r="J188" s="34">
        <v>50028129</v>
      </c>
      <c r="K188" s="34" t="s">
        <v>4247</v>
      </c>
      <c r="L188" s="40" t="s">
        <v>4248</v>
      </c>
      <c r="M188" s="36">
        <v>249900</v>
      </c>
      <c r="N188" s="36" t="s">
        <v>2569</v>
      </c>
      <c r="O188" s="34" t="str">
        <f t="shared" si="9"/>
        <v>B1G2</v>
      </c>
      <c r="P188" s="36" t="s">
        <v>2569</v>
      </c>
    </row>
    <row r="189" spans="1:16" x14ac:dyDescent="0.35">
      <c r="A189" s="34" t="str">
        <f t="shared" si="8"/>
        <v>2024 JULY-DEC B1G2</v>
      </c>
      <c r="B189" s="35">
        <f t="shared" si="8"/>
        <v>46086</v>
      </c>
      <c r="C189" s="35">
        <f t="shared" si="8"/>
        <v>46092</v>
      </c>
      <c r="D189" s="34">
        <v>3321</v>
      </c>
      <c r="E189" s="34">
        <v>337</v>
      </c>
      <c r="F189" s="34">
        <v>4</v>
      </c>
      <c r="G189" s="34">
        <v>4</v>
      </c>
      <c r="H189" s="34">
        <v>81800</v>
      </c>
      <c r="I189" s="34" t="s">
        <v>2690</v>
      </c>
      <c r="J189" s="34">
        <v>50028138</v>
      </c>
      <c r="K189" s="34" t="s">
        <v>4247</v>
      </c>
      <c r="L189" s="40" t="s">
        <v>4249</v>
      </c>
      <c r="M189" s="36">
        <v>249900</v>
      </c>
      <c r="N189" s="36" t="s">
        <v>2569</v>
      </c>
      <c r="O189" s="34" t="str">
        <f t="shared" si="9"/>
        <v>B1G2</v>
      </c>
      <c r="P189" s="36" t="s">
        <v>2569</v>
      </c>
    </row>
    <row r="190" spans="1:16" x14ac:dyDescent="0.35">
      <c r="A190" s="34" t="str">
        <f t="shared" si="8"/>
        <v>2024 JULY-DEC B1G2</v>
      </c>
      <c r="B190" s="35">
        <f t="shared" si="8"/>
        <v>46086</v>
      </c>
      <c r="C190" s="35">
        <f t="shared" si="8"/>
        <v>46092</v>
      </c>
      <c r="D190" s="34">
        <v>3321</v>
      </c>
      <c r="E190" s="34">
        <v>337</v>
      </c>
      <c r="F190" s="34">
        <v>4</v>
      </c>
      <c r="G190" s="34">
        <v>4</v>
      </c>
      <c r="H190" s="34">
        <v>81800</v>
      </c>
      <c r="I190" s="34" t="s">
        <v>2690</v>
      </c>
      <c r="J190" s="34">
        <v>50028147</v>
      </c>
      <c r="K190" s="34" t="s">
        <v>4247</v>
      </c>
      <c r="L190" s="40" t="s">
        <v>4250</v>
      </c>
      <c r="M190" s="36">
        <v>249900</v>
      </c>
      <c r="N190" s="36" t="s">
        <v>2569</v>
      </c>
      <c r="O190" s="34" t="str">
        <f t="shared" si="9"/>
        <v>B1G2</v>
      </c>
      <c r="P190" s="36" t="s">
        <v>2569</v>
      </c>
    </row>
    <row r="191" spans="1:16" x14ac:dyDescent="0.35">
      <c r="A191" s="34" t="str">
        <f t="shared" si="8"/>
        <v>2024 JULY-DEC B1G2</v>
      </c>
      <c r="B191" s="35">
        <f t="shared" si="8"/>
        <v>46086</v>
      </c>
      <c r="C191" s="35">
        <f t="shared" si="8"/>
        <v>46092</v>
      </c>
      <c r="D191" s="34">
        <v>3321</v>
      </c>
      <c r="E191" s="34">
        <v>337</v>
      </c>
      <c r="F191" s="34">
        <v>4</v>
      </c>
      <c r="G191" s="34">
        <v>4</v>
      </c>
      <c r="H191" s="34">
        <v>81800</v>
      </c>
      <c r="I191" s="34" t="s">
        <v>2690</v>
      </c>
      <c r="J191" s="34">
        <v>50028156</v>
      </c>
      <c r="K191" s="34" t="s">
        <v>4247</v>
      </c>
      <c r="L191" s="40" t="s">
        <v>4251</v>
      </c>
      <c r="M191" s="36">
        <v>249900</v>
      </c>
      <c r="N191" s="36" t="s">
        <v>2569</v>
      </c>
      <c r="O191" s="34" t="str">
        <f t="shared" si="9"/>
        <v>B1G2</v>
      </c>
      <c r="P191" s="36" t="s">
        <v>2569</v>
      </c>
    </row>
    <row r="192" spans="1:16" x14ac:dyDescent="0.35">
      <c r="A192" s="34" t="str">
        <f t="shared" si="8"/>
        <v>2024 JULY-DEC B1G2</v>
      </c>
      <c r="B192" s="35">
        <f t="shared" si="8"/>
        <v>46086</v>
      </c>
      <c r="C192" s="35">
        <f t="shared" si="8"/>
        <v>46092</v>
      </c>
      <c r="D192" s="34">
        <v>3321</v>
      </c>
      <c r="E192" s="34">
        <v>337</v>
      </c>
      <c r="F192" s="34">
        <v>4</v>
      </c>
      <c r="G192" s="34">
        <v>5</v>
      </c>
      <c r="H192" s="34">
        <v>81421</v>
      </c>
      <c r="I192" s="34" t="s">
        <v>2690</v>
      </c>
      <c r="J192" s="34">
        <v>26742278</v>
      </c>
      <c r="K192" s="34" t="s">
        <v>4252</v>
      </c>
      <c r="L192" s="40" t="s">
        <v>4253</v>
      </c>
      <c r="M192" s="36">
        <v>279900</v>
      </c>
      <c r="N192" s="36" t="s">
        <v>2569</v>
      </c>
      <c r="O192" s="34" t="str">
        <f t="shared" si="9"/>
        <v>B1G2</v>
      </c>
      <c r="P192" s="36" t="s">
        <v>2569</v>
      </c>
    </row>
    <row r="193" spans="1:16" x14ac:dyDescent="0.35">
      <c r="A193" s="34" t="str">
        <f t="shared" si="8"/>
        <v>2024 JULY-DEC B1G2</v>
      </c>
      <c r="B193" s="35">
        <f t="shared" si="8"/>
        <v>46086</v>
      </c>
      <c r="C193" s="35">
        <f t="shared" si="8"/>
        <v>46092</v>
      </c>
      <c r="D193" s="34">
        <v>3321</v>
      </c>
      <c r="E193" s="34">
        <v>337</v>
      </c>
      <c r="F193" s="34">
        <v>4</v>
      </c>
      <c r="G193" s="34">
        <v>5</v>
      </c>
      <c r="H193" s="34">
        <v>81421</v>
      </c>
      <c r="I193" s="34" t="s">
        <v>2690</v>
      </c>
      <c r="J193" s="34">
        <v>26742287</v>
      </c>
      <c r="K193" s="34" t="s">
        <v>4252</v>
      </c>
      <c r="L193" s="40" t="s">
        <v>4254</v>
      </c>
      <c r="M193" s="36">
        <v>279900</v>
      </c>
      <c r="N193" s="36" t="s">
        <v>2569</v>
      </c>
      <c r="O193" s="34" t="str">
        <f t="shared" si="9"/>
        <v>B1G2</v>
      </c>
      <c r="P193" s="36" t="s">
        <v>2569</v>
      </c>
    </row>
    <row r="194" spans="1:16" x14ac:dyDescent="0.35">
      <c r="A194" s="34" t="str">
        <f t="shared" si="8"/>
        <v>2024 JULY-DEC B1G2</v>
      </c>
      <c r="B194" s="35">
        <f t="shared" si="8"/>
        <v>46086</v>
      </c>
      <c r="C194" s="35">
        <f t="shared" si="8"/>
        <v>46092</v>
      </c>
      <c r="D194" s="34">
        <v>3321</v>
      </c>
      <c r="E194" s="34">
        <v>337</v>
      </c>
      <c r="F194" s="34">
        <v>4</v>
      </c>
      <c r="G194" s="34">
        <v>5</v>
      </c>
      <c r="H194" s="34">
        <v>81421</v>
      </c>
      <c r="I194" s="34" t="s">
        <v>2690</v>
      </c>
      <c r="J194" s="34">
        <v>26742296</v>
      </c>
      <c r="K194" s="34" t="s">
        <v>4252</v>
      </c>
      <c r="L194" s="40" t="s">
        <v>4255</v>
      </c>
      <c r="M194" s="36">
        <v>279900</v>
      </c>
      <c r="N194" s="36" t="s">
        <v>2569</v>
      </c>
      <c r="O194" s="34" t="str">
        <f t="shared" si="9"/>
        <v>B1G2</v>
      </c>
      <c r="P194" s="36" t="s">
        <v>2569</v>
      </c>
    </row>
    <row r="195" spans="1:16" x14ac:dyDescent="0.35">
      <c r="A195" s="34" t="str">
        <f t="shared" si="8"/>
        <v>2024 JULY-DEC B1G2</v>
      </c>
      <c r="B195" s="35">
        <f t="shared" si="8"/>
        <v>46086</v>
      </c>
      <c r="C195" s="35">
        <f t="shared" si="8"/>
        <v>46092</v>
      </c>
      <c r="D195" s="34">
        <v>3321</v>
      </c>
      <c r="E195" s="34">
        <v>337</v>
      </c>
      <c r="F195" s="34">
        <v>4</v>
      </c>
      <c r="G195" s="34">
        <v>5</v>
      </c>
      <c r="H195" s="34">
        <v>81421</v>
      </c>
      <c r="I195" s="34" t="s">
        <v>2690</v>
      </c>
      <c r="J195" s="34">
        <v>26742303</v>
      </c>
      <c r="K195" s="34" t="s">
        <v>4252</v>
      </c>
      <c r="L195" s="40" t="s">
        <v>4256</v>
      </c>
      <c r="M195" s="36">
        <v>279900</v>
      </c>
      <c r="N195" s="36" t="s">
        <v>2569</v>
      </c>
      <c r="O195" s="34" t="str">
        <f t="shared" si="9"/>
        <v>B1G2</v>
      </c>
      <c r="P195" s="36" t="s">
        <v>2569</v>
      </c>
    </row>
    <row r="196" spans="1:16" x14ac:dyDescent="0.35">
      <c r="A196" s="34" t="str">
        <f t="shared" si="8"/>
        <v>2024 JULY-DEC B1G2</v>
      </c>
      <c r="B196" s="35">
        <f t="shared" si="8"/>
        <v>46086</v>
      </c>
      <c r="C196" s="35">
        <f t="shared" si="8"/>
        <v>46092</v>
      </c>
      <c r="D196" s="34">
        <v>3321</v>
      </c>
      <c r="E196" s="34">
        <v>337</v>
      </c>
      <c r="F196" s="34">
        <v>4</v>
      </c>
      <c r="G196" s="34">
        <v>5</v>
      </c>
      <c r="H196" s="34">
        <v>81421</v>
      </c>
      <c r="I196" s="34" t="s">
        <v>2690</v>
      </c>
      <c r="J196" s="34">
        <v>26742358</v>
      </c>
      <c r="K196" s="34" t="s">
        <v>4257</v>
      </c>
      <c r="L196" s="40" t="s">
        <v>4258</v>
      </c>
      <c r="M196" s="36">
        <v>279900</v>
      </c>
      <c r="N196" s="36" t="s">
        <v>2569</v>
      </c>
      <c r="O196" s="34" t="str">
        <f t="shared" si="9"/>
        <v>B1G2</v>
      </c>
      <c r="P196" s="36" t="s">
        <v>2569</v>
      </c>
    </row>
    <row r="197" spans="1:16" x14ac:dyDescent="0.35">
      <c r="A197" s="34" t="str">
        <f t="shared" si="8"/>
        <v>2024 JULY-DEC B1G2</v>
      </c>
      <c r="B197" s="35">
        <f t="shared" si="8"/>
        <v>46086</v>
      </c>
      <c r="C197" s="35">
        <f t="shared" si="8"/>
        <v>46092</v>
      </c>
      <c r="D197" s="34">
        <v>3321</v>
      </c>
      <c r="E197" s="34">
        <v>337</v>
      </c>
      <c r="F197" s="34">
        <v>4</v>
      </c>
      <c r="G197" s="34">
        <v>5</v>
      </c>
      <c r="H197" s="34">
        <v>81421</v>
      </c>
      <c r="I197" s="34" t="s">
        <v>2690</v>
      </c>
      <c r="J197" s="34">
        <v>26742367</v>
      </c>
      <c r="K197" s="34" t="s">
        <v>4257</v>
      </c>
      <c r="L197" s="40" t="s">
        <v>4259</v>
      </c>
      <c r="M197" s="36">
        <v>279900</v>
      </c>
      <c r="N197" s="36" t="s">
        <v>2569</v>
      </c>
      <c r="O197" s="34" t="str">
        <f t="shared" si="9"/>
        <v>B1G2</v>
      </c>
      <c r="P197" s="36" t="s">
        <v>2569</v>
      </c>
    </row>
    <row r="198" spans="1:16" x14ac:dyDescent="0.35">
      <c r="A198" s="34" t="str">
        <f t="shared" si="8"/>
        <v>2024 JULY-DEC B1G2</v>
      </c>
      <c r="B198" s="35">
        <f t="shared" si="8"/>
        <v>46086</v>
      </c>
      <c r="C198" s="35">
        <f t="shared" si="8"/>
        <v>46092</v>
      </c>
      <c r="D198" s="34">
        <v>3321</v>
      </c>
      <c r="E198" s="34">
        <v>337</v>
      </c>
      <c r="F198" s="34">
        <v>4</v>
      </c>
      <c r="G198" s="34">
        <v>5</v>
      </c>
      <c r="H198" s="34">
        <v>81421</v>
      </c>
      <c r="I198" s="34" t="s">
        <v>2690</v>
      </c>
      <c r="J198" s="34">
        <v>26742376</v>
      </c>
      <c r="K198" s="34" t="s">
        <v>4257</v>
      </c>
      <c r="L198" s="40" t="s">
        <v>4260</v>
      </c>
      <c r="M198" s="36">
        <v>279900</v>
      </c>
      <c r="N198" s="36" t="s">
        <v>2569</v>
      </c>
      <c r="O198" s="34" t="str">
        <f t="shared" si="9"/>
        <v>B1G2</v>
      </c>
      <c r="P198" s="36" t="s">
        <v>2569</v>
      </c>
    </row>
    <row r="199" spans="1:16" x14ac:dyDescent="0.35">
      <c r="A199" s="34" t="str">
        <f t="shared" si="8"/>
        <v>2024 JULY-DEC B1G2</v>
      </c>
      <c r="B199" s="35">
        <f t="shared" si="8"/>
        <v>46086</v>
      </c>
      <c r="C199" s="35">
        <f t="shared" si="8"/>
        <v>46092</v>
      </c>
      <c r="D199" s="34">
        <v>3321</v>
      </c>
      <c r="E199" s="34">
        <v>337</v>
      </c>
      <c r="F199" s="34">
        <v>4</v>
      </c>
      <c r="G199" s="34">
        <v>5</v>
      </c>
      <c r="H199" s="34">
        <v>81421</v>
      </c>
      <c r="I199" s="34" t="s">
        <v>2690</v>
      </c>
      <c r="J199" s="34">
        <v>26742385</v>
      </c>
      <c r="K199" s="34" t="s">
        <v>4257</v>
      </c>
      <c r="L199" s="40" t="s">
        <v>4261</v>
      </c>
      <c r="M199" s="36">
        <v>279900</v>
      </c>
      <c r="N199" s="36" t="s">
        <v>2569</v>
      </c>
      <c r="O199" s="34" t="str">
        <f t="shared" si="9"/>
        <v>B1G2</v>
      </c>
      <c r="P199" s="36" t="s">
        <v>2569</v>
      </c>
    </row>
    <row r="200" spans="1:16" x14ac:dyDescent="0.35">
      <c r="A200" s="34" t="str">
        <f t="shared" si="8"/>
        <v>2024 JULY-DEC B1G2</v>
      </c>
      <c r="B200" s="35">
        <f t="shared" si="8"/>
        <v>46086</v>
      </c>
      <c r="C200" s="35">
        <f t="shared" si="8"/>
        <v>46092</v>
      </c>
      <c r="D200" s="34">
        <v>3321</v>
      </c>
      <c r="E200" s="34">
        <v>337</v>
      </c>
      <c r="F200" s="34">
        <v>4</v>
      </c>
      <c r="G200" s="34">
        <v>5</v>
      </c>
      <c r="H200" s="34">
        <v>81800</v>
      </c>
      <c r="I200" s="34" t="s">
        <v>2690</v>
      </c>
      <c r="J200" s="34">
        <v>50028183</v>
      </c>
      <c r="K200" s="34" t="s">
        <v>4262</v>
      </c>
      <c r="L200" s="40" t="s">
        <v>4263</v>
      </c>
      <c r="M200" s="36">
        <v>299900</v>
      </c>
      <c r="N200" s="36" t="s">
        <v>2569</v>
      </c>
      <c r="O200" s="34" t="str">
        <f t="shared" si="9"/>
        <v>B1G2</v>
      </c>
      <c r="P200" s="36" t="s">
        <v>2569</v>
      </c>
    </row>
    <row r="201" spans="1:16" x14ac:dyDescent="0.35">
      <c r="A201" s="34" t="str">
        <f t="shared" si="8"/>
        <v>2024 JULY-DEC B1G2</v>
      </c>
      <c r="B201" s="35">
        <f t="shared" si="8"/>
        <v>46086</v>
      </c>
      <c r="C201" s="35">
        <f t="shared" si="8"/>
        <v>46092</v>
      </c>
      <c r="D201" s="34">
        <v>3321</v>
      </c>
      <c r="E201" s="34">
        <v>337</v>
      </c>
      <c r="F201" s="34">
        <v>4</v>
      </c>
      <c r="G201" s="34">
        <v>5</v>
      </c>
      <c r="H201" s="34">
        <v>81800</v>
      </c>
      <c r="I201" s="34" t="s">
        <v>2690</v>
      </c>
      <c r="J201" s="34">
        <v>50028192</v>
      </c>
      <c r="K201" s="34" t="s">
        <v>4262</v>
      </c>
      <c r="L201" s="40" t="s">
        <v>4264</v>
      </c>
      <c r="M201" s="36">
        <v>299900</v>
      </c>
      <c r="N201" s="36" t="s">
        <v>2569</v>
      </c>
      <c r="O201" s="34" t="str">
        <f t="shared" si="9"/>
        <v>B1G2</v>
      </c>
      <c r="P201" s="36" t="s">
        <v>2569</v>
      </c>
    </row>
    <row r="202" spans="1:16" x14ac:dyDescent="0.35">
      <c r="A202" s="34" t="str">
        <f t="shared" si="8"/>
        <v>2024 JULY-DEC B1G2</v>
      </c>
      <c r="B202" s="35">
        <f t="shared" si="8"/>
        <v>46086</v>
      </c>
      <c r="C202" s="35">
        <f t="shared" si="8"/>
        <v>46092</v>
      </c>
      <c r="D202" s="34">
        <v>3321</v>
      </c>
      <c r="E202" s="34">
        <v>337</v>
      </c>
      <c r="F202" s="34">
        <v>4</v>
      </c>
      <c r="G202" s="34">
        <v>5</v>
      </c>
      <c r="H202" s="34">
        <v>81800</v>
      </c>
      <c r="I202" s="34" t="s">
        <v>2690</v>
      </c>
      <c r="J202" s="34">
        <v>50028209</v>
      </c>
      <c r="K202" s="34" t="s">
        <v>4262</v>
      </c>
      <c r="L202" s="40" t="s">
        <v>4265</v>
      </c>
      <c r="M202" s="36">
        <v>299900</v>
      </c>
      <c r="N202" s="36" t="s">
        <v>2569</v>
      </c>
      <c r="O202" s="34" t="str">
        <f t="shared" si="9"/>
        <v>B1G2</v>
      </c>
      <c r="P202" s="36" t="s">
        <v>2569</v>
      </c>
    </row>
    <row r="203" spans="1:16" x14ac:dyDescent="0.35">
      <c r="A203" s="34" t="str">
        <f t="shared" si="8"/>
        <v>2024 JULY-DEC B1G2</v>
      </c>
      <c r="B203" s="35">
        <f t="shared" si="8"/>
        <v>46086</v>
      </c>
      <c r="C203" s="35">
        <f t="shared" si="8"/>
        <v>46092</v>
      </c>
      <c r="D203" s="34">
        <v>3321</v>
      </c>
      <c r="E203" s="34">
        <v>337</v>
      </c>
      <c r="F203" s="34">
        <v>4</v>
      </c>
      <c r="G203" s="34">
        <v>5</v>
      </c>
      <c r="H203" s="34">
        <v>81800</v>
      </c>
      <c r="I203" s="34" t="s">
        <v>2690</v>
      </c>
      <c r="J203" s="34">
        <v>50028218</v>
      </c>
      <c r="K203" s="34" t="s">
        <v>4262</v>
      </c>
      <c r="L203" s="40" t="s">
        <v>4266</v>
      </c>
      <c r="M203" s="36">
        <v>299900</v>
      </c>
      <c r="N203" s="36" t="s">
        <v>2569</v>
      </c>
      <c r="O203" s="34" t="str">
        <f t="shared" si="9"/>
        <v>B1G2</v>
      </c>
      <c r="P203" s="36" t="s">
        <v>2569</v>
      </c>
    </row>
    <row r="204" spans="1:16" x14ac:dyDescent="0.35">
      <c r="A204" s="34" t="str">
        <f t="shared" si="8"/>
        <v>2024 JULY-DEC B1G2</v>
      </c>
      <c r="B204" s="35">
        <f t="shared" si="8"/>
        <v>46086</v>
      </c>
      <c r="C204" s="35">
        <f t="shared" si="8"/>
        <v>46092</v>
      </c>
      <c r="D204" s="34">
        <v>3321</v>
      </c>
      <c r="E204" s="34">
        <v>337</v>
      </c>
      <c r="F204" s="34">
        <v>4</v>
      </c>
      <c r="G204" s="34">
        <v>1</v>
      </c>
      <c r="H204" s="34">
        <v>81421</v>
      </c>
      <c r="I204" s="34" t="s">
        <v>2690</v>
      </c>
      <c r="J204" s="34">
        <v>50028174</v>
      </c>
      <c r="K204" s="34" t="s">
        <v>3988</v>
      </c>
      <c r="L204" s="40" t="s">
        <v>4267</v>
      </c>
      <c r="M204" s="36">
        <v>179900</v>
      </c>
      <c r="N204" s="36" t="s">
        <v>2569</v>
      </c>
      <c r="O204" s="34" t="str">
        <f t="shared" si="9"/>
        <v>B1G2</v>
      </c>
      <c r="P204" s="36" t="s">
        <v>2569</v>
      </c>
    </row>
    <row r="205" spans="1:16" x14ac:dyDescent="0.35">
      <c r="A205" s="34" t="str">
        <f t="shared" si="8"/>
        <v>2024 JULY-DEC B1G2</v>
      </c>
      <c r="B205" s="35">
        <f t="shared" si="8"/>
        <v>46086</v>
      </c>
      <c r="C205" s="35">
        <f t="shared" si="8"/>
        <v>46092</v>
      </c>
      <c r="D205" s="34">
        <v>3321</v>
      </c>
      <c r="E205" s="34">
        <v>337</v>
      </c>
      <c r="F205" s="34">
        <v>4</v>
      </c>
      <c r="G205" s="34">
        <v>1</v>
      </c>
      <c r="H205" s="34">
        <v>81421</v>
      </c>
      <c r="I205" s="34" t="s">
        <v>2690</v>
      </c>
      <c r="J205" s="34">
        <v>50028165</v>
      </c>
      <c r="K205" s="34" t="s">
        <v>3988</v>
      </c>
      <c r="L205" s="40" t="s">
        <v>4268</v>
      </c>
      <c r="M205" s="36">
        <v>179900</v>
      </c>
      <c r="N205" s="36" t="s">
        <v>2569</v>
      </c>
      <c r="O205" s="34" t="str">
        <f t="shared" si="9"/>
        <v>B1G2</v>
      </c>
      <c r="P205" s="36" t="s">
        <v>2569</v>
      </c>
    </row>
    <row r="206" spans="1:16" x14ac:dyDescent="0.35">
      <c r="A206" s="34" t="str">
        <f t="shared" si="8"/>
        <v>2024 JULY-DEC B1G2</v>
      </c>
      <c r="B206" s="35">
        <f t="shared" si="8"/>
        <v>46086</v>
      </c>
      <c r="C206" s="35">
        <f t="shared" si="8"/>
        <v>46092</v>
      </c>
      <c r="D206" s="34">
        <v>3321</v>
      </c>
      <c r="E206" s="34">
        <v>337</v>
      </c>
      <c r="F206" s="34">
        <v>4</v>
      </c>
      <c r="G206" s="34">
        <v>3</v>
      </c>
      <c r="H206" s="34">
        <v>81005</v>
      </c>
      <c r="I206" s="34" t="s">
        <v>2690</v>
      </c>
      <c r="J206" s="34">
        <v>50028325</v>
      </c>
      <c r="K206" s="34" t="s">
        <v>4269</v>
      </c>
      <c r="L206" s="40" t="s">
        <v>4270</v>
      </c>
      <c r="M206" s="36">
        <v>219900</v>
      </c>
      <c r="N206" s="36" t="s">
        <v>2569</v>
      </c>
      <c r="O206" s="34" t="str">
        <f t="shared" ref="O206:O237" si="10">O205</f>
        <v>B1G2</v>
      </c>
      <c r="P206" s="36" t="s">
        <v>2569</v>
      </c>
    </row>
    <row r="207" spans="1:16" x14ac:dyDescent="0.35">
      <c r="A207" s="34" t="str">
        <f t="shared" si="8"/>
        <v>2024 JULY-DEC B1G2</v>
      </c>
      <c r="B207" s="35">
        <f t="shared" si="8"/>
        <v>46086</v>
      </c>
      <c r="C207" s="35">
        <f t="shared" si="8"/>
        <v>46092</v>
      </c>
      <c r="D207" s="34">
        <v>3321</v>
      </c>
      <c r="E207" s="34">
        <v>337</v>
      </c>
      <c r="F207" s="34">
        <v>4</v>
      </c>
      <c r="G207" s="34">
        <v>3</v>
      </c>
      <c r="H207" s="34">
        <v>81005</v>
      </c>
      <c r="I207" s="34" t="s">
        <v>2690</v>
      </c>
      <c r="J207" s="34">
        <v>50028352</v>
      </c>
      <c r="K207" s="34" t="s">
        <v>4269</v>
      </c>
      <c r="L207" s="40" t="s">
        <v>4271</v>
      </c>
      <c r="M207" s="36">
        <v>219900</v>
      </c>
      <c r="N207" s="36" t="s">
        <v>2569</v>
      </c>
      <c r="O207" s="34" t="str">
        <f t="shared" si="10"/>
        <v>B1G2</v>
      </c>
      <c r="P207" s="36" t="s">
        <v>2569</v>
      </c>
    </row>
    <row r="208" spans="1:16" x14ac:dyDescent="0.35">
      <c r="A208" s="34" t="str">
        <f t="shared" si="8"/>
        <v>2024 JULY-DEC B1G2</v>
      </c>
      <c r="B208" s="35">
        <f t="shared" si="8"/>
        <v>46086</v>
      </c>
      <c r="C208" s="35">
        <f t="shared" si="8"/>
        <v>46092</v>
      </c>
      <c r="D208" s="34">
        <v>3321</v>
      </c>
      <c r="E208" s="34">
        <v>337</v>
      </c>
      <c r="F208" s="34">
        <v>4</v>
      </c>
      <c r="G208" s="34">
        <v>3</v>
      </c>
      <c r="H208" s="34">
        <v>81005</v>
      </c>
      <c r="I208" s="34" t="s">
        <v>2690</v>
      </c>
      <c r="J208" s="34">
        <v>50028343</v>
      </c>
      <c r="K208" s="34" t="s">
        <v>4269</v>
      </c>
      <c r="L208" s="40" t="s">
        <v>4272</v>
      </c>
      <c r="M208" s="36">
        <v>219900</v>
      </c>
      <c r="N208" s="36" t="s">
        <v>2569</v>
      </c>
      <c r="O208" s="34" t="str">
        <f t="shared" si="10"/>
        <v>B1G2</v>
      </c>
      <c r="P208" s="36" t="s">
        <v>2569</v>
      </c>
    </row>
    <row r="209" spans="1:16" x14ac:dyDescent="0.35">
      <c r="A209" s="34" t="str">
        <f t="shared" si="8"/>
        <v>2024 JULY-DEC B1G2</v>
      </c>
      <c r="B209" s="35">
        <f t="shared" si="8"/>
        <v>46086</v>
      </c>
      <c r="C209" s="35">
        <f t="shared" si="8"/>
        <v>46092</v>
      </c>
      <c r="D209" s="34">
        <v>3321</v>
      </c>
      <c r="E209" s="34">
        <v>337</v>
      </c>
      <c r="F209" s="34">
        <v>4</v>
      </c>
      <c r="G209" s="34">
        <v>3</v>
      </c>
      <c r="H209" s="34">
        <v>81005</v>
      </c>
      <c r="I209" s="34" t="s">
        <v>2690</v>
      </c>
      <c r="J209" s="34">
        <v>50028334</v>
      </c>
      <c r="K209" s="34" t="s">
        <v>4269</v>
      </c>
      <c r="L209" s="40" t="s">
        <v>4273</v>
      </c>
      <c r="M209" s="36">
        <v>219900</v>
      </c>
      <c r="N209" s="36" t="s">
        <v>2569</v>
      </c>
      <c r="O209" s="34" t="str">
        <f t="shared" si="10"/>
        <v>B1G2</v>
      </c>
      <c r="P209" s="36" t="s">
        <v>2569</v>
      </c>
    </row>
    <row r="210" spans="1:16" x14ac:dyDescent="0.35">
      <c r="A210" s="34" t="str">
        <f t="shared" si="8"/>
        <v>2024 JULY-DEC B1G2</v>
      </c>
      <c r="B210" s="35">
        <f t="shared" si="8"/>
        <v>46086</v>
      </c>
      <c r="C210" s="35">
        <f t="shared" si="8"/>
        <v>46092</v>
      </c>
      <c r="D210" s="34">
        <v>3321</v>
      </c>
      <c r="E210" s="34">
        <v>337</v>
      </c>
      <c r="F210" s="34">
        <v>4</v>
      </c>
      <c r="G210" s="34">
        <v>3</v>
      </c>
      <c r="H210" s="34">
        <v>81005</v>
      </c>
      <c r="I210" s="34" t="s">
        <v>2690</v>
      </c>
      <c r="J210" s="34">
        <v>50028316</v>
      </c>
      <c r="K210" s="34" t="s">
        <v>4269</v>
      </c>
      <c r="L210" s="40" t="s">
        <v>4274</v>
      </c>
      <c r="M210" s="36">
        <v>219900</v>
      </c>
      <c r="N210" s="36" t="s">
        <v>2569</v>
      </c>
      <c r="O210" s="34" t="str">
        <f t="shared" si="10"/>
        <v>B1G2</v>
      </c>
      <c r="P210" s="36" t="s">
        <v>2569</v>
      </c>
    </row>
    <row r="211" spans="1:16" x14ac:dyDescent="0.35">
      <c r="A211" s="34" t="str">
        <f t="shared" si="8"/>
        <v>2024 JULY-DEC B1G2</v>
      </c>
      <c r="B211" s="35">
        <f t="shared" si="8"/>
        <v>46086</v>
      </c>
      <c r="C211" s="35">
        <f t="shared" si="8"/>
        <v>46092</v>
      </c>
      <c r="D211" s="34">
        <v>3321</v>
      </c>
      <c r="E211" s="34">
        <v>337</v>
      </c>
      <c r="F211" s="34">
        <v>4</v>
      </c>
      <c r="G211" s="34">
        <v>3</v>
      </c>
      <c r="H211" s="34">
        <v>81800</v>
      </c>
      <c r="I211" s="34" t="s">
        <v>2690</v>
      </c>
      <c r="J211" s="34">
        <v>50028290</v>
      </c>
      <c r="K211" s="34" t="s">
        <v>4275</v>
      </c>
      <c r="L211" s="40" t="s">
        <v>4276</v>
      </c>
      <c r="M211" s="36">
        <v>299900</v>
      </c>
      <c r="N211" s="36" t="s">
        <v>2569</v>
      </c>
      <c r="O211" s="34" t="str">
        <f t="shared" si="10"/>
        <v>B1G2</v>
      </c>
      <c r="P211" s="36" t="s">
        <v>2569</v>
      </c>
    </row>
    <row r="212" spans="1:16" x14ac:dyDescent="0.35">
      <c r="A212" s="34" t="str">
        <f t="shared" si="8"/>
        <v>2024 JULY-DEC B1G2</v>
      </c>
      <c r="B212" s="35">
        <f t="shared" si="8"/>
        <v>46086</v>
      </c>
      <c r="C212" s="35">
        <f t="shared" si="8"/>
        <v>46092</v>
      </c>
      <c r="D212" s="34">
        <v>3321</v>
      </c>
      <c r="E212" s="34">
        <v>337</v>
      </c>
      <c r="F212" s="34">
        <v>4</v>
      </c>
      <c r="G212" s="34">
        <v>3</v>
      </c>
      <c r="H212" s="34">
        <v>81800</v>
      </c>
      <c r="I212" s="34" t="s">
        <v>2690</v>
      </c>
      <c r="J212" s="34">
        <v>50028307</v>
      </c>
      <c r="K212" s="34" t="s">
        <v>4275</v>
      </c>
      <c r="L212" s="40" t="s">
        <v>4277</v>
      </c>
      <c r="M212" s="36">
        <v>299900</v>
      </c>
      <c r="N212" s="36" t="s">
        <v>2569</v>
      </c>
      <c r="O212" s="34" t="str">
        <f t="shared" si="10"/>
        <v>B1G2</v>
      </c>
      <c r="P212" s="36" t="s">
        <v>2569</v>
      </c>
    </row>
    <row r="213" spans="1:16" x14ac:dyDescent="0.35">
      <c r="A213" s="34" t="str">
        <f t="shared" si="8"/>
        <v>2024 JULY-DEC B1G2</v>
      </c>
      <c r="B213" s="35">
        <f t="shared" si="8"/>
        <v>46086</v>
      </c>
      <c r="C213" s="35">
        <f t="shared" si="8"/>
        <v>46092</v>
      </c>
      <c r="D213" s="34">
        <v>3321</v>
      </c>
      <c r="E213" s="34">
        <v>337</v>
      </c>
      <c r="F213" s="34">
        <v>4</v>
      </c>
      <c r="G213" s="34">
        <v>3</v>
      </c>
      <c r="H213" s="34">
        <v>81800</v>
      </c>
      <c r="I213" s="34" t="s">
        <v>2690</v>
      </c>
      <c r="J213" s="34">
        <v>50028281</v>
      </c>
      <c r="K213" s="34" t="s">
        <v>4275</v>
      </c>
      <c r="L213" s="40" t="s">
        <v>4278</v>
      </c>
      <c r="M213" s="36">
        <v>299900</v>
      </c>
      <c r="N213" s="36" t="s">
        <v>2569</v>
      </c>
      <c r="O213" s="34" t="str">
        <f t="shared" si="10"/>
        <v>B1G2</v>
      </c>
      <c r="P213" s="36" t="s">
        <v>2569</v>
      </c>
    </row>
    <row r="214" spans="1:16" x14ac:dyDescent="0.35">
      <c r="A214" s="34" t="str">
        <f t="shared" si="8"/>
        <v>2024 JULY-DEC B1G2</v>
      </c>
      <c r="B214" s="35">
        <f t="shared" si="8"/>
        <v>46086</v>
      </c>
      <c r="C214" s="35">
        <f t="shared" si="8"/>
        <v>46092</v>
      </c>
      <c r="D214" s="34">
        <v>3321</v>
      </c>
      <c r="E214" s="34">
        <v>337</v>
      </c>
      <c r="F214" s="34">
        <v>4</v>
      </c>
      <c r="G214" s="34">
        <v>3</v>
      </c>
      <c r="H214" s="34">
        <v>81800</v>
      </c>
      <c r="I214" s="34" t="s">
        <v>2690</v>
      </c>
      <c r="J214" s="34">
        <v>50028272</v>
      </c>
      <c r="K214" s="34" t="s">
        <v>4275</v>
      </c>
      <c r="L214" s="40" t="s">
        <v>4279</v>
      </c>
      <c r="M214" s="36">
        <v>299900</v>
      </c>
      <c r="N214" s="36" t="s">
        <v>2569</v>
      </c>
      <c r="O214" s="34" t="str">
        <f t="shared" si="10"/>
        <v>B1G2</v>
      </c>
      <c r="P214" s="36" t="s">
        <v>2569</v>
      </c>
    </row>
    <row r="215" spans="1:16" x14ac:dyDescent="0.35">
      <c r="A215" s="34" t="str">
        <f t="shared" si="8"/>
        <v>2024 JULY-DEC B1G2</v>
      </c>
      <c r="B215" s="35">
        <f t="shared" si="8"/>
        <v>46086</v>
      </c>
      <c r="C215" s="35">
        <f t="shared" si="8"/>
        <v>46092</v>
      </c>
      <c r="D215" s="34">
        <v>3321</v>
      </c>
      <c r="E215" s="34">
        <v>337</v>
      </c>
      <c r="F215" s="34">
        <v>4</v>
      </c>
      <c r="G215" s="34">
        <v>5</v>
      </c>
      <c r="H215" s="34">
        <v>81005</v>
      </c>
      <c r="I215" s="34" t="s">
        <v>2690</v>
      </c>
      <c r="J215" s="34">
        <v>26742241</v>
      </c>
      <c r="K215" s="34" t="s">
        <v>4280</v>
      </c>
      <c r="L215" s="40" t="s">
        <v>4281</v>
      </c>
      <c r="M215" s="36">
        <v>259900</v>
      </c>
      <c r="N215" s="36" t="s">
        <v>2569</v>
      </c>
      <c r="O215" s="34" t="str">
        <f t="shared" si="10"/>
        <v>B1G2</v>
      </c>
      <c r="P215" s="36" t="s">
        <v>2569</v>
      </c>
    </row>
    <row r="216" spans="1:16" x14ac:dyDescent="0.35">
      <c r="A216" s="34" t="str">
        <f t="shared" si="8"/>
        <v>2024 JULY-DEC B1G2</v>
      </c>
      <c r="B216" s="35">
        <f t="shared" si="8"/>
        <v>46086</v>
      </c>
      <c r="C216" s="35">
        <f t="shared" si="8"/>
        <v>46092</v>
      </c>
      <c r="D216" s="34">
        <v>3321</v>
      </c>
      <c r="E216" s="34">
        <v>337</v>
      </c>
      <c r="F216" s="34">
        <v>4</v>
      </c>
      <c r="G216" s="34">
        <v>5</v>
      </c>
      <c r="H216" s="34">
        <v>81005</v>
      </c>
      <c r="I216" s="34" t="s">
        <v>2690</v>
      </c>
      <c r="J216" s="34">
        <v>26742250</v>
      </c>
      <c r="K216" s="34" t="s">
        <v>4280</v>
      </c>
      <c r="L216" s="40" t="s">
        <v>4282</v>
      </c>
      <c r="M216" s="36">
        <v>259900</v>
      </c>
      <c r="N216" s="36" t="s">
        <v>2569</v>
      </c>
      <c r="O216" s="34" t="str">
        <f t="shared" si="10"/>
        <v>B1G2</v>
      </c>
      <c r="P216" s="36" t="s">
        <v>2569</v>
      </c>
    </row>
    <row r="217" spans="1:16" x14ac:dyDescent="0.35">
      <c r="A217" s="34" t="str">
        <f t="shared" si="8"/>
        <v>2024 JULY-DEC B1G2</v>
      </c>
      <c r="B217" s="35">
        <f t="shared" si="8"/>
        <v>46086</v>
      </c>
      <c r="C217" s="35">
        <f t="shared" si="8"/>
        <v>46092</v>
      </c>
      <c r="D217" s="34">
        <v>3321</v>
      </c>
      <c r="E217" s="34">
        <v>337</v>
      </c>
      <c r="F217" s="34">
        <v>4</v>
      </c>
      <c r="G217" s="34">
        <v>5</v>
      </c>
      <c r="H217" s="34">
        <v>81005</v>
      </c>
      <c r="I217" s="34" t="s">
        <v>2690</v>
      </c>
      <c r="J217" s="34">
        <v>26742269</v>
      </c>
      <c r="K217" s="34" t="s">
        <v>4280</v>
      </c>
      <c r="L217" s="40" t="s">
        <v>4283</v>
      </c>
      <c r="M217" s="36">
        <v>259900</v>
      </c>
      <c r="N217" s="36" t="s">
        <v>2569</v>
      </c>
      <c r="O217" s="34" t="str">
        <f t="shared" si="10"/>
        <v>B1G2</v>
      </c>
      <c r="P217" s="36" t="s">
        <v>2569</v>
      </c>
    </row>
    <row r="218" spans="1:16" x14ac:dyDescent="0.35">
      <c r="A218" s="34" t="str">
        <f t="shared" si="8"/>
        <v>2024 JULY-DEC B1G2</v>
      </c>
      <c r="B218" s="35">
        <f t="shared" si="8"/>
        <v>46086</v>
      </c>
      <c r="C218" s="35">
        <f t="shared" si="8"/>
        <v>46092</v>
      </c>
      <c r="D218" s="34">
        <v>3321</v>
      </c>
      <c r="E218" s="34">
        <v>337</v>
      </c>
      <c r="F218" s="34">
        <v>4</v>
      </c>
      <c r="G218" s="34">
        <v>5</v>
      </c>
      <c r="H218" s="34">
        <v>81005</v>
      </c>
      <c r="I218" s="34" t="s">
        <v>2690</v>
      </c>
      <c r="J218" s="34">
        <v>26742223</v>
      </c>
      <c r="K218" s="34" t="s">
        <v>4280</v>
      </c>
      <c r="L218" s="40" t="s">
        <v>4284</v>
      </c>
      <c r="M218" s="36">
        <v>259900</v>
      </c>
      <c r="N218" s="36" t="s">
        <v>2569</v>
      </c>
      <c r="O218" s="34" t="str">
        <f t="shared" si="10"/>
        <v>B1G2</v>
      </c>
      <c r="P218" s="36" t="s">
        <v>2569</v>
      </c>
    </row>
    <row r="219" spans="1:16" x14ac:dyDescent="0.35">
      <c r="A219" s="34" t="str">
        <f t="shared" si="8"/>
        <v>2024 JULY-DEC B1G2</v>
      </c>
      <c r="B219" s="35">
        <f t="shared" si="8"/>
        <v>46086</v>
      </c>
      <c r="C219" s="35">
        <f t="shared" si="8"/>
        <v>46092</v>
      </c>
      <c r="D219" s="34">
        <v>3321</v>
      </c>
      <c r="E219" s="34">
        <v>337</v>
      </c>
      <c r="F219" s="34">
        <v>4</v>
      </c>
      <c r="G219" s="34">
        <v>5</v>
      </c>
      <c r="H219" s="34">
        <v>81005</v>
      </c>
      <c r="I219" s="34" t="s">
        <v>2690</v>
      </c>
      <c r="J219" s="34">
        <v>26742232</v>
      </c>
      <c r="K219" s="34" t="s">
        <v>4280</v>
      </c>
      <c r="L219" s="40" t="s">
        <v>4285</v>
      </c>
      <c r="M219" s="36">
        <v>259900</v>
      </c>
      <c r="N219" s="36" t="s">
        <v>2569</v>
      </c>
      <c r="O219" s="34" t="str">
        <f t="shared" si="10"/>
        <v>B1G2</v>
      </c>
      <c r="P219" s="36" t="s">
        <v>2569</v>
      </c>
    </row>
    <row r="220" spans="1:16" x14ac:dyDescent="0.35">
      <c r="A220" s="34" t="str">
        <f t="shared" si="8"/>
        <v>2024 JULY-DEC B1G2</v>
      </c>
      <c r="B220" s="35">
        <f t="shared" si="8"/>
        <v>46086</v>
      </c>
      <c r="C220" s="35">
        <f t="shared" si="8"/>
        <v>46092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50189867</v>
      </c>
      <c r="K220" s="34" t="s">
        <v>4416</v>
      </c>
      <c r="L220" s="40" t="s">
        <v>4417</v>
      </c>
      <c r="M220" s="36">
        <v>149900</v>
      </c>
      <c r="N220" s="36" t="s">
        <v>2569</v>
      </c>
      <c r="O220" s="34" t="str">
        <f t="shared" si="10"/>
        <v>B1G2</v>
      </c>
      <c r="P220" s="36" t="s">
        <v>2569</v>
      </c>
    </row>
    <row r="221" spans="1:16" x14ac:dyDescent="0.35">
      <c r="A221" s="34" t="str">
        <f t="shared" si="8"/>
        <v>2024 JULY-DEC B1G2</v>
      </c>
      <c r="B221" s="35">
        <f t="shared" si="8"/>
        <v>46086</v>
      </c>
      <c r="C221" s="35">
        <f t="shared" si="8"/>
        <v>46092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50189876</v>
      </c>
      <c r="K221" s="34" t="s">
        <v>4416</v>
      </c>
      <c r="L221" s="40" t="s">
        <v>4420</v>
      </c>
      <c r="M221" s="36">
        <v>149900</v>
      </c>
      <c r="N221" s="36" t="s">
        <v>2569</v>
      </c>
      <c r="O221" s="34" t="str">
        <f t="shared" si="10"/>
        <v>B1G2</v>
      </c>
      <c r="P221" s="36" t="s">
        <v>2569</v>
      </c>
    </row>
    <row r="222" spans="1:16" x14ac:dyDescent="0.35">
      <c r="A222" s="34" t="str">
        <f t="shared" si="8"/>
        <v>2024 JULY-DEC B1G2</v>
      </c>
      <c r="B222" s="35">
        <f t="shared" si="8"/>
        <v>46086</v>
      </c>
      <c r="C222" s="35">
        <f t="shared" si="8"/>
        <v>46092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50189885</v>
      </c>
      <c r="K222" s="34" t="s">
        <v>4416</v>
      </c>
      <c r="L222" s="40" t="s">
        <v>4422</v>
      </c>
      <c r="M222" s="36">
        <v>149900</v>
      </c>
      <c r="N222" s="36" t="s">
        <v>2569</v>
      </c>
      <c r="O222" s="34" t="str">
        <f t="shared" si="10"/>
        <v>B1G2</v>
      </c>
      <c r="P222" s="36" t="s">
        <v>2569</v>
      </c>
    </row>
    <row r="223" spans="1:16" x14ac:dyDescent="0.35">
      <c r="A223" s="34" t="str">
        <f t="shared" si="8"/>
        <v>2024 JULY-DEC B1G2</v>
      </c>
      <c r="B223" s="35">
        <f t="shared" si="8"/>
        <v>46086</v>
      </c>
      <c r="C223" s="35">
        <f t="shared" si="8"/>
        <v>46092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50189858</v>
      </c>
      <c r="K223" s="34" t="s">
        <v>4416</v>
      </c>
      <c r="L223" s="40" t="s">
        <v>4425</v>
      </c>
      <c r="M223" s="36">
        <v>149900</v>
      </c>
      <c r="N223" s="36" t="s">
        <v>2569</v>
      </c>
      <c r="O223" s="34" t="str">
        <f t="shared" si="10"/>
        <v>B1G2</v>
      </c>
      <c r="P223" s="36" t="s">
        <v>2569</v>
      </c>
    </row>
    <row r="224" spans="1:16" x14ac:dyDescent="0.35">
      <c r="A224" s="34" t="str">
        <f t="shared" si="8"/>
        <v>2024 JULY-DEC B1G2</v>
      </c>
      <c r="B224" s="35">
        <f t="shared" si="8"/>
        <v>46086</v>
      </c>
      <c r="C224" s="35">
        <f t="shared" si="8"/>
        <v>46092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50189910</v>
      </c>
      <c r="K224" s="34" t="s">
        <v>4418</v>
      </c>
      <c r="L224" s="40" t="s">
        <v>4419</v>
      </c>
      <c r="M224" s="36">
        <v>149900</v>
      </c>
      <c r="N224" s="36" t="s">
        <v>2569</v>
      </c>
      <c r="O224" s="34" t="str">
        <f t="shared" si="10"/>
        <v>B1G2</v>
      </c>
      <c r="P224" s="36" t="s">
        <v>2569</v>
      </c>
    </row>
    <row r="225" spans="1:16" x14ac:dyDescent="0.35">
      <c r="A225" s="34" t="str">
        <f t="shared" si="8"/>
        <v>2024 JULY-DEC B1G2</v>
      </c>
      <c r="B225" s="35">
        <f t="shared" si="8"/>
        <v>46086</v>
      </c>
      <c r="C225" s="35">
        <f t="shared" si="8"/>
        <v>46092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50189901</v>
      </c>
      <c r="K225" s="34" t="s">
        <v>4418</v>
      </c>
      <c r="L225" s="40" t="s">
        <v>4421</v>
      </c>
      <c r="M225" s="36">
        <v>149900</v>
      </c>
      <c r="N225" s="36" t="s">
        <v>2569</v>
      </c>
      <c r="O225" s="34" t="str">
        <f t="shared" si="10"/>
        <v>B1G2</v>
      </c>
      <c r="P225" s="36" t="s">
        <v>2569</v>
      </c>
    </row>
    <row r="226" spans="1:16" x14ac:dyDescent="0.35">
      <c r="A226" s="34" t="str">
        <f t="shared" si="8"/>
        <v>2024 JULY-DEC B1G2</v>
      </c>
      <c r="B226" s="35">
        <f t="shared" si="8"/>
        <v>46086</v>
      </c>
      <c r="C226" s="35">
        <f t="shared" si="8"/>
        <v>46092</v>
      </c>
      <c r="D226" s="34">
        <v>3321</v>
      </c>
      <c r="E226" s="34">
        <v>337</v>
      </c>
      <c r="F226" s="34">
        <v>4</v>
      </c>
      <c r="G226" s="34">
        <v>1</v>
      </c>
      <c r="H226" s="34">
        <v>81048</v>
      </c>
      <c r="I226" s="34" t="s">
        <v>2690</v>
      </c>
      <c r="J226" s="34">
        <v>50189929</v>
      </c>
      <c r="K226" s="34" t="s">
        <v>4418</v>
      </c>
      <c r="L226" s="40" t="s">
        <v>4423</v>
      </c>
      <c r="M226" s="36">
        <v>149900</v>
      </c>
      <c r="N226" s="36" t="s">
        <v>2569</v>
      </c>
      <c r="O226" s="34" t="str">
        <f t="shared" si="10"/>
        <v>B1G2</v>
      </c>
      <c r="P226" s="36" t="s">
        <v>2569</v>
      </c>
    </row>
    <row r="227" spans="1:16" x14ac:dyDescent="0.35">
      <c r="A227" s="34" t="str">
        <f t="shared" si="8"/>
        <v>2024 JULY-DEC B1G2</v>
      </c>
      <c r="B227" s="35">
        <f t="shared" si="8"/>
        <v>46086</v>
      </c>
      <c r="C227" s="35">
        <f t="shared" si="8"/>
        <v>46092</v>
      </c>
      <c r="D227" s="34">
        <v>3321</v>
      </c>
      <c r="E227" s="34">
        <v>337</v>
      </c>
      <c r="F227" s="34">
        <v>4</v>
      </c>
      <c r="G227" s="34">
        <v>1</v>
      </c>
      <c r="H227" s="34">
        <v>81048</v>
      </c>
      <c r="I227" s="34" t="s">
        <v>2690</v>
      </c>
      <c r="J227" s="34">
        <v>50189894</v>
      </c>
      <c r="K227" s="34" t="s">
        <v>4418</v>
      </c>
      <c r="L227" s="40" t="s">
        <v>4424</v>
      </c>
      <c r="M227" s="36">
        <v>149900</v>
      </c>
      <c r="N227" s="36" t="s">
        <v>2569</v>
      </c>
      <c r="O227" s="34" t="str">
        <f t="shared" si="10"/>
        <v>B1G2</v>
      </c>
      <c r="P227" s="36" t="s">
        <v>2569</v>
      </c>
    </row>
    <row r="228" spans="1:16" x14ac:dyDescent="0.35">
      <c r="A228" s="34" t="str">
        <f t="shared" si="8"/>
        <v>2024 JULY-DEC B1G2</v>
      </c>
      <c r="B228" s="35">
        <f t="shared" si="8"/>
        <v>46086</v>
      </c>
      <c r="C228" s="35">
        <f t="shared" si="8"/>
        <v>46092</v>
      </c>
      <c r="D228" s="34">
        <v>3321</v>
      </c>
      <c r="E228" s="34">
        <v>337</v>
      </c>
      <c r="F228" s="34">
        <v>4</v>
      </c>
      <c r="G228" s="34">
        <v>4</v>
      </c>
      <c r="H228" s="34">
        <v>81676</v>
      </c>
      <c r="I228" s="34" t="s">
        <v>2690</v>
      </c>
      <c r="J228" s="34">
        <v>51122257</v>
      </c>
      <c r="K228" s="34" t="s">
        <v>4426</v>
      </c>
      <c r="L228" s="40" t="s">
        <v>4427</v>
      </c>
      <c r="M228" s="36">
        <v>229900</v>
      </c>
      <c r="N228" s="36" t="s">
        <v>2569</v>
      </c>
      <c r="O228" s="34" t="str">
        <f t="shared" si="10"/>
        <v>B1G2</v>
      </c>
      <c r="P228" s="36" t="s">
        <v>2569</v>
      </c>
    </row>
    <row r="229" spans="1:16" x14ac:dyDescent="0.35">
      <c r="A229" s="34" t="str">
        <f t="shared" si="8"/>
        <v>2024 JULY-DEC B1G2</v>
      </c>
      <c r="B229" s="35">
        <f t="shared" si="8"/>
        <v>46086</v>
      </c>
      <c r="C229" s="35">
        <f t="shared" si="8"/>
        <v>46092</v>
      </c>
      <c r="D229" s="34">
        <v>3321</v>
      </c>
      <c r="E229" s="34">
        <v>337</v>
      </c>
      <c r="F229" s="34">
        <v>4</v>
      </c>
      <c r="G229" s="34">
        <v>4</v>
      </c>
      <c r="H229" s="34">
        <v>81676</v>
      </c>
      <c r="I229" s="34" t="s">
        <v>2690</v>
      </c>
      <c r="J229" s="34">
        <v>51122284</v>
      </c>
      <c r="K229" s="34" t="s">
        <v>4426</v>
      </c>
      <c r="L229" s="40" t="s">
        <v>4428</v>
      </c>
      <c r="M229" s="36">
        <v>229900</v>
      </c>
      <c r="N229" s="36" t="s">
        <v>2569</v>
      </c>
      <c r="O229" s="34" t="str">
        <f t="shared" si="10"/>
        <v>B1G2</v>
      </c>
      <c r="P229" s="36" t="s">
        <v>2569</v>
      </c>
    </row>
    <row r="230" spans="1:16" x14ac:dyDescent="0.35">
      <c r="A230" s="34" t="str">
        <f t="shared" si="8"/>
        <v>2024 JULY-DEC B1G2</v>
      </c>
      <c r="B230" s="35">
        <f t="shared" si="8"/>
        <v>46086</v>
      </c>
      <c r="C230" s="35">
        <f t="shared" si="8"/>
        <v>46092</v>
      </c>
      <c r="D230" s="34">
        <v>3321</v>
      </c>
      <c r="E230" s="34">
        <v>337</v>
      </c>
      <c r="F230" s="34">
        <v>4</v>
      </c>
      <c r="G230" s="34">
        <v>4</v>
      </c>
      <c r="H230" s="34">
        <v>81676</v>
      </c>
      <c r="I230" s="34" t="s">
        <v>2690</v>
      </c>
      <c r="J230" s="34">
        <v>51122275</v>
      </c>
      <c r="K230" s="34" t="s">
        <v>4426</v>
      </c>
      <c r="L230" s="40" t="s">
        <v>4429</v>
      </c>
      <c r="M230" s="36">
        <v>229900</v>
      </c>
      <c r="N230" s="36" t="s">
        <v>2569</v>
      </c>
      <c r="O230" s="34" t="str">
        <f t="shared" si="10"/>
        <v>B1G2</v>
      </c>
      <c r="P230" s="36" t="s">
        <v>2569</v>
      </c>
    </row>
    <row r="231" spans="1:16" x14ac:dyDescent="0.35">
      <c r="A231" s="34" t="str">
        <f t="shared" si="8"/>
        <v>2024 JULY-DEC B1G2</v>
      </c>
      <c r="B231" s="35">
        <f t="shared" si="8"/>
        <v>46086</v>
      </c>
      <c r="C231" s="35">
        <f t="shared" si="8"/>
        <v>46092</v>
      </c>
      <c r="D231" s="34">
        <v>3321</v>
      </c>
      <c r="E231" s="34">
        <v>337</v>
      </c>
      <c r="F231" s="34">
        <v>4</v>
      </c>
      <c r="G231" s="34">
        <v>4</v>
      </c>
      <c r="H231" s="34">
        <v>81676</v>
      </c>
      <c r="I231" s="34" t="s">
        <v>2690</v>
      </c>
      <c r="J231" s="34">
        <v>51122266</v>
      </c>
      <c r="K231" s="34" t="s">
        <v>4426</v>
      </c>
      <c r="L231" s="40" t="s">
        <v>4430</v>
      </c>
      <c r="M231" s="36">
        <v>229900</v>
      </c>
      <c r="N231" s="36" t="s">
        <v>2569</v>
      </c>
      <c r="O231" s="34" t="str">
        <f t="shared" si="10"/>
        <v>B1G2</v>
      </c>
      <c r="P231" s="36" t="s">
        <v>2569</v>
      </c>
    </row>
    <row r="232" spans="1:16" x14ac:dyDescent="0.35">
      <c r="A232" s="34" t="str">
        <f t="shared" si="8"/>
        <v>2024 JULY-DEC B1G2</v>
      </c>
      <c r="B232" s="35">
        <f t="shared" si="8"/>
        <v>46086</v>
      </c>
      <c r="C232" s="35">
        <f t="shared" si="8"/>
        <v>46092</v>
      </c>
      <c r="D232" s="34">
        <v>3321</v>
      </c>
      <c r="E232" s="34">
        <v>337</v>
      </c>
      <c r="F232" s="34">
        <v>4</v>
      </c>
      <c r="G232" s="34">
        <v>5</v>
      </c>
      <c r="H232" s="34">
        <v>81005</v>
      </c>
      <c r="I232" s="34" t="s">
        <v>2690</v>
      </c>
      <c r="J232" s="34">
        <v>50028361</v>
      </c>
      <c r="K232" s="34" t="s">
        <v>4431</v>
      </c>
      <c r="L232" s="40" t="s">
        <v>4432</v>
      </c>
      <c r="M232" s="36">
        <v>299900</v>
      </c>
      <c r="N232" s="36" t="s">
        <v>2569</v>
      </c>
      <c r="O232" s="34" t="str">
        <f t="shared" si="10"/>
        <v>B1G2</v>
      </c>
      <c r="P232" s="36" t="s">
        <v>2569</v>
      </c>
    </row>
    <row r="233" spans="1:16" x14ac:dyDescent="0.35">
      <c r="A233" s="34" t="str">
        <f t="shared" si="8"/>
        <v>2024 JULY-DEC B1G2</v>
      </c>
      <c r="B233" s="35">
        <f t="shared" si="8"/>
        <v>46086</v>
      </c>
      <c r="C233" s="35">
        <f t="shared" si="8"/>
        <v>46092</v>
      </c>
      <c r="D233" s="34">
        <v>3321</v>
      </c>
      <c r="E233" s="34">
        <v>337</v>
      </c>
      <c r="F233" s="34">
        <v>4</v>
      </c>
      <c r="G233" s="34">
        <v>5</v>
      </c>
      <c r="H233" s="34">
        <v>81005</v>
      </c>
      <c r="I233" s="34" t="s">
        <v>2690</v>
      </c>
      <c r="J233" s="34">
        <v>50028405</v>
      </c>
      <c r="K233" s="34" t="s">
        <v>4431</v>
      </c>
      <c r="L233" s="40" t="s">
        <v>4433</v>
      </c>
      <c r="M233" s="36">
        <v>299900</v>
      </c>
      <c r="N233" s="36" t="s">
        <v>2569</v>
      </c>
      <c r="O233" s="34" t="str">
        <f t="shared" si="10"/>
        <v>B1G2</v>
      </c>
      <c r="P233" s="36" t="s">
        <v>2569</v>
      </c>
    </row>
    <row r="234" spans="1:16" x14ac:dyDescent="0.35">
      <c r="A234" s="34" t="str">
        <f t="shared" si="8"/>
        <v>2024 JULY-DEC B1G2</v>
      </c>
      <c r="B234" s="35">
        <f t="shared" si="8"/>
        <v>46086</v>
      </c>
      <c r="C234" s="35">
        <f t="shared" si="8"/>
        <v>46092</v>
      </c>
      <c r="D234" s="34">
        <v>3321</v>
      </c>
      <c r="E234" s="34">
        <v>337</v>
      </c>
      <c r="F234" s="34">
        <v>4</v>
      </c>
      <c r="G234" s="34">
        <v>5</v>
      </c>
      <c r="H234" s="34">
        <v>81005</v>
      </c>
      <c r="I234" s="34" t="s">
        <v>2690</v>
      </c>
      <c r="J234" s="34">
        <v>50028389</v>
      </c>
      <c r="K234" s="34" t="s">
        <v>4431</v>
      </c>
      <c r="L234" s="40" t="s">
        <v>4434</v>
      </c>
      <c r="M234" s="36">
        <v>299900</v>
      </c>
      <c r="N234" s="36" t="s">
        <v>2569</v>
      </c>
      <c r="O234" s="34" t="str">
        <f t="shared" si="10"/>
        <v>B1G2</v>
      </c>
      <c r="P234" s="36" t="s">
        <v>2569</v>
      </c>
    </row>
    <row r="235" spans="1:16" x14ac:dyDescent="0.35">
      <c r="A235" s="34" t="str">
        <f t="shared" si="8"/>
        <v>2024 JULY-DEC B1G2</v>
      </c>
      <c r="B235" s="35">
        <f t="shared" si="8"/>
        <v>46086</v>
      </c>
      <c r="C235" s="35">
        <f t="shared" si="8"/>
        <v>46092</v>
      </c>
      <c r="D235" s="34">
        <v>3321</v>
      </c>
      <c r="E235" s="34">
        <v>337</v>
      </c>
      <c r="F235" s="34">
        <v>4</v>
      </c>
      <c r="G235" s="34">
        <v>5</v>
      </c>
      <c r="H235" s="34">
        <v>81005</v>
      </c>
      <c r="I235" s="34" t="s">
        <v>2690</v>
      </c>
      <c r="J235" s="34">
        <v>50028370</v>
      </c>
      <c r="K235" s="34" t="s">
        <v>4431</v>
      </c>
      <c r="L235" s="40" t="s">
        <v>4435</v>
      </c>
      <c r="M235" s="36">
        <v>299900</v>
      </c>
      <c r="N235" s="36" t="s">
        <v>2569</v>
      </c>
      <c r="O235" s="34" t="str">
        <f t="shared" si="10"/>
        <v>B1G2</v>
      </c>
      <c r="P235" s="36" t="s">
        <v>2569</v>
      </c>
    </row>
    <row r="236" spans="1:16" x14ac:dyDescent="0.35">
      <c r="A236" s="34" t="str">
        <f t="shared" si="8"/>
        <v>2024 JULY-DEC B1G2</v>
      </c>
      <c r="B236" s="35">
        <f t="shared" si="8"/>
        <v>46086</v>
      </c>
      <c r="C236" s="35">
        <f t="shared" si="8"/>
        <v>46092</v>
      </c>
      <c r="D236" s="34">
        <v>3321</v>
      </c>
      <c r="E236" s="34">
        <v>337</v>
      </c>
      <c r="F236" s="34">
        <v>4</v>
      </c>
      <c r="G236" s="34">
        <v>5</v>
      </c>
      <c r="H236" s="34">
        <v>81005</v>
      </c>
      <c r="I236" s="34" t="s">
        <v>2690</v>
      </c>
      <c r="J236" s="34">
        <v>50028398</v>
      </c>
      <c r="K236" s="34" t="s">
        <v>4431</v>
      </c>
      <c r="L236" s="40" t="s">
        <v>4436</v>
      </c>
      <c r="M236" s="36">
        <v>299900</v>
      </c>
      <c r="N236" s="36" t="s">
        <v>2569</v>
      </c>
      <c r="O236" s="34" t="str">
        <f t="shared" si="10"/>
        <v>B1G2</v>
      </c>
      <c r="P236" s="36" t="s">
        <v>2569</v>
      </c>
    </row>
    <row r="237" spans="1:16" x14ac:dyDescent="0.35">
      <c r="A237" s="34" t="str">
        <f t="shared" si="8"/>
        <v>2024 JULY-DEC B1G2</v>
      </c>
      <c r="B237" s="35">
        <f t="shared" si="8"/>
        <v>46086</v>
      </c>
      <c r="C237" s="35">
        <f t="shared" si="8"/>
        <v>46092</v>
      </c>
      <c r="D237" s="34">
        <v>3321</v>
      </c>
      <c r="E237" s="34">
        <v>337</v>
      </c>
      <c r="F237" s="34">
        <v>4</v>
      </c>
      <c r="G237" s="34">
        <v>5</v>
      </c>
      <c r="H237" s="34">
        <v>81698</v>
      </c>
      <c r="I237" s="34" t="s">
        <v>2690</v>
      </c>
      <c r="J237" s="34">
        <v>23115380</v>
      </c>
      <c r="K237" s="34" t="s">
        <v>4437</v>
      </c>
      <c r="L237" s="40" t="s">
        <v>4438</v>
      </c>
      <c r="M237" s="36">
        <v>289900</v>
      </c>
      <c r="N237" s="36" t="s">
        <v>2569</v>
      </c>
      <c r="O237" s="34" t="str">
        <f t="shared" si="10"/>
        <v>B1G2</v>
      </c>
      <c r="P237" s="36" t="s">
        <v>2569</v>
      </c>
    </row>
    <row r="238" spans="1:16" x14ac:dyDescent="0.35">
      <c r="A238" s="34" t="str">
        <f t="shared" ref="A238:C244" si="11">A237</f>
        <v>2024 JULY-DEC B1G2</v>
      </c>
      <c r="B238" s="35">
        <f t="shared" si="11"/>
        <v>46086</v>
      </c>
      <c r="C238" s="35">
        <f t="shared" si="11"/>
        <v>46092</v>
      </c>
      <c r="D238" s="34">
        <v>3321</v>
      </c>
      <c r="E238" s="34">
        <v>337</v>
      </c>
      <c r="F238" s="34">
        <v>4</v>
      </c>
      <c r="G238" s="34">
        <v>5</v>
      </c>
      <c r="H238" s="34">
        <v>81698</v>
      </c>
      <c r="I238" s="34" t="s">
        <v>2690</v>
      </c>
      <c r="J238" s="34">
        <v>23115399</v>
      </c>
      <c r="K238" s="34" t="s">
        <v>4437</v>
      </c>
      <c r="L238" s="40" t="s">
        <v>4439</v>
      </c>
      <c r="M238" s="36">
        <v>289900</v>
      </c>
      <c r="N238" s="36" t="s">
        <v>2569</v>
      </c>
      <c r="O238" s="34" t="str">
        <f t="shared" ref="O238:O244" si="12">O237</f>
        <v>B1G2</v>
      </c>
      <c r="P238" s="36" t="s">
        <v>2569</v>
      </c>
    </row>
    <row r="239" spans="1:16" x14ac:dyDescent="0.35">
      <c r="A239" s="34" t="str">
        <f t="shared" si="11"/>
        <v>2024 JULY-DEC B1G2</v>
      </c>
      <c r="B239" s="35">
        <f t="shared" si="11"/>
        <v>46086</v>
      </c>
      <c r="C239" s="35">
        <f t="shared" si="11"/>
        <v>46092</v>
      </c>
      <c r="D239" s="34">
        <v>3321</v>
      </c>
      <c r="E239" s="34">
        <v>337</v>
      </c>
      <c r="F239" s="34">
        <v>4</v>
      </c>
      <c r="G239" s="34">
        <v>5</v>
      </c>
      <c r="H239" s="34">
        <v>81698</v>
      </c>
      <c r="I239" s="34" t="s">
        <v>2690</v>
      </c>
      <c r="J239" s="34">
        <v>23115371</v>
      </c>
      <c r="K239" s="34" t="s">
        <v>4437</v>
      </c>
      <c r="L239" s="40" t="s">
        <v>4440</v>
      </c>
      <c r="M239" s="36">
        <v>289900</v>
      </c>
      <c r="N239" s="36" t="s">
        <v>2569</v>
      </c>
      <c r="O239" s="34" t="str">
        <f t="shared" si="12"/>
        <v>B1G2</v>
      </c>
      <c r="P239" s="36" t="s">
        <v>2569</v>
      </c>
    </row>
    <row r="240" spans="1:16" x14ac:dyDescent="0.35">
      <c r="A240" s="34" t="str">
        <f t="shared" si="11"/>
        <v>2024 JULY-DEC B1G2</v>
      </c>
      <c r="B240" s="35">
        <f t="shared" si="11"/>
        <v>46086</v>
      </c>
      <c r="C240" s="35">
        <f t="shared" si="11"/>
        <v>46092</v>
      </c>
      <c r="D240" s="34">
        <v>3321</v>
      </c>
      <c r="E240" s="34">
        <v>337</v>
      </c>
      <c r="F240" s="34">
        <v>4</v>
      </c>
      <c r="G240" s="34">
        <v>5</v>
      </c>
      <c r="H240" s="34">
        <v>81698</v>
      </c>
      <c r="I240" s="34" t="s">
        <v>2690</v>
      </c>
      <c r="J240" s="34">
        <v>23115406</v>
      </c>
      <c r="K240" s="34" t="s">
        <v>4437</v>
      </c>
      <c r="L240" s="40" t="s">
        <v>4441</v>
      </c>
      <c r="M240" s="36">
        <v>289900</v>
      </c>
      <c r="N240" s="36" t="s">
        <v>2569</v>
      </c>
      <c r="O240" s="34" t="str">
        <f t="shared" si="12"/>
        <v>B1G2</v>
      </c>
      <c r="P240" s="36" t="s">
        <v>2569</v>
      </c>
    </row>
    <row r="241" spans="1:16" x14ac:dyDescent="0.35">
      <c r="A241" s="34" t="str">
        <f t="shared" si="11"/>
        <v>2024 JULY-DEC B1G2</v>
      </c>
      <c r="B241" s="35">
        <f t="shared" si="11"/>
        <v>46086</v>
      </c>
      <c r="C241" s="35">
        <f t="shared" si="11"/>
        <v>46092</v>
      </c>
      <c r="D241" s="34">
        <v>3321</v>
      </c>
      <c r="E241" s="34">
        <v>337</v>
      </c>
      <c r="F241" s="34">
        <v>4</v>
      </c>
      <c r="G241" s="34">
        <v>5</v>
      </c>
      <c r="H241" s="34">
        <v>81698</v>
      </c>
      <c r="I241" s="34" t="s">
        <v>2690</v>
      </c>
      <c r="J241" s="34">
        <v>26742205</v>
      </c>
      <c r="K241" s="34" t="s">
        <v>4442</v>
      </c>
      <c r="L241" s="40" t="s">
        <v>4443</v>
      </c>
      <c r="M241" s="36">
        <v>319900</v>
      </c>
      <c r="N241" s="36" t="s">
        <v>2569</v>
      </c>
      <c r="O241" s="34" t="str">
        <f t="shared" si="12"/>
        <v>B1G2</v>
      </c>
      <c r="P241" s="36" t="s">
        <v>2569</v>
      </c>
    </row>
    <row r="242" spans="1:16" x14ac:dyDescent="0.35">
      <c r="A242" s="34" t="str">
        <f t="shared" si="11"/>
        <v>2024 JULY-DEC B1G2</v>
      </c>
      <c r="B242" s="35">
        <f t="shared" si="11"/>
        <v>46086</v>
      </c>
      <c r="C242" s="35">
        <f t="shared" si="11"/>
        <v>46092</v>
      </c>
      <c r="D242" s="34">
        <v>3321</v>
      </c>
      <c r="E242" s="34">
        <v>337</v>
      </c>
      <c r="F242" s="34">
        <v>4</v>
      </c>
      <c r="G242" s="34">
        <v>5</v>
      </c>
      <c r="H242" s="34">
        <v>81698</v>
      </c>
      <c r="I242" s="34" t="s">
        <v>2690</v>
      </c>
      <c r="J242" s="34">
        <v>26742189</v>
      </c>
      <c r="K242" s="34" t="s">
        <v>4442</v>
      </c>
      <c r="L242" s="40" t="s">
        <v>4444</v>
      </c>
      <c r="M242" s="36">
        <v>319900</v>
      </c>
      <c r="N242" s="36" t="s">
        <v>2569</v>
      </c>
      <c r="O242" s="34" t="str">
        <f t="shared" si="12"/>
        <v>B1G2</v>
      </c>
      <c r="P242" s="36" t="s">
        <v>2569</v>
      </c>
    </row>
    <row r="243" spans="1:16" x14ac:dyDescent="0.35">
      <c r="A243" s="34" t="str">
        <f t="shared" si="11"/>
        <v>2024 JULY-DEC B1G2</v>
      </c>
      <c r="B243" s="35">
        <f t="shared" si="11"/>
        <v>46086</v>
      </c>
      <c r="C243" s="35">
        <f t="shared" si="11"/>
        <v>46092</v>
      </c>
      <c r="D243" s="34">
        <v>3321</v>
      </c>
      <c r="E243" s="34">
        <v>337</v>
      </c>
      <c r="F243" s="34">
        <v>4</v>
      </c>
      <c r="G243" s="34">
        <v>5</v>
      </c>
      <c r="H243" s="34">
        <v>81698</v>
      </c>
      <c r="I243" s="34" t="s">
        <v>2690</v>
      </c>
      <c r="J243" s="34">
        <v>26742214</v>
      </c>
      <c r="K243" s="34" t="s">
        <v>4442</v>
      </c>
      <c r="L243" s="40" t="s">
        <v>4445</v>
      </c>
      <c r="M243" s="36">
        <v>319900</v>
      </c>
      <c r="N243" s="36" t="s">
        <v>2569</v>
      </c>
      <c r="O243" s="34" t="str">
        <f t="shared" si="12"/>
        <v>B1G2</v>
      </c>
      <c r="P243" s="36" t="s">
        <v>2569</v>
      </c>
    </row>
    <row r="244" spans="1:16" x14ac:dyDescent="0.35">
      <c r="A244" s="34" t="str">
        <f t="shared" si="11"/>
        <v>2024 JULY-DEC B1G2</v>
      </c>
      <c r="B244" s="35">
        <f t="shared" si="11"/>
        <v>46086</v>
      </c>
      <c r="C244" s="35">
        <f t="shared" si="11"/>
        <v>46092</v>
      </c>
      <c r="D244" s="34">
        <v>3321</v>
      </c>
      <c r="E244" s="34">
        <v>337</v>
      </c>
      <c r="F244" s="34">
        <v>4</v>
      </c>
      <c r="G244" s="34">
        <v>5</v>
      </c>
      <c r="H244" s="34">
        <v>81698</v>
      </c>
      <c r="I244" s="34" t="s">
        <v>2690</v>
      </c>
      <c r="J244" s="34">
        <v>26742198</v>
      </c>
      <c r="K244" s="34" t="s">
        <v>4442</v>
      </c>
      <c r="L244" s="40" t="s">
        <v>4446</v>
      </c>
      <c r="M244" s="36">
        <v>319900</v>
      </c>
      <c r="N244" s="36" t="s">
        <v>2569</v>
      </c>
      <c r="O244" s="34" t="str">
        <f t="shared" si="12"/>
        <v>B1G2</v>
      </c>
      <c r="P244" s="36" t="s">
        <v>2569</v>
      </c>
    </row>
  </sheetData>
  <autoFilter ref="A1:P1" xr:uid="{00000000-0009-0000-0000-000000000000}"/>
  <conditionalFormatting sqref="J1:J1048576">
    <cfRule type="duplicateValues" dxfId="1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269"/>
  <sheetViews>
    <sheetView zoomScale="72" zoomScaleNormal="100" workbookViewId="0">
      <pane ySplit="1" topLeftCell="A247" activePane="bottomLeft" state="frozen"/>
      <selection activeCell="I231" sqref="I231"/>
      <selection pane="bottomLeft" activeCell="M264" sqref="M264"/>
    </sheetView>
  </sheetViews>
  <sheetFormatPr defaultColWidth="8.7265625" defaultRowHeight="14.5" x14ac:dyDescent="0.35"/>
  <cols>
    <col min="1" max="1" width="24.8164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.26953125" style="33" customWidth="1"/>
    <col min="12" max="12" width="80.81640625" style="19" customWidth="1"/>
    <col min="13" max="13" width="16.26953125" style="39" customWidth="1"/>
    <col min="14" max="14" width="11" style="5" customWidth="1"/>
    <col min="15" max="15" width="16.1796875" style="39" customWidth="1"/>
    <col min="16" max="16" width="16.179687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42">
        <f>'2025 AUG B1G1-3321'!B87</f>
        <v>46086</v>
      </c>
      <c r="C2" s="42">
        <f>'2025 AUG B1G1-3321'!C87</f>
        <v>46092</v>
      </c>
      <c r="D2" s="34">
        <v>3321</v>
      </c>
      <c r="E2" s="34">
        <v>337</v>
      </c>
      <c r="F2" s="34">
        <v>4</v>
      </c>
      <c r="G2" s="34">
        <v>1</v>
      </c>
      <c r="H2" s="34">
        <v>81421</v>
      </c>
      <c r="I2" s="34" t="s">
        <v>2690</v>
      </c>
      <c r="J2" s="34">
        <v>15928526</v>
      </c>
      <c r="K2" s="34" t="s">
        <v>2742</v>
      </c>
      <c r="L2" s="40" t="s">
        <v>2743</v>
      </c>
      <c r="M2" s="36">
        <v>159900</v>
      </c>
      <c r="N2" s="37">
        <v>0.7</v>
      </c>
      <c r="O2" s="36">
        <f>M2-((70*M2))/100</f>
        <v>47970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46086</v>
      </c>
      <c r="C3" s="35">
        <f>C2</f>
        <v>46092</v>
      </c>
      <c r="D3" s="34">
        <v>3321</v>
      </c>
      <c r="E3" s="34">
        <v>337</v>
      </c>
      <c r="F3" s="34">
        <v>4</v>
      </c>
      <c r="G3" s="34">
        <v>1</v>
      </c>
      <c r="H3" s="34">
        <v>81421</v>
      </c>
      <c r="I3" s="34" t="s">
        <v>2690</v>
      </c>
      <c r="J3" s="34">
        <v>15928535</v>
      </c>
      <c r="K3" s="34" t="s">
        <v>2742</v>
      </c>
      <c r="L3" s="40" t="s">
        <v>2744</v>
      </c>
      <c r="M3" s="36">
        <v>159900</v>
      </c>
      <c r="N3" s="37">
        <f>N2</f>
        <v>0.7</v>
      </c>
      <c r="O3" s="36">
        <f t="shared" ref="O3:O66" si="0">M3-((70*M3))/100</f>
        <v>47970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46086</v>
      </c>
      <c r="C4" s="35">
        <f t="shared" si="1"/>
        <v>46092</v>
      </c>
      <c r="D4" s="34">
        <v>3321</v>
      </c>
      <c r="E4" s="34">
        <v>337</v>
      </c>
      <c r="F4" s="34">
        <v>4</v>
      </c>
      <c r="G4" s="34">
        <v>1</v>
      </c>
      <c r="H4" s="34">
        <v>81421</v>
      </c>
      <c r="I4" s="34" t="s">
        <v>2690</v>
      </c>
      <c r="J4" s="34">
        <v>15928553</v>
      </c>
      <c r="K4" s="34" t="s">
        <v>2742</v>
      </c>
      <c r="L4" s="40" t="s">
        <v>2745</v>
      </c>
      <c r="M4" s="36">
        <v>159900</v>
      </c>
      <c r="N4" s="37">
        <f t="shared" ref="N4:N67" si="2">N3</f>
        <v>0.7</v>
      </c>
      <c r="O4" s="36">
        <f t="shared" si="0"/>
        <v>47970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46086</v>
      </c>
      <c r="C5" s="35">
        <f t="shared" si="1"/>
        <v>46092</v>
      </c>
      <c r="D5" s="34">
        <v>3321</v>
      </c>
      <c r="E5" s="34">
        <v>337</v>
      </c>
      <c r="F5" s="34">
        <v>4</v>
      </c>
      <c r="G5" s="34">
        <v>1</v>
      </c>
      <c r="H5" s="34">
        <v>81421</v>
      </c>
      <c r="I5" s="34" t="s">
        <v>2690</v>
      </c>
      <c r="J5" s="34">
        <v>15928562</v>
      </c>
      <c r="K5" s="34" t="s">
        <v>2746</v>
      </c>
      <c r="L5" s="40" t="s">
        <v>2747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46086</v>
      </c>
      <c r="C6" s="35">
        <f t="shared" si="1"/>
        <v>46092</v>
      </c>
      <c r="D6" s="34">
        <v>3321</v>
      </c>
      <c r="E6" s="34">
        <v>337</v>
      </c>
      <c r="F6" s="34">
        <v>4</v>
      </c>
      <c r="G6" s="34">
        <v>1</v>
      </c>
      <c r="H6" s="34">
        <v>81421</v>
      </c>
      <c r="I6" s="34" t="s">
        <v>2690</v>
      </c>
      <c r="J6" s="34">
        <v>15928571</v>
      </c>
      <c r="K6" s="34" t="s">
        <v>2746</v>
      </c>
      <c r="L6" s="40" t="s">
        <v>2748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46086</v>
      </c>
      <c r="C7" s="35">
        <f t="shared" si="1"/>
        <v>46092</v>
      </c>
      <c r="D7" s="34">
        <v>3321</v>
      </c>
      <c r="E7" s="34">
        <v>337</v>
      </c>
      <c r="F7" s="34">
        <v>4</v>
      </c>
      <c r="G7" s="34">
        <v>1</v>
      </c>
      <c r="H7" s="34">
        <v>81421</v>
      </c>
      <c r="I7" s="34" t="s">
        <v>2690</v>
      </c>
      <c r="J7" s="34">
        <v>15928580</v>
      </c>
      <c r="K7" s="34" t="s">
        <v>2746</v>
      </c>
      <c r="L7" s="40" t="s">
        <v>2749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46086</v>
      </c>
      <c r="C8" s="35">
        <f t="shared" si="1"/>
        <v>46092</v>
      </c>
      <c r="D8" s="34">
        <v>3321</v>
      </c>
      <c r="E8" s="34">
        <v>337</v>
      </c>
      <c r="F8" s="34">
        <v>4</v>
      </c>
      <c r="G8" s="34">
        <v>1</v>
      </c>
      <c r="H8" s="34">
        <v>81421</v>
      </c>
      <c r="I8" s="34" t="s">
        <v>2690</v>
      </c>
      <c r="J8" s="34">
        <v>15928599</v>
      </c>
      <c r="K8" s="34" t="s">
        <v>2746</v>
      </c>
      <c r="L8" s="40" t="s">
        <v>2750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46086</v>
      </c>
      <c r="C9" s="35">
        <f t="shared" si="1"/>
        <v>46092</v>
      </c>
      <c r="D9" s="34">
        <v>3321</v>
      </c>
      <c r="E9" s="34">
        <v>337</v>
      </c>
      <c r="F9" s="34">
        <v>4</v>
      </c>
      <c r="G9" s="34">
        <v>1</v>
      </c>
      <c r="H9" s="34">
        <v>81421</v>
      </c>
      <c r="I9" s="34" t="s">
        <v>2690</v>
      </c>
      <c r="J9" s="34">
        <v>15928606</v>
      </c>
      <c r="K9" s="34" t="s">
        <v>2751</v>
      </c>
      <c r="L9" s="40" t="s">
        <v>2752</v>
      </c>
      <c r="M9" s="36">
        <v>149900</v>
      </c>
      <c r="N9" s="37">
        <f t="shared" si="2"/>
        <v>0.7</v>
      </c>
      <c r="O9" s="36">
        <f t="shared" si="0"/>
        <v>44970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46086</v>
      </c>
      <c r="C10" s="35">
        <f t="shared" si="1"/>
        <v>46092</v>
      </c>
      <c r="D10" s="34">
        <v>3321</v>
      </c>
      <c r="E10" s="34">
        <v>337</v>
      </c>
      <c r="F10" s="34">
        <v>4</v>
      </c>
      <c r="G10" s="34">
        <v>1</v>
      </c>
      <c r="H10" s="34">
        <v>81421</v>
      </c>
      <c r="I10" s="34" t="s">
        <v>2690</v>
      </c>
      <c r="J10" s="34">
        <v>15928615</v>
      </c>
      <c r="K10" s="34" t="s">
        <v>2751</v>
      </c>
      <c r="L10" s="40" t="s">
        <v>2753</v>
      </c>
      <c r="M10" s="36">
        <v>149900</v>
      </c>
      <c r="N10" s="37">
        <f t="shared" si="2"/>
        <v>0.7</v>
      </c>
      <c r="O10" s="36">
        <f t="shared" si="0"/>
        <v>44970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46086</v>
      </c>
      <c r="C11" s="35">
        <f t="shared" si="1"/>
        <v>46092</v>
      </c>
      <c r="D11" s="34">
        <v>3321</v>
      </c>
      <c r="E11" s="34">
        <v>337</v>
      </c>
      <c r="F11" s="34">
        <v>4</v>
      </c>
      <c r="G11" s="34">
        <v>1</v>
      </c>
      <c r="H11" s="34">
        <v>81421</v>
      </c>
      <c r="I11" s="34" t="s">
        <v>2690</v>
      </c>
      <c r="J11" s="34">
        <v>15928624</v>
      </c>
      <c r="K11" s="34" t="s">
        <v>2751</v>
      </c>
      <c r="L11" s="40" t="s">
        <v>2754</v>
      </c>
      <c r="M11" s="36">
        <v>149900</v>
      </c>
      <c r="N11" s="37">
        <f t="shared" si="2"/>
        <v>0.7</v>
      </c>
      <c r="O11" s="36">
        <f t="shared" si="0"/>
        <v>44970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46086</v>
      </c>
      <c r="C12" s="35">
        <f t="shared" si="1"/>
        <v>46092</v>
      </c>
      <c r="D12" s="34">
        <v>3321</v>
      </c>
      <c r="E12" s="34">
        <v>337</v>
      </c>
      <c r="F12" s="34">
        <v>4</v>
      </c>
      <c r="G12" s="34">
        <v>1</v>
      </c>
      <c r="H12" s="34">
        <v>81421</v>
      </c>
      <c r="I12" s="34" t="s">
        <v>2690</v>
      </c>
      <c r="J12" s="34">
        <v>15928633</v>
      </c>
      <c r="K12" s="34" t="s">
        <v>2751</v>
      </c>
      <c r="L12" s="40" t="s">
        <v>2755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46086</v>
      </c>
      <c r="C13" s="35">
        <f t="shared" si="1"/>
        <v>46092</v>
      </c>
      <c r="D13" s="34">
        <v>3321</v>
      </c>
      <c r="E13" s="34">
        <v>337</v>
      </c>
      <c r="F13" s="34">
        <v>4</v>
      </c>
      <c r="G13" s="34">
        <v>1</v>
      </c>
      <c r="H13" s="34">
        <v>81421</v>
      </c>
      <c r="I13" s="34" t="s">
        <v>2690</v>
      </c>
      <c r="J13" s="34">
        <v>16130706</v>
      </c>
      <c r="K13" s="34" t="s">
        <v>2756</v>
      </c>
      <c r="L13" s="40" t="s">
        <v>2757</v>
      </c>
      <c r="M13" s="36">
        <v>179900</v>
      </c>
      <c r="N13" s="37">
        <f t="shared" si="2"/>
        <v>0.7</v>
      </c>
      <c r="O13" s="36">
        <f t="shared" si="0"/>
        <v>53970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46086</v>
      </c>
      <c r="C14" s="35">
        <f t="shared" si="1"/>
        <v>46092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16130715</v>
      </c>
      <c r="K14" s="34" t="s">
        <v>2756</v>
      </c>
      <c r="L14" s="40" t="s">
        <v>2758</v>
      </c>
      <c r="M14" s="36">
        <v>179900</v>
      </c>
      <c r="N14" s="37">
        <f t="shared" si="2"/>
        <v>0.7</v>
      </c>
      <c r="O14" s="36">
        <f t="shared" si="0"/>
        <v>53970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46086</v>
      </c>
      <c r="C15" s="35">
        <f t="shared" si="1"/>
        <v>46092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16130724</v>
      </c>
      <c r="K15" s="34" t="s">
        <v>2756</v>
      </c>
      <c r="L15" s="40" t="s">
        <v>2759</v>
      </c>
      <c r="M15" s="36">
        <v>179900</v>
      </c>
      <c r="N15" s="37">
        <f t="shared" si="2"/>
        <v>0.7</v>
      </c>
      <c r="O15" s="36">
        <f t="shared" si="0"/>
        <v>53970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46086</v>
      </c>
      <c r="C16" s="35">
        <f t="shared" si="1"/>
        <v>46092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16265357</v>
      </c>
      <c r="K16" s="34" t="s">
        <v>2760</v>
      </c>
      <c r="L16" s="40" t="s">
        <v>2761</v>
      </c>
      <c r="M16" s="36">
        <v>149900</v>
      </c>
      <c r="N16" s="37">
        <f t="shared" si="2"/>
        <v>0.7</v>
      </c>
      <c r="O16" s="36">
        <f t="shared" si="0"/>
        <v>44970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46086</v>
      </c>
      <c r="C17" s="35">
        <f t="shared" si="1"/>
        <v>46092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16265366</v>
      </c>
      <c r="K17" s="34" t="s">
        <v>2760</v>
      </c>
      <c r="L17" s="40" t="s">
        <v>2762</v>
      </c>
      <c r="M17" s="36">
        <v>149900</v>
      </c>
      <c r="N17" s="37">
        <f t="shared" si="2"/>
        <v>0.7</v>
      </c>
      <c r="O17" s="36">
        <f t="shared" si="0"/>
        <v>44970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46086</v>
      </c>
      <c r="C18" s="35">
        <f t="shared" si="1"/>
        <v>46092</v>
      </c>
      <c r="D18" s="34">
        <v>3321</v>
      </c>
      <c r="E18" s="34">
        <v>337</v>
      </c>
      <c r="F18" s="34">
        <v>4</v>
      </c>
      <c r="G18" s="34">
        <v>1</v>
      </c>
      <c r="H18" s="34">
        <v>81421</v>
      </c>
      <c r="I18" s="34" t="s">
        <v>2690</v>
      </c>
      <c r="J18" s="34">
        <v>16265375</v>
      </c>
      <c r="K18" s="34" t="s">
        <v>2760</v>
      </c>
      <c r="L18" s="40" t="s">
        <v>2763</v>
      </c>
      <c r="M18" s="36">
        <v>149900</v>
      </c>
      <c r="N18" s="37">
        <f t="shared" si="2"/>
        <v>0.7</v>
      </c>
      <c r="O18" s="36">
        <f t="shared" si="0"/>
        <v>44970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46086</v>
      </c>
      <c r="C19" s="35">
        <f t="shared" si="1"/>
        <v>46092</v>
      </c>
      <c r="D19" s="34">
        <v>3321</v>
      </c>
      <c r="E19" s="34">
        <v>337</v>
      </c>
      <c r="F19" s="34">
        <v>4</v>
      </c>
      <c r="G19" s="34">
        <v>1</v>
      </c>
      <c r="H19" s="34">
        <v>81421</v>
      </c>
      <c r="I19" s="34" t="s">
        <v>2690</v>
      </c>
      <c r="J19" s="34">
        <v>16265384</v>
      </c>
      <c r="K19" s="34" t="s">
        <v>2760</v>
      </c>
      <c r="L19" s="40" t="s">
        <v>2764</v>
      </c>
      <c r="M19" s="36">
        <v>149900</v>
      </c>
      <c r="N19" s="37">
        <f t="shared" si="2"/>
        <v>0.7</v>
      </c>
      <c r="O19" s="36">
        <f t="shared" si="0"/>
        <v>44970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46086</v>
      </c>
      <c r="C20" s="35">
        <f t="shared" si="1"/>
        <v>46092</v>
      </c>
      <c r="D20" s="34">
        <v>3321</v>
      </c>
      <c r="E20" s="34">
        <v>337</v>
      </c>
      <c r="F20" s="34">
        <v>4</v>
      </c>
      <c r="G20" s="34">
        <v>1</v>
      </c>
      <c r="H20" s="34">
        <v>81506</v>
      </c>
      <c r="I20" s="34" t="s">
        <v>2690</v>
      </c>
      <c r="J20" s="34">
        <v>16572195</v>
      </c>
      <c r="K20" s="34" t="s">
        <v>2765</v>
      </c>
      <c r="L20" s="40" t="s">
        <v>2766</v>
      </c>
      <c r="M20" s="36">
        <v>159900</v>
      </c>
      <c r="N20" s="37">
        <f t="shared" si="2"/>
        <v>0.7</v>
      </c>
      <c r="O20" s="36">
        <f t="shared" si="0"/>
        <v>47970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46086</v>
      </c>
      <c r="C21" s="35">
        <f t="shared" si="1"/>
        <v>46092</v>
      </c>
      <c r="D21" s="34">
        <v>3321</v>
      </c>
      <c r="E21" s="34">
        <v>337</v>
      </c>
      <c r="F21" s="34">
        <v>4</v>
      </c>
      <c r="G21" s="34">
        <v>1</v>
      </c>
      <c r="H21" s="34">
        <v>81506</v>
      </c>
      <c r="I21" s="34" t="s">
        <v>2690</v>
      </c>
      <c r="J21" s="34">
        <v>16572202</v>
      </c>
      <c r="K21" s="34" t="s">
        <v>2765</v>
      </c>
      <c r="L21" s="40" t="s">
        <v>2767</v>
      </c>
      <c r="M21" s="36">
        <v>159900</v>
      </c>
      <c r="N21" s="37">
        <f t="shared" si="2"/>
        <v>0.7</v>
      </c>
      <c r="O21" s="36">
        <f t="shared" si="0"/>
        <v>47970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46086</v>
      </c>
      <c r="C22" s="35">
        <f t="shared" si="1"/>
        <v>46092</v>
      </c>
      <c r="D22" s="34">
        <v>3321</v>
      </c>
      <c r="E22" s="34">
        <v>337</v>
      </c>
      <c r="F22" s="34">
        <v>4</v>
      </c>
      <c r="G22" s="34">
        <v>1</v>
      </c>
      <c r="H22" s="34">
        <v>81506</v>
      </c>
      <c r="I22" s="34" t="s">
        <v>2690</v>
      </c>
      <c r="J22" s="34">
        <v>16572211</v>
      </c>
      <c r="K22" s="34" t="s">
        <v>2765</v>
      </c>
      <c r="L22" s="40" t="s">
        <v>2768</v>
      </c>
      <c r="M22" s="36">
        <v>159900</v>
      </c>
      <c r="N22" s="37">
        <f t="shared" si="2"/>
        <v>0.7</v>
      </c>
      <c r="O22" s="36">
        <f t="shared" si="0"/>
        <v>47970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46086</v>
      </c>
      <c r="C23" s="35">
        <f t="shared" si="1"/>
        <v>46092</v>
      </c>
      <c r="D23" s="34">
        <v>3321</v>
      </c>
      <c r="E23" s="34">
        <v>337</v>
      </c>
      <c r="F23" s="34">
        <v>4</v>
      </c>
      <c r="G23" s="34">
        <v>1</v>
      </c>
      <c r="H23" s="34">
        <v>81506</v>
      </c>
      <c r="I23" s="34" t="s">
        <v>2690</v>
      </c>
      <c r="J23" s="34">
        <v>16572220</v>
      </c>
      <c r="K23" s="34" t="s">
        <v>2765</v>
      </c>
      <c r="L23" s="40" t="s">
        <v>2769</v>
      </c>
      <c r="M23" s="36">
        <v>159900</v>
      </c>
      <c r="N23" s="37">
        <f t="shared" si="2"/>
        <v>0.7</v>
      </c>
      <c r="O23" s="36">
        <f t="shared" si="0"/>
        <v>47970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46086</v>
      </c>
      <c r="C24" s="35">
        <f t="shared" si="1"/>
        <v>46092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16047520</v>
      </c>
      <c r="K24" s="34" t="s">
        <v>2606</v>
      </c>
      <c r="L24" s="40" t="s">
        <v>2770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46086</v>
      </c>
      <c r="C25" s="35">
        <f t="shared" si="1"/>
        <v>46092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16047566</v>
      </c>
      <c r="K25" s="34" t="s">
        <v>2607</v>
      </c>
      <c r="L25" s="40" t="s">
        <v>2771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46086</v>
      </c>
      <c r="C26" s="35">
        <f t="shared" si="1"/>
        <v>46092</v>
      </c>
      <c r="D26" s="34">
        <v>3321</v>
      </c>
      <c r="E26" s="34">
        <v>337</v>
      </c>
      <c r="F26" s="34">
        <v>4</v>
      </c>
      <c r="G26" s="34">
        <v>1</v>
      </c>
      <c r="H26" s="34">
        <v>81676</v>
      </c>
      <c r="I26" s="34" t="s">
        <v>2690</v>
      </c>
      <c r="J26" s="34">
        <v>16047682</v>
      </c>
      <c r="K26" s="34" t="s">
        <v>6757</v>
      </c>
      <c r="L26" s="40" t="s">
        <v>6758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46086</v>
      </c>
      <c r="C27" s="35">
        <f t="shared" si="1"/>
        <v>46092</v>
      </c>
      <c r="D27" s="34">
        <v>3321</v>
      </c>
      <c r="E27" s="34">
        <v>337</v>
      </c>
      <c r="F27" s="34">
        <v>4</v>
      </c>
      <c r="G27" s="34">
        <v>1</v>
      </c>
      <c r="H27" s="34">
        <v>81676</v>
      </c>
      <c r="I27" s="34" t="s">
        <v>2690</v>
      </c>
      <c r="J27" s="34">
        <v>16047726</v>
      </c>
      <c r="K27" s="34" t="s">
        <v>2615</v>
      </c>
      <c r="L27" s="40" t="s">
        <v>2772</v>
      </c>
      <c r="M27" s="36">
        <v>149900</v>
      </c>
      <c r="N27" s="37">
        <f t="shared" si="2"/>
        <v>0.7</v>
      </c>
      <c r="O27" s="36">
        <f t="shared" si="0"/>
        <v>44970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46086</v>
      </c>
      <c r="C28" s="35">
        <f t="shared" si="1"/>
        <v>46092</v>
      </c>
      <c r="D28" s="34">
        <v>3321</v>
      </c>
      <c r="E28" s="34">
        <v>337</v>
      </c>
      <c r="F28" s="34">
        <v>4</v>
      </c>
      <c r="G28" s="34">
        <v>1</v>
      </c>
      <c r="H28" s="34">
        <v>81676</v>
      </c>
      <c r="I28" s="34" t="s">
        <v>2690</v>
      </c>
      <c r="J28" s="34">
        <v>16130742</v>
      </c>
      <c r="K28" s="34" t="s">
        <v>2773</v>
      </c>
      <c r="L28" s="40" t="s">
        <v>2774</v>
      </c>
      <c r="M28" s="36">
        <v>149900</v>
      </c>
      <c r="N28" s="37">
        <f t="shared" si="2"/>
        <v>0.7</v>
      </c>
      <c r="O28" s="36">
        <f t="shared" si="0"/>
        <v>44970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46086</v>
      </c>
      <c r="C29" s="35">
        <f t="shared" si="1"/>
        <v>46092</v>
      </c>
      <c r="D29" s="34">
        <v>3321</v>
      </c>
      <c r="E29" s="34">
        <v>337</v>
      </c>
      <c r="F29" s="34">
        <v>4</v>
      </c>
      <c r="G29" s="34">
        <v>1</v>
      </c>
      <c r="H29" s="34">
        <v>81676</v>
      </c>
      <c r="I29" s="34" t="s">
        <v>2690</v>
      </c>
      <c r="J29" s="34">
        <v>16130751</v>
      </c>
      <c r="K29" s="34" t="s">
        <v>2773</v>
      </c>
      <c r="L29" s="40" t="s">
        <v>2775</v>
      </c>
      <c r="M29" s="36">
        <v>149900</v>
      </c>
      <c r="N29" s="37">
        <f t="shared" si="2"/>
        <v>0.7</v>
      </c>
      <c r="O29" s="36">
        <f t="shared" si="0"/>
        <v>44970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46086</v>
      </c>
      <c r="C30" s="35">
        <f t="shared" si="1"/>
        <v>46092</v>
      </c>
      <c r="D30" s="34">
        <v>3321</v>
      </c>
      <c r="E30" s="34">
        <v>337</v>
      </c>
      <c r="F30" s="34">
        <v>4</v>
      </c>
      <c r="G30" s="34">
        <v>1</v>
      </c>
      <c r="H30" s="34">
        <v>81676</v>
      </c>
      <c r="I30" s="34" t="s">
        <v>2690</v>
      </c>
      <c r="J30" s="34">
        <v>16130779</v>
      </c>
      <c r="K30" s="34" t="s">
        <v>2773</v>
      </c>
      <c r="L30" s="40" t="s">
        <v>2776</v>
      </c>
      <c r="M30" s="36">
        <v>149900</v>
      </c>
      <c r="N30" s="37">
        <f t="shared" si="2"/>
        <v>0.7</v>
      </c>
      <c r="O30" s="36">
        <f t="shared" si="0"/>
        <v>44970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46086</v>
      </c>
      <c r="C31" s="35">
        <f t="shared" si="1"/>
        <v>46092</v>
      </c>
      <c r="D31" s="34">
        <v>3321</v>
      </c>
      <c r="E31" s="34">
        <v>337</v>
      </c>
      <c r="F31" s="34">
        <v>4</v>
      </c>
      <c r="G31" s="34">
        <v>1</v>
      </c>
      <c r="H31" s="34">
        <v>81676</v>
      </c>
      <c r="I31" s="34" t="s">
        <v>2690</v>
      </c>
      <c r="J31" s="34">
        <v>16130788</v>
      </c>
      <c r="K31" s="34" t="s">
        <v>2777</v>
      </c>
      <c r="L31" s="40" t="s">
        <v>2778</v>
      </c>
      <c r="M31" s="36">
        <v>149900</v>
      </c>
      <c r="N31" s="37">
        <f t="shared" si="2"/>
        <v>0.7</v>
      </c>
      <c r="O31" s="36">
        <f t="shared" si="0"/>
        <v>44970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46086</v>
      </c>
      <c r="C32" s="35">
        <f t="shared" si="1"/>
        <v>46092</v>
      </c>
      <c r="D32" s="34">
        <v>3321</v>
      </c>
      <c r="E32" s="34">
        <v>337</v>
      </c>
      <c r="F32" s="34">
        <v>4</v>
      </c>
      <c r="G32" s="34">
        <v>1</v>
      </c>
      <c r="H32" s="34">
        <v>81676</v>
      </c>
      <c r="I32" s="34" t="s">
        <v>2690</v>
      </c>
      <c r="J32" s="34">
        <v>16130797</v>
      </c>
      <c r="K32" s="34" t="s">
        <v>2777</v>
      </c>
      <c r="L32" s="40" t="s">
        <v>2779</v>
      </c>
      <c r="M32" s="36">
        <v>149900</v>
      </c>
      <c r="N32" s="37">
        <f t="shared" si="2"/>
        <v>0.7</v>
      </c>
      <c r="O32" s="36">
        <f t="shared" si="0"/>
        <v>44970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46086</v>
      </c>
      <c r="C33" s="35">
        <f t="shared" si="1"/>
        <v>46092</v>
      </c>
      <c r="D33" s="34">
        <v>3321</v>
      </c>
      <c r="E33" s="34">
        <v>337</v>
      </c>
      <c r="F33" s="34">
        <v>4</v>
      </c>
      <c r="G33" s="34">
        <v>1</v>
      </c>
      <c r="H33" s="34">
        <v>81676</v>
      </c>
      <c r="I33" s="34" t="s">
        <v>2690</v>
      </c>
      <c r="J33" s="34">
        <v>16130813</v>
      </c>
      <c r="K33" s="34" t="s">
        <v>2777</v>
      </c>
      <c r="L33" s="40" t="s">
        <v>2780</v>
      </c>
      <c r="M33" s="36">
        <v>149900</v>
      </c>
      <c r="N33" s="37">
        <f t="shared" si="2"/>
        <v>0.7</v>
      </c>
      <c r="O33" s="36">
        <f t="shared" si="0"/>
        <v>44970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46086</v>
      </c>
      <c r="C34" s="35">
        <f t="shared" si="1"/>
        <v>46092</v>
      </c>
      <c r="D34" s="34">
        <v>3321</v>
      </c>
      <c r="E34" s="34">
        <v>337</v>
      </c>
      <c r="F34" s="34">
        <v>4</v>
      </c>
      <c r="G34" s="34">
        <v>1</v>
      </c>
      <c r="H34" s="34">
        <v>81800</v>
      </c>
      <c r="I34" s="34" t="s">
        <v>2690</v>
      </c>
      <c r="J34" s="34">
        <v>16022547</v>
      </c>
      <c r="K34" s="34" t="s">
        <v>2781</v>
      </c>
      <c r="L34" s="40" t="s">
        <v>2782</v>
      </c>
      <c r="M34" s="36">
        <v>169900</v>
      </c>
      <c r="N34" s="37">
        <f t="shared" si="2"/>
        <v>0.7</v>
      </c>
      <c r="O34" s="36">
        <f t="shared" si="0"/>
        <v>50970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46086</v>
      </c>
      <c r="C35" s="35">
        <f t="shared" si="1"/>
        <v>46092</v>
      </c>
      <c r="D35" s="34">
        <v>3321</v>
      </c>
      <c r="E35" s="34">
        <v>337</v>
      </c>
      <c r="F35" s="34">
        <v>4</v>
      </c>
      <c r="G35" s="34">
        <v>1</v>
      </c>
      <c r="H35" s="34">
        <v>81800</v>
      </c>
      <c r="I35" s="34" t="s">
        <v>2690</v>
      </c>
      <c r="J35" s="34">
        <v>16022556</v>
      </c>
      <c r="K35" s="34" t="s">
        <v>2781</v>
      </c>
      <c r="L35" s="40" t="s">
        <v>2783</v>
      </c>
      <c r="M35" s="36">
        <v>169900</v>
      </c>
      <c r="N35" s="37">
        <f t="shared" si="2"/>
        <v>0.7</v>
      </c>
      <c r="O35" s="36">
        <f t="shared" si="0"/>
        <v>50970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46086</v>
      </c>
      <c r="C36" s="35">
        <f t="shared" si="1"/>
        <v>46092</v>
      </c>
      <c r="D36" s="34">
        <v>3321</v>
      </c>
      <c r="E36" s="34">
        <v>337</v>
      </c>
      <c r="F36" s="34">
        <v>4</v>
      </c>
      <c r="G36" s="34">
        <v>1</v>
      </c>
      <c r="H36" s="34">
        <v>81800</v>
      </c>
      <c r="I36" s="34" t="s">
        <v>2690</v>
      </c>
      <c r="J36" s="34">
        <v>16022565</v>
      </c>
      <c r="K36" s="34" t="s">
        <v>2781</v>
      </c>
      <c r="L36" s="40" t="s">
        <v>2784</v>
      </c>
      <c r="M36" s="36">
        <v>169900</v>
      </c>
      <c r="N36" s="37">
        <f t="shared" si="2"/>
        <v>0.7</v>
      </c>
      <c r="O36" s="36">
        <f t="shared" si="0"/>
        <v>50970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46086</v>
      </c>
      <c r="C37" s="35">
        <f t="shared" si="1"/>
        <v>46092</v>
      </c>
      <c r="D37" s="34">
        <v>3321</v>
      </c>
      <c r="E37" s="34">
        <v>337</v>
      </c>
      <c r="F37" s="34">
        <v>4</v>
      </c>
      <c r="G37" s="34">
        <v>1</v>
      </c>
      <c r="H37" s="34">
        <v>81800</v>
      </c>
      <c r="I37" s="34" t="s">
        <v>2690</v>
      </c>
      <c r="J37" s="34">
        <v>16022574</v>
      </c>
      <c r="K37" s="34" t="s">
        <v>2781</v>
      </c>
      <c r="L37" s="40" t="s">
        <v>2785</v>
      </c>
      <c r="M37" s="36">
        <v>169900</v>
      </c>
      <c r="N37" s="37">
        <f t="shared" si="2"/>
        <v>0.7</v>
      </c>
      <c r="O37" s="36">
        <f t="shared" si="0"/>
        <v>50970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46086</v>
      </c>
      <c r="C38" s="35">
        <f t="shared" si="1"/>
        <v>46092</v>
      </c>
      <c r="D38" s="34">
        <v>3321</v>
      </c>
      <c r="E38" s="34">
        <v>337</v>
      </c>
      <c r="F38" s="34">
        <v>4</v>
      </c>
      <c r="G38" s="34">
        <v>1</v>
      </c>
      <c r="H38" s="34">
        <v>81800</v>
      </c>
      <c r="I38" s="34" t="s">
        <v>2690</v>
      </c>
      <c r="J38" s="34">
        <v>16022583</v>
      </c>
      <c r="K38" s="34" t="s">
        <v>2786</v>
      </c>
      <c r="L38" s="40" t="s">
        <v>2787</v>
      </c>
      <c r="M38" s="36">
        <v>169900</v>
      </c>
      <c r="N38" s="37">
        <f t="shared" si="2"/>
        <v>0.7</v>
      </c>
      <c r="O38" s="36">
        <f t="shared" si="0"/>
        <v>50970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46086</v>
      </c>
      <c r="C39" s="35">
        <f t="shared" si="1"/>
        <v>46092</v>
      </c>
      <c r="D39" s="34">
        <v>3321</v>
      </c>
      <c r="E39" s="34">
        <v>337</v>
      </c>
      <c r="F39" s="34">
        <v>4</v>
      </c>
      <c r="G39" s="34">
        <v>1</v>
      </c>
      <c r="H39" s="34">
        <v>81800</v>
      </c>
      <c r="I39" s="34" t="s">
        <v>2690</v>
      </c>
      <c r="J39" s="34">
        <v>16022592</v>
      </c>
      <c r="K39" s="34" t="s">
        <v>2786</v>
      </c>
      <c r="L39" s="40" t="s">
        <v>2788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46086</v>
      </c>
      <c r="C40" s="35">
        <f t="shared" si="1"/>
        <v>46092</v>
      </c>
      <c r="D40" s="34">
        <v>3321</v>
      </c>
      <c r="E40" s="34">
        <v>337</v>
      </c>
      <c r="F40" s="34">
        <v>4</v>
      </c>
      <c r="G40" s="34">
        <v>1</v>
      </c>
      <c r="H40" s="34">
        <v>81800</v>
      </c>
      <c r="I40" s="34" t="s">
        <v>2690</v>
      </c>
      <c r="J40" s="34">
        <v>16022609</v>
      </c>
      <c r="K40" s="34" t="s">
        <v>2786</v>
      </c>
      <c r="L40" s="40" t="s">
        <v>2789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46086</v>
      </c>
      <c r="C41" s="35">
        <f t="shared" si="1"/>
        <v>46092</v>
      </c>
      <c r="D41" s="34">
        <v>3321</v>
      </c>
      <c r="E41" s="34">
        <v>337</v>
      </c>
      <c r="F41" s="34">
        <v>4</v>
      </c>
      <c r="G41" s="34">
        <v>1</v>
      </c>
      <c r="H41" s="34">
        <v>81800</v>
      </c>
      <c r="I41" s="34" t="s">
        <v>2690</v>
      </c>
      <c r="J41" s="34">
        <v>16022618</v>
      </c>
      <c r="K41" s="34" t="s">
        <v>2786</v>
      </c>
      <c r="L41" s="40" t="s">
        <v>2790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46086</v>
      </c>
      <c r="C42" s="35">
        <f t="shared" si="1"/>
        <v>46092</v>
      </c>
      <c r="D42" s="34">
        <v>3321</v>
      </c>
      <c r="E42" s="34">
        <v>337</v>
      </c>
      <c r="F42" s="34">
        <v>4</v>
      </c>
      <c r="G42" s="34">
        <v>1</v>
      </c>
      <c r="H42" s="34">
        <v>81800</v>
      </c>
      <c r="I42" s="34" t="s">
        <v>2690</v>
      </c>
      <c r="J42" s="34">
        <v>16022627</v>
      </c>
      <c r="K42" s="34" t="s">
        <v>2791</v>
      </c>
      <c r="L42" s="40" t="s">
        <v>2792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46086</v>
      </c>
      <c r="C43" s="35">
        <f t="shared" si="1"/>
        <v>46092</v>
      </c>
      <c r="D43" s="34">
        <v>3321</v>
      </c>
      <c r="E43" s="34">
        <v>337</v>
      </c>
      <c r="F43" s="34">
        <v>4</v>
      </c>
      <c r="G43" s="34">
        <v>1</v>
      </c>
      <c r="H43" s="34">
        <v>81800</v>
      </c>
      <c r="I43" s="34" t="s">
        <v>2690</v>
      </c>
      <c r="J43" s="34">
        <v>16022636</v>
      </c>
      <c r="K43" s="34" t="s">
        <v>2791</v>
      </c>
      <c r="L43" s="40" t="s">
        <v>2793</v>
      </c>
      <c r="M43" s="36">
        <v>169900</v>
      </c>
      <c r="N43" s="37">
        <f t="shared" si="2"/>
        <v>0.7</v>
      </c>
      <c r="O43" s="36">
        <f t="shared" si="0"/>
        <v>50970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46086</v>
      </c>
      <c r="C44" s="35">
        <f t="shared" si="1"/>
        <v>46092</v>
      </c>
      <c r="D44" s="34">
        <v>3321</v>
      </c>
      <c r="E44" s="34">
        <v>337</v>
      </c>
      <c r="F44" s="34">
        <v>4</v>
      </c>
      <c r="G44" s="34">
        <v>1</v>
      </c>
      <c r="H44" s="34">
        <v>81800</v>
      </c>
      <c r="I44" s="34" t="s">
        <v>2690</v>
      </c>
      <c r="J44" s="34">
        <v>16022645</v>
      </c>
      <c r="K44" s="34" t="s">
        <v>2791</v>
      </c>
      <c r="L44" s="40" t="s">
        <v>2794</v>
      </c>
      <c r="M44" s="36">
        <v>169900</v>
      </c>
      <c r="N44" s="37">
        <f t="shared" si="2"/>
        <v>0.7</v>
      </c>
      <c r="O44" s="36">
        <f t="shared" si="0"/>
        <v>50970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46086</v>
      </c>
      <c r="C45" s="35">
        <f t="shared" si="1"/>
        <v>46092</v>
      </c>
      <c r="D45" s="34">
        <v>3321</v>
      </c>
      <c r="E45" s="34">
        <v>337</v>
      </c>
      <c r="F45" s="34">
        <v>4</v>
      </c>
      <c r="G45" s="34">
        <v>1</v>
      </c>
      <c r="H45" s="34">
        <v>81800</v>
      </c>
      <c r="I45" s="34" t="s">
        <v>2690</v>
      </c>
      <c r="J45" s="34">
        <v>16022654</v>
      </c>
      <c r="K45" s="34" t="s">
        <v>2791</v>
      </c>
      <c r="L45" s="40" t="s">
        <v>2795</v>
      </c>
      <c r="M45" s="36">
        <v>169900</v>
      </c>
      <c r="N45" s="37">
        <f t="shared" si="2"/>
        <v>0.7</v>
      </c>
      <c r="O45" s="36">
        <f t="shared" si="0"/>
        <v>50970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46086</v>
      </c>
      <c r="C46" s="35">
        <f t="shared" si="1"/>
        <v>46092</v>
      </c>
      <c r="D46" s="34">
        <v>3321</v>
      </c>
      <c r="E46" s="34">
        <v>337</v>
      </c>
      <c r="F46" s="34">
        <v>4</v>
      </c>
      <c r="G46" s="34">
        <v>1</v>
      </c>
      <c r="H46" s="34">
        <v>81800</v>
      </c>
      <c r="I46" s="34" t="s">
        <v>2690</v>
      </c>
      <c r="J46" s="34">
        <v>16022707</v>
      </c>
      <c r="K46" s="34" t="s">
        <v>2796</v>
      </c>
      <c r="L46" s="40" t="s">
        <v>2797</v>
      </c>
      <c r="M46" s="36">
        <v>159900</v>
      </c>
      <c r="N46" s="37">
        <f t="shared" si="2"/>
        <v>0.7</v>
      </c>
      <c r="O46" s="36">
        <f t="shared" si="0"/>
        <v>47970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46086</v>
      </c>
      <c r="C47" s="35">
        <f t="shared" si="1"/>
        <v>46092</v>
      </c>
      <c r="D47" s="34">
        <v>3321</v>
      </c>
      <c r="E47" s="34">
        <v>337</v>
      </c>
      <c r="F47" s="34">
        <v>4</v>
      </c>
      <c r="G47" s="34">
        <v>1</v>
      </c>
      <c r="H47" s="34">
        <v>81800</v>
      </c>
      <c r="I47" s="34" t="s">
        <v>2690</v>
      </c>
      <c r="J47" s="34">
        <v>16022716</v>
      </c>
      <c r="K47" s="34" t="s">
        <v>2796</v>
      </c>
      <c r="L47" s="40" t="s">
        <v>2798</v>
      </c>
      <c r="M47" s="36">
        <v>159900</v>
      </c>
      <c r="N47" s="37">
        <f t="shared" si="2"/>
        <v>0.7</v>
      </c>
      <c r="O47" s="36">
        <f t="shared" si="0"/>
        <v>47970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46086</v>
      </c>
      <c r="C48" s="35">
        <f t="shared" si="1"/>
        <v>46092</v>
      </c>
      <c r="D48" s="34">
        <v>3321</v>
      </c>
      <c r="E48" s="34">
        <v>337</v>
      </c>
      <c r="F48" s="34">
        <v>4</v>
      </c>
      <c r="G48" s="34">
        <v>1</v>
      </c>
      <c r="H48" s="34">
        <v>81800</v>
      </c>
      <c r="I48" s="34" t="s">
        <v>2690</v>
      </c>
      <c r="J48" s="34">
        <v>16022725</v>
      </c>
      <c r="K48" s="34" t="s">
        <v>2796</v>
      </c>
      <c r="L48" s="40" t="s">
        <v>2799</v>
      </c>
      <c r="M48" s="36">
        <v>159900</v>
      </c>
      <c r="N48" s="37">
        <f t="shared" si="2"/>
        <v>0.7</v>
      </c>
      <c r="O48" s="36">
        <f t="shared" si="0"/>
        <v>47970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46086</v>
      </c>
      <c r="C49" s="35">
        <f t="shared" si="1"/>
        <v>46092</v>
      </c>
      <c r="D49" s="34">
        <v>3321</v>
      </c>
      <c r="E49" s="34">
        <v>337</v>
      </c>
      <c r="F49" s="34">
        <v>4</v>
      </c>
      <c r="G49" s="34">
        <v>1</v>
      </c>
      <c r="H49" s="34">
        <v>81800</v>
      </c>
      <c r="I49" s="34" t="s">
        <v>2690</v>
      </c>
      <c r="J49" s="34">
        <v>16022734</v>
      </c>
      <c r="K49" s="34" t="s">
        <v>2796</v>
      </c>
      <c r="L49" s="40" t="s">
        <v>2800</v>
      </c>
      <c r="M49" s="36">
        <v>159900</v>
      </c>
      <c r="N49" s="37">
        <f t="shared" si="2"/>
        <v>0.7</v>
      </c>
      <c r="O49" s="36">
        <f t="shared" si="0"/>
        <v>47970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46086</v>
      </c>
      <c r="C50" s="35">
        <f t="shared" si="1"/>
        <v>46092</v>
      </c>
      <c r="D50" s="34">
        <v>3321</v>
      </c>
      <c r="E50" s="34">
        <v>337</v>
      </c>
      <c r="F50" s="34">
        <v>4</v>
      </c>
      <c r="G50" s="34">
        <v>1</v>
      </c>
      <c r="H50" s="34">
        <v>81800</v>
      </c>
      <c r="I50" s="34" t="s">
        <v>2690</v>
      </c>
      <c r="J50" s="34">
        <v>16265437</v>
      </c>
      <c r="K50" s="34" t="s">
        <v>2801</v>
      </c>
      <c r="L50" s="40" t="s">
        <v>2802</v>
      </c>
      <c r="M50" s="36">
        <v>189900</v>
      </c>
      <c r="N50" s="37">
        <f t="shared" si="2"/>
        <v>0.7</v>
      </c>
      <c r="O50" s="36">
        <f t="shared" si="0"/>
        <v>56970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46086</v>
      </c>
      <c r="C51" s="35">
        <f t="shared" si="1"/>
        <v>46092</v>
      </c>
      <c r="D51" s="34">
        <v>3321</v>
      </c>
      <c r="E51" s="34">
        <v>337</v>
      </c>
      <c r="F51" s="34">
        <v>4</v>
      </c>
      <c r="G51" s="34">
        <v>1</v>
      </c>
      <c r="H51" s="34">
        <v>81800</v>
      </c>
      <c r="I51" s="34" t="s">
        <v>2690</v>
      </c>
      <c r="J51" s="34">
        <v>16265455</v>
      </c>
      <c r="K51" s="34" t="s">
        <v>2801</v>
      </c>
      <c r="L51" s="40" t="s">
        <v>2803</v>
      </c>
      <c r="M51" s="36">
        <v>189900</v>
      </c>
      <c r="N51" s="37">
        <f t="shared" si="2"/>
        <v>0.7</v>
      </c>
      <c r="O51" s="36">
        <f t="shared" si="0"/>
        <v>56970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46086</v>
      </c>
      <c r="C52" s="35">
        <f t="shared" si="1"/>
        <v>46092</v>
      </c>
      <c r="D52" s="34">
        <v>3321</v>
      </c>
      <c r="E52" s="34">
        <v>337</v>
      </c>
      <c r="F52" s="34">
        <v>4</v>
      </c>
      <c r="G52" s="34">
        <v>1</v>
      </c>
      <c r="H52" s="34">
        <v>81800</v>
      </c>
      <c r="I52" s="34" t="s">
        <v>2690</v>
      </c>
      <c r="J52" s="34">
        <v>16265464</v>
      </c>
      <c r="K52" s="34" t="s">
        <v>2801</v>
      </c>
      <c r="L52" s="40" t="s">
        <v>2804</v>
      </c>
      <c r="M52" s="36">
        <v>189900</v>
      </c>
      <c r="N52" s="37">
        <f t="shared" si="2"/>
        <v>0.7</v>
      </c>
      <c r="O52" s="36">
        <f t="shared" si="0"/>
        <v>56970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46086</v>
      </c>
      <c r="C53" s="35">
        <f t="shared" si="1"/>
        <v>46092</v>
      </c>
      <c r="D53" s="34">
        <v>3321</v>
      </c>
      <c r="E53" s="34">
        <v>337</v>
      </c>
      <c r="F53" s="34">
        <v>4</v>
      </c>
      <c r="G53" s="34">
        <v>1</v>
      </c>
      <c r="H53" s="34">
        <v>81800</v>
      </c>
      <c r="I53" s="34" t="s">
        <v>2690</v>
      </c>
      <c r="J53" s="34">
        <v>16265473</v>
      </c>
      <c r="K53" s="34" t="s">
        <v>2801</v>
      </c>
      <c r="L53" s="40" t="s">
        <v>2805</v>
      </c>
      <c r="M53" s="36">
        <v>189900</v>
      </c>
      <c r="N53" s="37">
        <f t="shared" si="2"/>
        <v>0.7</v>
      </c>
      <c r="O53" s="36">
        <f t="shared" si="0"/>
        <v>56970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46086</v>
      </c>
      <c r="C54" s="35">
        <f t="shared" si="1"/>
        <v>46092</v>
      </c>
      <c r="D54" s="34">
        <v>3321</v>
      </c>
      <c r="E54" s="34">
        <v>337</v>
      </c>
      <c r="F54" s="34">
        <v>4</v>
      </c>
      <c r="G54" s="34">
        <v>3</v>
      </c>
      <c r="H54" s="34">
        <v>81421</v>
      </c>
      <c r="I54" s="34" t="s">
        <v>2690</v>
      </c>
      <c r="J54" s="34">
        <v>16130868</v>
      </c>
      <c r="K54" s="34" t="s">
        <v>2806</v>
      </c>
      <c r="L54" s="40" t="s">
        <v>2807</v>
      </c>
      <c r="M54" s="36">
        <v>259900</v>
      </c>
      <c r="N54" s="37">
        <f t="shared" si="2"/>
        <v>0.7</v>
      </c>
      <c r="O54" s="36">
        <f t="shared" si="0"/>
        <v>77970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46086</v>
      </c>
      <c r="C55" s="35">
        <f t="shared" si="1"/>
        <v>46092</v>
      </c>
      <c r="D55" s="34">
        <v>3321</v>
      </c>
      <c r="E55" s="34">
        <v>337</v>
      </c>
      <c r="F55" s="34">
        <v>4</v>
      </c>
      <c r="G55" s="34">
        <v>3</v>
      </c>
      <c r="H55" s="34">
        <v>81421</v>
      </c>
      <c r="I55" s="34" t="s">
        <v>2690</v>
      </c>
      <c r="J55" s="34">
        <v>16130877</v>
      </c>
      <c r="K55" s="34" t="s">
        <v>2806</v>
      </c>
      <c r="L55" s="40" t="s">
        <v>2808</v>
      </c>
      <c r="M55" s="36">
        <v>259900</v>
      </c>
      <c r="N55" s="37">
        <f t="shared" si="2"/>
        <v>0.7</v>
      </c>
      <c r="O55" s="36">
        <f t="shared" si="0"/>
        <v>77970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46086</v>
      </c>
      <c r="C56" s="35">
        <f t="shared" si="1"/>
        <v>46092</v>
      </c>
      <c r="D56" s="34">
        <v>3321</v>
      </c>
      <c r="E56" s="34">
        <v>337</v>
      </c>
      <c r="F56" s="34">
        <v>4</v>
      </c>
      <c r="G56" s="34">
        <v>3</v>
      </c>
      <c r="H56" s="34">
        <v>81421</v>
      </c>
      <c r="I56" s="34" t="s">
        <v>2690</v>
      </c>
      <c r="J56" s="34">
        <v>16130886</v>
      </c>
      <c r="K56" s="34" t="s">
        <v>2806</v>
      </c>
      <c r="L56" s="40" t="s">
        <v>2809</v>
      </c>
      <c r="M56" s="36">
        <v>259900</v>
      </c>
      <c r="N56" s="37">
        <f t="shared" si="2"/>
        <v>0.7</v>
      </c>
      <c r="O56" s="36">
        <f t="shared" si="0"/>
        <v>77970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46086</v>
      </c>
      <c r="C57" s="35">
        <f t="shared" si="1"/>
        <v>46092</v>
      </c>
      <c r="D57" s="34">
        <v>3321</v>
      </c>
      <c r="E57" s="34">
        <v>337</v>
      </c>
      <c r="F57" s="34">
        <v>4</v>
      </c>
      <c r="G57" s="34">
        <v>3</v>
      </c>
      <c r="H57" s="34">
        <v>81421</v>
      </c>
      <c r="I57" s="34" t="s">
        <v>2690</v>
      </c>
      <c r="J57" s="34">
        <v>16130902</v>
      </c>
      <c r="K57" s="34" t="s">
        <v>2810</v>
      </c>
      <c r="L57" s="40" t="s">
        <v>2811</v>
      </c>
      <c r="M57" s="36">
        <v>219900</v>
      </c>
      <c r="N57" s="37">
        <f t="shared" si="2"/>
        <v>0.7</v>
      </c>
      <c r="O57" s="36">
        <f t="shared" si="0"/>
        <v>65970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46086</v>
      </c>
      <c r="C58" s="35">
        <f t="shared" si="1"/>
        <v>46092</v>
      </c>
      <c r="D58" s="34">
        <v>3321</v>
      </c>
      <c r="E58" s="34">
        <v>337</v>
      </c>
      <c r="F58" s="34">
        <v>4</v>
      </c>
      <c r="G58" s="34">
        <v>3</v>
      </c>
      <c r="H58" s="34">
        <v>81421</v>
      </c>
      <c r="I58" s="34" t="s">
        <v>2690</v>
      </c>
      <c r="J58" s="34">
        <v>16130911</v>
      </c>
      <c r="K58" s="34" t="s">
        <v>2810</v>
      </c>
      <c r="L58" s="40" t="s">
        <v>2812</v>
      </c>
      <c r="M58" s="36">
        <v>219900</v>
      </c>
      <c r="N58" s="37">
        <f t="shared" si="2"/>
        <v>0.7</v>
      </c>
      <c r="O58" s="36">
        <f t="shared" si="0"/>
        <v>65970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46086</v>
      </c>
      <c r="C59" s="35">
        <f t="shared" si="1"/>
        <v>46092</v>
      </c>
      <c r="D59" s="34">
        <v>3321</v>
      </c>
      <c r="E59" s="34">
        <v>337</v>
      </c>
      <c r="F59" s="34">
        <v>4</v>
      </c>
      <c r="G59" s="34">
        <v>3</v>
      </c>
      <c r="H59" s="34">
        <v>81421</v>
      </c>
      <c r="I59" s="34" t="s">
        <v>2690</v>
      </c>
      <c r="J59" s="34">
        <v>16130920</v>
      </c>
      <c r="K59" s="34" t="s">
        <v>2810</v>
      </c>
      <c r="L59" s="40" t="s">
        <v>2813</v>
      </c>
      <c r="M59" s="36">
        <v>219900</v>
      </c>
      <c r="N59" s="37">
        <f t="shared" si="2"/>
        <v>0.7</v>
      </c>
      <c r="O59" s="36">
        <f t="shared" si="0"/>
        <v>65970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46086</v>
      </c>
      <c r="C60" s="35">
        <f t="shared" si="1"/>
        <v>46092</v>
      </c>
      <c r="D60" s="34">
        <v>3321</v>
      </c>
      <c r="E60" s="34">
        <v>337</v>
      </c>
      <c r="F60" s="34">
        <v>4</v>
      </c>
      <c r="G60" s="34">
        <v>3</v>
      </c>
      <c r="H60" s="34">
        <v>81800</v>
      </c>
      <c r="I60" s="34" t="s">
        <v>2690</v>
      </c>
      <c r="J60" s="34">
        <v>16572239</v>
      </c>
      <c r="K60" s="34" t="s">
        <v>2814</v>
      </c>
      <c r="L60" s="40" t="s">
        <v>2815</v>
      </c>
      <c r="M60" s="36">
        <v>239900</v>
      </c>
      <c r="N60" s="37">
        <f t="shared" si="2"/>
        <v>0.7</v>
      </c>
      <c r="O60" s="36">
        <f t="shared" si="0"/>
        <v>71970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46086</v>
      </c>
      <c r="C61" s="35">
        <f t="shared" si="1"/>
        <v>46092</v>
      </c>
      <c r="D61" s="34">
        <v>3321</v>
      </c>
      <c r="E61" s="34">
        <v>337</v>
      </c>
      <c r="F61" s="34">
        <v>4</v>
      </c>
      <c r="G61" s="34">
        <v>3</v>
      </c>
      <c r="H61" s="34">
        <v>81800</v>
      </c>
      <c r="I61" s="34" t="s">
        <v>2690</v>
      </c>
      <c r="J61" s="34">
        <v>16572248</v>
      </c>
      <c r="K61" s="34" t="s">
        <v>2814</v>
      </c>
      <c r="L61" s="40" t="s">
        <v>2816</v>
      </c>
      <c r="M61" s="36">
        <v>239900</v>
      </c>
      <c r="N61" s="37">
        <f t="shared" si="2"/>
        <v>0.7</v>
      </c>
      <c r="O61" s="36">
        <f t="shared" si="0"/>
        <v>71970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46086</v>
      </c>
      <c r="C62" s="35">
        <f t="shared" si="1"/>
        <v>46092</v>
      </c>
      <c r="D62" s="34">
        <v>3321</v>
      </c>
      <c r="E62" s="34">
        <v>337</v>
      </c>
      <c r="F62" s="34">
        <v>4</v>
      </c>
      <c r="G62" s="34">
        <v>3</v>
      </c>
      <c r="H62" s="34">
        <v>81800</v>
      </c>
      <c r="I62" s="34" t="s">
        <v>2690</v>
      </c>
      <c r="J62" s="34">
        <v>16572257</v>
      </c>
      <c r="K62" s="34" t="s">
        <v>2814</v>
      </c>
      <c r="L62" s="40" t="s">
        <v>2817</v>
      </c>
      <c r="M62" s="36">
        <v>239900</v>
      </c>
      <c r="N62" s="37">
        <f t="shared" si="2"/>
        <v>0.7</v>
      </c>
      <c r="O62" s="36">
        <f t="shared" si="0"/>
        <v>71970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46086</v>
      </c>
      <c r="C63" s="35">
        <f t="shared" si="1"/>
        <v>46092</v>
      </c>
      <c r="D63" s="34">
        <v>3321</v>
      </c>
      <c r="E63" s="34">
        <v>337</v>
      </c>
      <c r="F63" s="34">
        <v>4</v>
      </c>
      <c r="G63" s="34">
        <v>3</v>
      </c>
      <c r="H63" s="34">
        <v>81800</v>
      </c>
      <c r="I63" s="34" t="s">
        <v>2690</v>
      </c>
      <c r="J63" s="34">
        <v>16572266</v>
      </c>
      <c r="K63" s="34" t="s">
        <v>2814</v>
      </c>
      <c r="L63" s="40" t="s">
        <v>2818</v>
      </c>
      <c r="M63" s="36">
        <v>239900</v>
      </c>
      <c r="N63" s="37">
        <f t="shared" si="2"/>
        <v>0.7</v>
      </c>
      <c r="O63" s="36">
        <f t="shared" si="0"/>
        <v>71970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46086</v>
      </c>
      <c r="C64" s="35">
        <f t="shared" si="1"/>
        <v>46092</v>
      </c>
      <c r="D64" s="34">
        <v>3321</v>
      </c>
      <c r="E64" s="34">
        <v>337</v>
      </c>
      <c r="F64" s="34">
        <v>4</v>
      </c>
      <c r="G64" s="34">
        <v>4</v>
      </c>
      <c r="H64" s="34">
        <v>81421</v>
      </c>
      <c r="I64" s="34" t="s">
        <v>2690</v>
      </c>
      <c r="J64" s="34">
        <v>16130948</v>
      </c>
      <c r="K64" s="34" t="s">
        <v>2819</v>
      </c>
      <c r="L64" s="40" t="s">
        <v>2820</v>
      </c>
      <c r="M64" s="36">
        <v>179900</v>
      </c>
      <c r="N64" s="37">
        <f t="shared" si="2"/>
        <v>0.7</v>
      </c>
      <c r="O64" s="36">
        <f t="shared" si="0"/>
        <v>53970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46086</v>
      </c>
      <c r="C65" s="35">
        <f t="shared" si="1"/>
        <v>46092</v>
      </c>
      <c r="D65" s="34">
        <v>3321</v>
      </c>
      <c r="E65" s="34">
        <v>337</v>
      </c>
      <c r="F65" s="34">
        <v>4</v>
      </c>
      <c r="G65" s="34">
        <v>4</v>
      </c>
      <c r="H65" s="34">
        <v>81421</v>
      </c>
      <c r="I65" s="34" t="s">
        <v>2690</v>
      </c>
      <c r="J65" s="34">
        <v>16130957</v>
      </c>
      <c r="K65" s="34" t="s">
        <v>2819</v>
      </c>
      <c r="L65" s="40" t="s">
        <v>2821</v>
      </c>
      <c r="M65" s="36">
        <v>179900</v>
      </c>
      <c r="N65" s="37">
        <f t="shared" si="2"/>
        <v>0.7</v>
      </c>
      <c r="O65" s="36">
        <f t="shared" si="0"/>
        <v>53970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46086</v>
      </c>
      <c r="C66" s="35">
        <f t="shared" si="1"/>
        <v>46092</v>
      </c>
      <c r="D66" s="34">
        <v>3321</v>
      </c>
      <c r="E66" s="34">
        <v>337</v>
      </c>
      <c r="F66" s="34">
        <v>4</v>
      </c>
      <c r="G66" s="34">
        <v>4</v>
      </c>
      <c r="H66" s="34">
        <v>81421</v>
      </c>
      <c r="I66" s="34" t="s">
        <v>2690</v>
      </c>
      <c r="J66" s="34">
        <v>16130966</v>
      </c>
      <c r="K66" s="34" t="s">
        <v>2819</v>
      </c>
      <c r="L66" s="40" t="s">
        <v>2822</v>
      </c>
      <c r="M66" s="36">
        <v>179900</v>
      </c>
      <c r="N66" s="37">
        <f t="shared" si="2"/>
        <v>0.7</v>
      </c>
      <c r="O66" s="36">
        <f t="shared" si="0"/>
        <v>53970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46086</v>
      </c>
      <c r="C67" s="35">
        <f t="shared" si="1"/>
        <v>46092</v>
      </c>
      <c r="D67" s="34">
        <v>3321</v>
      </c>
      <c r="E67" s="34">
        <v>337</v>
      </c>
      <c r="F67" s="34">
        <v>4</v>
      </c>
      <c r="G67" s="34">
        <v>4</v>
      </c>
      <c r="H67" s="34">
        <v>81421</v>
      </c>
      <c r="I67" s="34" t="s">
        <v>2690</v>
      </c>
      <c r="J67" s="34">
        <v>16130984</v>
      </c>
      <c r="K67" s="34" t="s">
        <v>2823</v>
      </c>
      <c r="L67" s="40" t="s">
        <v>2824</v>
      </c>
      <c r="M67" s="36">
        <v>219900</v>
      </c>
      <c r="N67" s="37">
        <f t="shared" si="2"/>
        <v>0.7</v>
      </c>
      <c r="O67" s="36">
        <f t="shared" ref="O67:O130" si="3">M67-((70*M67))/100</f>
        <v>65970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46086</v>
      </c>
      <c r="C68" s="35">
        <f t="shared" si="4"/>
        <v>46092</v>
      </c>
      <c r="D68" s="34">
        <v>3321</v>
      </c>
      <c r="E68" s="34">
        <v>337</v>
      </c>
      <c r="F68" s="34">
        <v>4</v>
      </c>
      <c r="G68" s="34">
        <v>4</v>
      </c>
      <c r="H68" s="34">
        <v>81421</v>
      </c>
      <c r="I68" s="34" t="s">
        <v>2690</v>
      </c>
      <c r="J68" s="34">
        <v>16130993</v>
      </c>
      <c r="K68" s="34" t="s">
        <v>2823</v>
      </c>
      <c r="L68" s="40" t="s">
        <v>2825</v>
      </c>
      <c r="M68" s="36">
        <v>219900</v>
      </c>
      <c r="N68" s="37">
        <f t="shared" ref="N68:N131" si="5">N67</f>
        <v>0.7</v>
      </c>
      <c r="O68" s="36">
        <f t="shared" si="3"/>
        <v>65970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46086</v>
      </c>
      <c r="C69" s="35">
        <f t="shared" si="4"/>
        <v>46092</v>
      </c>
      <c r="D69" s="34">
        <v>3321</v>
      </c>
      <c r="E69" s="34">
        <v>337</v>
      </c>
      <c r="F69" s="34">
        <v>4</v>
      </c>
      <c r="G69" s="34">
        <v>4</v>
      </c>
      <c r="H69" s="34">
        <v>81421</v>
      </c>
      <c r="I69" s="34" t="s">
        <v>2690</v>
      </c>
      <c r="J69" s="34">
        <v>16131009</v>
      </c>
      <c r="K69" s="34" t="s">
        <v>2823</v>
      </c>
      <c r="L69" s="40" t="s">
        <v>2826</v>
      </c>
      <c r="M69" s="36">
        <v>219900</v>
      </c>
      <c r="N69" s="37">
        <f t="shared" si="5"/>
        <v>0.7</v>
      </c>
      <c r="O69" s="36">
        <f t="shared" si="3"/>
        <v>65970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46086</v>
      </c>
      <c r="C70" s="35">
        <f t="shared" si="4"/>
        <v>46092</v>
      </c>
      <c r="D70" s="34">
        <v>3321</v>
      </c>
      <c r="E70" s="34">
        <v>337</v>
      </c>
      <c r="F70" s="34">
        <v>4</v>
      </c>
      <c r="G70" s="34">
        <v>4</v>
      </c>
      <c r="H70" s="34">
        <v>81574</v>
      </c>
      <c r="I70" s="34" t="s">
        <v>2690</v>
      </c>
      <c r="J70" s="34">
        <v>16131063</v>
      </c>
      <c r="K70" s="34" t="s">
        <v>2827</v>
      </c>
      <c r="L70" s="40" t="s">
        <v>2828</v>
      </c>
      <c r="M70" s="36">
        <v>259900</v>
      </c>
      <c r="N70" s="37">
        <f t="shared" si="5"/>
        <v>0.7</v>
      </c>
      <c r="O70" s="36">
        <f t="shared" si="3"/>
        <v>77970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46086</v>
      </c>
      <c r="C71" s="35">
        <f t="shared" si="4"/>
        <v>46092</v>
      </c>
      <c r="D71" s="34">
        <v>3321</v>
      </c>
      <c r="E71" s="34">
        <v>337</v>
      </c>
      <c r="F71" s="34">
        <v>4</v>
      </c>
      <c r="G71" s="34">
        <v>4</v>
      </c>
      <c r="H71" s="34">
        <v>81574</v>
      </c>
      <c r="I71" s="34" t="s">
        <v>2690</v>
      </c>
      <c r="J71" s="34">
        <v>16131072</v>
      </c>
      <c r="K71" s="34" t="s">
        <v>2827</v>
      </c>
      <c r="L71" s="40" t="s">
        <v>2829</v>
      </c>
      <c r="M71" s="36">
        <v>259900</v>
      </c>
      <c r="N71" s="37">
        <f t="shared" si="5"/>
        <v>0.7</v>
      </c>
      <c r="O71" s="36">
        <f t="shared" si="3"/>
        <v>77970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46086</v>
      </c>
      <c r="C72" s="35">
        <f t="shared" si="4"/>
        <v>46092</v>
      </c>
      <c r="D72" s="34">
        <v>3321</v>
      </c>
      <c r="E72" s="34">
        <v>337</v>
      </c>
      <c r="F72" s="34">
        <v>4</v>
      </c>
      <c r="G72" s="34">
        <v>4</v>
      </c>
      <c r="H72" s="34">
        <v>81574</v>
      </c>
      <c r="I72" s="34" t="s">
        <v>2690</v>
      </c>
      <c r="J72" s="34">
        <v>16131090</v>
      </c>
      <c r="K72" s="34" t="s">
        <v>2827</v>
      </c>
      <c r="L72" s="40" t="s">
        <v>2830</v>
      </c>
      <c r="M72" s="36">
        <v>259900</v>
      </c>
      <c r="N72" s="37">
        <f t="shared" si="5"/>
        <v>0.7</v>
      </c>
      <c r="O72" s="36">
        <f t="shared" si="3"/>
        <v>77970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46086</v>
      </c>
      <c r="C73" s="35">
        <f t="shared" si="4"/>
        <v>46092</v>
      </c>
      <c r="D73" s="34">
        <v>3321</v>
      </c>
      <c r="E73" s="34">
        <v>337</v>
      </c>
      <c r="F73" s="34">
        <v>4</v>
      </c>
      <c r="G73" s="34">
        <v>5</v>
      </c>
      <c r="H73" s="34">
        <v>81421</v>
      </c>
      <c r="I73" s="34" t="s">
        <v>2690</v>
      </c>
      <c r="J73" s="34">
        <v>16131027</v>
      </c>
      <c r="K73" s="34" t="s">
        <v>2831</v>
      </c>
      <c r="L73" s="40" t="s">
        <v>2832</v>
      </c>
      <c r="M73" s="36">
        <v>249900</v>
      </c>
      <c r="N73" s="37">
        <f t="shared" si="5"/>
        <v>0.7</v>
      </c>
      <c r="O73" s="36">
        <f t="shared" si="3"/>
        <v>74970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46086</v>
      </c>
      <c r="C74" s="35">
        <f t="shared" si="4"/>
        <v>46092</v>
      </c>
      <c r="D74" s="34">
        <v>3321</v>
      </c>
      <c r="E74" s="34">
        <v>337</v>
      </c>
      <c r="F74" s="34">
        <v>4</v>
      </c>
      <c r="G74" s="34">
        <v>5</v>
      </c>
      <c r="H74" s="34">
        <v>81421</v>
      </c>
      <c r="I74" s="34" t="s">
        <v>2690</v>
      </c>
      <c r="J74" s="34">
        <v>16131036</v>
      </c>
      <c r="K74" s="34" t="s">
        <v>2831</v>
      </c>
      <c r="L74" s="40" t="s">
        <v>2833</v>
      </c>
      <c r="M74" s="36">
        <v>249900</v>
      </c>
      <c r="N74" s="37">
        <f t="shared" si="5"/>
        <v>0.7</v>
      </c>
      <c r="O74" s="36">
        <f t="shared" si="3"/>
        <v>74970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46086</v>
      </c>
      <c r="C75" s="35">
        <f t="shared" si="4"/>
        <v>46092</v>
      </c>
      <c r="D75" s="34">
        <v>3321</v>
      </c>
      <c r="E75" s="34">
        <v>337</v>
      </c>
      <c r="F75" s="34">
        <v>4</v>
      </c>
      <c r="G75" s="34">
        <v>5</v>
      </c>
      <c r="H75" s="34">
        <v>81421</v>
      </c>
      <c r="I75" s="34" t="s">
        <v>2690</v>
      </c>
      <c r="J75" s="34">
        <v>16131045</v>
      </c>
      <c r="K75" s="34" t="s">
        <v>2831</v>
      </c>
      <c r="L75" s="40" t="s">
        <v>2834</v>
      </c>
      <c r="M75" s="36">
        <v>249900</v>
      </c>
      <c r="N75" s="37">
        <f t="shared" si="5"/>
        <v>0.7</v>
      </c>
      <c r="O75" s="36">
        <f t="shared" si="3"/>
        <v>74970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46086</v>
      </c>
      <c r="C76" s="35">
        <f t="shared" si="4"/>
        <v>46092</v>
      </c>
      <c r="D76" s="34">
        <v>3321</v>
      </c>
      <c r="E76" s="34">
        <v>337</v>
      </c>
      <c r="F76" s="34">
        <v>4</v>
      </c>
      <c r="G76" s="34">
        <v>5</v>
      </c>
      <c r="H76" s="34">
        <v>81421</v>
      </c>
      <c r="I76" s="34" t="s">
        <v>2690</v>
      </c>
      <c r="J76" s="34">
        <v>16131107</v>
      </c>
      <c r="K76" s="34" t="s">
        <v>2835</v>
      </c>
      <c r="L76" s="40" t="s">
        <v>2836</v>
      </c>
      <c r="M76" s="36">
        <v>239900</v>
      </c>
      <c r="N76" s="37">
        <f t="shared" si="5"/>
        <v>0.7</v>
      </c>
      <c r="O76" s="36">
        <f t="shared" si="3"/>
        <v>71970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46086</v>
      </c>
      <c r="C77" s="35">
        <f t="shared" si="4"/>
        <v>46092</v>
      </c>
      <c r="D77" s="34">
        <v>3321</v>
      </c>
      <c r="E77" s="34">
        <v>337</v>
      </c>
      <c r="F77" s="34">
        <v>4</v>
      </c>
      <c r="G77" s="34">
        <v>5</v>
      </c>
      <c r="H77" s="34">
        <v>81421</v>
      </c>
      <c r="I77" s="34" t="s">
        <v>2690</v>
      </c>
      <c r="J77" s="34">
        <v>16131116</v>
      </c>
      <c r="K77" s="34" t="s">
        <v>2835</v>
      </c>
      <c r="L77" s="40" t="s">
        <v>2837</v>
      </c>
      <c r="M77" s="36">
        <v>239900</v>
      </c>
      <c r="N77" s="37">
        <f t="shared" si="5"/>
        <v>0.7</v>
      </c>
      <c r="O77" s="36">
        <f t="shared" si="3"/>
        <v>71970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46086</v>
      </c>
      <c r="C78" s="35">
        <f t="shared" si="4"/>
        <v>46092</v>
      </c>
      <c r="D78" s="34">
        <v>3321</v>
      </c>
      <c r="E78" s="34">
        <v>337</v>
      </c>
      <c r="F78" s="34">
        <v>4</v>
      </c>
      <c r="G78" s="34">
        <v>5</v>
      </c>
      <c r="H78" s="34">
        <v>81421</v>
      </c>
      <c r="I78" s="34" t="s">
        <v>2690</v>
      </c>
      <c r="J78" s="34">
        <v>16131125</v>
      </c>
      <c r="K78" s="34" t="s">
        <v>2835</v>
      </c>
      <c r="L78" s="40" t="s">
        <v>2838</v>
      </c>
      <c r="M78" s="36">
        <v>239900</v>
      </c>
      <c r="N78" s="37">
        <f t="shared" si="5"/>
        <v>0.7</v>
      </c>
      <c r="O78" s="36">
        <f t="shared" si="3"/>
        <v>71970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46086</v>
      </c>
      <c r="C79" s="35">
        <f t="shared" si="4"/>
        <v>46092</v>
      </c>
      <c r="D79" s="34">
        <v>3321</v>
      </c>
      <c r="E79" s="34">
        <v>337</v>
      </c>
      <c r="F79" s="34">
        <v>4</v>
      </c>
      <c r="G79" s="34">
        <v>5</v>
      </c>
      <c r="H79" s="34">
        <v>81506</v>
      </c>
      <c r="I79" s="34" t="s">
        <v>2690</v>
      </c>
      <c r="J79" s="34">
        <v>16265482</v>
      </c>
      <c r="K79" s="34" t="s">
        <v>2839</v>
      </c>
      <c r="L79" s="40" t="s">
        <v>2840</v>
      </c>
      <c r="M79" s="36">
        <v>239900</v>
      </c>
      <c r="N79" s="37">
        <f t="shared" si="5"/>
        <v>0.7</v>
      </c>
      <c r="O79" s="36">
        <f t="shared" si="3"/>
        <v>71970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46086</v>
      </c>
      <c r="C80" s="35">
        <f t="shared" si="4"/>
        <v>46092</v>
      </c>
      <c r="D80" s="34">
        <v>3321</v>
      </c>
      <c r="E80" s="34">
        <v>337</v>
      </c>
      <c r="F80" s="34">
        <v>4</v>
      </c>
      <c r="G80" s="34">
        <v>5</v>
      </c>
      <c r="H80" s="34">
        <v>81506</v>
      </c>
      <c r="I80" s="34" t="s">
        <v>2690</v>
      </c>
      <c r="J80" s="34">
        <v>16265491</v>
      </c>
      <c r="K80" s="34" t="s">
        <v>2839</v>
      </c>
      <c r="L80" s="40" t="s">
        <v>2841</v>
      </c>
      <c r="M80" s="36">
        <v>239900</v>
      </c>
      <c r="N80" s="37">
        <f t="shared" si="5"/>
        <v>0.7</v>
      </c>
      <c r="O80" s="36">
        <f t="shared" si="3"/>
        <v>71970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46086</v>
      </c>
      <c r="C81" s="35">
        <f t="shared" si="4"/>
        <v>46092</v>
      </c>
      <c r="D81" s="34">
        <v>3321</v>
      </c>
      <c r="E81" s="34">
        <v>337</v>
      </c>
      <c r="F81" s="34">
        <v>4</v>
      </c>
      <c r="G81" s="34">
        <v>5</v>
      </c>
      <c r="H81" s="34">
        <v>81506</v>
      </c>
      <c r="I81" s="34" t="s">
        <v>2690</v>
      </c>
      <c r="J81" s="34">
        <v>16265508</v>
      </c>
      <c r="K81" s="34" t="s">
        <v>2839</v>
      </c>
      <c r="L81" s="40" t="s">
        <v>2842</v>
      </c>
      <c r="M81" s="36">
        <v>239900</v>
      </c>
      <c r="N81" s="37">
        <f t="shared" si="5"/>
        <v>0.7</v>
      </c>
      <c r="O81" s="36">
        <f t="shared" si="3"/>
        <v>71970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46086</v>
      </c>
      <c r="C82" s="35">
        <f t="shared" si="4"/>
        <v>46092</v>
      </c>
      <c r="D82" s="34">
        <v>3321</v>
      </c>
      <c r="E82" s="34">
        <v>337</v>
      </c>
      <c r="F82" s="34">
        <v>4</v>
      </c>
      <c r="G82" s="34">
        <v>5</v>
      </c>
      <c r="H82" s="34">
        <v>81506</v>
      </c>
      <c r="I82" s="34" t="s">
        <v>2690</v>
      </c>
      <c r="J82" s="34">
        <v>16265517</v>
      </c>
      <c r="K82" s="34" t="s">
        <v>2839</v>
      </c>
      <c r="L82" s="40" t="s">
        <v>2843</v>
      </c>
      <c r="M82" s="36">
        <v>239900</v>
      </c>
      <c r="N82" s="37">
        <f t="shared" si="5"/>
        <v>0.7</v>
      </c>
      <c r="O82" s="36">
        <f t="shared" si="3"/>
        <v>71970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46086</v>
      </c>
      <c r="C83" s="35">
        <f t="shared" si="4"/>
        <v>46092</v>
      </c>
      <c r="D83" s="34">
        <v>3321</v>
      </c>
      <c r="E83" s="34">
        <v>337</v>
      </c>
      <c r="F83" s="34">
        <v>4</v>
      </c>
      <c r="G83" s="34">
        <v>5</v>
      </c>
      <c r="H83" s="34">
        <v>81506</v>
      </c>
      <c r="I83" s="34" t="s">
        <v>2690</v>
      </c>
      <c r="J83" s="34">
        <v>16265526</v>
      </c>
      <c r="K83" s="34" t="s">
        <v>2844</v>
      </c>
      <c r="L83" s="40" t="s">
        <v>2845</v>
      </c>
      <c r="M83" s="36">
        <v>249900</v>
      </c>
      <c r="N83" s="37">
        <f t="shared" si="5"/>
        <v>0.7</v>
      </c>
      <c r="O83" s="36">
        <f t="shared" si="3"/>
        <v>74970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46086</v>
      </c>
      <c r="C84" s="35">
        <f t="shared" si="4"/>
        <v>46092</v>
      </c>
      <c r="D84" s="34">
        <v>3321</v>
      </c>
      <c r="E84" s="34">
        <v>337</v>
      </c>
      <c r="F84" s="34">
        <v>4</v>
      </c>
      <c r="G84" s="34">
        <v>5</v>
      </c>
      <c r="H84" s="34">
        <v>81506</v>
      </c>
      <c r="I84" s="34" t="s">
        <v>2690</v>
      </c>
      <c r="J84" s="34">
        <v>16265535</v>
      </c>
      <c r="K84" s="34" t="s">
        <v>2844</v>
      </c>
      <c r="L84" s="40" t="s">
        <v>2846</v>
      </c>
      <c r="M84" s="36">
        <v>249900</v>
      </c>
      <c r="N84" s="37">
        <f t="shared" si="5"/>
        <v>0.7</v>
      </c>
      <c r="O84" s="36">
        <f t="shared" si="3"/>
        <v>74970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46086</v>
      </c>
      <c r="C85" s="35">
        <f t="shared" si="4"/>
        <v>46092</v>
      </c>
      <c r="D85" s="34">
        <v>3321</v>
      </c>
      <c r="E85" s="34">
        <v>337</v>
      </c>
      <c r="F85" s="34">
        <v>4</v>
      </c>
      <c r="G85" s="34">
        <v>5</v>
      </c>
      <c r="H85" s="34">
        <v>81506</v>
      </c>
      <c r="I85" s="34" t="s">
        <v>2690</v>
      </c>
      <c r="J85" s="34">
        <v>16265544</v>
      </c>
      <c r="K85" s="34" t="s">
        <v>2844</v>
      </c>
      <c r="L85" s="40" t="s">
        <v>2847</v>
      </c>
      <c r="M85" s="36">
        <v>249900</v>
      </c>
      <c r="N85" s="37">
        <f t="shared" si="5"/>
        <v>0.7</v>
      </c>
      <c r="O85" s="36">
        <f t="shared" si="3"/>
        <v>74970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46086</v>
      </c>
      <c r="C86" s="35">
        <f t="shared" si="4"/>
        <v>46092</v>
      </c>
      <c r="D86" s="34">
        <v>3321</v>
      </c>
      <c r="E86" s="34">
        <v>337</v>
      </c>
      <c r="F86" s="34">
        <v>4</v>
      </c>
      <c r="G86" s="34">
        <v>5</v>
      </c>
      <c r="H86" s="34">
        <v>81506</v>
      </c>
      <c r="I86" s="34" t="s">
        <v>2690</v>
      </c>
      <c r="J86" s="34">
        <v>16265553</v>
      </c>
      <c r="K86" s="34" t="s">
        <v>2844</v>
      </c>
      <c r="L86" s="40" t="s">
        <v>2848</v>
      </c>
      <c r="M86" s="36">
        <v>249900</v>
      </c>
      <c r="N86" s="37">
        <f t="shared" si="5"/>
        <v>0.7</v>
      </c>
      <c r="O86" s="36">
        <f t="shared" si="3"/>
        <v>74970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46086</v>
      </c>
      <c r="C87" s="35">
        <f t="shared" si="4"/>
        <v>46092</v>
      </c>
      <c r="D87" s="34">
        <v>3321</v>
      </c>
      <c r="E87" s="34">
        <v>337</v>
      </c>
      <c r="F87" s="34">
        <v>4</v>
      </c>
      <c r="G87" s="34">
        <v>5</v>
      </c>
      <c r="H87" s="34">
        <v>81506</v>
      </c>
      <c r="I87" s="34" t="s">
        <v>2690</v>
      </c>
      <c r="J87" s="34">
        <v>16265562</v>
      </c>
      <c r="K87" s="34" t="s">
        <v>2849</v>
      </c>
      <c r="L87" s="40" t="s">
        <v>2850</v>
      </c>
      <c r="M87" s="36">
        <v>289900</v>
      </c>
      <c r="N87" s="37">
        <f t="shared" si="5"/>
        <v>0.7</v>
      </c>
      <c r="O87" s="36">
        <f t="shared" si="3"/>
        <v>86970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46086</v>
      </c>
      <c r="C88" s="35">
        <f t="shared" si="4"/>
        <v>46092</v>
      </c>
      <c r="D88" s="34">
        <v>3321</v>
      </c>
      <c r="E88" s="34">
        <v>337</v>
      </c>
      <c r="F88" s="34">
        <v>4</v>
      </c>
      <c r="G88" s="34">
        <v>5</v>
      </c>
      <c r="H88" s="34">
        <v>81506</v>
      </c>
      <c r="I88" s="34" t="s">
        <v>2690</v>
      </c>
      <c r="J88" s="34">
        <v>16265571</v>
      </c>
      <c r="K88" s="34" t="s">
        <v>2849</v>
      </c>
      <c r="L88" s="40" t="s">
        <v>2851</v>
      </c>
      <c r="M88" s="36">
        <v>289900</v>
      </c>
      <c r="N88" s="37">
        <f t="shared" si="5"/>
        <v>0.7</v>
      </c>
      <c r="O88" s="36">
        <f t="shared" si="3"/>
        <v>86970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46086</v>
      </c>
      <c r="C89" s="35">
        <f t="shared" si="4"/>
        <v>46092</v>
      </c>
      <c r="D89" s="34">
        <v>3321</v>
      </c>
      <c r="E89" s="34">
        <v>337</v>
      </c>
      <c r="F89" s="34">
        <v>4</v>
      </c>
      <c r="G89" s="34">
        <v>5</v>
      </c>
      <c r="H89" s="34">
        <v>81506</v>
      </c>
      <c r="I89" s="34" t="s">
        <v>2690</v>
      </c>
      <c r="J89" s="34">
        <v>16265580</v>
      </c>
      <c r="K89" s="34" t="s">
        <v>2849</v>
      </c>
      <c r="L89" s="40" t="s">
        <v>2852</v>
      </c>
      <c r="M89" s="36">
        <v>289900</v>
      </c>
      <c r="N89" s="37">
        <f t="shared" si="5"/>
        <v>0.7</v>
      </c>
      <c r="O89" s="36">
        <f t="shared" si="3"/>
        <v>86970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46086</v>
      </c>
      <c r="C90" s="35">
        <f t="shared" si="4"/>
        <v>46092</v>
      </c>
      <c r="D90" s="34">
        <v>3321</v>
      </c>
      <c r="E90" s="34">
        <v>337</v>
      </c>
      <c r="F90" s="34">
        <v>4</v>
      </c>
      <c r="G90" s="34">
        <v>5</v>
      </c>
      <c r="H90" s="34">
        <v>81506</v>
      </c>
      <c r="I90" s="34" t="s">
        <v>2690</v>
      </c>
      <c r="J90" s="34">
        <v>16265599</v>
      </c>
      <c r="K90" s="34" t="s">
        <v>2849</v>
      </c>
      <c r="L90" s="40" t="s">
        <v>2853</v>
      </c>
      <c r="M90" s="36">
        <v>289900</v>
      </c>
      <c r="N90" s="37">
        <f t="shared" si="5"/>
        <v>0.7</v>
      </c>
      <c r="O90" s="36">
        <f t="shared" si="3"/>
        <v>86970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46086</v>
      </c>
      <c r="C91" s="35">
        <f t="shared" si="4"/>
        <v>46092</v>
      </c>
      <c r="D91" s="34">
        <v>3321</v>
      </c>
      <c r="E91" s="34">
        <v>337</v>
      </c>
      <c r="F91" s="34">
        <v>4</v>
      </c>
      <c r="G91" s="34">
        <v>1</v>
      </c>
      <c r="H91" s="34">
        <v>81419</v>
      </c>
      <c r="I91" s="34" t="s">
        <v>2690</v>
      </c>
      <c r="J91" s="34">
        <v>16572113</v>
      </c>
      <c r="K91" s="34" t="s">
        <v>3109</v>
      </c>
      <c r="L91" s="40" t="s">
        <v>3110</v>
      </c>
      <c r="M91" s="36">
        <v>179900</v>
      </c>
      <c r="N91" s="37">
        <f t="shared" si="5"/>
        <v>0.7</v>
      </c>
      <c r="O91" s="36">
        <f t="shared" si="3"/>
        <v>53970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46086</v>
      </c>
      <c r="C92" s="35">
        <f t="shared" si="4"/>
        <v>46092</v>
      </c>
      <c r="D92" s="34">
        <v>3321</v>
      </c>
      <c r="E92" s="34">
        <v>337</v>
      </c>
      <c r="F92" s="34">
        <v>4</v>
      </c>
      <c r="G92" s="34">
        <v>1</v>
      </c>
      <c r="H92" s="34">
        <v>81419</v>
      </c>
      <c r="I92" s="34" t="s">
        <v>2690</v>
      </c>
      <c r="J92" s="34">
        <v>16572122</v>
      </c>
      <c r="K92" s="34" t="s">
        <v>3109</v>
      </c>
      <c r="L92" s="40" t="s">
        <v>3111</v>
      </c>
      <c r="M92" s="36">
        <v>179900</v>
      </c>
      <c r="N92" s="37">
        <f t="shared" si="5"/>
        <v>0.7</v>
      </c>
      <c r="O92" s="36">
        <f t="shared" si="3"/>
        <v>53970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46086</v>
      </c>
      <c r="C93" s="35">
        <f t="shared" si="4"/>
        <v>46092</v>
      </c>
      <c r="D93" s="34">
        <v>3321</v>
      </c>
      <c r="E93" s="34">
        <v>337</v>
      </c>
      <c r="F93" s="34">
        <v>4</v>
      </c>
      <c r="G93" s="34">
        <v>1</v>
      </c>
      <c r="H93" s="34">
        <v>81419</v>
      </c>
      <c r="I93" s="34" t="s">
        <v>2690</v>
      </c>
      <c r="J93" s="34">
        <v>16572131</v>
      </c>
      <c r="K93" s="34" t="s">
        <v>3109</v>
      </c>
      <c r="L93" s="40" t="s">
        <v>3112</v>
      </c>
      <c r="M93" s="36">
        <v>179900</v>
      </c>
      <c r="N93" s="37">
        <f t="shared" si="5"/>
        <v>0.7</v>
      </c>
      <c r="O93" s="36">
        <f t="shared" si="3"/>
        <v>53970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46086</v>
      </c>
      <c r="C94" s="35">
        <f t="shared" si="4"/>
        <v>46092</v>
      </c>
      <c r="D94" s="34">
        <v>3321</v>
      </c>
      <c r="E94" s="34">
        <v>337</v>
      </c>
      <c r="F94" s="34">
        <v>4</v>
      </c>
      <c r="G94" s="34">
        <v>1</v>
      </c>
      <c r="H94" s="34">
        <v>81419</v>
      </c>
      <c r="I94" s="34" t="s">
        <v>2690</v>
      </c>
      <c r="J94" s="34">
        <v>16572140</v>
      </c>
      <c r="K94" s="34" t="s">
        <v>3109</v>
      </c>
      <c r="L94" s="40" t="s">
        <v>3113</v>
      </c>
      <c r="M94" s="36">
        <v>179900</v>
      </c>
      <c r="N94" s="37">
        <f t="shared" si="5"/>
        <v>0.7</v>
      </c>
      <c r="O94" s="36">
        <f t="shared" si="3"/>
        <v>53970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46086</v>
      </c>
      <c r="C95" s="35">
        <f t="shared" si="4"/>
        <v>46092</v>
      </c>
      <c r="D95" s="34">
        <v>3321</v>
      </c>
      <c r="E95" s="34">
        <v>337</v>
      </c>
      <c r="F95" s="34">
        <v>4</v>
      </c>
      <c r="G95" s="34">
        <v>1</v>
      </c>
      <c r="H95" s="34">
        <v>81419</v>
      </c>
      <c r="I95" s="34" t="s">
        <v>2690</v>
      </c>
      <c r="J95" s="34">
        <v>16572159</v>
      </c>
      <c r="K95" s="34" t="s">
        <v>3114</v>
      </c>
      <c r="L95" s="40" t="s">
        <v>3115</v>
      </c>
      <c r="M95" s="36">
        <v>179900</v>
      </c>
      <c r="N95" s="37">
        <f t="shared" si="5"/>
        <v>0.7</v>
      </c>
      <c r="O95" s="36">
        <f t="shared" si="3"/>
        <v>53970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46086</v>
      </c>
      <c r="C96" s="35">
        <f t="shared" si="4"/>
        <v>46092</v>
      </c>
      <c r="D96" s="34">
        <v>3321</v>
      </c>
      <c r="E96" s="34">
        <v>337</v>
      </c>
      <c r="F96" s="34">
        <v>4</v>
      </c>
      <c r="G96" s="34">
        <v>1</v>
      </c>
      <c r="H96" s="34">
        <v>81419</v>
      </c>
      <c r="I96" s="34" t="s">
        <v>2690</v>
      </c>
      <c r="J96" s="34">
        <v>16572168</v>
      </c>
      <c r="K96" s="34" t="s">
        <v>3114</v>
      </c>
      <c r="L96" s="40" t="s">
        <v>3116</v>
      </c>
      <c r="M96" s="36">
        <v>179900</v>
      </c>
      <c r="N96" s="37">
        <f t="shared" si="5"/>
        <v>0.7</v>
      </c>
      <c r="O96" s="36">
        <f t="shared" si="3"/>
        <v>53970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46086</v>
      </c>
      <c r="C97" s="35">
        <f t="shared" si="4"/>
        <v>46092</v>
      </c>
      <c r="D97" s="34">
        <v>3321</v>
      </c>
      <c r="E97" s="34">
        <v>337</v>
      </c>
      <c r="F97" s="34">
        <v>4</v>
      </c>
      <c r="G97" s="34">
        <v>1</v>
      </c>
      <c r="H97" s="34">
        <v>81419</v>
      </c>
      <c r="I97" s="34" t="s">
        <v>2690</v>
      </c>
      <c r="J97" s="34">
        <v>16572177</v>
      </c>
      <c r="K97" s="34" t="s">
        <v>3114</v>
      </c>
      <c r="L97" s="40" t="s">
        <v>3117</v>
      </c>
      <c r="M97" s="36">
        <v>179900</v>
      </c>
      <c r="N97" s="37">
        <f t="shared" si="5"/>
        <v>0.7</v>
      </c>
      <c r="O97" s="36">
        <f t="shared" si="3"/>
        <v>53970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46086</v>
      </c>
      <c r="C98" s="35">
        <f t="shared" si="4"/>
        <v>46092</v>
      </c>
      <c r="D98" s="34">
        <v>3321</v>
      </c>
      <c r="E98" s="34">
        <v>337</v>
      </c>
      <c r="F98" s="34">
        <v>4</v>
      </c>
      <c r="G98" s="34">
        <v>1</v>
      </c>
      <c r="H98" s="34">
        <v>81419</v>
      </c>
      <c r="I98" s="34" t="s">
        <v>2690</v>
      </c>
      <c r="J98" s="34">
        <v>16572186</v>
      </c>
      <c r="K98" s="34" t="s">
        <v>3114</v>
      </c>
      <c r="L98" s="40" t="s">
        <v>3118</v>
      </c>
      <c r="M98" s="36">
        <v>179900</v>
      </c>
      <c r="N98" s="37">
        <f t="shared" si="5"/>
        <v>0.7</v>
      </c>
      <c r="O98" s="36">
        <f t="shared" si="3"/>
        <v>53970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46086</v>
      </c>
      <c r="C99" s="35">
        <f t="shared" si="4"/>
        <v>46092</v>
      </c>
      <c r="D99" s="34">
        <v>3321</v>
      </c>
      <c r="E99" s="34">
        <v>337</v>
      </c>
      <c r="F99" s="34">
        <v>4</v>
      </c>
      <c r="G99" s="34">
        <v>1</v>
      </c>
      <c r="H99" s="34">
        <v>81419</v>
      </c>
      <c r="I99" s="34" t="s">
        <v>2690</v>
      </c>
      <c r="J99" s="34">
        <v>16609173</v>
      </c>
      <c r="K99" s="34" t="s">
        <v>3119</v>
      </c>
      <c r="L99" s="40" t="s">
        <v>3120</v>
      </c>
      <c r="M99" s="36">
        <v>179900</v>
      </c>
      <c r="N99" s="37">
        <f t="shared" si="5"/>
        <v>0.7</v>
      </c>
      <c r="O99" s="36">
        <f t="shared" si="3"/>
        <v>53970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46086</v>
      </c>
      <c r="C100" s="35">
        <f t="shared" si="4"/>
        <v>46092</v>
      </c>
      <c r="D100" s="34">
        <v>3321</v>
      </c>
      <c r="E100" s="34">
        <v>337</v>
      </c>
      <c r="F100" s="34">
        <v>4</v>
      </c>
      <c r="G100" s="34">
        <v>1</v>
      </c>
      <c r="H100" s="34">
        <v>81419</v>
      </c>
      <c r="I100" s="34" t="s">
        <v>2690</v>
      </c>
      <c r="J100" s="34">
        <v>16609191</v>
      </c>
      <c r="K100" s="34" t="s">
        <v>3119</v>
      </c>
      <c r="L100" s="40" t="s">
        <v>3121</v>
      </c>
      <c r="M100" s="36">
        <v>179900</v>
      </c>
      <c r="N100" s="37">
        <f t="shared" si="5"/>
        <v>0.7</v>
      </c>
      <c r="O100" s="36">
        <f t="shared" si="3"/>
        <v>53970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46086</v>
      </c>
      <c r="C101" s="35">
        <f t="shared" si="4"/>
        <v>46092</v>
      </c>
      <c r="D101" s="34">
        <v>3321</v>
      </c>
      <c r="E101" s="34">
        <v>337</v>
      </c>
      <c r="F101" s="34">
        <v>4</v>
      </c>
      <c r="G101" s="34">
        <v>1</v>
      </c>
      <c r="H101" s="34">
        <v>81419</v>
      </c>
      <c r="I101" s="34" t="s">
        <v>2690</v>
      </c>
      <c r="J101" s="34">
        <v>16609208</v>
      </c>
      <c r="K101" s="34" t="s">
        <v>3119</v>
      </c>
      <c r="L101" s="40" t="s">
        <v>3122</v>
      </c>
      <c r="M101" s="36">
        <v>179900</v>
      </c>
      <c r="N101" s="37">
        <f t="shared" si="5"/>
        <v>0.7</v>
      </c>
      <c r="O101" s="36">
        <f t="shared" si="3"/>
        <v>53970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46086</v>
      </c>
      <c r="C102" s="35">
        <f t="shared" si="4"/>
        <v>46092</v>
      </c>
      <c r="D102" s="34">
        <v>3321</v>
      </c>
      <c r="E102" s="34">
        <v>337</v>
      </c>
      <c r="F102" s="34">
        <v>4</v>
      </c>
      <c r="G102" s="34">
        <v>1</v>
      </c>
      <c r="H102" s="34">
        <v>81419</v>
      </c>
      <c r="I102" s="34" t="s">
        <v>2690</v>
      </c>
      <c r="J102" s="34">
        <v>16609217</v>
      </c>
      <c r="K102" s="34" t="s">
        <v>3119</v>
      </c>
      <c r="L102" s="40" t="s">
        <v>3123</v>
      </c>
      <c r="M102" s="36">
        <v>179900</v>
      </c>
      <c r="N102" s="37">
        <f t="shared" si="5"/>
        <v>0.7</v>
      </c>
      <c r="O102" s="36">
        <f t="shared" si="3"/>
        <v>53970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46086</v>
      </c>
      <c r="C103" s="35">
        <f t="shared" si="4"/>
        <v>46092</v>
      </c>
      <c r="D103" s="34">
        <v>3321</v>
      </c>
      <c r="E103" s="34">
        <v>337</v>
      </c>
      <c r="F103" s="34">
        <v>4</v>
      </c>
      <c r="G103" s="34">
        <v>1</v>
      </c>
      <c r="H103" s="34">
        <v>81419</v>
      </c>
      <c r="I103" s="34" t="s">
        <v>2690</v>
      </c>
      <c r="J103" s="34">
        <v>16609226</v>
      </c>
      <c r="K103" s="34" t="s">
        <v>3124</v>
      </c>
      <c r="L103" s="40" t="s">
        <v>3125</v>
      </c>
      <c r="M103" s="36">
        <v>179900</v>
      </c>
      <c r="N103" s="37">
        <f t="shared" si="5"/>
        <v>0.7</v>
      </c>
      <c r="O103" s="36">
        <f t="shared" si="3"/>
        <v>53970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46086</v>
      </c>
      <c r="C104" s="35">
        <f t="shared" si="4"/>
        <v>46092</v>
      </c>
      <c r="D104" s="34">
        <v>3321</v>
      </c>
      <c r="E104" s="34">
        <v>337</v>
      </c>
      <c r="F104" s="34">
        <v>4</v>
      </c>
      <c r="G104" s="34">
        <v>1</v>
      </c>
      <c r="H104" s="34">
        <v>81419</v>
      </c>
      <c r="I104" s="34" t="s">
        <v>2690</v>
      </c>
      <c r="J104" s="34">
        <v>16609235</v>
      </c>
      <c r="K104" s="34" t="s">
        <v>3124</v>
      </c>
      <c r="L104" s="40" t="s">
        <v>3126</v>
      </c>
      <c r="M104" s="36">
        <v>179900</v>
      </c>
      <c r="N104" s="37">
        <f t="shared" si="5"/>
        <v>0.7</v>
      </c>
      <c r="O104" s="36">
        <f t="shared" si="3"/>
        <v>53970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46086</v>
      </c>
      <c r="C105" s="35">
        <f t="shared" si="4"/>
        <v>46092</v>
      </c>
      <c r="D105" s="34">
        <v>3321</v>
      </c>
      <c r="E105" s="34">
        <v>337</v>
      </c>
      <c r="F105" s="34">
        <v>4</v>
      </c>
      <c r="G105" s="34">
        <v>1</v>
      </c>
      <c r="H105" s="34">
        <v>81419</v>
      </c>
      <c r="I105" s="34" t="s">
        <v>2690</v>
      </c>
      <c r="J105" s="34">
        <v>16609244</v>
      </c>
      <c r="K105" s="34" t="s">
        <v>3124</v>
      </c>
      <c r="L105" s="40" t="s">
        <v>3127</v>
      </c>
      <c r="M105" s="36">
        <v>179900</v>
      </c>
      <c r="N105" s="37">
        <f t="shared" si="5"/>
        <v>0.7</v>
      </c>
      <c r="O105" s="36">
        <f t="shared" si="3"/>
        <v>53970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46086</v>
      </c>
      <c r="C106" s="35">
        <f t="shared" si="4"/>
        <v>46092</v>
      </c>
      <c r="D106" s="34">
        <v>3321</v>
      </c>
      <c r="E106" s="34">
        <v>337</v>
      </c>
      <c r="F106" s="34">
        <v>4</v>
      </c>
      <c r="G106" s="34">
        <v>1</v>
      </c>
      <c r="H106" s="34">
        <v>81419</v>
      </c>
      <c r="I106" s="34" t="s">
        <v>2690</v>
      </c>
      <c r="J106" s="34">
        <v>16609253</v>
      </c>
      <c r="K106" s="34" t="s">
        <v>3124</v>
      </c>
      <c r="L106" s="40" t="s">
        <v>3128</v>
      </c>
      <c r="M106" s="36">
        <v>179900</v>
      </c>
      <c r="N106" s="37">
        <f t="shared" si="5"/>
        <v>0.7</v>
      </c>
      <c r="O106" s="36">
        <f t="shared" si="3"/>
        <v>53970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46086</v>
      </c>
      <c r="C107" s="35">
        <f t="shared" si="4"/>
        <v>46092</v>
      </c>
      <c r="D107" s="34">
        <v>3321</v>
      </c>
      <c r="E107" s="34">
        <v>337</v>
      </c>
      <c r="F107" s="34">
        <v>4</v>
      </c>
      <c r="G107" s="34">
        <v>1</v>
      </c>
      <c r="H107" s="34">
        <v>81421</v>
      </c>
      <c r="I107" s="34" t="s">
        <v>2690</v>
      </c>
      <c r="J107" s="34">
        <v>15928544</v>
      </c>
      <c r="K107" s="34" t="s">
        <v>2742</v>
      </c>
      <c r="L107" s="40" t="s">
        <v>3129</v>
      </c>
      <c r="M107" s="36">
        <v>159900</v>
      </c>
      <c r="N107" s="37">
        <f t="shared" si="5"/>
        <v>0.7</v>
      </c>
      <c r="O107" s="36">
        <f t="shared" si="3"/>
        <v>47970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46086</v>
      </c>
      <c r="C108" s="35">
        <f t="shared" si="4"/>
        <v>46092</v>
      </c>
      <c r="D108" s="34">
        <v>3321</v>
      </c>
      <c r="E108" s="34">
        <v>337</v>
      </c>
      <c r="F108" s="34">
        <v>4</v>
      </c>
      <c r="G108" s="34">
        <v>1</v>
      </c>
      <c r="H108" s="34">
        <v>81421</v>
      </c>
      <c r="I108" s="34" t="s">
        <v>2690</v>
      </c>
      <c r="J108" s="34">
        <v>16130733</v>
      </c>
      <c r="K108" s="34" t="s">
        <v>2756</v>
      </c>
      <c r="L108" s="40" t="s">
        <v>3130</v>
      </c>
      <c r="M108" s="36">
        <v>179900</v>
      </c>
      <c r="N108" s="37">
        <f t="shared" si="5"/>
        <v>0.7</v>
      </c>
      <c r="O108" s="36">
        <f t="shared" si="3"/>
        <v>53970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46086</v>
      </c>
      <c r="C109" s="35">
        <f t="shared" si="4"/>
        <v>46092</v>
      </c>
      <c r="D109" s="34">
        <v>3321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2690</v>
      </c>
      <c r="J109" s="34">
        <v>16130804</v>
      </c>
      <c r="K109" s="34" t="s">
        <v>2777</v>
      </c>
      <c r="L109" s="40" t="s">
        <v>3131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46086</v>
      </c>
      <c r="C110" s="35">
        <f t="shared" si="4"/>
        <v>46092</v>
      </c>
      <c r="D110" s="34">
        <v>3321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2690</v>
      </c>
      <c r="J110" s="34">
        <v>16130822</v>
      </c>
      <c r="K110" s="34" t="s">
        <v>3132</v>
      </c>
      <c r="L110" s="40" t="s">
        <v>3133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46086</v>
      </c>
      <c r="C111" s="35">
        <f t="shared" si="4"/>
        <v>46092</v>
      </c>
      <c r="D111" s="34">
        <v>3321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2690</v>
      </c>
      <c r="J111" s="34">
        <v>16130831</v>
      </c>
      <c r="K111" s="34" t="s">
        <v>3132</v>
      </c>
      <c r="L111" s="40" t="s">
        <v>3134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46086</v>
      </c>
      <c r="C112" s="35">
        <f t="shared" si="4"/>
        <v>46092</v>
      </c>
      <c r="D112" s="34">
        <v>3321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2690</v>
      </c>
      <c r="J112" s="34">
        <v>16130840</v>
      </c>
      <c r="K112" s="34" t="s">
        <v>3132</v>
      </c>
      <c r="L112" s="40" t="s">
        <v>3135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46086</v>
      </c>
      <c r="C113" s="35">
        <f t="shared" si="4"/>
        <v>46092</v>
      </c>
      <c r="D113" s="34">
        <v>3321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2690</v>
      </c>
      <c r="J113" s="34">
        <v>16130859</v>
      </c>
      <c r="K113" s="34" t="s">
        <v>3132</v>
      </c>
      <c r="L113" s="40" t="s">
        <v>3136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46086</v>
      </c>
      <c r="C114" s="35">
        <f t="shared" si="4"/>
        <v>46092</v>
      </c>
      <c r="D114" s="34">
        <v>3321</v>
      </c>
      <c r="E114" s="34">
        <v>337</v>
      </c>
      <c r="F114" s="34">
        <v>4</v>
      </c>
      <c r="G114" s="34">
        <v>3</v>
      </c>
      <c r="H114" s="34">
        <v>81419</v>
      </c>
      <c r="I114" s="34" t="s">
        <v>2690</v>
      </c>
      <c r="J114" s="34">
        <v>16572319</v>
      </c>
      <c r="K114" s="34" t="s">
        <v>3137</v>
      </c>
      <c r="L114" s="40" t="s">
        <v>3138</v>
      </c>
      <c r="M114" s="36">
        <v>279900</v>
      </c>
      <c r="N114" s="37">
        <f t="shared" si="5"/>
        <v>0.7</v>
      </c>
      <c r="O114" s="36">
        <f t="shared" si="3"/>
        <v>83970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46086</v>
      </c>
      <c r="C115" s="35">
        <f t="shared" si="4"/>
        <v>46092</v>
      </c>
      <c r="D115" s="34">
        <v>3321</v>
      </c>
      <c r="E115" s="34">
        <v>337</v>
      </c>
      <c r="F115" s="34">
        <v>4</v>
      </c>
      <c r="G115" s="34">
        <v>3</v>
      </c>
      <c r="H115" s="34">
        <v>81419</v>
      </c>
      <c r="I115" s="34" t="s">
        <v>2690</v>
      </c>
      <c r="J115" s="34">
        <v>16572328</v>
      </c>
      <c r="K115" s="34" t="s">
        <v>3137</v>
      </c>
      <c r="L115" s="40" t="s">
        <v>3139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46086</v>
      </c>
      <c r="C116" s="35">
        <f t="shared" si="4"/>
        <v>46092</v>
      </c>
      <c r="D116" s="34">
        <v>3321</v>
      </c>
      <c r="E116" s="34">
        <v>337</v>
      </c>
      <c r="F116" s="34">
        <v>4</v>
      </c>
      <c r="G116" s="34">
        <v>3</v>
      </c>
      <c r="H116" s="34">
        <v>81419</v>
      </c>
      <c r="I116" s="34" t="s">
        <v>2690</v>
      </c>
      <c r="J116" s="34">
        <v>16572337</v>
      </c>
      <c r="K116" s="34" t="s">
        <v>3137</v>
      </c>
      <c r="L116" s="40" t="s">
        <v>3140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46086</v>
      </c>
      <c r="C117" s="35">
        <f t="shared" si="4"/>
        <v>46092</v>
      </c>
      <c r="D117" s="34">
        <v>3321</v>
      </c>
      <c r="E117" s="34">
        <v>337</v>
      </c>
      <c r="F117" s="34">
        <v>4</v>
      </c>
      <c r="G117" s="34">
        <v>3</v>
      </c>
      <c r="H117" s="34">
        <v>81419</v>
      </c>
      <c r="I117" s="34" t="s">
        <v>2690</v>
      </c>
      <c r="J117" s="34">
        <v>16572346</v>
      </c>
      <c r="K117" s="34" t="s">
        <v>3137</v>
      </c>
      <c r="L117" s="40" t="s">
        <v>3141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46086</v>
      </c>
      <c r="C118" s="35">
        <f t="shared" si="4"/>
        <v>46092</v>
      </c>
      <c r="D118" s="34">
        <v>3321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2690</v>
      </c>
      <c r="J118" s="34">
        <v>16130895</v>
      </c>
      <c r="K118" s="34" t="s">
        <v>2806</v>
      </c>
      <c r="L118" s="40" t="s">
        <v>3142</v>
      </c>
      <c r="M118" s="36">
        <v>259900</v>
      </c>
      <c r="N118" s="37">
        <f t="shared" si="5"/>
        <v>0.7</v>
      </c>
      <c r="O118" s="36">
        <f t="shared" si="3"/>
        <v>77970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46086</v>
      </c>
      <c r="C119" s="35">
        <f t="shared" si="4"/>
        <v>46092</v>
      </c>
      <c r="D119" s="34">
        <v>3321</v>
      </c>
      <c r="E119" s="34">
        <v>337</v>
      </c>
      <c r="F119" s="34">
        <v>4</v>
      </c>
      <c r="G119" s="34">
        <v>3</v>
      </c>
      <c r="H119" s="34">
        <v>81421</v>
      </c>
      <c r="I119" s="34" t="s">
        <v>2690</v>
      </c>
      <c r="J119" s="34">
        <v>16130939</v>
      </c>
      <c r="K119" s="34" t="s">
        <v>2810</v>
      </c>
      <c r="L119" s="40" t="s">
        <v>3143</v>
      </c>
      <c r="M119" s="36">
        <v>219900</v>
      </c>
      <c r="N119" s="37">
        <f t="shared" si="5"/>
        <v>0.7</v>
      </c>
      <c r="O119" s="36">
        <f t="shared" si="3"/>
        <v>65970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46086</v>
      </c>
      <c r="C120" s="35">
        <f t="shared" si="4"/>
        <v>46092</v>
      </c>
      <c r="D120" s="34">
        <v>3321</v>
      </c>
      <c r="E120" s="34">
        <v>337</v>
      </c>
      <c r="F120" s="34">
        <v>4</v>
      </c>
      <c r="G120" s="34">
        <v>4</v>
      </c>
      <c r="H120" s="34">
        <v>81419</v>
      </c>
      <c r="I120" s="34" t="s">
        <v>2690</v>
      </c>
      <c r="J120" s="34">
        <v>16724173</v>
      </c>
      <c r="K120" s="34" t="s">
        <v>3144</v>
      </c>
      <c r="L120" s="40" t="s">
        <v>3145</v>
      </c>
      <c r="M120" s="36">
        <v>229900</v>
      </c>
      <c r="N120" s="37">
        <f t="shared" si="5"/>
        <v>0.7</v>
      </c>
      <c r="O120" s="36">
        <f t="shared" si="3"/>
        <v>68970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46086</v>
      </c>
      <c r="C121" s="35">
        <f t="shared" si="4"/>
        <v>46092</v>
      </c>
      <c r="D121" s="34">
        <v>3321</v>
      </c>
      <c r="E121" s="34">
        <v>337</v>
      </c>
      <c r="F121" s="34">
        <v>4</v>
      </c>
      <c r="G121" s="34">
        <v>4</v>
      </c>
      <c r="H121" s="34">
        <v>81419</v>
      </c>
      <c r="I121" s="34" t="s">
        <v>2690</v>
      </c>
      <c r="J121" s="34">
        <v>16724182</v>
      </c>
      <c r="K121" s="34" t="s">
        <v>3144</v>
      </c>
      <c r="L121" s="40" t="s">
        <v>3146</v>
      </c>
      <c r="M121" s="36">
        <v>229900</v>
      </c>
      <c r="N121" s="37">
        <f t="shared" si="5"/>
        <v>0.7</v>
      </c>
      <c r="O121" s="36">
        <f t="shared" si="3"/>
        <v>68970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46086</v>
      </c>
      <c r="C122" s="35">
        <f t="shared" si="4"/>
        <v>46092</v>
      </c>
      <c r="D122" s="34">
        <v>3321</v>
      </c>
      <c r="E122" s="34">
        <v>337</v>
      </c>
      <c r="F122" s="34">
        <v>4</v>
      </c>
      <c r="G122" s="34">
        <v>4</v>
      </c>
      <c r="H122" s="34">
        <v>81419</v>
      </c>
      <c r="I122" s="34" t="s">
        <v>2690</v>
      </c>
      <c r="J122" s="34">
        <v>16724191</v>
      </c>
      <c r="K122" s="34" t="s">
        <v>3144</v>
      </c>
      <c r="L122" s="40" t="s">
        <v>3147</v>
      </c>
      <c r="M122" s="36">
        <v>229900</v>
      </c>
      <c r="N122" s="37">
        <f t="shared" si="5"/>
        <v>0.7</v>
      </c>
      <c r="O122" s="36">
        <f t="shared" si="3"/>
        <v>68970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46086</v>
      </c>
      <c r="C123" s="35">
        <f t="shared" si="4"/>
        <v>46092</v>
      </c>
      <c r="D123" s="34">
        <v>3321</v>
      </c>
      <c r="E123" s="34">
        <v>337</v>
      </c>
      <c r="F123" s="34">
        <v>4</v>
      </c>
      <c r="G123" s="34">
        <v>4</v>
      </c>
      <c r="H123" s="34">
        <v>81419</v>
      </c>
      <c r="I123" s="34" t="s">
        <v>2690</v>
      </c>
      <c r="J123" s="34">
        <v>16724208</v>
      </c>
      <c r="K123" s="34" t="s">
        <v>3144</v>
      </c>
      <c r="L123" s="40" t="s">
        <v>3148</v>
      </c>
      <c r="M123" s="36">
        <v>229900</v>
      </c>
      <c r="N123" s="37">
        <f t="shared" si="5"/>
        <v>0.7</v>
      </c>
      <c r="O123" s="36">
        <f t="shared" si="3"/>
        <v>68970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46086</v>
      </c>
      <c r="C124" s="35">
        <f t="shared" si="4"/>
        <v>46092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16130975</v>
      </c>
      <c r="K124" s="34" t="s">
        <v>2819</v>
      </c>
      <c r="L124" s="40" t="s">
        <v>3149</v>
      </c>
      <c r="M124" s="36">
        <v>179900</v>
      </c>
      <c r="N124" s="37">
        <f t="shared" si="5"/>
        <v>0.7</v>
      </c>
      <c r="O124" s="36">
        <f t="shared" si="3"/>
        <v>53970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46086</v>
      </c>
      <c r="C125" s="35">
        <f t="shared" si="4"/>
        <v>46092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16131018</v>
      </c>
      <c r="K125" s="34" t="s">
        <v>2823</v>
      </c>
      <c r="L125" s="40" t="s">
        <v>3150</v>
      </c>
      <c r="M125" s="36">
        <v>219900</v>
      </c>
      <c r="N125" s="37">
        <f t="shared" si="5"/>
        <v>0.7</v>
      </c>
      <c r="O125" s="36">
        <f t="shared" si="3"/>
        <v>65970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46086</v>
      </c>
      <c r="C126" s="35">
        <f t="shared" si="4"/>
        <v>46092</v>
      </c>
      <c r="D126" s="34">
        <v>3321</v>
      </c>
      <c r="E126" s="34">
        <v>337</v>
      </c>
      <c r="F126" s="34">
        <v>4</v>
      </c>
      <c r="G126" s="34">
        <v>4</v>
      </c>
      <c r="H126" s="34">
        <v>81800</v>
      </c>
      <c r="I126" s="34" t="s">
        <v>2690</v>
      </c>
      <c r="J126" s="34">
        <v>16572355</v>
      </c>
      <c r="K126" s="34" t="s">
        <v>3151</v>
      </c>
      <c r="L126" s="40" t="s">
        <v>3152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46086</v>
      </c>
      <c r="C127" s="35">
        <f t="shared" si="4"/>
        <v>46092</v>
      </c>
      <c r="D127" s="34">
        <v>3321</v>
      </c>
      <c r="E127" s="34">
        <v>337</v>
      </c>
      <c r="F127" s="34">
        <v>4</v>
      </c>
      <c r="G127" s="34">
        <v>4</v>
      </c>
      <c r="H127" s="34">
        <v>81800</v>
      </c>
      <c r="I127" s="34" t="s">
        <v>2690</v>
      </c>
      <c r="J127" s="34">
        <v>16572364</v>
      </c>
      <c r="K127" s="34" t="s">
        <v>3151</v>
      </c>
      <c r="L127" s="40" t="s">
        <v>3153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46086</v>
      </c>
      <c r="C128" s="35">
        <f t="shared" si="4"/>
        <v>46092</v>
      </c>
      <c r="D128" s="34">
        <v>3321</v>
      </c>
      <c r="E128" s="34">
        <v>337</v>
      </c>
      <c r="F128" s="34">
        <v>4</v>
      </c>
      <c r="G128" s="34">
        <v>4</v>
      </c>
      <c r="H128" s="34">
        <v>81800</v>
      </c>
      <c r="I128" s="34" t="s">
        <v>2690</v>
      </c>
      <c r="J128" s="34">
        <v>16572373</v>
      </c>
      <c r="K128" s="34" t="s">
        <v>3151</v>
      </c>
      <c r="L128" s="40" t="s">
        <v>3154</v>
      </c>
      <c r="M128" s="36">
        <v>249900</v>
      </c>
      <c r="N128" s="37">
        <f t="shared" si="5"/>
        <v>0.7</v>
      </c>
      <c r="O128" s="36">
        <f t="shared" si="3"/>
        <v>74970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46086</v>
      </c>
      <c r="C129" s="35">
        <f t="shared" si="4"/>
        <v>46092</v>
      </c>
      <c r="D129" s="34">
        <v>3321</v>
      </c>
      <c r="E129" s="34">
        <v>337</v>
      </c>
      <c r="F129" s="34">
        <v>4</v>
      </c>
      <c r="G129" s="34">
        <v>4</v>
      </c>
      <c r="H129" s="34">
        <v>81800</v>
      </c>
      <c r="I129" s="34" t="s">
        <v>2690</v>
      </c>
      <c r="J129" s="34">
        <v>16572382</v>
      </c>
      <c r="K129" s="34" t="s">
        <v>3151</v>
      </c>
      <c r="L129" s="40" t="s">
        <v>3155</v>
      </c>
      <c r="M129" s="36">
        <v>249900</v>
      </c>
      <c r="N129" s="37">
        <f t="shared" si="5"/>
        <v>0.7</v>
      </c>
      <c r="O129" s="36">
        <f t="shared" si="3"/>
        <v>74970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46086</v>
      </c>
      <c r="C130" s="35">
        <f t="shared" si="4"/>
        <v>46092</v>
      </c>
      <c r="D130" s="34">
        <v>3321</v>
      </c>
      <c r="E130" s="34">
        <v>337</v>
      </c>
      <c r="F130" s="34">
        <v>4</v>
      </c>
      <c r="G130" s="34">
        <v>4</v>
      </c>
      <c r="H130" s="34">
        <v>81574</v>
      </c>
      <c r="I130" s="34" t="s">
        <v>2690</v>
      </c>
      <c r="J130" s="34">
        <v>16131081</v>
      </c>
      <c r="K130" s="34" t="s">
        <v>2827</v>
      </c>
      <c r="L130" s="40" t="s">
        <v>3156</v>
      </c>
      <c r="M130" s="36">
        <v>259900</v>
      </c>
      <c r="N130" s="37">
        <f t="shared" si="5"/>
        <v>0.7</v>
      </c>
      <c r="O130" s="36">
        <f t="shared" si="3"/>
        <v>77970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46086</v>
      </c>
      <c r="C131" s="35">
        <f t="shared" si="4"/>
        <v>46092</v>
      </c>
      <c r="D131" s="34">
        <v>3321</v>
      </c>
      <c r="E131" s="34">
        <v>337</v>
      </c>
      <c r="F131" s="34">
        <v>4</v>
      </c>
      <c r="G131" s="34">
        <v>5</v>
      </c>
      <c r="H131" s="34">
        <v>81419</v>
      </c>
      <c r="I131" s="34" t="s">
        <v>2690</v>
      </c>
      <c r="J131" s="34">
        <v>16572435</v>
      </c>
      <c r="K131" s="34" t="s">
        <v>3157</v>
      </c>
      <c r="L131" s="40" t="s">
        <v>3158</v>
      </c>
      <c r="M131" s="36">
        <v>269900</v>
      </c>
      <c r="N131" s="37">
        <f t="shared" si="5"/>
        <v>0.7</v>
      </c>
      <c r="O131" s="36">
        <f t="shared" ref="O131:O194" si="6">M131-((70*M131))/100</f>
        <v>80970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46086</v>
      </c>
      <c r="C132" s="35">
        <f t="shared" si="7"/>
        <v>46092</v>
      </c>
      <c r="D132" s="34">
        <v>3321</v>
      </c>
      <c r="E132" s="34">
        <v>337</v>
      </c>
      <c r="F132" s="34">
        <v>4</v>
      </c>
      <c r="G132" s="34">
        <v>5</v>
      </c>
      <c r="H132" s="34">
        <v>81419</v>
      </c>
      <c r="I132" s="34" t="s">
        <v>2690</v>
      </c>
      <c r="J132" s="34">
        <v>16572444</v>
      </c>
      <c r="K132" s="34" t="s">
        <v>3157</v>
      </c>
      <c r="L132" s="40" t="s">
        <v>3159</v>
      </c>
      <c r="M132" s="36">
        <v>269900</v>
      </c>
      <c r="N132" s="37">
        <f t="shared" ref="N132:N195" si="8">N131</f>
        <v>0.7</v>
      </c>
      <c r="O132" s="36">
        <f t="shared" si="6"/>
        <v>80970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46086</v>
      </c>
      <c r="C133" s="35">
        <f t="shared" si="7"/>
        <v>46092</v>
      </c>
      <c r="D133" s="34">
        <v>3321</v>
      </c>
      <c r="E133" s="34">
        <v>337</v>
      </c>
      <c r="F133" s="34">
        <v>4</v>
      </c>
      <c r="G133" s="34">
        <v>5</v>
      </c>
      <c r="H133" s="34">
        <v>81419</v>
      </c>
      <c r="I133" s="34" t="s">
        <v>2690</v>
      </c>
      <c r="J133" s="34">
        <v>16572453</v>
      </c>
      <c r="K133" s="34" t="s">
        <v>3157</v>
      </c>
      <c r="L133" s="40" t="s">
        <v>3160</v>
      </c>
      <c r="M133" s="36">
        <v>269900</v>
      </c>
      <c r="N133" s="37">
        <f t="shared" si="8"/>
        <v>0.7</v>
      </c>
      <c r="O133" s="36">
        <f t="shared" si="6"/>
        <v>80970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46086</v>
      </c>
      <c r="C134" s="35">
        <f t="shared" si="7"/>
        <v>46092</v>
      </c>
      <c r="D134" s="34">
        <v>3321</v>
      </c>
      <c r="E134" s="34">
        <v>337</v>
      </c>
      <c r="F134" s="34">
        <v>4</v>
      </c>
      <c r="G134" s="34">
        <v>5</v>
      </c>
      <c r="H134" s="34">
        <v>81419</v>
      </c>
      <c r="I134" s="34" t="s">
        <v>2690</v>
      </c>
      <c r="J134" s="34">
        <v>16572462</v>
      </c>
      <c r="K134" s="34" t="s">
        <v>3157</v>
      </c>
      <c r="L134" s="40" t="s">
        <v>3161</v>
      </c>
      <c r="M134" s="36">
        <v>269900</v>
      </c>
      <c r="N134" s="37">
        <f t="shared" si="8"/>
        <v>0.7</v>
      </c>
      <c r="O134" s="36">
        <f t="shared" si="6"/>
        <v>80970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46086</v>
      </c>
      <c r="C135" s="35">
        <f t="shared" si="7"/>
        <v>46092</v>
      </c>
      <c r="D135" s="34">
        <v>3321</v>
      </c>
      <c r="E135" s="34">
        <v>337</v>
      </c>
      <c r="F135" s="34">
        <v>4</v>
      </c>
      <c r="G135" s="34">
        <v>5</v>
      </c>
      <c r="H135" s="34">
        <v>81419</v>
      </c>
      <c r="I135" s="34" t="s">
        <v>2690</v>
      </c>
      <c r="J135" s="34">
        <v>16572471</v>
      </c>
      <c r="K135" s="34" t="s">
        <v>3162</v>
      </c>
      <c r="L135" s="40" t="s">
        <v>3163</v>
      </c>
      <c r="M135" s="36">
        <v>249900</v>
      </c>
      <c r="N135" s="37">
        <f t="shared" si="8"/>
        <v>0.7</v>
      </c>
      <c r="O135" s="36">
        <f t="shared" si="6"/>
        <v>74970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46086</v>
      </c>
      <c r="C136" s="35">
        <f t="shared" si="7"/>
        <v>46092</v>
      </c>
      <c r="D136" s="34">
        <v>3321</v>
      </c>
      <c r="E136" s="34">
        <v>337</v>
      </c>
      <c r="F136" s="34">
        <v>4</v>
      </c>
      <c r="G136" s="34">
        <v>5</v>
      </c>
      <c r="H136" s="34">
        <v>81419</v>
      </c>
      <c r="I136" s="34" t="s">
        <v>2690</v>
      </c>
      <c r="J136" s="34">
        <v>16572480</v>
      </c>
      <c r="K136" s="34" t="s">
        <v>3162</v>
      </c>
      <c r="L136" s="40" t="s">
        <v>3164</v>
      </c>
      <c r="M136" s="36">
        <v>249900</v>
      </c>
      <c r="N136" s="37">
        <f t="shared" si="8"/>
        <v>0.7</v>
      </c>
      <c r="O136" s="36">
        <f t="shared" si="6"/>
        <v>74970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46086</v>
      </c>
      <c r="C137" s="35">
        <f t="shared" si="7"/>
        <v>46092</v>
      </c>
      <c r="D137" s="34">
        <v>3321</v>
      </c>
      <c r="E137" s="34">
        <v>337</v>
      </c>
      <c r="F137" s="34">
        <v>4</v>
      </c>
      <c r="G137" s="34">
        <v>5</v>
      </c>
      <c r="H137" s="34">
        <v>81419</v>
      </c>
      <c r="I137" s="34" t="s">
        <v>2690</v>
      </c>
      <c r="J137" s="34">
        <v>16572499</v>
      </c>
      <c r="K137" s="34" t="s">
        <v>3162</v>
      </c>
      <c r="L137" s="40" t="s">
        <v>3165</v>
      </c>
      <c r="M137" s="36">
        <v>249900</v>
      </c>
      <c r="N137" s="37">
        <f t="shared" si="8"/>
        <v>0.7</v>
      </c>
      <c r="O137" s="36">
        <f t="shared" si="6"/>
        <v>74970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46086</v>
      </c>
      <c r="C138" s="35">
        <f t="shared" si="7"/>
        <v>46092</v>
      </c>
      <c r="D138" s="34">
        <v>3321</v>
      </c>
      <c r="E138" s="34">
        <v>337</v>
      </c>
      <c r="F138" s="34">
        <v>4</v>
      </c>
      <c r="G138" s="34">
        <v>5</v>
      </c>
      <c r="H138" s="34">
        <v>81419</v>
      </c>
      <c r="I138" s="34" t="s">
        <v>2690</v>
      </c>
      <c r="J138" s="34">
        <v>16572506</v>
      </c>
      <c r="K138" s="34" t="s">
        <v>3162</v>
      </c>
      <c r="L138" s="40" t="s">
        <v>3166</v>
      </c>
      <c r="M138" s="36">
        <v>249900</v>
      </c>
      <c r="N138" s="37">
        <f t="shared" si="8"/>
        <v>0.7</v>
      </c>
      <c r="O138" s="36">
        <f t="shared" si="6"/>
        <v>74970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46086</v>
      </c>
      <c r="C139" s="35">
        <f t="shared" si="7"/>
        <v>46092</v>
      </c>
      <c r="D139" s="34">
        <v>3321</v>
      </c>
      <c r="E139" s="34">
        <v>337</v>
      </c>
      <c r="F139" s="34">
        <v>4</v>
      </c>
      <c r="G139" s="34">
        <v>5</v>
      </c>
      <c r="H139" s="34">
        <v>81419</v>
      </c>
      <c r="I139" s="34" t="s">
        <v>2690</v>
      </c>
      <c r="J139" s="34">
        <v>16572515</v>
      </c>
      <c r="K139" s="34" t="s">
        <v>3167</v>
      </c>
      <c r="L139" s="40" t="s">
        <v>3168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46086</v>
      </c>
      <c r="C140" s="35">
        <f t="shared" si="7"/>
        <v>46092</v>
      </c>
      <c r="D140" s="34">
        <v>3321</v>
      </c>
      <c r="E140" s="34">
        <v>337</v>
      </c>
      <c r="F140" s="34">
        <v>4</v>
      </c>
      <c r="G140" s="34">
        <v>5</v>
      </c>
      <c r="H140" s="34">
        <v>81419</v>
      </c>
      <c r="I140" s="34" t="s">
        <v>2690</v>
      </c>
      <c r="J140" s="34">
        <v>16572524</v>
      </c>
      <c r="K140" s="34" t="s">
        <v>3167</v>
      </c>
      <c r="L140" s="40" t="s">
        <v>3169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46086</v>
      </c>
      <c r="C141" s="35">
        <f t="shared" si="7"/>
        <v>46092</v>
      </c>
      <c r="D141" s="34">
        <v>3321</v>
      </c>
      <c r="E141" s="34">
        <v>337</v>
      </c>
      <c r="F141" s="34">
        <v>4</v>
      </c>
      <c r="G141" s="34">
        <v>5</v>
      </c>
      <c r="H141" s="34">
        <v>81419</v>
      </c>
      <c r="I141" s="34" t="s">
        <v>2690</v>
      </c>
      <c r="J141" s="34">
        <v>16572533</v>
      </c>
      <c r="K141" s="34" t="s">
        <v>3167</v>
      </c>
      <c r="L141" s="40" t="s">
        <v>3170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46086</v>
      </c>
      <c r="C142" s="35">
        <f t="shared" si="7"/>
        <v>46092</v>
      </c>
      <c r="D142" s="34">
        <v>3321</v>
      </c>
      <c r="E142" s="34">
        <v>337</v>
      </c>
      <c r="F142" s="34">
        <v>4</v>
      </c>
      <c r="G142" s="34">
        <v>5</v>
      </c>
      <c r="H142" s="34">
        <v>81419</v>
      </c>
      <c r="I142" s="34" t="s">
        <v>2690</v>
      </c>
      <c r="J142" s="34">
        <v>16572542</v>
      </c>
      <c r="K142" s="34" t="s">
        <v>3167</v>
      </c>
      <c r="L142" s="40" t="s">
        <v>3171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46086</v>
      </c>
      <c r="C143" s="35">
        <f t="shared" si="7"/>
        <v>46092</v>
      </c>
      <c r="D143" s="34">
        <v>3321</v>
      </c>
      <c r="E143" s="34">
        <v>337</v>
      </c>
      <c r="F143" s="34">
        <v>4</v>
      </c>
      <c r="G143" s="34">
        <v>5</v>
      </c>
      <c r="H143" s="34">
        <v>81421</v>
      </c>
      <c r="I143" s="34" t="s">
        <v>2690</v>
      </c>
      <c r="J143" s="34">
        <v>16131054</v>
      </c>
      <c r="K143" s="34" t="s">
        <v>2831</v>
      </c>
      <c r="L143" s="40" t="s">
        <v>3172</v>
      </c>
      <c r="M143" s="36">
        <v>249900</v>
      </c>
      <c r="N143" s="37">
        <f t="shared" si="8"/>
        <v>0.7</v>
      </c>
      <c r="O143" s="36">
        <f t="shared" si="6"/>
        <v>74970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46086</v>
      </c>
      <c r="C144" s="35">
        <f t="shared" si="7"/>
        <v>46092</v>
      </c>
      <c r="D144" s="34">
        <v>3321</v>
      </c>
      <c r="E144" s="34">
        <v>337</v>
      </c>
      <c r="F144" s="34">
        <v>4</v>
      </c>
      <c r="G144" s="34">
        <v>5</v>
      </c>
      <c r="H144" s="34">
        <v>81421</v>
      </c>
      <c r="I144" s="34" t="s">
        <v>2690</v>
      </c>
      <c r="J144" s="34">
        <v>16131134</v>
      </c>
      <c r="K144" s="34" t="s">
        <v>2835</v>
      </c>
      <c r="L144" s="40" t="s">
        <v>3173</v>
      </c>
      <c r="M144" s="36">
        <v>239900</v>
      </c>
      <c r="N144" s="37">
        <f t="shared" si="8"/>
        <v>0.7</v>
      </c>
      <c r="O144" s="36">
        <f t="shared" si="6"/>
        <v>71970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46086</v>
      </c>
      <c r="C145" s="35">
        <f t="shared" si="7"/>
        <v>46092</v>
      </c>
      <c r="D145" s="34">
        <v>3321</v>
      </c>
      <c r="E145" s="34">
        <v>337</v>
      </c>
      <c r="F145" s="34">
        <v>4</v>
      </c>
      <c r="G145" s="34">
        <v>5</v>
      </c>
      <c r="H145" s="34">
        <v>81800</v>
      </c>
      <c r="I145" s="34" t="s">
        <v>2690</v>
      </c>
      <c r="J145" s="34">
        <v>16572391</v>
      </c>
      <c r="K145" s="34" t="s">
        <v>3174</v>
      </c>
      <c r="L145" s="40" t="s">
        <v>3175</v>
      </c>
      <c r="M145" s="36">
        <v>279900</v>
      </c>
      <c r="N145" s="37">
        <f t="shared" si="8"/>
        <v>0.7</v>
      </c>
      <c r="O145" s="36">
        <f t="shared" si="6"/>
        <v>83970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46086</v>
      </c>
      <c r="C146" s="35">
        <f t="shared" si="7"/>
        <v>46092</v>
      </c>
      <c r="D146" s="34">
        <v>3321</v>
      </c>
      <c r="E146" s="34">
        <v>337</v>
      </c>
      <c r="F146" s="34">
        <v>4</v>
      </c>
      <c r="G146" s="34">
        <v>5</v>
      </c>
      <c r="H146" s="34">
        <v>81800</v>
      </c>
      <c r="I146" s="34" t="s">
        <v>2690</v>
      </c>
      <c r="J146" s="34">
        <v>16572408</v>
      </c>
      <c r="K146" s="34" t="s">
        <v>3174</v>
      </c>
      <c r="L146" s="40" t="s">
        <v>3176</v>
      </c>
      <c r="M146" s="36">
        <v>279900</v>
      </c>
      <c r="N146" s="37">
        <f t="shared" si="8"/>
        <v>0.7</v>
      </c>
      <c r="O146" s="36">
        <f t="shared" si="6"/>
        <v>83970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46086</v>
      </c>
      <c r="C147" s="35">
        <f t="shared" si="7"/>
        <v>46092</v>
      </c>
      <c r="D147" s="34">
        <v>3321</v>
      </c>
      <c r="E147" s="34">
        <v>337</v>
      </c>
      <c r="F147" s="34">
        <v>4</v>
      </c>
      <c r="G147" s="34">
        <v>5</v>
      </c>
      <c r="H147" s="34">
        <v>81800</v>
      </c>
      <c r="I147" s="34" t="s">
        <v>2690</v>
      </c>
      <c r="J147" s="34">
        <v>16572417</v>
      </c>
      <c r="K147" s="34" t="s">
        <v>3174</v>
      </c>
      <c r="L147" s="40" t="s">
        <v>3177</v>
      </c>
      <c r="M147" s="36">
        <v>279900</v>
      </c>
      <c r="N147" s="37">
        <f t="shared" si="8"/>
        <v>0.7</v>
      </c>
      <c r="O147" s="36">
        <f t="shared" si="6"/>
        <v>83970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46086</v>
      </c>
      <c r="C148" s="35">
        <f t="shared" si="7"/>
        <v>46092</v>
      </c>
      <c r="D148" s="34">
        <v>3321</v>
      </c>
      <c r="E148" s="34">
        <v>337</v>
      </c>
      <c r="F148" s="34">
        <v>4</v>
      </c>
      <c r="G148" s="34">
        <v>5</v>
      </c>
      <c r="H148" s="34">
        <v>81800</v>
      </c>
      <c r="I148" s="34" t="s">
        <v>2690</v>
      </c>
      <c r="J148" s="34">
        <v>16572426</v>
      </c>
      <c r="K148" s="34" t="s">
        <v>3174</v>
      </c>
      <c r="L148" s="40" t="s">
        <v>3178</v>
      </c>
      <c r="M148" s="36">
        <v>279900</v>
      </c>
      <c r="N148" s="37">
        <f t="shared" si="8"/>
        <v>0.7</v>
      </c>
      <c r="O148" s="36">
        <f t="shared" si="6"/>
        <v>83970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46086</v>
      </c>
      <c r="C149" s="35">
        <f t="shared" si="7"/>
        <v>46092</v>
      </c>
      <c r="D149" s="34">
        <v>3321</v>
      </c>
      <c r="E149" s="34">
        <v>337</v>
      </c>
      <c r="F149" s="34">
        <v>4</v>
      </c>
      <c r="G149" s="34">
        <v>1</v>
      </c>
      <c r="H149" s="34">
        <v>81419</v>
      </c>
      <c r="I149" s="34" t="s">
        <v>2690</v>
      </c>
      <c r="J149" s="34">
        <v>14608516</v>
      </c>
      <c r="K149" s="34" t="s">
        <v>3226</v>
      </c>
      <c r="L149" s="40" t="s">
        <v>3227</v>
      </c>
      <c r="M149" s="36">
        <v>179900</v>
      </c>
      <c r="N149" s="37">
        <f t="shared" si="8"/>
        <v>0.7</v>
      </c>
      <c r="O149" s="36">
        <f t="shared" si="6"/>
        <v>53970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46086</v>
      </c>
      <c r="C150" s="35">
        <f t="shared" si="7"/>
        <v>46092</v>
      </c>
      <c r="D150" s="34">
        <v>3321</v>
      </c>
      <c r="E150" s="34">
        <v>337</v>
      </c>
      <c r="F150" s="34">
        <v>4</v>
      </c>
      <c r="G150" s="34">
        <v>1</v>
      </c>
      <c r="H150" s="34">
        <v>81419</v>
      </c>
      <c r="I150" s="34" t="s">
        <v>2690</v>
      </c>
      <c r="J150" s="34">
        <v>14608525</v>
      </c>
      <c r="K150" s="34" t="s">
        <v>3226</v>
      </c>
      <c r="L150" s="40" t="s">
        <v>3228</v>
      </c>
      <c r="M150" s="36">
        <v>179900</v>
      </c>
      <c r="N150" s="37">
        <f t="shared" si="8"/>
        <v>0.7</v>
      </c>
      <c r="O150" s="36">
        <f t="shared" si="6"/>
        <v>53970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46086</v>
      </c>
      <c r="C151" s="35">
        <f t="shared" si="7"/>
        <v>46092</v>
      </c>
      <c r="D151" s="34">
        <v>3321</v>
      </c>
      <c r="E151" s="34">
        <v>337</v>
      </c>
      <c r="F151" s="34">
        <v>4</v>
      </c>
      <c r="G151" s="34">
        <v>1</v>
      </c>
      <c r="H151" s="34">
        <v>81419</v>
      </c>
      <c r="I151" s="34" t="s">
        <v>2690</v>
      </c>
      <c r="J151" s="34">
        <v>14608534</v>
      </c>
      <c r="K151" s="34" t="s">
        <v>3226</v>
      </c>
      <c r="L151" s="40" t="s">
        <v>3229</v>
      </c>
      <c r="M151" s="36">
        <v>179900</v>
      </c>
      <c r="N151" s="37">
        <f t="shared" si="8"/>
        <v>0.7</v>
      </c>
      <c r="O151" s="36">
        <f t="shared" si="6"/>
        <v>53970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46086</v>
      </c>
      <c r="C152" s="35">
        <f t="shared" si="7"/>
        <v>46092</v>
      </c>
      <c r="D152" s="34">
        <v>3321</v>
      </c>
      <c r="E152" s="34">
        <v>337</v>
      </c>
      <c r="F152" s="34">
        <v>4</v>
      </c>
      <c r="G152" s="34">
        <v>1</v>
      </c>
      <c r="H152" s="34">
        <v>81419</v>
      </c>
      <c r="I152" s="34" t="s">
        <v>2690</v>
      </c>
      <c r="J152" s="34">
        <v>14608543</v>
      </c>
      <c r="K152" s="34" t="s">
        <v>3226</v>
      </c>
      <c r="L152" s="40" t="s">
        <v>3230</v>
      </c>
      <c r="M152" s="36">
        <v>179900</v>
      </c>
      <c r="N152" s="37">
        <f t="shared" si="8"/>
        <v>0.7</v>
      </c>
      <c r="O152" s="36">
        <f t="shared" si="6"/>
        <v>53970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46086</v>
      </c>
      <c r="C153" s="35">
        <f t="shared" si="7"/>
        <v>46092</v>
      </c>
      <c r="D153" s="34">
        <v>3321</v>
      </c>
      <c r="E153" s="34">
        <v>337</v>
      </c>
      <c r="F153" s="34">
        <v>4</v>
      </c>
      <c r="G153" s="34">
        <v>1</v>
      </c>
      <c r="H153" s="34">
        <v>81421</v>
      </c>
      <c r="I153" s="34" t="s">
        <v>2690</v>
      </c>
      <c r="J153" s="34">
        <v>14608472</v>
      </c>
      <c r="K153" s="34" t="s">
        <v>3231</v>
      </c>
      <c r="L153" s="40" t="s">
        <v>3232</v>
      </c>
      <c r="M153" s="36">
        <v>159900</v>
      </c>
      <c r="N153" s="37">
        <f t="shared" si="8"/>
        <v>0.7</v>
      </c>
      <c r="O153" s="36">
        <f t="shared" si="6"/>
        <v>47970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46086</v>
      </c>
      <c r="C154" s="35">
        <f t="shared" si="7"/>
        <v>46092</v>
      </c>
      <c r="D154" s="34">
        <v>3321</v>
      </c>
      <c r="E154" s="34">
        <v>337</v>
      </c>
      <c r="F154" s="34">
        <v>4</v>
      </c>
      <c r="G154" s="34">
        <v>1</v>
      </c>
      <c r="H154" s="34">
        <v>81421</v>
      </c>
      <c r="I154" s="34" t="s">
        <v>2690</v>
      </c>
      <c r="J154" s="34">
        <v>14608481</v>
      </c>
      <c r="K154" s="34" t="s">
        <v>3231</v>
      </c>
      <c r="L154" s="40" t="s">
        <v>3233</v>
      </c>
      <c r="M154" s="36">
        <v>159900</v>
      </c>
      <c r="N154" s="37">
        <f t="shared" si="8"/>
        <v>0.7</v>
      </c>
      <c r="O154" s="36">
        <f t="shared" si="6"/>
        <v>47970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46086</v>
      </c>
      <c r="C155" s="35">
        <f t="shared" si="7"/>
        <v>46092</v>
      </c>
      <c r="D155" s="34">
        <v>3321</v>
      </c>
      <c r="E155" s="34">
        <v>337</v>
      </c>
      <c r="F155" s="34">
        <v>4</v>
      </c>
      <c r="G155" s="34">
        <v>1</v>
      </c>
      <c r="H155" s="34">
        <v>81421</v>
      </c>
      <c r="I155" s="34" t="s">
        <v>2690</v>
      </c>
      <c r="J155" s="34">
        <v>14608490</v>
      </c>
      <c r="K155" s="34" t="s">
        <v>3231</v>
      </c>
      <c r="L155" s="40" t="s">
        <v>3234</v>
      </c>
      <c r="M155" s="36">
        <v>159900</v>
      </c>
      <c r="N155" s="37">
        <f t="shared" si="8"/>
        <v>0.7</v>
      </c>
      <c r="O155" s="36">
        <f t="shared" si="6"/>
        <v>47970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46086</v>
      </c>
      <c r="C156" s="35">
        <f t="shared" si="7"/>
        <v>46092</v>
      </c>
      <c r="D156" s="34">
        <v>3321</v>
      </c>
      <c r="E156" s="34">
        <v>337</v>
      </c>
      <c r="F156" s="34">
        <v>4</v>
      </c>
      <c r="G156" s="34">
        <v>1</v>
      </c>
      <c r="H156" s="34">
        <v>81421</v>
      </c>
      <c r="I156" s="34" t="s">
        <v>2690</v>
      </c>
      <c r="J156" s="34">
        <v>14608507</v>
      </c>
      <c r="K156" s="34" t="s">
        <v>3231</v>
      </c>
      <c r="L156" s="40" t="s">
        <v>3235</v>
      </c>
      <c r="M156" s="36">
        <v>159900</v>
      </c>
      <c r="N156" s="37">
        <f t="shared" si="8"/>
        <v>0.7</v>
      </c>
      <c r="O156" s="36">
        <f t="shared" si="6"/>
        <v>47970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46086</v>
      </c>
      <c r="C157" s="35">
        <f t="shared" si="7"/>
        <v>46092</v>
      </c>
      <c r="D157" s="34">
        <v>3321</v>
      </c>
      <c r="E157" s="34">
        <v>337</v>
      </c>
      <c r="F157" s="34">
        <v>4</v>
      </c>
      <c r="G157" s="34">
        <v>1</v>
      </c>
      <c r="H157" s="34">
        <v>81506</v>
      </c>
      <c r="I157" s="34" t="s">
        <v>2690</v>
      </c>
      <c r="J157" s="34">
        <v>17324059</v>
      </c>
      <c r="K157" s="34" t="s">
        <v>3236</v>
      </c>
      <c r="L157" s="40" t="s">
        <v>3237</v>
      </c>
      <c r="M157" s="36">
        <v>159900</v>
      </c>
      <c r="N157" s="37">
        <f t="shared" si="8"/>
        <v>0.7</v>
      </c>
      <c r="O157" s="36">
        <f t="shared" si="6"/>
        <v>47970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46086</v>
      </c>
      <c r="C158" s="35">
        <f t="shared" si="7"/>
        <v>46092</v>
      </c>
      <c r="D158" s="34">
        <v>3321</v>
      </c>
      <c r="E158" s="34">
        <v>337</v>
      </c>
      <c r="F158" s="34">
        <v>4</v>
      </c>
      <c r="G158" s="34">
        <v>1</v>
      </c>
      <c r="H158" s="34">
        <v>81506</v>
      </c>
      <c r="I158" s="34" t="s">
        <v>2690</v>
      </c>
      <c r="J158" s="34">
        <v>17324068</v>
      </c>
      <c r="K158" s="34" t="s">
        <v>3236</v>
      </c>
      <c r="L158" s="40" t="s">
        <v>3238</v>
      </c>
      <c r="M158" s="36">
        <v>159900</v>
      </c>
      <c r="N158" s="37">
        <f t="shared" si="8"/>
        <v>0.7</v>
      </c>
      <c r="O158" s="36">
        <f t="shared" si="6"/>
        <v>47970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46086</v>
      </c>
      <c r="C159" s="35">
        <f t="shared" si="7"/>
        <v>46092</v>
      </c>
      <c r="D159" s="34">
        <v>3321</v>
      </c>
      <c r="E159" s="34">
        <v>337</v>
      </c>
      <c r="F159" s="34">
        <v>4</v>
      </c>
      <c r="G159" s="34">
        <v>1</v>
      </c>
      <c r="H159" s="34">
        <v>81506</v>
      </c>
      <c r="I159" s="34" t="s">
        <v>2690</v>
      </c>
      <c r="J159" s="34">
        <v>17324086</v>
      </c>
      <c r="K159" s="34" t="s">
        <v>3236</v>
      </c>
      <c r="L159" s="40" t="s">
        <v>3239</v>
      </c>
      <c r="M159" s="36">
        <v>159900</v>
      </c>
      <c r="N159" s="37">
        <f t="shared" si="8"/>
        <v>0.7</v>
      </c>
      <c r="O159" s="36">
        <f t="shared" si="6"/>
        <v>47970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46086</v>
      </c>
      <c r="C160" s="35">
        <f t="shared" si="7"/>
        <v>46092</v>
      </c>
      <c r="D160" s="34">
        <v>3321</v>
      </c>
      <c r="E160" s="34">
        <v>337</v>
      </c>
      <c r="F160" s="34">
        <v>4</v>
      </c>
      <c r="G160" s="34">
        <v>1</v>
      </c>
      <c r="H160" s="34">
        <v>81506</v>
      </c>
      <c r="I160" s="34" t="s">
        <v>2690</v>
      </c>
      <c r="J160" s="34">
        <v>17324095</v>
      </c>
      <c r="K160" s="34" t="s">
        <v>3240</v>
      </c>
      <c r="L160" s="40" t="s">
        <v>3241</v>
      </c>
      <c r="M160" s="36">
        <v>159900</v>
      </c>
      <c r="N160" s="37">
        <f t="shared" si="8"/>
        <v>0.7</v>
      </c>
      <c r="O160" s="36">
        <f t="shared" si="6"/>
        <v>47970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46086</v>
      </c>
      <c r="C161" s="35">
        <f t="shared" si="7"/>
        <v>46092</v>
      </c>
      <c r="D161" s="34">
        <v>3321</v>
      </c>
      <c r="E161" s="34">
        <v>337</v>
      </c>
      <c r="F161" s="34">
        <v>4</v>
      </c>
      <c r="G161" s="34">
        <v>1</v>
      </c>
      <c r="H161" s="34">
        <v>81506</v>
      </c>
      <c r="I161" s="34" t="s">
        <v>2690</v>
      </c>
      <c r="J161" s="34">
        <v>17324102</v>
      </c>
      <c r="K161" s="34" t="s">
        <v>3240</v>
      </c>
      <c r="L161" s="40" t="s">
        <v>3242</v>
      </c>
      <c r="M161" s="36">
        <v>159900</v>
      </c>
      <c r="N161" s="37">
        <f t="shared" si="8"/>
        <v>0.7</v>
      </c>
      <c r="O161" s="36">
        <f t="shared" si="6"/>
        <v>47970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46086</v>
      </c>
      <c r="C162" s="35">
        <f t="shared" si="7"/>
        <v>46092</v>
      </c>
      <c r="D162" s="34">
        <v>3321</v>
      </c>
      <c r="E162" s="34">
        <v>337</v>
      </c>
      <c r="F162" s="34">
        <v>4</v>
      </c>
      <c r="G162" s="34">
        <v>1</v>
      </c>
      <c r="H162" s="34">
        <v>81506</v>
      </c>
      <c r="I162" s="34" t="s">
        <v>2690</v>
      </c>
      <c r="J162" s="34">
        <v>17324120</v>
      </c>
      <c r="K162" s="34" t="s">
        <v>3240</v>
      </c>
      <c r="L162" s="40" t="s">
        <v>3243</v>
      </c>
      <c r="M162" s="36">
        <v>159900</v>
      </c>
      <c r="N162" s="37">
        <f t="shared" si="8"/>
        <v>0.7</v>
      </c>
      <c r="O162" s="36">
        <f t="shared" si="6"/>
        <v>47970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46086</v>
      </c>
      <c r="C163" s="35">
        <f t="shared" si="7"/>
        <v>46092</v>
      </c>
      <c r="D163" s="34">
        <v>3321</v>
      </c>
      <c r="E163" s="34">
        <v>337</v>
      </c>
      <c r="F163" s="34">
        <v>4</v>
      </c>
      <c r="G163" s="34">
        <v>1</v>
      </c>
      <c r="H163" s="34">
        <v>81506</v>
      </c>
      <c r="I163" s="34" t="s">
        <v>2690</v>
      </c>
      <c r="J163" s="34">
        <v>17324139</v>
      </c>
      <c r="K163" s="34" t="s">
        <v>3244</v>
      </c>
      <c r="L163" s="40" t="s">
        <v>3245</v>
      </c>
      <c r="M163" s="36">
        <v>159900</v>
      </c>
      <c r="N163" s="37">
        <f t="shared" si="8"/>
        <v>0.7</v>
      </c>
      <c r="O163" s="36">
        <f t="shared" si="6"/>
        <v>47970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46086</v>
      </c>
      <c r="C164" s="35">
        <f t="shared" si="7"/>
        <v>46092</v>
      </c>
      <c r="D164" s="34">
        <v>3321</v>
      </c>
      <c r="E164" s="34">
        <v>337</v>
      </c>
      <c r="F164" s="34">
        <v>4</v>
      </c>
      <c r="G164" s="34">
        <v>1</v>
      </c>
      <c r="H164" s="34">
        <v>81506</v>
      </c>
      <c r="I164" s="34" t="s">
        <v>2690</v>
      </c>
      <c r="J164" s="34">
        <v>17324148</v>
      </c>
      <c r="K164" s="34" t="s">
        <v>3244</v>
      </c>
      <c r="L164" s="40" t="s">
        <v>3246</v>
      </c>
      <c r="M164" s="36">
        <v>159900</v>
      </c>
      <c r="N164" s="37">
        <f t="shared" si="8"/>
        <v>0.7</v>
      </c>
      <c r="O164" s="36">
        <f t="shared" si="6"/>
        <v>47970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46086</v>
      </c>
      <c r="C165" s="35">
        <f t="shared" si="7"/>
        <v>46092</v>
      </c>
      <c r="D165" s="34">
        <v>3321</v>
      </c>
      <c r="E165" s="34">
        <v>337</v>
      </c>
      <c r="F165" s="34">
        <v>4</v>
      </c>
      <c r="G165" s="34">
        <v>1</v>
      </c>
      <c r="H165" s="34">
        <v>81506</v>
      </c>
      <c r="I165" s="34" t="s">
        <v>2690</v>
      </c>
      <c r="J165" s="34">
        <v>17324157</v>
      </c>
      <c r="K165" s="34" t="s">
        <v>3244</v>
      </c>
      <c r="L165" s="40" t="s">
        <v>3247</v>
      </c>
      <c r="M165" s="36">
        <v>159900</v>
      </c>
      <c r="N165" s="37">
        <f t="shared" si="8"/>
        <v>0.7</v>
      </c>
      <c r="O165" s="36">
        <f t="shared" si="6"/>
        <v>47970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46086</v>
      </c>
      <c r="C166" s="35">
        <f t="shared" si="7"/>
        <v>46092</v>
      </c>
      <c r="D166" s="34">
        <v>3321</v>
      </c>
      <c r="E166" s="34">
        <v>337</v>
      </c>
      <c r="F166" s="34">
        <v>4</v>
      </c>
      <c r="G166" s="34">
        <v>1</v>
      </c>
      <c r="H166" s="34">
        <v>81506</v>
      </c>
      <c r="I166" s="34" t="s">
        <v>2690</v>
      </c>
      <c r="J166" s="34">
        <v>17324166</v>
      </c>
      <c r="K166" s="34" t="s">
        <v>3244</v>
      </c>
      <c r="L166" s="40" t="s">
        <v>3248</v>
      </c>
      <c r="M166" s="36">
        <v>159900</v>
      </c>
      <c r="N166" s="37">
        <f t="shared" si="8"/>
        <v>0.7</v>
      </c>
      <c r="O166" s="36">
        <f t="shared" si="6"/>
        <v>47970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46086</v>
      </c>
      <c r="C167" s="35">
        <f t="shared" si="7"/>
        <v>46092</v>
      </c>
      <c r="D167" s="34">
        <v>3321</v>
      </c>
      <c r="E167" s="34">
        <v>337</v>
      </c>
      <c r="F167" s="34">
        <v>4</v>
      </c>
      <c r="G167" s="34">
        <v>1</v>
      </c>
      <c r="H167" s="34">
        <v>81462</v>
      </c>
      <c r="I167" s="34" t="s">
        <v>2690</v>
      </c>
      <c r="J167" s="34">
        <v>17324013</v>
      </c>
      <c r="K167" s="34" t="s">
        <v>3249</v>
      </c>
      <c r="L167" s="40" t="s">
        <v>3250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46086</v>
      </c>
      <c r="C168" s="35">
        <f t="shared" si="7"/>
        <v>46092</v>
      </c>
      <c r="D168" s="34">
        <v>3321</v>
      </c>
      <c r="E168" s="34">
        <v>337</v>
      </c>
      <c r="F168" s="34">
        <v>4</v>
      </c>
      <c r="G168" s="34">
        <v>1</v>
      </c>
      <c r="H168" s="34">
        <v>81462</v>
      </c>
      <c r="I168" s="34" t="s">
        <v>2690</v>
      </c>
      <c r="J168" s="34">
        <v>17324022</v>
      </c>
      <c r="K168" s="34" t="s">
        <v>3249</v>
      </c>
      <c r="L168" s="40" t="s">
        <v>3251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46086</v>
      </c>
      <c r="C169" s="35">
        <f t="shared" si="7"/>
        <v>46092</v>
      </c>
      <c r="D169" s="34">
        <v>3321</v>
      </c>
      <c r="E169" s="34">
        <v>337</v>
      </c>
      <c r="F169" s="34">
        <v>4</v>
      </c>
      <c r="G169" s="34">
        <v>1</v>
      </c>
      <c r="H169" s="34">
        <v>81462</v>
      </c>
      <c r="I169" s="34" t="s">
        <v>2690</v>
      </c>
      <c r="J169" s="34">
        <v>17324031</v>
      </c>
      <c r="K169" s="34" t="s">
        <v>3249</v>
      </c>
      <c r="L169" s="40" t="s">
        <v>3252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46086</v>
      </c>
      <c r="C170" s="35">
        <f t="shared" si="7"/>
        <v>46092</v>
      </c>
      <c r="D170" s="34">
        <v>3321</v>
      </c>
      <c r="E170" s="34">
        <v>337</v>
      </c>
      <c r="F170" s="34">
        <v>4</v>
      </c>
      <c r="G170" s="34">
        <v>1</v>
      </c>
      <c r="H170" s="34">
        <v>81462</v>
      </c>
      <c r="I170" s="34" t="s">
        <v>2690</v>
      </c>
      <c r="J170" s="34">
        <v>17324040</v>
      </c>
      <c r="K170" s="34" t="s">
        <v>3249</v>
      </c>
      <c r="L170" s="40" t="s">
        <v>3253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46086</v>
      </c>
      <c r="C171" s="35">
        <f t="shared" si="7"/>
        <v>46092</v>
      </c>
      <c r="D171" s="34">
        <v>3321</v>
      </c>
      <c r="E171" s="34">
        <v>337</v>
      </c>
      <c r="F171" s="34">
        <v>4</v>
      </c>
      <c r="G171" s="34">
        <v>1</v>
      </c>
      <c r="H171" s="34">
        <v>81800</v>
      </c>
      <c r="I171" s="34" t="s">
        <v>2690</v>
      </c>
      <c r="J171" s="34">
        <v>17454203</v>
      </c>
      <c r="K171" s="34" t="s">
        <v>3254</v>
      </c>
      <c r="L171" s="40" t="s">
        <v>3255</v>
      </c>
      <c r="M171" s="36">
        <v>169900</v>
      </c>
      <c r="N171" s="37">
        <f t="shared" si="8"/>
        <v>0.7</v>
      </c>
      <c r="O171" s="36">
        <f t="shared" si="6"/>
        <v>50970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46086</v>
      </c>
      <c r="C172" s="35">
        <f t="shared" si="7"/>
        <v>46092</v>
      </c>
      <c r="D172" s="34">
        <v>3321</v>
      </c>
      <c r="E172" s="34">
        <v>337</v>
      </c>
      <c r="F172" s="34">
        <v>4</v>
      </c>
      <c r="G172" s="34">
        <v>1</v>
      </c>
      <c r="H172" s="34">
        <v>81800</v>
      </c>
      <c r="I172" s="34" t="s">
        <v>2690</v>
      </c>
      <c r="J172" s="34">
        <v>17454212</v>
      </c>
      <c r="K172" s="34" t="s">
        <v>3254</v>
      </c>
      <c r="L172" s="40" t="s">
        <v>3256</v>
      </c>
      <c r="M172" s="36">
        <v>169900</v>
      </c>
      <c r="N172" s="37">
        <f t="shared" si="8"/>
        <v>0.7</v>
      </c>
      <c r="O172" s="36">
        <f t="shared" si="6"/>
        <v>50970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46086</v>
      </c>
      <c r="C173" s="35">
        <f t="shared" si="7"/>
        <v>46092</v>
      </c>
      <c r="D173" s="34">
        <v>3321</v>
      </c>
      <c r="E173" s="34">
        <v>337</v>
      </c>
      <c r="F173" s="34">
        <v>4</v>
      </c>
      <c r="G173" s="34">
        <v>1</v>
      </c>
      <c r="H173" s="34">
        <v>81800</v>
      </c>
      <c r="I173" s="34" t="s">
        <v>2690</v>
      </c>
      <c r="J173" s="34">
        <v>17454230</v>
      </c>
      <c r="K173" s="34" t="s">
        <v>3254</v>
      </c>
      <c r="L173" s="40" t="s">
        <v>3257</v>
      </c>
      <c r="M173" s="36">
        <v>169900</v>
      </c>
      <c r="N173" s="37">
        <f t="shared" si="8"/>
        <v>0.7</v>
      </c>
      <c r="O173" s="36">
        <f t="shared" si="6"/>
        <v>50970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46086</v>
      </c>
      <c r="C174" s="35">
        <f t="shared" si="7"/>
        <v>46092</v>
      </c>
      <c r="D174" s="34">
        <v>3321</v>
      </c>
      <c r="E174" s="34">
        <v>337</v>
      </c>
      <c r="F174" s="34">
        <v>4</v>
      </c>
      <c r="G174" s="34">
        <v>4</v>
      </c>
      <c r="H174" s="34">
        <v>81419</v>
      </c>
      <c r="I174" s="34" t="s">
        <v>2690</v>
      </c>
      <c r="J174" s="34">
        <v>14608598</v>
      </c>
      <c r="K174" s="34" t="s">
        <v>3258</v>
      </c>
      <c r="L174" s="40" t="s">
        <v>3259</v>
      </c>
      <c r="M174" s="36">
        <v>249900</v>
      </c>
      <c r="N174" s="37">
        <f t="shared" si="8"/>
        <v>0.7</v>
      </c>
      <c r="O174" s="36">
        <f t="shared" si="6"/>
        <v>74970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46086</v>
      </c>
      <c r="C175" s="35">
        <f t="shared" si="7"/>
        <v>46092</v>
      </c>
      <c r="D175" s="34">
        <v>3321</v>
      </c>
      <c r="E175" s="34">
        <v>337</v>
      </c>
      <c r="F175" s="34">
        <v>4</v>
      </c>
      <c r="G175" s="34">
        <v>4</v>
      </c>
      <c r="H175" s="34">
        <v>81419</v>
      </c>
      <c r="I175" s="34" t="s">
        <v>2690</v>
      </c>
      <c r="J175" s="34">
        <v>14608605</v>
      </c>
      <c r="K175" s="34" t="s">
        <v>3258</v>
      </c>
      <c r="L175" s="40" t="s">
        <v>3260</v>
      </c>
      <c r="M175" s="36">
        <v>249900</v>
      </c>
      <c r="N175" s="37">
        <f t="shared" si="8"/>
        <v>0.7</v>
      </c>
      <c r="O175" s="36">
        <f t="shared" si="6"/>
        <v>74970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46086</v>
      </c>
      <c r="C176" s="35">
        <f t="shared" si="7"/>
        <v>46092</v>
      </c>
      <c r="D176" s="34">
        <v>3321</v>
      </c>
      <c r="E176" s="34">
        <v>337</v>
      </c>
      <c r="F176" s="34">
        <v>4</v>
      </c>
      <c r="G176" s="34">
        <v>4</v>
      </c>
      <c r="H176" s="34">
        <v>81419</v>
      </c>
      <c r="I176" s="34" t="s">
        <v>2690</v>
      </c>
      <c r="J176" s="34">
        <v>14608614</v>
      </c>
      <c r="K176" s="34" t="s">
        <v>3258</v>
      </c>
      <c r="L176" s="40" t="s">
        <v>3261</v>
      </c>
      <c r="M176" s="36">
        <v>249900</v>
      </c>
      <c r="N176" s="37">
        <f t="shared" si="8"/>
        <v>0.7</v>
      </c>
      <c r="O176" s="36">
        <f t="shared" si="6"/>
        <v>74970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46086</v>
      </c>
      <c r="C177" s="35">
        <f t="shared" si="7"/>
        <v>46092</v>
      </c>
      <c r="D177" s="34">
        <v>3321</v>
      </c>
      <c r="E177" s="34">
        <v>337</v>
      </c>
      <c r="F177" s="34">
        <v>4</v>
      </c>
      <c r="G177" s="34">
        <v>4</v>
      </c>
      <c r="H177" s="34">
        <v>81419</v>
      </c>
      <c r="I177" s="34" t="s">
        <v>2690</v>
      </c>
      <c r="J177" s="34">
        <v>14608623</v>
      </c>
      <c r="K177" s="34" t="s">
        <v>3258</v>
      </c>
      <c r="L177" s="40" t="s">
        <v>3262</v>
      </c>
      <c r="M177" s="36">
        <v>249900</v>
      </c>
      <c r="N177" s="37">
        <f t="shared" si="8"/>
        <v>0.7</v>
      </c>
      <c r="O177" s="36">
        <f t="shared" si="6"/>
        <v>74970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46086</v>
      </c>
      <c r="C178" s="35">
        <f t="shared" si="7"/>
        <v>46092</v>
      </c>
      <c r="D178" s="34">
        <v>3321</v>
      </c>
      <c r="E178" s="34">
        <v>337</v>
      </c>
      <c r="F178" s="34">
        <v>4</v>
      </c>
      <c r="G178" s="34">
        <v>1</v>
      </c>
      <c r="H178" s="34">
        <v>81800</v>
      </c>
      <c r="I178" s="34" t="s">
        <v>2690</v>
      </c>
      <c r="J178" s="34">
        <v>18419722</v>
      </c>
      <c r="K178" s="34" t="s">
        <v>3524</v>
      </c>
      <c r="L178" s="40" t="s">
        <v>3525</v>
      </c>
      <c r="M178" s="36">
        <v>169900</v>
      </c>
      <c r="N178" s="37">
        <f t="shared" si="8"/>
        <v>0.7</v>
      </c>
      <c r="O178" s="36">
        <f t="shared" si="6"/>
        <v>50970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46086</v>
      </c>
      <c r="C179" s="35">
        <f t="shared" si="7"/>
        <v>46092</v>
      </c>
      <c r="D179" s="34">
        <v>3321</v>
      </c>
      <c r="E179" s="34">
        <v>337</v>
      </c>
      <c r="F179" s="34">
        <v>4</v>
      </c>
      <c r="G179" s="34">
        <v>1</v>
      </c>
      <c r="H179" s="34">
        <v>81800</v>
      </c>
      <c r="I179" s="34" t="s">
        <v>2690</v>
      </c>
      <c r="J179" s="34">
        <v>18419731</v>
      </c>
      <c r="K179" s="34" t="s">
        <v>3524</v>
      </c>
      <c r="L179" s="40" t="s">
        <v>3526</v>
      </c>
      <c r="M179" s="36">
        <v>169900</v>
      </c>
      <c r="N179" s="37">
        <f t="shared" si="8"/>
        <v>0.7</v>
      </c>
      <c r="O179" s="36">
        <f t="shared" si="6"/>
        <v>50970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46086</v>
      </c>
      <c r="C180" s="35">
        <f t="shared" si="7"/>
        <v>46092</v>
      </c>
      <c r="D180" s="34">
        <v>3321</v>
      </c>
      <c r="E180" s="34">
        <v>337</v>
      </c>
      <c r="F180" s="34">
        <v>4</v>
      </c>
      <c r="G180" s="34">
        <v>1</v>
      </c>
      <c r="H180" s="34">
        <v>81800</v>
      </c>
      <c r="I180" s="34" t="s">
        <v>2690</v>
      </c>
      <c r="J180" s="34">
        <v>18419740</v>
      </c>
      <c r="K180" s="34" t="s">
        <v>3524</v>
      </c>
      <c r="L180" s="40" t="s">
        <v>3527</v>
      </c>
      <c r="M180" s="36">
        <v>169900</v>
      </c>
      <c r="N180" s="37">
        <f t="shared" si="8"/>
        <v>0.7</v>
      </c>
      <c r="O180" s="36">
        <f t="shared" si="6"/>
        <v>50970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46086</v>
      </c>
      <c r="C181" s="35">
        <f t="shared" si="7"/>
        <v>46092</v>
      </c>
      <c r="D181" s="34">
        <v>3321</v>
      </c>
      <c r="E181" s="34">
        <v>337</v>
      </c>
      <c r="F181" s="34">
        <v>4</v>
      </c>
      <c r="G181" s="34">
        <v>1</v>
      </c>
      <c r="H181" s="34">
        <v>81800</v>
      </c>
      <c r="I181" s="34" t="s">
        <v>2690</v>
      </c>
      <c r="J181" s="34">
        <v>18419759</v>
      </c>
      <c r="K181" s="34" t="s">
        <v>3524</v>
      </c>
      <c r="L181" s="40" t="s">
        <v>3528</v>
      </c>
      <c r="M181" s="36">
        <v>169900</v>
      </c>
      <c r="N181" s="37">
        <f t="shared" si="8"/>
        <v>0.7</v>
      </c>
      <c r="O181" s="36">
        <f t="shared" si="6"/>
        <v>50970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46086</v>
      </c>
      <c r="C182" s="35">
        <f t="shared" si="7"/>
        <v>46092</v>
      </c>
      <c r="D182" s="34">
        <v>3321</v>
      </c>
      <c r="E182" s="34">
        <v>337</v>
      </c>
      <c r="F182" s="34">
        <v>4</v>
      </c>
      <c r="G182" s="34">
        <v>3</v>
      </c>
      <c r="H182" s="34">
        <v>81421</v>
      </c>
      <c r="I182" s="34" t="s">
        <v>2690</v>
      </c>
      <c r="J182" s="34">
        <v>17454329</v>
      </c>
      <c r="K182" s="34" t="s">
        <v>3529</v>
      </c>
      <c r="L182" s="40" t="s">
        <v>3530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46086</v>
      </c>
      <c r="C183" s="35">
        <f t="shared" si="7"/>
        <v>46092</v>
      </c>
      <c r="D183" s="34">
        <v>3321</v>
      </c>
      <c r="E183" s="34">
        <v>337</v>
      </c>
      <c r="F183" s="34">
        <v>4</v>
      </c>
      <c r="G183" s="34">
        <v>3</v>
      </c>
      <c r="H183" s="34">
        <v>81421</v>
      </c>
      <c r="I183" s="34" t="s">
        <v>2690</v>
      </c>
      <c r="J183" s="34">
        <v>17454338</v>
      </c>
      <c r="K183" s="34" t="s">
        <v>3529</v>
      </c>
      <c r="L183" s="40" t="s">
        <v>3531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46086</v>
      </c>
      <c r="C184" s="35">
        <f t="shared" si="7"/>
        <v>46092</v>
      </c>
      <c r="D184" s="34">
        <v>3321</v>
      </c>
      <c r="E184" s="34">
        <v>337</v>
      </c>
      <c r="F184" s="34">
        <v>4</v>
      </c>
      <c r="G184" s="34">
        <v>3</v>
      </c>
      <c r="H184" s="34">
        <v>81421</v>
      </c>
      <c r="I184" s="34" t="s">
        <v>2690</v>
      </c>
      <c r="J184" s="34">
        <v>17454347</v>
      </c>
      <c r="K184" s="34" t="s">
        <v>3529</v>
      </c>
      <c r="L184" s="40" t="s">
        <v>3532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46086</v>
      </c>
      <c r="C185" s="35">
        <f t="shared" si="7"/>
        <v>46092</v>
      </c>
      <c r="D185" s="34">
        <v>3321</v>
      </c>
      <c r="E185" s="34">
        <v>337</v>
      </c>
      <c r="F185" s="34">
        <v>4</v>
      </c>
      <c r="G185" s="34">
        <v>3</v>
      </c>
      <c r="H185" s="34">
        <v>81421</v>
      </c>
      <c r="I185" s="34" t="s">
        <v>2690</v>
      </c>
      <c r="J185" s="34">
        <v>17454356</v>
      </c>
      <c r="K185" s="34" t="s">
        <v>3529</v>
      </c>
      <c r="L185" s="40" t="s">
        <v>3533</v>
      </c>
      <c r="M185" s="36">
        <v>269900</v>
      </c>
      <c r="N185" s="37">
        <f t="shared" si="8"/>
        <v>0.7</v>
      </c>
      <c r="O185" s="36">
        <f t="shared" si="6"/>
        <v>80970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46086</v>
      </c>
      <c r="C186" s="35">
        <f t="shared" si="7"/>
        <v>46092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16572275</v>
      </c>
      <c r="K186" s="34" t="s">
        <v>3534</v>
      </c>
      <c r="L186" s="40" t="s">
        <v>3535</v>
      </c>
      <c r="M186" s="36">
        <v>239900</v>
      </c>
      <c r="N186" s="37">
        <f t="shared" si="8"/>
        <v>0.7</v>
      </c>
      <c r="O186" s="36">
        <f t="shared" si="6"/>
        <v>71970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46086</v>
      </c>
      <c r="C187" s="35">
        <f t="shared" si="7"/>
        <v>46092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16572284</v>
      </c>
      <c r="K187" s="34" t="s">
        <v>3534</v>
      </c>
      <c r="L187" s="40" t="s">
        <v>3536</v>
      </c>
      <c r="M187" s="36">
        <v>239900</v>
      </c>
      <c r="N187" s="37">
        <f t="shared" si="8"/>
        <v>0.7</v>
      </c>
      <c r="O187" s="36">
        <f t="shared" si="6"/>
        <v>71970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46086</v>
      </c>
      <c r="C188" s="35">
        <f t="shared" si="7"/>
        <v>46092</v>
      </c>
      <c r="D188" s="34">
        <v>3321</v>
      </c>
      <c r="E188" s="34">
        <v>337</v>
      </c>
      <c r="F188" s="34">
        <v>4</v>
      </c>
      <c r="G188" s="34">
        <v>3</v>
      </c>
      <c r="H188" s="34">
        <v>81800</v>
      </c>
      <c r="I188" s="34" t="s">
        <v>2690</v>
      </c>
      <c r="J188" s="34">
        <v>16572293</v>
      </c>
      <c r="K188" s="34" t="s">
        <v>3534</v>
      </c>
      <c r="L188" s="40" t="s">
        <v>3537</v>
      </c>
      <c r="M188" s="36">
        <v>239900</v>
      </c>
      <c r="N188" s="37">
        <f t="shared" si="8"/>
        <v>0.7</v>
      </c>
      <c r="O188" s="36">
        <f t="shared" si="6"/>
        <v>71970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46086</v>
      </c>
      <c r="C189" s="35">
        <f t="shared" si="7"/>
        <v>46092</v>
      </c>
      <c r="D189" s="34">
        <v>3321</v>
      </c>
      <c r="E189" s="34">
        <v>337</v>
      </c>
      <c r="F189" s="34">
        <v>4</v>
      </c>
      <c r="G189" s="34">
        <v>3</v>
      </c>
      <c r="H189" s="34">
        <v>81800</v>
      </c>
      <c r="I189" s="34" t="s">
        <v>2690</v>
      </c>
      <c r="J189" s="34">
        <v>16572300</v>
      </c>
      <c r="K189" s="34" t="s">
        <v>3534</v>
      </c>
      <c r="L189" s="40" t="s">
        <v>3538</v>
      </c>
      <c r="M189" s="36">
        <v>239900</v>
      </c>
      <c r="N189" s="37">
        <f t="shared" si="8"/>
        <v>0.7</v>
      </c>
      <c r="O189" s="36">
        <f t="shared" si="6"/>
        <v>71970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46086</v>
      </c>
      <c r="C190" s="35">
        <f t="shared" si="7"/>
        <v>46092</v>
      </c>
      <c r="D190" s="34">
        <v>3321</v>
      </c>
      <c r="E190" s="34">
        <v>337</v>
      </c>
      <c r="F190" s="34">
        <v>4</v>
      </c>
      <c r="G190" s="34">
        <v>3</v>
      </c>
      <c r="H190" s="34">
        <v>81800</v>
      </c>
      <c r="I190" s="34" t="s">
        <v>2690</v>
      </c>
      <c r="J190" s="34">
        <v>18718739</v>
      </c>
      <c r="K190" s="34" t="s">
        <v>3539</v>
      </c>
      <c r="L190" s="40" t="s">
        <v>3540</v>
      </c>
      <c r="M190" s="36">
        <v>239900</v>
      </c>
      <c r="N190" s="37">
        <f t="shared" si="8"/>
        <v>0.7</v>
      </c>
      <c r="O190" s="36">
        <f t="shared" si="6"/>
        <v>71970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46086</v>
      </c>
      <c r="C191" s="35">
        <f t="shared" si="7"/>
        <v>46092</v>
      </c>
      <c r="D191" s="34">
        <v>3321</v>
      </c>
      <c r="E191" s="34">
        <v>337</v>
      </c>
      <c r="F191" s="34">
        <v>4</v>
      </c>
      <c r="G191" s="34">
        <v>3</v>
      </c>
      <c r="H191" s="34">
        <v>81800</v>
      </c>
      <c r="I191" s="34" t="s">
        <v>2690</v>
      </c>
      <c r="J191" s="34">
        <v>18718748</v>
      </c>
      <c r="K191" s="34" t="s">
        <v>3539</v>
      </c>
      <c r="L191" s="40" t="s">
        <v>3541</v>
      </c>
      <c r="M191" s="36">
        <v>239900</v>
      </c>
      <c r="N191" s="37">
        <f t="shared" si="8"/>
        <v>0.7</v>
      </c>
      <c r="O191" s="36">
        <f t="shared" si="6"/>
        <v>71970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46086</v>
      </c>
      <c r="C192" s="35">
        <f t="shared" si="7"/>
        <v>46092</v>
      </c>
      <c r="D192" s="34">
        <v>3321</v>
      </c>
      <c r="E192" s="34">
        <v>337</v>
      </c>
      <c r="F192" s="34">
        <v>4</v>
      </c>
      <c r="G192" s="34">
        <v>3</v>
      </c>
      <c r="H192" s="34">
        <v>81800</v>
      </c>
      <c r="I192" s="34" t="s">
        <v>2690</v>
      </c>
      <c r="J192" s="34">
        <v>18718757</v>
      </c>
      <c r="K192" s="34" t="s">
        <v>3539</v>
      </c>
      <c r="L192" s="40" t="s">
        <v>3542</v>
      </c>
      <c r="M192" s="36">
        <v>239900</v>
      </c>
      <c r="N192" s="37">
        <f t="shared" si="8"/>
        <v>0.7</v>
      </c>
      <c r="O192" s="36">
        <f t="shared" si="6"/>
        <v>71970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46086</v>
      </c>
      <c r="C193" s="35">
        <f t="shared" si="7"/>
        <v>46092</v>
      </c>
      <c r="D193" s="34">
        <v>3321</v>
      </c>
      <c r="E193" s="34">
        <v>337</v>
      </c>
      <c r="F193" s="34">
        <v>4</v>
      </c>
      <c r="G193" s="34">
        <v>3</v>
      </c>
      <c r="H193" s="34">
        <v>81800</v>
      </c>
      <c r="I193" s="34" t="s">
        <v>2690</v>
      </c>
      <c r="J193" s="34">
        <v>18718766</v>
      </c>
      <c r="K193" s="34" t="s">
        <v>3539</v>
      </c>
      <c r="L193" s="40" t="s">
        <v>3543</v>
      </c>
      <c r="M193" s="36">
        <v>239900</v>
      </c>
      <c r="N193" s="37">
        <f t="shared" si="8"/>
        <v>0.7</v>
      </c>
      <c r="O193" s="36">
        <f t="shared" si="6"/>
        <v>71970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46086</v>
      </c>
      <c r="C194" s="35">
        <f t="shared" si="7"/>
        <v>46092</v>
      </c>
      <c r="D194" s="34">
        <v>3321</v>
      </c>
      <c r="E194" s="34">
        <v>337</v>
      </c>
      <c r="F194" s="34">
        <v>4</v>
      </c>
      <c r="G194" s="34">
        <v>4</v>
      </c>
      <c r="H194" s="34">
        <v>81421</v>
      </c>
      <c r="I194" s="34" t="s">
        <v>2690</v>
      </c>
      <c r="J194" s="34">
        <v>17454365</v>
      </c>
      <c r="K194" s="34" t="s">
        <v>3544</v>
      </c>
      <c r="L194" s="40" t="s">
        <v>3545</v>
      </c>
      <c r="M194" s="36">
        <v>219900</v>
      </c>
      <c r="N194" s="37">
        <f t="shared" si="8"/>
        <v>0.7</v>
      </c>
      <c r="O194" s="36">
        <f t="shared" si="6"/>
        <v>65970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46086</v>
      </c>
      <c r="C195" s="35">
        <f t="shared" si="7"/>
        <v>46092</v>
      </c>
      <c r="D195" s="34">
        <v>3321</v>
      </c>
      <c r="E195" s="34">
        <v>337</v>
      </c>
      <c r="F195" s="34">
        <v>4</v>
      </c>
      <c r="G195" s="34">
        <v>4</v>
      </c>
      <c r="H195" s="34">
        <v>81421</v>
      </c>
      <c r="I195" s="34" t="s">
        <v>2690</v>
      </c>
      <c r="J195" s="34">
        <v>17454374</v>
      </c>
      <c r="K195" s="34" t="s">
        <v>3544</v>
      </c>
      <c r="L195" s="40" t="s">
        <v>3546</v>
      </c>
      <c r="M195" s="36">
        <v>219900</v>
      </c>
      <c r="N195" s="37">
        <f t="shared" si="8"/>
        <v>0.7</v>
      </c>
      <c r="O195" s="36">
        <f t="shared" ref="O195:O258" si="9">M195-((70*M195))/100</f>
        <v>65970</v>
      </c>
      <c r="P195" s="34" t="s">
        <v>16</v>
      </c>
    </row>
    <row r="196" spans="1:16" x14ac:dyDescent="0.35">
      <c r="A196" s="34" t="str">
        <f t="shared" ref="A196:C230" si="10">A195</f>
        <v>2024 JAN-JUN DISC 70%</v>
      </c>
      <c r="B196" s="35">
        <f t="shared" si="10"/>
        <v>46086</v>
      </c>
      <c r="C196" s="35">
        <f t="shared" si="10"/>
        <v>46092</v>
      </c>
      <c r="D196" s="34">
        <v>3321</v>
      </c>
      <c r="E196" s="34">
        <v>337</v>
      </c>
      <c r="F196" s="34">
        <v>4</v>
      </c>
      <c r="G196" s="34">
        <v>4</v>
      </c>
      <c r="H196" s="34">
        <v>81421</v>
      </c>
      <c r="I196" s="34" t="s">
        <v>2690</v>
      </c>
      <c r="J196" s="34">
        <v>17454383</v>
      </c>
      <c r="K196" s="34" t="s">
        <v>3544</v>
      </c>
      <c r="L196" s="40" t="s">
        <v>3547</v>
      </c>
      <c r="M196" s="36">
        <v>219900</v>
      </c>
      <c r="N196" s="37">
        <f t="shared" ref="N196:N259" si="11">N195</f>
        <v>0.7</v>
      </c>
      <c r="O196" s="36">
        <f t="shared" si="9"/>
        <v>65970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46086</v>
      </c>
      <c r="C197" s="35">
        <f t="shared" si="10"/>
        <v>46092</v>
      </c>
      <c r="D197" s="34">
        <v>3321</v>
      </c>
      <c r="E197" s="34">
        <v>337</v>
      </c>
      <c r="F197" s="34">
        <v>4</v>
      </c>
      <c r="G197" s="34">
        <v>4</v>
      </c>
      <c r="H197" s="34">
        <v>81421</v>
      </c>
      <c r="I197" s="34" t="s">
        <v>2690</v>
      </c>
      <c r="J197" s="34">
        <v>17454392</v>
      </c>
      <c r="K197" s="34" t="s">
        <v>3544</v>
      </c>
      <c r="L197" s="40" t="s">
        <v>3548</v>
      </c>
      <c r="M197" s="36">
        <v>219900</v>
      </c>
      <c r="N197" s="37">
        <f t="shared" si="11"/>
        <v>0.7</v>
      </c>
      <c r="O197" s="36">
        <f t="shared" si="9"/>
        <v>65970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46086</v>
      </c>
      <c r="C198" s="35">
        <f t="shared" si="10"/>
        <v>46092</v>
      </c>
      <c r="D198" s="34">
        <v>3321</v>
      </c>
      <c r="E198" s="34">
        <v>337</v>
      </c>
      <c r="F198" s="34">
        <v>4</v>
      </c>
      <c r="G198" s="34">
        <v>1</v>
      </c>
      <c r="H198" s="34">
        <v>81146</v>
      </c>
      <c r="I198" s="34" t="s">
        <v>2690</v>
      </c>
      <c r="J198" s="34">
        <v>18419768</v>
      </c>
      <c r="K198" s="34" t="s">
        <v>3425</v>
      </c>
      <c r="L198" s="40" t="s">
        <v>3426</v>
      </c>
      <c r="M198" s="36">
        <v>149900</v>
      </c>
      <c r="N198" s="37">
        <f t="shared" si="11"/>
        <v>0.7</v>
      </c>
      <c r="O198" s="36">
        <f t="shared" si="9"/>
        <v>44970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46086</v>
      </c>
      <c r="C199" s="35">
        <f t="shared" si="10"/>
        <v>46092</v>
      </c>
      <c r="D199" s="34">
        <v>3321</v>
      </c>
      <c r="E199" s="34">
        <v>337</v>
      </c>
      <c r="F199" s="34">
        <v>4</v>
      </c>
      <c r="G199" s="34">
        <v>1</v>
      </c>
      <c r="H199" s="34">
        <v>81146</v>
      </c>
      <c r="I199" s="34" t="s">
        <v>2690</v>
      </c>
      <c r="J199" s="34">
        <v>18419777</v>
      </c>
      <c r="K199" s="34" t="s">
        <v>3425</v>
      </c>
      <c r="L199" s="40" t="s">
        <v>3427</v>
      </c>
      <c r="M199" s="36">
        <v>149900</v>
      </c>
      <c r="N199" s="37">
        <f t="shared" si="11"/>
        <v>0.7</v>
      </c>
      <c r="O199" s="36">
        <f t="shared" si="9"/>
        <v>44970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46086</v>
      </c>
      <c r="C200" s="35">
        <f t="shared" si="10"/>
        <v>46092</v>
      </c>
      <c r="D200" s="34">
        <v>3321</v>
      </c>
      <c r="E200" s="34">
        <v>337</v>
      </c>
      <c r="F200" s="34">
        <v>4</v>
      </c>
      <c r="G200" s="34">
        <v>1</v>
      </c>
      <c r="H200" s="34">
        <v>81146</v>
      </c>
      <c r="I200" s="34" t="s">
        <v>2690</v>
      </c>
      <c r="J200" s="34">
        <v>18419786</v>
      </c>
      <c r="K200" s="34" t="s">
        <v>3425</v>
      </c>
      <c r="L200" s="40" t="s">
        <v>3428</v>
      </c>
      <c r="M200" s="36">
        <v>149900</v>
      </c>
      <c r="N200" s="37">
        <f t="shared" si="11"/>
        <v>0.7</v>
      </c>
      <c r="O200" s="36">
        <f t="shared" si="9"/>
        <v>44970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46086</v>
      </c>
      <c r="C201" s="35">
        <f t="shared" si="10"/>
        <v>46092</v>
      </c>
      <c r="D201" s="34">
        <v>3321</v>
      </c>
      <c r="E201" s="34">
        <v>337</v>
      </c>
      <c r="F201" s="34">
        <v>4</v>
      </c>
      <c r="G201" s="34">
        <v>1</v>
      </c>
      <c r="H201" s="34">
        <v>81146</v>
      </c>
      <c r="I201" s="34" t="s">
        <v>2690</v>
      </c>
      <c r="J201" s="34">
        <v>18419795</v>
      </c>
      <c r="K201" s="34" t="s">
        <v>3425</v>
      </c>
      <c r="L201" s="40" t="s">
        <v>3429</v>
      </c>
      <c r="M201" s="36">
        <v>149900</v>
      </c>
      <c r="N201" s="37">
        <f t="shared" si="11"/>
        <v>0.7</v>
      </c>
      <c r="O201" s="36">
        <f t="shared" si="9"/>
        <v>44970</v>
      </c>
      <c r="P201" s="34" t="s">
        <v>16</v>
      </c>
    </row>
    <row r="202" spans="1:16" x14ac:dyDescent="0.35">
      <c r="A202" s="34" t="str">
        <f t="shared" si="10"/>
        <v>2024 JAN-JUN DISC 70%</v>
      </c>
      <c r="B202" s="35">
        <f t="shared" si="10"/>
        <v>46086</v>
      </c>
      <c r="C202" s="35">
        <f t="shared" si="10"/>
        <v>46092</v>
      </c>
      <c r="D202" s="34">
        <v>3321</v>
      </c>
      <c r="E202" s="34">
        <v>337</v>
      </c>
      <c r="F202" s="34">
        <v>4</v>
      </c>
      <c r="G202" s="34">
        <v>1</v>
      </c>
      <c r="H202" s="34">
        <v>81146</v>
      </c>
      <c r="I202" s="34" t="s">
        <v>2690</v>
      </c>
      <c r="J202" s="34">
        <v>18419802</v>
      </c>
      <c r="K202" s="34" t="s">
        <v>3430</v>
      </c>
      <c r="L202" s="40" t="s">
        <v>3431</v>
      </c>
      <c r="M202" s="36">
        <v>149900</v>
      </c>
      <c r="N202" s="37">
        <f t="shared" si="11"/>
        <v>0.7</v>
      </c>
      <c r="O202" s="36">
        <f t="shared" si="9"/>
        <v>44970</v>
      </c>
      <c r="P202" s="34" t="s">
        <v>16</v>
      </c>
    </row>
    <row r="203" spans="1:16" x14ac:dyDescent="0.35">
      <c r="A203" s="34" t="str">
        <f t="shared" si="10"/>
        <v>2024 JAN-JUN DISC 70%</v>
      </c>
      <c r="B203" s="35">
        <f t="shared" si="10"/>
        <v>46086</v>
      </c>
      <c r="C203" s="35">
        <f t="shared" si="10"/>
        <v>46092</v>
      </c>
      <c r="D203" s="34">
        <v>3321</v>
      </c>
      <c r="E203" s="34">
        <v>337</v>
      </c>
      <c r="F203" s="34">
        <v>4</v>
      </c>
      <c r="G203" s="34">
        <v>1</v>
      </c>
      <c r="H203" s="34">
        <v>81146</v>
      </c>
      <c r="I203" s="34" t="s">
        <v>2690</v>
      </c>
      <c r="J203" s="34">
        <v>18419811</v>
      </c>
      <c r="K203" s="34" t="s">
        <v>3430</v>
      </c>
      <c r="L203" s="40" t="s">
        <v>3432</v>
      </c>
      <c r="M203" s="36">
        <v>149900</v>
      </c>
      <c r="N203" s="37">
        <f t="shared" si="11"/>
        <v>0.7</v>
      </c>
      <c r="O203" s="36">
        <f t="shared" si="9"/>
        <v>44970</v>
      </c>
      <c r="P203" s="34" t="s">
        <v>16</v>
      </c>
    </row>
    <row r="204" spans="1:16" x14ac:dyDescent="0.35">
      <c r="A204" s="34" t="str">
        <f t="shared" si="10"/>
        <v>2024 JAN-JUN DISC 70%</v>
      </c>
      <c r="B204" s="35">
        <f t="shared" si="10"/>
        <v>46086</v>
      </c>
      <c r="C204" s="35">
        <f t="shared" si="10"/>
        <v>46092</v>
      </c>
      <c r="D204" s="34">
        <v>3321</v>
      </c>
      <c r="E204" s="34">
        <v>337</v>
      </c>
      <c r="F204" s="34">
        <v>4</v>
      </c>
      <c r="G204" s="34">
        <v>1</v>
      </c>
      <c r="H204" s="34">
        <v>81146</v>
      </c>
      <c r="I204" s="34" t="s">
        <v>2690</v>
      </c>
      <c r="J204" s="34">
        <v>18419820</v>
      </c>
      <c r="K204" s="34" t="s">
        <v>3430</v>
      </c>
      <c r="L204" s="40" t="s">
        <v>3433</v>
      </c>
      <c r="M204" s="36">
        <v>149900</v>
      </c>
      <c r="N204" s="37">
        <f t="shared" si="11"/>
        <v>0.7</v>
      </c>
      <c r="O204" s="36">
        <f t="shared" si="9"/>
        <v>44970</v>
      </c>
      <c r="P204" s="34" t="s">
        <v>16</v>
      </c>
    </row>
    <row r="205" spans="1:16" x14ac:dyDescent="0.35">
      <c r="A205" s="34" t="str">
        <f t="shared" si="10"/>
        <v>2024 JAN-JUN DISC 70%</v>
      </c>
      <c r="B205" s="35">
        <f t="shared" si="10"/>
        <v>46086</v>
      </c>
      <c r="C205" s="35">
        <f t="shared" si="10"/>
        <v>46092</v>
      </c>
      <c r="D205" s="34">
        <v>3321</v>
      </c>
      <c r="E205" s="34">
        <v>337</v>
      </c>
      <c r="F205" s="34">
        <v>4</v>
      </c>
      <c r="G205" s="34">
        <v>1</v>
      </c>
      <c r="H205" s="34">
        <v>81146</v>
      </c>
      <c r="I205" s="34" t="s">
        <v>2690</v>
      </c>
      <c r="J205" s="34">
        <v>18419839</v>
      </c>
      <c r="K205" s="34" t="s">
        <v>3430</v>
      </c>
      <c r="L205" s="40" t="s">
        <v>3434</v>
      </c>
      <c r="M205" s="36">
        <v>149900</v>
      </c>
      <c r="N205" s="37">
        <f t="shared" si="11"/>
        <v>0.7</v>
      </c>
      <c r="O205" s="36">
        <f t="shared" si="9"/>
        <v>44970</v>
      </c>
      <c r="P205" s="34" t="s">
        <v>16</v>
      </c>
    </row>
    <row r="206" spans="1:16" x14ac:dyDescent="0.35">
      <c r="A206" s="34" t="str">
        <f t="shared" si="10"/>
        <v>2024 JAN-JUN DISC 70%</v>
      </c>
      <c r="B206" s="35">
        <f t="shared" si="10"/>
        <v>46086</v>
      </c>
      <c r="C206" s="35">
        <f t="shared" si="10"/>
        <v>46092</v>
      </c>
      <c r="D206" s="34">
        <v>3321</v>
      </c>
      <c r="E206" s="34">
        <v>337</v>
      </c>
      <c r="F206" s="34">
        <v>4</v>
      </c>
      <c r="G206" s="34">
        <v>1</v>
      </c>
      <c r="H206" s="34">
        <v>81421</v>
      </c>
      <c r="I206" s="34" t="s">
        <v>2690</v>
      </c>
      <c r="J206" s="34">
        <v>17454285</v>
      </c>
      <c r="K206" s="34" t="s">
        <v>3435</v>
      </c>
      <c r="L206" s="40" t="s">
        <v>3436</v>
      </c>
      <c r="M206" s="36">
        <v>179900</v>
      </c>
      <c r="N206" s="37">
        <f t="shared" si="11"/>
        <v>0.7</v>
      </c>
      <c r="O206" s="36">
        <f t="shared" si="9"/>
        <v>53970</v>
      </c>
      <c r="P206" s="34" t="s">
        <v>16</v>
      </c>
    </row>
    <row r="207" spans="1:16" x14ac:dyDescent="0.35">
      <c r="A207" s="34" t="str">
        <f t="shared" si="10"/>
        <v>2024 JAN-JUN DISC 70%</v>
      </c>
      <c r="B207" s="35">
        <f t="shared" si="10"/>
        <v>46086</v>
      </c>
      <c r="C207" s="35">
        <f t="shared" si="10"/>
        <v>46092</v>
      </c>
      <c r="D207" s="34">
        <v>3321</v>
      </c>
      <c r="E207" s="34">
        <v>337</v>
      </c>
      <c r="F207" s="34">
        <v>4</v>
      </c>
      <c r="G207" s="34">
        <v>1</v>
      </c>
      <c r="H207" s="34">
        <v>81421</v>
      </c>
      <c r="I207" s="34" t="s">
        <v>2690</v>
      </c>
      <c r="J207" s="34">
        <v>17454294</v>
      </c>
      <c r="K207" s="34" t="s">
        <v>3435</v>
      </c>
      <c r="L207" s="40" t="s">
        <v>3437</v>
      </c>
      <c r="M207" s="36">
        <v>179900</v>
      </c>
      <c r="N207" s="37">
        <f t="shared" si="11"/>
        <v>0.7</v>
      </c>
      <c r="O207" s="36">
        <f t="shared" si="9"/>
        <v>53970</v>
      </c>
      <c r="P207" s="34" t="s">
        <v>16</v>
      </c>
    </row>
    <row r="208" spans="1:16" x14ac:dyDescent="0.35">
      <c r="A208" s="34" t="str">
        <f t="shared" si="10"/>
        <v>2024 JAN-JUN DISC 70%</v>
      </c>
      <c r="B208" s="35">
        <f t="shared" si="10"/>
        <v>46086</v>
      </c>
      <c r="C208" s="35">
        <f t="shared" si="10"/>
        <v>46092</v>
      </c>
      <c r="D208" s="34">
        <v>3321</v>
      </c>
      <c r="E208" s="34">
        <v>337</v>
      </c>
      <c r="F208" s="34">
        <v>4</v>
      </c>
      <c r="G208" s="34">
        <v>1</v>
      </c>
      <c r="H208" s="34">
        <v>81421</v>
      </c>
      <c r="I208" s="34" t="s">
        <v>2690</v>
      </c>
      <c r="J208" s="34">
        <v>17454301</v>
      </c>
      <c r="K208" s="34" t="s">
        <v>3435</v>
      </c>
      <c r="L208" s="40" t="s">
        <v>3438</v>
      </c>
      <c r="M208" s="36">
        <v>179900</v>
      </c>
      <c r="N208" s="37">
        <f t="shared" si="11"/>
        <v>0.7</v>
      </c>
      <c r="O208" s="36">
        <f t="shared" si="9"/>
        <v>53970</v>
      </c>
      <c r="P208" s="34" t="s">
        <v>16</v>
      </c>
    </row>
    <row r="209" spans="1:16" x14ac:dyDescent="0.35">
      <c r="A209" s="34" t="str">
        <f t="shared" si="10"/>
        <v>2024 JAN-JUN DISC 70%</v>
      </c>
      <c r="B209" s="35">
        <f t="shared" si="10"/>
        <v>46086</v>
      </c>
      <c r="C209" s="35">
        <f t="shared" si="10"/>
        <v>46092</v>
      </c>
      <c r="D209" s="34">
        <v>3321</v>
      </c>
      <c r="E209" s="34">
        <v>337</v>
      </c>
      <c r="F209" s="34">
        <v>4</v>
      </c>
      <c r="G209" s="34">
        <v>1</v>
      </c>
      <c r="H209" s="34">
        <v>81421</v>
      </c>
      <c r="I209" s="34" t="s">
        <v>2690</v>
      </c>
      <c r="J209" s="34">
        <v>17454310</v>
      </c>
      <c r="K209" s="34" t="s">
        <v>3435</v>
      </c>
      <c r="L209" s="40" t="s">
        <v>3439</v>
      </c>
      <c r="M209" s="36">
        <v>179900</v>
      </c>
      <c r="N209" s="37">
        <f t="shared" si="11"/>
        <v>0.7</v>
      </c>
      <c r="O209" s="36">
        <f t="shared" si="9"/>
        <v>53970</v>
      </c>
      <c r="P209" s="34" t="s">
        <v>16</v>
      </c>
    </row>
    <row r="210" spans="1:16" x14ac:dyDescent="0.35">
      <c r="A210" s="34" t="str">
        <f t="shared" si="10"/>
        <v>2024 JAN-JUN DISC 70%</v>
      </c>
      <c r="B210" s="35">
        <f t="shared" si="10"/>
        <v>46086</v>
      </c>
      <c r="C210" s="35">
        <f t="shared" si="10"/>
        <v>46092</v>
      </c>
      <c r="D210" s="34">
        <v>3321</v>
      </c>
      <c r="E210" s="34">
        <v>337</v>
      </c>
      <c r="F210" s="34">
        <v>4</v>
      </c>
      <c r="G210" s="34">
        <v>1</v>
      </c>
      <c r="H210" s="34">
        <v>81048</v>
      </c>
      <c r="I210" s="34" t="s">
        <v>2690</v>
      </c>
      <c r="J210" s="34">
        <v>18718775</v>
      </c>
      <c r="K210" s="34" t="s">
        <v>3440</v>
      </c>
      <c r="L210" s="40" t="s">
        <v>3441</v>
      </c>
      <c r="M210" s="36">
        <v>139900</v>
      </c>
      <c r="N210" s="37">
        <f t="shared" si="11"/>
        <v>0.7</v>
      </c>
      <c r="O210" s="36">
        <f t="shared" si="9"/>
        <v>41970</v>
      </c>
      <c r="P210" s="34" t="s">
        <v>16</v>
      </c>
    </row>
    <row r="211" spans="1:16" x14ac:dyDescent="0.35">
      <c r="A211" s="34" t="str">
        <f t="shared" si="10"/>
        <v>2024 JAN-JUN DISC 70%</v>
      </c>
      <c r="B211" s="35">
        <f t="shared" si="10"/>
        <v>46086</v>
      </c>
      <c r="C211" s="35">
        <f t="shared" si="10"/>
        <v>46092</v>
      </c>
      <c r="D211" s="34">
        <v>3321</v>
      </c>
      <c r="E211" s="34">
        <v>337</v>
      </c>
      <c r="F211" s="34">
        <v>4</v>
      </c>
      <c r="G211" s="34">
        <v>1</v>
      </c>
      <c r="H211" s="34">
        <v>81048</v>
      </c>
      <c r="I211" s="34" t="s">
        <v>2690</v>
      </c>
      <c r="J211" s="34">
        <v>18718784</v>
      </c>
      <c r="K211" s="34" t="s">
        <v>3440</v>
      </c>
      <c r="L211" s="40" t="s">
        <v>3442</v>
      </c>
      <c r="M211" s="36">
        <v>139900</v>
      </c>
      <c r="N211" s="37">
        <f t="shared" si="11"/>
        <v>0.7</v>
      </c>
      <c r="O211" s="36">
        <f t="shared" si="9"/>
        <v>41970</v>
      </c>
      <c r="P211" s="34" t="s">
        <v>16</v>
      </c>
    </row>
    <row r="212" spans="1:16" x14ac:dyDescent="0.35">
      <c r="A212" s="34" t="str">
        <f t="shared" si="10"/>
        <v>2024 JAN-JUN DISC 70%</v>
      </c>
      <c r="B212" s="35">
        <f t="shared" si="10"/>
        <v>46086</v>
      </c>
      <c r="C212" s="35">
        <f t="shared" si="10"/>
        <v>46092</v>
      </c>
      <c r="D212" s="34">
        <v>3321</v>
      </c>
      <c r="E212" s="34">
        <v>337</v>
      </c>
      <c r="F212" s="34">
        <v>4</v>
      </c>
      <c r="G212" s="34">
        <v>1</v>
      </c>
      <c r="H212" s="34">
        <v>81048</v>
      </c>
      <c r="I212" s="34" t="s">
        <v>2690</v>
      </c>
      <c r="J212" s="34">
        <v>18718793</v>
      </c>
      <c r="K212" s="34" t="s">
        <v>3440</v>
      </c>
      <c r="L212" s="40" t="s">
        <v>3443</v>
      </c>
      <c r="M212" s="36">
        <v>139900</v>
      </c>
      <c r="N212" s="37">
        <f t="shared" si="11"/>
        <v>0.7</v>
      </c>
      <c r="O212" s="36">
        <f t="shared" si="9"/>
        <v>41970</v>
      </c>
      <c r="P212" s="34" t="s">
        <v>16</v>
      </c>
    </row>
    <row r="213" spans="1:16" x14ac:dyDescent="0.35">
      <c r="A213" s="34" t="str">
        <f t="shared" si="10"/>
        <v>2024 JAN-JUN DISC 70%</v>
      </c>
      <c r="B213" s="35">
        <f t="shared" si="10"/>
        <v>46086</v>
      </c>
      <c r="C213" s="35">
        <f t="shared" si="10"/>
        <v>46092</v>
      </c>
      <c r="D213" s="34">
        <v>3321</v>
      </c>
      <c r="E213" s="34">
        <v>337</v>
      </c>
      <c r="F213" s="34">
        <v>4</v>
      </c>
      <c r="G213" s="34">
        <v>1</v>
      </c>
      <c r="H213" s="34">
        <v>81048</v>
      </c>
      <c r="I213" s="34" t="s">
        <v>2690</v>
      </c>
      <c r="J213" s="34">
        <v>18718800</v>
      </c>
      <c r="K213" s="34" t="s">
        <v>3440</v>
      </c>
      <c r="L213" s="40" t="s">
        <v>3444</v>
      </c>
      <c r="M213" s="36">
        <v>139900</v>
      </c>
      <c r="N213" s="37">
        <f t="shared" si="11"/>
        <v>0.7</v>
      </c>
      <c r="O213" s="36">
        <f t="shared" si="9"/>
        <v>41970</v>
      </c>
      <c r="P213" s="34" t="s">
        <v>16</v>
      </c>
    </row>
    <row r="214" spans="1:16" x14ac:dyDescent="0.35">
      <c r="A214" s="34" t="str">
        <f t="shared" si="10"/>
        <v>2024 JAN-JUN DISC 70%</v>
      </c>
      <c r="B214" s="35">
        <f t="shared" si="10"/>
        <v>46086</v>
      </c>
      <c r="C214" s="35">
        <f t="shared" si="10"/>
        <v>46092</v>
      </c>
      <c r="D214" s="34">
        <v>3321</v>
      </c>
      <c r="E214" s="34">
        <v>337</v>
      </c>
      <c r="F214" s="34">
        <v>4</v>
      </c>
      <c r="G214" s="34">
        <v>1</v>
      </c>
      <c r="H214" s="34">
        <v>81048</v>
      </c>
      <c r="I214" s="34" t="s">
        <v>2690</v>
      </c>
      <c r="J214" s="34">
        <v>18718819</v>
      </c>
      <c r="K214" s="34" t="s">
        <v>3445</v>
      </c>
      <c r="L214" s="40" t="s">
        <v>3446</v>
      </c>
      <c r="M214" s="36">
        <v>149900</v>
      </c>
      <c r="N214" s="37">
        <f t="shared" si="11"/>
        <v>0.7</v>
      </c>
      <c r="O214" s="36">
        <f t="shared" si="9"/>
        <v>44970</v>
      </c>
      <c r="P214" s="34" t="s">
        <v>16</v>
      </c>
    </row>
    <row r="215" spans="1:16" x14ac:dyDescent="0.35">
      <c r="A215" s="34" t="str">
        <f t="shared" si="10"/>
        <v>2024 JAN-JUN DISC 70%</v>
      </c>
      <c r="B215" s="35">
        <f t="shared" si="10"/>
        <v>46086</v>
      </c>
      <c r="C215" s="35">
        <f t="shared" si="10"/>
        <v>46092</v>
      </c>
      <c r="D215" s="34">
        <v>3321</v>
      </c>
      <c r="E215" s="34">
        <v>337</v>
      </c>
      <c r="F215" s="34">
        <v>4</v>
      </c>
      <c r="G215" s="34">
        <v>1</v>
      </c>
      <c r="H215" s="34">
        <v>81048</v>
      </c>
      <c r="I215" s="34" t="s">
        <v>2690</v>
      </c>
      <c r="J215" s="34">
        <v>18718837</v>
      </c>
      <c r="K215" s="34" t="s">
        <v>3445</v>
      </c>
      <c r="L215" s="40" t="s">
        <v>3447</v>
      </c>
      <c r="M215" s="36">
        <v>149900</v>
      </c>
      <c r="N215" s="37">
        <f t="shared" si="11"/>
        <v>0.7</v>
      </c>
      <c r="O215" s="36">
        <f t="shared" si="9"/>
        <v>44970</v>
      </c>
      <c r="P215" s="34" t="s">
        <v>16</v>
      </c>
    </row>
    <row r="216" spans="1:16" x14ac:dyDescent="0.35">
      <c r="A216" s="34" t="str">
        <f t="shared" si="10"/>
        <v>2024 JAN-JUN DISC 70%</v>
      </c>
      <c r="B216" s="35">
        <f t="shared" si="10"/>
        <v>46086</v>
      </c>
      <c r="C216" s="35">
        <f t="shared" si="10"/>
        <v>46092</v>
      </c>
      <c r="D216" s="34">
        <v>3321</v>
      </c>
      <c r="E216" s="34">
        <v>337</v>
      </c>
      <c r="F216" s="34">
        <v>4</v>
      </c>
      <c r="G216" s="34">
        <v>1</v>
      </c>
      <c r="H216" s="34">
        <v>81048</v>
      </c>
      <c r="I216" s="34" t="s">
        <v>2690</v>
      </c>
      <c r="J216" s="34">
        <v>18718846</v>
      </c>
      <c r="K216" s="34" t="s">
        <v>3445</v>
      </c>
      <c r="L216" s="40" t="s">
        <v>3448</v>
      </c>
      <c r="M216" s="36">
        <v>149900</v>
      </c>
      <c r="N216" s="37">
        <f t="shared" si="11"/>
        <v>0.7</v>
      </c>
      <c r="O216" s="36">
        <f t="shared" si="9"/>
        <v>44970</v>
      </c>
      <c r="P216" s="34" t="s">
        <v>16</v>
      </c>
    </row>
    <row r="217" spans="1:16" x14ac:dyDescent="0.35">
      <c r="A217" s="34" t="str">
        <f t="shared" si="10"/>
        <v>2024 JAN-JUN DISC 70%</v>
      </c>
      <c r="B217" s="35">
        <f t="shared" si="10"/>
        <v>46086</v>
      </c>
      <c r="C217" s="35">
        <f t="shared" si="10"/>
        <v>46092</v>
      </c>
      <c r="D217" s="34">
        <v>3321</v>
      </c>
      <c r="E217" s="34">
        <v>337</v>
      </c>
      <c r="F217" s="34">
        <v>4</v>
      </c>
      <c r="G217" s="34">
        <v>1</v>
      </c>
      <c r="H217" s="34">
        <v>81048</v>
      </c>
      <c r="I217" s="34" t="s">
        <v>2690</v>
      </c>
      <c r="J217" s="34">
        <v>18718855</v>
      </c>
      <c r="K217" s="34" t="s">
        <v>3445</v>
      </c>
      <c r="L217" s="40" t="s">
        <v>3449</v>
      </c>
      <c r="M217" s="36">
        <v>149900</v>
      </c>
      <c r="N217" s="37">
        <f t="shared" si="11"/>
        <v>0.7</v>
      </c>
      <c r="O217" s="36">
        <f t="shared" si="9"/>
        <v>44970</v>
      </c>
      <c r="P217" s="34" t="s">
        <v>16</v>
      </c>
    </row>
    <row r="218" spans="1:16" x14ac:dyDescent="0.35">
      <c r="A218" s="34" t="str">
        <f t="shared" si="10"/>
        <v>2024 JAN-JUN DISC 70%</v>
      </c>
      <c r="B218" s="35">
        <f t="shared" si="10"/>
        <v>46086</v>
      </c>
      <c r="C218" s="35">
        <f t="shared" si="10"/>
        <v>46092</v>
      </c>
      <c r="D218" s="34">
        <v>3321</v>
      </c>
      <c r="E218" s="34">
        <v>337</v>
      </c>
      <c r="F218" s="34">
        <v>4</v>
      </c>
      <c r="G218" s="34">
        <v>1</v>
      </c>
      <c r="H218" s="34">
        <v>81048</v>
      </c>
      <c r="I218" s="34" t="s">
        <v>2690</v>
      </c>
      <c r="J218" s="34">
        <v>18718873</v>
      </c>
      <c r="K218" s="34" t="s">
        <v>3450</v>
      </c>
      <c r="L218" s="40" t="s">
        <v>3451</v>
      </c>
      <c r="M218" s="36">
        <v>149900</v>
      </c>
      <c r="N218" s="37">
        <f t="shared" si="11"/>
        <v>0.7</v>
      </c>
      <c r="O218" s="36">
        <f t="shared" si="9"/>
        <v>44970</v>
      </c>
      <c r="P218" s="34" t="s">
        <v>16</v>
      </c>
    </row>
    <row r="219" spans="1:16" x14ac:dyDescent="0.35">
      <c r="A219" s="34" t="str">
        <f t="shared" si="10"/>
        <v>2024 JAN-JUN DISC 70%</v>
      </c>
      <c r="B219" s="35">
        <f t="shared" si="10"/>
        <v>46086</v>
      </c>
      <c r="C219" s="35">
        <f t="shared" si="10"/>
        <v>46092</v>
      </c>
      <c r="D219" s="34">
        <v>3321</v>
      </c>
      <c r="E219" s="34">
        <v>337</v>
      </c>
      <c r="F219" s="34">
        <v>4</v>
      </c>
      <c r="G219" s="34">
        <v>1</v>
      </c>
      <c r="H219" s="34">
        <v>81048</v>
      </c>
      <c r="I219" s="34" t="s">
        <v>2690</v>
      </c>
      <c r="J219" s="34">
        <v>18718882</v>
      </c>
      <c r="K219" s="34" t="s">
        <v>3450</v>
      </c>
      <c r="L219" s="40" t="s">
        <v>3452</v>
      </c>
      <c r="M219" s="36">
        <v>149900</v>
      </c>
      <c r="N219" s="37">
        <f t="shared" si="11"/>
        <v>0.7</v>
      </c>
      <c r="O219" s="36">
        <f t="shared" si="9"/>
        <v>44970</v>
      </c>
      <c r="P219" s="34" t="s">
        <v>16</v>
      </c>
    </row>
    <row r="220" spans="1:16" x14ac:dyDescent="0.35">
      <c r="A220" s="34" t="str">
        <f t="shared" si="10"/>
        <v>2024 JAN-JUN DISC 70%</v>
      </c>
      <c r="B220" s="35">
        <f t="shared" si="10"/>
        <v>46086</v>
      </c>
      <c r="C220" s="35">
        <f t="shared" si="10"/>
        <v>46092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18718891</v>
      </c>
      <c r="K220" s="34" t="s">
        <v>3450</v>
      </c>
      <c r="L220" s="40" t="s">
        <v>3453</v>
      </c>
      <c r="M220" s="36">
        <v>149900</v>
      </c>
      <c r="N220" s="37">
        <f t="shared" si="11"/>
        <v>0.7</v>
      </c>
      <c r="O220" s="36">
        <f t="shared" si="9"/>
        <v>44970</v>
      </c>
      <c r="P220" s="34" t="s">
        <v>16</v>
      </c>
    </row>
    <row r="221" spans="1:16" x14ac:dyDescent="0.35">
      <c r="A221" s="34" t="str">
        <f t="shared" si="10"/>
        <v>2024 JAN-JUN DISC 70%</v>
      </c>
      <c r="B221" s="35">
        <f t="shared" si="10"/>
        <v>46086</v>
      </c>
      <c r="C221" s="35">
        <f t="shared" si="10"/>
        <v>46092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18718908</v>
      </c>
      <c r="K221" s="34" t="s">
        <v>3450</v>
      </c>
      <c r="L221" s="40" t="s">
        <v>3454</v>
      </c>
      <c r="M221" s="36">
        <v>149900</v>
      </c>
      <c r="N221" s="37">
        <f t="shared" si="11"/>
        <v>0.7</v>
      </c>
      <c r="O221" s="36">
        <f t="shared" si="9"/>
        <v>44970</v>
      </c>
      <c r="P221" s="34" t="s">
        <v>16</v>
      </c>
    </row>
    <row r="222" spans="1:16" x14ac:dyDescent="0.35">
      <c r="A222" s="34" t="str">
        <f t="shared" si="10"/>
        <v>2024 JAN-JUN DISC 70%</v>
      </c>
      <c r="B222" s="35">
        <f t="shared" si="10"/>
        <v>46086</v>
      </c>
      <c r="C222" s="35">
        <f t="shared" si="10"/>
        <v>46092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18718917</v>
      </c>
      <c r="K222" s="34" t="s">
        <v>3455</v>
      </c>
      <c r="L222" s="40" t="s">
        <v>3456</v>
      </c>
      <c r="M222" s="36">
        <v>139900</v>
      </c>
      <c r="N222" s="37">
        <f t="shared" si="11"/>
        <v>0.7</v>
      </c>
      <c r="O222" s="36">
        <f t="shared" si="9"/>
        <v>41970</v>
      </c>
      <c r="P222" s="34" t="s">
        <v>16</v>
      </c>
    </row>
    <row r="223" spans="1:16" x14ac:dyDescent="0.35">
      <c r="A223" s="34" t="str">
        <f t="shared" si="10"/>
        <v>2024 JAN-JUN DISC 70%</v>
      </c>
      <c r="B223" s="35">
        <f t="shared" si="10"/>
        <v>46086</v>
      </c>
      <c r="C223" s="35">
        <f t="shared" si="10"/>
        <v>46092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18718971</v>
      </c>
      <c r="K223" s="34" t="s">
        <v>3455</v>
      </c>
      <c r="L223" s="40" t="s">
        <v>3457</v>
      </c>
      <c r="M223" s="36">
        <v>139900</v>
      </c>
      <c r="N223" s="37">
        <f t="shared" si="11"/>
        <v>0.7</v>
      </c>
      <c r="O223" s="36">
        <f t="shared" si="9"/>
        <v>41970</v>
      </c>
      <c r="P223" s="34" t="s">
        <v>16</v>
      </c>
    </row>
    <row r="224" spans="1:16" x14ac:dyDescent="0.35">
      <c r="A224" s="34" t="str">
        <f t="shared" si="10"/>
        <v>2024 JAN-JUN DISC 70%</v>
      </c>
      <c r="B224" s="35">
        <f t="shared" si="10"/>
        <v>46086</v>
      </c>
      <c r="C224" s="35">
        <f t="shared" si="10"/>
        <v>46092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18719005</v>
      </c>
      <c r="K224" s="34" t="s">
        <v>3455</v>
      </c>
      <c r="L224" s="40" t="s">
        <v>3458</v>
      </c>
      <c r="M224" s="36">
        <v>139900</v>
      </c>
      <c r="N224" s="37">
        <f t="shared" si="11"/>
        <v>0.7</v>
      </c>
      <c r="O224" s="36">
        <f t="shared" si="9"/>
        <v>41970</v>
      </c>
      <c r="P224" s="34" t="s">
        <v>16</v>
      </c>
    </row>
    <row r="225" spans="1:16" x14ac:dyDescent="0.35">
      <c r="A225" s="34" t="str">
        <f t="shared" si="10"/>
        <v>2024 JAN-JUN DISC 70%</v>
      </c>
      <c r="B225" s="35">
        <f t="shared" si="10"/>
        <v>46086</v>
      </c>
      <c r="C225" s="35">
        <f t="shared" si="10"/>
        <v>46092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18719014</v>
      </c>
      <c r="K225" s="34" t="s">
        <v>3455</v>
      </c>
      <c r="L225" s="40" t="s">
        <v>3459</v>
      </c>
      <c r="M225" s="36">
        <v>139900</v>
      </c>
      <c r="N225" s="37">
        <f t="shared" si="11"/>
        <v>0.7</v>
      </c>
      <c r="O225" s="36">
        <f t="shared" si="9"/>
        <v>41970</v>
      </c>
      <c r="P225" s="34" t="s">
        <v>16</v>
      </c>
    </row>
    <row r="226" spans="1:16" x14ac:dyDescent="0.35">
      <c r="A226" s="34" t="str">
        <f t="shared" si="10"/>
        <v>2024 JAN-JUN DISC 70%</v>
      </c>
      <c r="B226" s="35">
        <f t="shared" si="10"/>
        <v>46086</v>
      </c>
      <c r="C226" s="35">
        <f t="shared" si="10"/>
        <v>46092</v>
      </c>
      <c r="D226" s="34">
        <v>3321</v>
      </c>
      <c r="E226" s="34">
        <v>337</v>
      </c>
      <c r="F226" s="34">
        <v>4</v>
      </c>
      <c r="G226" s="34">
        <v>1</v>
      </c>
      <c r="H226" s="34">
        <v>81676</v>
      </c>
      <c r="I226" s="34" t="s">
        <v>2690</v>
      </c>
      <c r="J226" s="34">
        <v>16130760</v>
      </c>
      <c r="K226" s="34" t="s">
        <v>2773</v>
      </c>
      <c r="L226" s="40" t="s">
        <v>3497</v>
      </c>
      <c r="M226" s="36">
        <v>149900</v>
      </c>
      <c r="N226" s="37">
        <f t="shared" si="11"/>
        <v>0.7</v>
      </c>
      <c r="O226" s="36">
        <f t="shared" si="9"/>
        <v>44970</v>
      </c>
      <c r="P226" s="34" t="s">
        <v>16</v>
      </c>
    </row>
    <row r="227" spans="1:16" x14ac:dyDescent="0.35">
      <c r="A227" s="34" t="str">
        <f t="shared" si="10"/>
        <v>2024 JAN-JUN DISC 70%</v>
      </c>
      <c r="B227" s="35">
        <f t="shared" si="10"/>
        <v>46086</v>
      </c>
      <c r="C227" s="35">
        <f t="shared" si="10"/>
        <v>46092</v>
      </c>
      <c r="D227" s="34">
        <v>3321</v>
      </c>
      <c r="E227" s="34">
        <v>337</v>
      </c>
      <c r="F227" s="34">
        <v>4</v>
      </c>
      <c r="G227" s="34">
        <v>1</v>
      </c>
      <c r="H227" s="34">
        <v>81800</v>
      </c>
      <c r="I227" s="34" t="s">
        <v>2690</v>
      </c>
      <c r="J227" s="34">
        <v>17454249</v>
      </c>
      <c r="K227" s="34" t="s">
        <v>3514</v>
      </c>
      <c r="L227" s="40" t="s">
        <v>3515</v>
      </c>
      <c r="M227" s="36">
        <v>169900</v>
      </c>
      <c r="N227" s="37">
        <f t="shared" si="11"/>
        <v>0.7</v>
      </c>
      <c r="O227" s="36">
        <f t="shared" si="9"/>
        <v>50970</v>
      </c>
      <c r="P227" s="34" t="s">
        <v>16</v>
      </c>
    </row>
    <row r="228" spans="1:16" x14ac:dyDescent="0.35">
      <c r="A228" s="34" t="str">
        <f t="shared" si="10"/>
        <v>2024 JAN-JUN DISC 70%</v>
      </c>
      <c r="B228" s="35">
        <f t="shared" si="10"/>
        <v>46086</v>
      </c>
      <c r="C228" s="35">
        <f t="shared" si="10"/>
        <v>46092</v>
      </c>
      <c r="D228" s="34">
        <v>3321</v>
      </c>
      <c r="E228" s="34">
        <v>337</v>
      </c>
      <c r="F228" s="34">
        <v>4</v>
      </c>
      <c r="G228" s="34">
        <v>1</v>
      </c>
      <c r="H228" s="34">
        <v>81800</v>
      </c>
      <c r="I228" s="34" t="s">
        <v>2690</v>
      </c>
      <c r="J228" s="34">
        <v>17454258</v>
      </c>
      <c r="K228" s="34" t="s">
        <v>3514</v>
      </c>
      <c r="L228" s="40" t="s">
        <v>3516</v>
      </c>
      <c r="M228" s="36">
        <v>169900</v>
      </c>
      <c r="N228" s="37">
        <f t="shared" si="11"/>
        <v>0.7</v>
      </c>
      <c r="O228" s="36">
        <f t="shared" si="9"/>
        <v>50970</v>
      </c>
      <c r="P228" s="34" t="s">
        <v>16</v>
      </c>
    </row>
    <row r="229" spans="1:16" x14ac:dyDescent="0.35">
      <c r="A229" s="34" t="str">
        <f t="shared" si="10"/>
        <v>2024 JAN-JUN DISC 70%</v>
      </c>
      <c r="B229" s="35">
        <f t="shared" si="10"/>
        <v>46086</v>
      </c>
      <c r="C229" s="35">
        <f t="shared" si="10"/>
        <v>46092</v>
      </c>
      <c r="D229" s="34">
        <v>3321</v>
      </c>
      <c r="E229" s="34">
        <v>337</v>
      </c>
      <c r="F229" s="34">
        <v>4</v>
      </c>
      <c r="G229" s="34">
        <v>1</v>
      </c>
      <c r="H229" s="34">
        <v>81800</v>
      </c>
      <c r="I229" s="34" t="s">
        <v>2690</v>
      </c>
      <c r="J229" s="34">
        <v>17454267</v>
      </c>
      <c r="K229" s="34" t="s">
        <v>3514</v>
      </c>
      <c r="L229" s="40" t="s">
        <v>3517</v>
      </c>
      <c r="M229" s="36">
        <v>169900</v>
      </c>
      <c r="N229" s="37">
        <f t="shared" si="11"/>
        <v>0.7</v>
      </c>
      <c r="O229" s="36">
        <f t="shared" si="9"/>
        <v>50970</v>
      </c>
      <c r="P229" s="34" t="s">
        <v>16</v>
      </c>
    </row>
    <row r="230" spans="1:16" x14ac:dyDescent="0.35">
      <c r="A230" s="34" t="str">
        <f t="shared" si="10"/>
        <v>2024 JAN-JUN DISC 70%</v>
      </c>
      <c r="B230" s="35">
        <f t="shared" si="10"/>
        <v>46086</v>
      </c>
      <c r="C230" s="35">
        <f t="shared" si="10"/>
        <v>46092</v>
      </c>
      <c r="D230" s="34">
        <v>3321</v>
      </c>
      <c r="E230" s="34">
        <v>337</v>
      </c>
      <c r="F230" s="34">
        <v>4</v>
      </c>
      <c r="G230" s="34">
        <v>1</v>
      </c>
      <c r="H230" s="34">
        <v>81800</v>
      </c>
      <c r="I230" s="34" t="s">
        <v>2690</v>
      </c>
      <c r="J230" s="34">
        <v>17454276</v>
      </c>
      <c r="K230" s="34" t="s">
        <v>3514</v>
      </c>
      <c r="L230" s="40" t="s">
        <v>3518</v>
      </c>
      <c r="M230" s="36">
        <v>169900</v>
      </c>
      <c r="N230" s="37">
        <f t="shared" si="11"/>
        <v>0.7</v>
      </c>
      <c r="O230" s="36">
        <f t="shared" si="9"/>
        <v>50970</v>
      </c>
      <c r="P230" s="34" t="s">
        <v>16</v>
      </c>
    </row>
    <row r="231" spans="1:16" x14ac:dyDescent="0.35">
      <c r="A231" s="34" t="str">
        <f t="shared" ref="A231:C269" si="12">A230</f>
        <v>2024 JAN-JUN DISC 70%</v>
      </c>
      <c r="B231" s="35">
        <f t="shared" si="12"/>
        <v>46086</v>
      </c>
      <c r="C231" s="35">
        <f t="shared" si="12"/>
        <v>46092</v>
      </c>
      <c r="D231" s="34">
        <v>3321</v>
      </c>
      <c r="E231" s="34">
        <v>337</v>
      </c>
      <c r="F231" s="34">
        <v>4</v>
      </c>
      <c r="G231" s="34">
        <v>1</v>
      </c>
      <c r="H231" s="34">
        <v>81506</v>
      </c>
      <c r="I231" s="34" t="s">
        <v>2690</v>
      </c>
      <c r="J231" s="34">
        <v>17324077</v>
      </c>
      <c r="K231" s="34" t="s">
        <v>3236</v>
      </c>
      <c r="L231" s="40" t="s">
        <v>3495</v>
      </c>
      <c r="M231" s="36">
        <v>159900</v>
      </c>
      <c r="N231" s="37">
        <f t="shared" si="11"/>
        <v>0.7</v>
      </c>
      <c r="O231" s="36">
        <f t="shared" si="9"/>
        <v>47970</v>
      </c>
      <c r="P231" s="34" t="s">
        <v>16</v>
      </c>
    </row>
    <row r="232" spans="1:16" x14ac:dyDescent="0.35">
      <c r="A232" s="34" t="str">
        <f t="shared" si="12"/>
        <v>2024 JAN-JUN DISC 70%</v>
      </c>
      <c r="B232" s="35">
        <f t="shared" si="12"/>
        <v>46086</v>
      </c>
      <c r="C232" s="35">
        <f t="shared" si="12"/>
        <v>46092</v>
      </c>
      <c r="D232" s="34">
        <v>3321</v>
      </c>
      <c r="E232" s="34">
        <v>337</v>
      </c>
      <c r="F232" s="34">
        <v>4</v>
      </c>
      <c r="G232" s="34">
        <v>1</v>
      </c>
      <c r="H232" s="34">
        <v>81506</v>
      </c>
      <c r="I232" s="34" t="s">
        <v>2690</v>
      </c>
      <c r="J232" s="34">
        <v>17324111</v>
      </c>
      <c r="K232" s="34" t="s">
        <v>3240</v>
      </c>
      <c r="L232" s="40" t="s">
        <v>3496</v>
      </c>
      <c r="M232" s="36">
        <v>159900</v>
      </c>
      <c r="N232" s="37">
        <f t="shared" si="11"/>
        <v>0.7</v>
      </c>
      <c r="O232" s="36">
        <f t="shared" si="9"/>
        <v>47970</v>
      </c>
      <c r="P232" s="34" t="s">
        <v>16</v>
      </c>
    </row>
    <row r="233" spans="1:16" x14ac:dyDescent="0.35">
      <c r="A233" s="34" t="str">
        <f t="shared" si="12"/>
        <v>2024 JAN-JUN DISC 70%</v>
      </c>
      <c r="B233" s="35">
        <f t="shared" si="12"/>
        <v>46086</v>
      </c>
      <c r="C233" s="35">
        <f t="shared" si="12"/>
        <v>46092</v>
      </c>
      <c r="D233" s="34">
        <v>3321</v>
      </c>
      <c r="E233" s="34">
        <v>337</v>
      </c>
      <c r="F233" s="34">
        <v>4</v>
      </c>
      <c r="G233" s="34">
        <v>1</v>
      </c>
      <c r="H233" s="34">
        <v>81800</v>
      </c>
      <c r="I233" s="34" t="s">
        <v>2690</v>
      </c>
      <c r="J233" s="34">
        <v>17454221</v>
      </c>
      <c r="K233" s="34" t="s">
        <v>3254</v>
      </c>
      <c r="L233" s="40" t="s">
        <v>3513</v>
      </c>
      <c r="M233" s="36">
        <v>169900</v>
      </c>
      <c r="N233" s="37">
        <f t="shared" si="11"/>
        <v>0.7</v>
      </c>
      <c r="O233" s="36">
        <f t="shared" si="9"/>
        <v>50970</v>
      </c>
      <c r="P233" s="34" t="s">
        <v>16</v>
      </c>
    </row>
    <row r="234" spans="1:16" x14ac:dyDescent="0.35">
      <c r="A234" s="34" t="str">
        <f t="shared" si="12"/>
        <v>2024 JAN-JUN DISC 70%</v>
      </c>
      <c r="B234" s="35">
        <f t="shared" si="12"/>
        <v>46086</v>
      </c>
      <c r="C234" s="35">
        <f t="shared" si="12"/>
        <v>46092</v>
      </c>
      <c r="D234" s="34">
        <v>3321</v>
      </c>
      <c r="E234" s="34">
        <v>337</v>
      </c>
      <c r="F234" s="34">
        <v>4</v>
      </c>
      <c r="G234" s="34">
        <v>1</v>
      </c>
      <c r="H234" s="34">
        <v>81800</v>
      </c>
      <c r="I234" s="34" t="s">
        <v>2690</v>
      </c>
      <c r="J234" s="34">
        <v>18419688</v>
      </c>
      <c r="K234" s="34" t="s">
        <v>3519</v>
      </c>
      <c r="L234" s="40" t="s">
        <v>3520</v>
      </c>
      <c r="M234" s="36">
        <v>169900</v>
      </c>
      <c r="N234" s="37">
        <f t="shared" si="11"/>
        <v>0.7</v>
      </c>
      <c r="O234" s="36">
        <f t="shared" si="9"/>
        <v>50970</v>
      </c>
      <c r="P234" s="34" t="s">
        <v>16</v>
      </c>
    </row>
    <row r="235" spans="1:16" x14ac:dyDescent="0.35">
      <c r="A235" s="34" t="str">
        <f t="shared" si="12"/>
        <v>2024 JAN-JUN DISC 70%</v>
      </c>
      <c r="B235" s="35">
        <f t="shared" si="12"/>
        <v>46086</v>
      </c>
      <c r="C235" s="35">
        <f t="shared" si="12"/>
        <v>46092</v>
      </c>
      <c r="D235" s="34">
        <v>3321</v>
      </c>
      <c r="E235" s="34">
        <v>337</v>
      </c>
      <c r="F235" s="34">
        <v>4</v>
      </c>
      <c r="G235" s="34">
        <v>1</v>
      </c>
      <c r="H235" s="34">
        <v>81800</v>
      </c>
      <c r="I235" s="34" t="s">
        <v>2690</v>
      </c>
      <c r="J235" s="34">
        <v>18419697</v>
      </c>
      <c r="K235" s="34" t="s">
        <v>3519</v>
      </c>
      <c r="L235" s="40" t="s">
        <v>3521</v>
      </c>
      <c r="M235" s="36">
        <v>169900</v>
      </c>
      <c r="N235" s="37">
        <f t="shared" si="11"/>
        <v>0.7</v>
      </c>
      <c r="O235" s="36">
        <f t="shared" si="9"/>
        <v>50970</v>
      </c>
      <c r="P235" s="34" t="s">
        <v>16</v>
      </c>
    </row>
    <row r="236" spans="1:16" x14ac:dyDescent="0.35">
      <c r="A236" s="34" t="str">
        <f t="shared" si="12"/>
        <v>2024 JAN-JUN DISC 70%</v>
      </c>
      <c r="B236" s="35">
        <f t="shared" si="12"/>
        <v>46086</v>
      </c>
      <c r="C236" s="35">
        <f t="shared" si="12"/>
        <v>46092</v>
      </c>
      <c r="D236" s="34">
        <v>3321</v>
      </c>
      <c r="E236" s="34">
        <v>337</v>
      </c>
      <c r="F236" s="34">
        <v>4</v>
      </c>
      <c r="G236" s="34">
        <v>1</v>
      </c>
      <c r="H236" s="34">
        <v>81800</v>
      </c>
      <c r="I236" s="34" t="s">
        <v>2690</v>
      </c>
      <c r="J236" s="34">
        <v>18419704</v>
      </c>
      <c r="K236" s="34" t="s">
        <v>3519</v>
      </c>
      <c r="L236" s="40" t="s">
        <v>3522</v>
      </c>
      <c r="M236" s="36">
        <v>169900</v>
      </c>
      <c r="N236" s="37">
        <f t="shared" si="11"/>
        <v>0.7</v>
      </c>
      <c r="O236" s="36">
        <f t="shared" si="9"/>
        <v>50970</v>
      </c>
      <c r="P236" s="34" t="s">
        <v>16</v>
      </c>
    </row>
    <row r="237" spans="1:16" x14ac:dyDescent="0.35">
      <c r="A237" s="34" t="str">
        <f t="shared" si="12"/>
        <v>2024 JAN-JUN DISC 70%</v>
      </c>
      <c r="B237" s="35">
        <f t="shared" si="12"/>
        <v>46086</v>
      </c>
      <c r="C237" s="35">
        <f t="shared" si="12"/>
        <v>46092</v>
      </c>
      <c r="D237" s="34">
        <v>3321</v>
      </c>
      <c r="E237" s="34">
        <v>337</v>
      </c>
      <c r="F237" s="34">
        <v>4</v>
      </c>
      <c r="G237" s="34">
        <v>1</v>
      </c>
      <c r="H237" s="34">
        <v>81800</v>
      </c>
      <c r="I237" s="34" t="s">
        <v>2690</v>
      </c>
      <c r="J237" s="34">
        <v>18419713</v>
      </c>
      <c r="K237" s="34" t="s">
        <v>3519</v>
      </c>
      <c r="L237" s="40" t="s">
        <v>3523</v>
      </c>
      <c r="M237" s="36">
        <v>169900</v>
      </c>
      <c r="N237" s="37">
        <f t="shared" si="11"/>
        <v>0.7</v>
      </c>
      <c r="O237" s="36">
        <f t="shared" si="9"/>
        <v>50970</v>
      </c>
      <c r="P237" s="34" t="s">
        <v>16</v>
      </c>
    </row>
    <row r="238" spans="1:16" x14ac:dyDescent="0.35">
      <c r="A238" s="34" t="str">
        <f t="shared" si="12"/>
        <v>2024 JAN-JUN DISC 70%</v>
      </c>
      <c r="B238" s="35">
        <f t="shared" si="12"/>
        <v>46086</v>
      </c>
      <c r="C238" s="35">
        <f t="shared" si="12"/>
        <v>46092</v>
      </c>
      <c r="D238" s="34">
        <v>3321</v>
      </c>
      <c r="E238" s="34">
        <v>337</v>
      </c>
      <c r="F238" s="34">
        <v>4</v>
      </c>
      <c r="G238" s="34">
        <v>5</v>
      </c>
      <c r="H238" s="34">
        <v>81506</v>
      </c>
      <c r="I238" s="34" t="s">
        <v>2690</v>
      </c>
      <c r="J238" s="34">
        <v>18769078</v>
      </c>
      <c r="K238" s="34" t="s">
        <v>3549</v>
      </c>
      <c r="L238" s="40" t="s">
        <v>3550</v>
      </c>
      <c r="M238" s="36">
        <v>289900</v>
      </c>
      <c r="N238" s="37">
        <f t="shared" si="11"/>
        <v>0.7</v>
      </c>
      <c r="O238" s="36">
        <f t="shared" si="9"/>
        <v>86970</v>
      </c>
      <c r="P238" s="34" t="s">
        <v>16</v>
      </c>
    </row>
    <row r="239" spans="1:16" x14ac:dyDescent="0.35">
      <c r="A239" s="34" t="str">
        <f t="shared" si="12"/>
        <v>2024 JAN-JUN DISC 70%</v>
      </c>
      <c r="B239" s="35">
        <f t="shared" si="12"/>
        <v>46086</v>
      </c>
      <c r="C239" s="35">
        <f t="shared" si="12"/>
        <v>46092</v>
      </c>
      <c r="D239" s="34">
        <v>3321</v>
      </c>
      <c r="E239" s="34">
        <v>337</v>
      </c>
      <c r="F239" s="34">
        <v>4</v>
      </c>
      <c r="G239" s="34">
        <v>5</v>
      </c>
      <c r="H239" s="34">
        <v>81506</v>
      </c>
      <c r="I239" s="34" t="s">
        <v>2690</v>
      </c>
      <c r="J239" s="34">
        <v>18769087</v>
      </c>
      <c r="K239" s="34" t="s">
        <v>3549</v>
      </c>
      <c r="L239" s="40" t="s">
        <v>3551</v>
      </c>
      <c r="M239" s="36">
        <v>289900</v>
      </c>
      <c r="N239" s="37">
        <f t="shared" si="11"/>
        <v>0.7</v>
      </c>
      <c r="O239" s="36">
        <f t="shared" si="9"/>
        <v>86970</v>
      </c>
      <c r="P239" s="34" t="s">
        <v>16</v>
      </c>
    </row>
    <row r="240" spans="1:16" x14ac:dyDescent="0.35">
      <c r="A240" s="34" t="str">
        <f t="shared" si="12"/>
        <v>2024 JAN-JUN DISC 70%</v>
      </c>
      <c r="B240" s="35">
        <f t="shared" si="12"/>
        <v>46086</v>
      </c>
      <c r="C240" s="35">
        <f t="shared" si="12"/>
        <v>46092</v>
      </c>
      <c r="D240" s="34">
        <v>3321</v>
      </c>
      <c r="E240" s="34">
        <v>337</v>
      </c>
      <c r="F240" s="34">
        <v>4</v>
      </c>
      <c r="G240" s="34">
        <v>5</v>
      </c>
      <c r="H240" s="34">
        <v>81506</v>
      </c>
      <c r="I240" s="34" t="s">
        <v>2690</v>
      </c>
      <c r="J240" s="34">
        <v>18769096</v>
      </c>
      <c r="K240" s="34" t="s">
        <v>3549</v>
      </c>
      <c r="L240" s="40" t="s">
        <v>3552</v>
      </c>
      <c r="M240" s="36">
        <v>289900</v>
      </c>
      <c r="N240" s="37">
        <f t="shared" si="11"/>
        <v>0.7</v>
      </c>
      <c r="O240" s="36">
        <f t="shared" si="9"/>
        <v>86970</v>
      </c>
      <c r="P240" s="34" t="s">
        <v>16</v>
      </c>
    </row>
    <row r="241" spans="1:16" x14ac:dyDescent="0.35">
      <c r="A241" s="34" t="str">
        <f t="shared" si="12"/>
        <v>2024 JAN-JUN DISC 70%</v>
      </c>
      <c r="B241" s="35">
        <f t="shared" si="12"/>
        <v>46086</v>
      </c>
      <c r="C241" s="35">
        <f t="shared" si="12"/>
        <v>46092</v>
      </c>
      <c r="D241" s="34">
        <v>3321</v>
      </c>
      <c r="E241" s="34">
        <v>337</v>
      </c>
      <c r="F241" s="34">
        <v>4</v>
      </c>
      <c r="G241" s="34">
        <v>5</v>
      </c>
      <c r="H241" s="34">
        <v>81506</v>
      </c>
      <c r="I241" s="34" t="s">
        <v>2690</v>
      </c>
      <c r="J241" s="34">
        <v>18769103</v>
      </c>
      <c r="K241" s="34" t="s">
        <v>3549</v>
      </c>
      <c r="L241" s="40" t="s">
        <v>3553</v>
      </c>
      <c r="M241" s="36">
        <v>289900</v>
      </c>
      <c r="N241" s="37">
        <f t="shared" si="11"/>
        <v>0.7</v>
      </c>
      <c r="O241" s="36">
        <f t="shared" si="9"/>
        <v>86970</v>
      </c>
      <c r="P241" s="34" t="s">
        <v>16</v>
      </c>
    </row>
    <row r="242" spans="1:16" x14ac:dyDescent="0.35">
      <c r="A242" s="34" t="str">
        <f t="shared" si="12"/>
        <v>2024 JAN-JUN DISC 70%</v>
      </c>
      <c r="B242" s="35">
        <f t="shared" si="12"/>
        <v>46086</v>
      </c>
      <c r="C242" s="35">
        <f t="shared" si="12"/>
        <v>46092</v>
      </c>
      <c r="D242" s="34">
        <v>3321</v>
      </c>
      <c r="E242" s="34">
        <v>337</v>
      </c>
      <c r="F242" s="34">
        <v>4</v>
      </c>
      <c r="G242" s="34">
        <v>1</v>
      </c>
      <c r="H242" s="34">
        <v>81048</v>
      </c>
      <c r="I242" s="34" t="s">
        <v>2690</v>
      </c>
      <c r="J242" s="34">
        <v>18768702</v>
      </c>
      <c r="K242" s="34" t="s">
        <v>3460</v>
      </c>
      <c r="L242" s="40" t="s">
        <v>3461</v>
      </c>
      <c r="M242" s="36">
        <v>139900</v>
      </c>
      <c r="N242" s="37">
        <f t="shared" si="11"/>
        <v>0.7</v>
      </c>
      <c r="O242" s="36">
        <f t="shared" si="9"/>
        <v>41970</v>
      </c>
      <c r="P242" s="34" t="s">
        <v>16</v>
      </c>
    </row>
    <row r="243" spans="1:16" x14ac:dyDescent="0.35">
      <c r="A243" s="34" t="str">
        <f t="shared" si="12"/>
        <v>2024 JAN-JUN DISC 70%</v>
      </c>
      <c r="B243" s="35">
        <f t="shared" si="12"/>
        <v>46086</v>
      </c>
      <c r="C243" s="35">
        <f t="shared" si="12"/>
        <v>46092</v>
      </c>
      <c r="D243" s="34">
        <v>3321</v>
      </c>
      <c r="E243" s="34">
        <v>337</v>
      </c>
      <c r="F243" s="34">
        <v>4</v>
      </c>
      <c r="G243" s="34">
        <v>1</v>
      </c>
      <c r="H243" s="34">
        <v>81048</v>
      </c>
      <c r="I243" s="34" t="s">
        <v>2690</v>
      </c>
      <c r="J243" s="34">
        <v>18768711</v>
      </c>
      <c r="K243" s="34" t="s">
        <v>3460</v>
      </c>
      <c r="L243" s="40" t="s">
        <v>3462</v>
      </c>
      <c r="M243" s="36">
        <v>139900</v>
      </c>
      <c r="N243" s="37">
        <f t="shared" si="11"/>
        <v>0.7</v>
      </c>
      <c r="O243" s="36">
        <f t="shared" si="9"/>
        <v>41970</v>
      </c>
      <c r="P243" s="34" t="s">
        <v>16</v>
      </c>
    </row>
    <row r="244" spans="1:16" x14ac:dyDescent="0.35">
      <c r="A244" s="34" t="str">
        <f t="shared" si="12"/>
        <v>2024 JAN-JUN DISC 70%</v>
      </c>
      <c r="B244" s="35">
        <f t="shared" si="12"/>
        <v>46086</v>
      </c>
      <c r="C244" s="35">
        <f t="shared" si="12"/>
        <v>46092</v>
      </c>
      <c r="D244" s="34">
        <v>3321</v>
      </c>
      <c r="E244" s="34">
        <v>337</v>
      </c>
      <c r="F244" s="34">
        <v>4</v>
      </c>
      <c r="G244" s="34">
        <v>1</v>
      </c>
      <c r="H244" s="34">
        <v>81048</v>
      </c>
      <c r="I244" s="34" t="s">
        <v>2690</v>
      </c>
      <c r="J244" s="34">
        <v>18768720</v>
      </c>
      <c r="K244" s="34" t="s">
        <v>3460</v>
      </c>
      <c r="L244" s="40" t="s">
        <v>3463</v>
      </c>
      <c r="M244" s="36">
        <v>139900</v>
      </c>
      <c r="N244" s="37">
        <f t="shared" si="11"/>
        <v>0.7</v>
      </c>
      <c r="O244" s="36">
        <f t="shared" si="9"/>
        <v>41970</v>
      </c>
      <c r="P244" s="34" t="s">
        <v>16</v>
      </c>
    </row>
    <row r="245" spans="1:16" x14ac:dyDescent="0.35">
      <c r="A245" s="34" t="str">
        <f t="shared" si="12"/>
        <v>2024 JAN-JUN DISC 70%</v>
      </c>
      <c r="B245" s="35">
        <f t="shared" si="12"/>
        <v>46086</v>
      </c>
      <c r="C245" s="35">
        <f t="shared" si="12"/>
        <v>46092</v>
      </c>
      <c r="D245" s="34">
        <v>3321</v>
      </c>
      <c r="E245" s="34">
        <v>337</v>
      </c>
      <c r="F245" s="34">
        <v>4</v>
      </c>
      <c r="G245" s="34">
        <v>1</v>
      </c>
      <c r="H245" s="34">
        <v>81048</v>
      </c>
      <c r="I245" s="34" t="s">
        <v>2690</v>
      </c>
      <c r="J245" s="34">
        <v>18768739</v>
      </c>
      <c r="K245" s="34" t="s">
        <v>3460</v>
      </c>
      <c r="L245" s="40" t="s">
        <v>3464</v>
      </c>
      <c r="M245" s="36">
        <v>139900</v>
      </c>
      <c r="N245" s="37">
        <f t="shared" si="11"/>
        <v>0.7</v>
      </c>
      <c r="O245" s="36">
        <f t="shared" si="9"/>
        <v>41970</v>
      </c>
      <c r="P245" s="34" t="s">
        <v>16</v>
      </c>
    </row>
    <row r="246" spans="1:16" x14ac:dyDescent="0.35">
      <c r="A246" s="34" t="str">
        <f t="shared" si="12"/>
        <v>2024 JAN-JUN DISC 70%</v>
      </c>
      <c r="B246" s="35">
        <f t="shared" si="12"/>
        <v>46086</v>
      </c>
      <c r="C246" s="35">
        <f t="shared" si="12"/>
        <v>46092</v>
      </c>
      <c r="D246" s="34">
        <v>3321</v>
      </c>
      <c r="E246" s="34">
        <v>337</v>
      </c>
      <c r="F246" s="34">
        <v>4</v>
      </c>
      <c r="G246" s="34">
        <v>1</v>
      </c>
      <c r="H246" s="34">
        <v>81048</v>
      </c>
      <c r="I246" s="34" t="s">
        <v>2690</v>
      </c>
      <c r="J246" s="34">
        <v>18768748</v>
      </c>
      <c r="K246" s="34" t="s">
        <v>3465</v>
      </c>
      <c r="L246" s="40" t="s">
        <v>3466</v>
      </c>
      <c r="M246" s="36">
        <v>139900</v>
      </c>
      <c r="N246" s="37">
        <f t="shared" si="11"/>
        <v>0.7</v>
      </c>
      <c r="O246" s="36">
        <f t="shared" si="9"/>
        <v>41970</v>
      </c>
      <c r="P246" s="34" t="s">
        <v>16</v>
      </c>
    </row>
    <row r="247" spans="1:16" x14ac:dyDescent="0.35">
      <c r="A247" s="34" t="str">
        <f t="shared" si="12"/>
        <v>2024 JAN-JUN DISC 70%</v>
      </c>
      <c r="B247" s="35">
        <f t="shared" si="12"/>
        <v>46086</v>
      </c>
      <c r="C247" s="35">
        <f t="shared" si="12"/>
        <v>46092</v>
      </c>
      <c r="D247" s="34">
        <v>3321</v>
      </c>
      <c r="E247" s="34">
        <v>337</v>
      </c>
      <c r="F247" s="34">
        <v>4</v>
      </c>
      <c r="G247" s="34">
        <v>1</v>
      </c>
      <c r="H247" s="34">
        <v>81048</v>
      </c>
      <c r="I247" s="34" t="s">
        <v>2690</v>
      </c>
      <c r="J247" s="34">
        <v>18768757</v>
      </c>
      <c r="K247" s="34" t="s">
        <v>3465</v>
      </c>
      <c r="L247" s="40" t="s">
        <v>3467</v>
      </c>
      <c r="M247" s="36">
        <v>139900</v>
      </c>
      <c r="N247" s="37">
        <f t="shared" si="11"/>
        <v>0.7</v>
      </c>
      <c r="O247" s="36">
        <f t="shared" si="9"/>
        <v>41970</v>
      </c>
      <c r="P247" s="34" t="s">
        <v>16</v>
      </c>
    </row>
    <row r="248" spans="1:16" x14ac:dyDescent="0.35">
      <c r="A248" s="34" t="str">
        <f t="shared" si="12"/>
        <v>2024 JAN-JUN DISC 70%</v>
      </c>
      <c r="B248" s="35">
        <f t="shared" si="12"/>
        <v>46086</v>
      </c>
      <c r="C248" s="35">
        <f t="shared" si="12"/>
        <v>46092</v>
      </c>
      <c r="D248" s="34">
        <v>3321</v>
      </c>
      <c r="E248" s="34">
        <v>337</v>
      </c>
      <c r="F248" s="34">
        <v>4</v>
      </c>
      <c r="G248" s="34">
        <v>1</v>
      </c>
      <c r="H248" s="34">
        <v>81048</v>
      </c>
      <c r="I248" s="34" t="s">
        <v>2690</v>
      </c>
      <c r="J248" s="34">
        <v>18768828</v>
      </c>
      <c r="K248" s="34" t="s">
        <v>3465</v>
      </c>
      <c r="L248" s="40" t="s">
        <v>3468</v>
      </c>
      <c r="M248" s="36">
        <v>139900</v>
      </c>
      <c r="N248" s="37">
        <f t="shared" si="11"/>
        <v>0.7</v>
      </c>
      <c r="O248" s="36">
        <f t="shared" si="9"/>
        <v>41970</v>
      </c>
      <c r="P248" s="34" t="s">
        <v>16</v>
      </c>
    </row>
    <row r="249" spans="1:16" x14ac:dyDescent="0.35">
      <c r="A249" s="34" t="str">
        <f t="shared" si="12"/>
        <v>2024 JAN-JUN DISC 70%</v>
      </c>
      <c r="B249" s="35">
        <f t="shared" si="12"/>
        <v>46086</v>
      </c>
      <c r="C249" s="35">
        <f t="shared" si="12"/>
        <v>46092</v>
      </c>
      <c r="D249" s="34">
        <v>3321</v>
      </c>
      <c r="E249" s="34">
        <v>337</v>
      </c>
      <c r="F249" s="34">
        <v>4</v>
      </c>
      <c r="G249" s="34">
        <v>1</v>
      </c>
      <c r="H249" s="34">
        <v>81048</v>
      </c>
      <c r="I249" s="34" t="s">
        <v>2690</v>
      </c>
      <c r="J249" s="34">
        <v>18768864</v>
      </c>
      <c r="K249" s="34" t="s">
        <v>3465</v>
      </c>
      <c r="L249" s="40" t="s">
        <v>3469</v>
      </c>
      <c r="M249" s="36">
        <v>139900</v>
      </c>
      <c r="N249" s="37">
        <f t="shared" si="11"/>
        <v>0.7</v>
      </c>
      <c r="O249" s="36">
        <f t="shared" si="9"/>
        <v>41970</v>
      </c>
      <c r="P249" s="34" t="s">
        <v>16</v>
      </c>
    </row>
    <row r="250" spans="1:16" x14ac:dyDescent="0.35">
      <c r="A250" s="34" t="str">
        <f t="shared" si="12"/>
        <v>2024 JAN-JUN DISC 70%</v>
      </c>
      <c r="B250" s="35">
        <f t="shared" si="12"/>
        <v>46086</v>
      </c>
      <c r="C250" s="35">
        <f t="shared" si="12"/>
        <v>46092</v>
      </c>
      <c r="D250" s="34">
        <v>3321</v>
      </c>
      <c r="E250" s="34">
        <v>337</v>
      </c>
      <c r="F250" s="34">
        <v>4</v>
      </c>
      <c r="G250" s="34">
        <v>1</v>
      </c>
      <c r="H250" s="34">
        <v>81048</v>
      </c>
      <c r="I250" s="34" t="s">
        <v>2690</v>
      </c>
      <c r="J250" s="34">
        <v>18768873</v>
      </c>
      <c r="K250" s="34" t="s">
        <v>3470</v>
      </c>
      <c r="L250" s="40" t="s">
        <v>3471</v>
      </c>
      <c r="M250" s="36">
        <v>139900</v>
      </c>
      <c r="N250" s="37">
        <f t="shared" si="11"/>
        <v>0.7</v>
      </c>
      <c r="O250" s="36">
        <f t="shared" si="9"/>
        <v>41970</v>
      </c>
      <c r="P250" s="34" t="s">
        <v>16</v>
      </c>
    </row>
    <row r="251" spans="1:16" x14ac:dyDescent="0.35">
      <c r="A251" s="34" t="str">
        <f t="shared" si="12"/>
        <v>2024 JAN-JUN DISC 70%</v>
      </c>
      <c r="B251" s="35">
        <f t="shared" si="12"/>
        <v>46086</v>
      </c>
      <c r="C251" s="35">
        <f t="shared" si="12"/>
        <v>46092</v>
      </c>
      <c r="D251" s="34">
        <v>3321</v>
      </c>
      <c r="E251" s="34">
        <v>337</v>
      </c>
      <c r="F251" s="34">
        <v>4</v>
      </c>
      <c r="G251" s="34">
        <v>1</v>
      </c>
      <c r="H251" s="34">
        <v>81048</v>
      </c>
      <c r="I251" s="34" t="s">
        <v>2690</v>
      </c>
      <c r="J251" s="34">
        <v>18768882</v>
      </c>
      <c r="K251" s="34" t="s">
        <v>3470</v>
      </c>
      <c r="L251" s="40" t="s">
        <v>3472</v>
      </c>
      <c r="M251" s="36">
        <v>139900</v>
      </c>
      <c r="N251" s="37">
        <f t="shared" si="11"/>
        <v>0.7</v>
      </c>
      <c r="O251" s="36">
        <f t="shared" si="9"/>
        <v>41970</v>
      </c>
      <c r="P251" s="34" t="s">
        <v>16</v>
      </c>
    </row>
    <row r="252" spans="1:16" x14ac:dyDescent="0.35">
      <c r="A252" s="34" t="str">
        <f t="shared" si="12"/>
        <v>2024 JAN-JUN DISC 70%</v>
      </c>
      <c r="B252" s="35">
        <f t="shared" si="12"/>
        <v>46086</v>
      </c>
      <c r="C252" s="35">
        <f t="shared" si="12"/>
        <v>46092</v>
      </c>
      <c r="D252" s="34">
        <v>3321</v>
      </c>
      <c r="E252" s="34">
        <v>337</v>
      </c>
      <c r="F252" s="34">
        <v>4</v>
      </c>
      <c r="G252" s="34">
        <v>1</v>
      </c>
      <c r="H252" s="34">
        <v>81048</v>
      </c>
      <c r="I252" s="34" t="s">
        <v>2690</v>
      </c>
      <c r="J252" s="34">
        <v>18768891</v>
      </c>
      <c r="K252" s="34" t="s">
        <v>3470</v>
      </c>
      <c r="L252" s="40" t="s">
        <v>3473</v>
      </c>
      <c r="M252" s="36">
        <v>139900</v>
      </c>
      <c r="N252" s="37">
        <f t="shared" si="11"/>
        <v>0.7</v>
      </c>
      <c r="O252" s="36">
        <f t="shared" si="9"/>
        <v>41970</v>
      </c>
      <c r="P252" s="34" t="s">
        <v>16</v>
      </c>
    </row>
    <row r="253" spans="1:16" x14ac:dyDescent="0.35">
      <c r="A253" s="34" t="str">
        <f t="shared" si="12"/>
        <v>2024 JAN-JUN DISC 70%</v>
      </c>
      <c r="B253" s="35">
        <f t="shared" si="12"/>
        <v>46086</v>
      </c>
      <c r="C253" s="35">
        <f t="shared" si="12"/>
        <v>46092</v>
      </c>
      <c r="D253" s="34">
        <v>3321</v>
      </c>
      <c r="E253" s="34">
        <v>337</v>
      </c>
      <c r="F253" s="34">
        <v>4</v>
      </c>
      <c r="G253" s="34">
        <v>1</v>
      </c>
      <c r="H253" s="34">
        <v>81048</v>
      </c>
      <c r="I253" s="34" t="s">
        <v>2690</v>
      </c>
      <c r="J253" s="34">
        <v>18768908</v>
      </c>
      <c r="K253" s="34" t="s">
        <v>3470</v>
      </c>
      <c r="L253" s="40" t="s">
        <v>3474</v>
      </c>
      <c r="M253" s="36">
        <v>139900</v>
      </c>
      <c r="N253" s="37">
        <f t="shared" si="11"/>
        <v>0.7</v>
      </c>
      <c r="O253" s="36">
        <f t="shared" si="9"/>
        <v>41970</v>
      </c>
      <c r="P253" s="34" t="s">
        <v>16</v>
      </c>
    </row>
    <row r="254" spans="1:16" x14ac:dyDescent="0.35">
      <c r="A254" s="34" t="str">
        <f t="shared" si="12"/>
        <v>2024 JAN-JUN DISC 70%</v>
      </c>
      <c r="B254" s="35">
        <f t="shared" si="12"/>
        <v>46086</v>
      </c>
      <c r="C254" s="35">
        <f t="shared" si="12"/>
        <v>46092</v>
      </c>
      <c r="D254" s="34">
        <v>3321</v>
      </c>
      <c r="E254" s="34">
        <v>337</v>
      </c>
      <c r="F254" s="34">
        <v>4</v>
      </c>
      <c r="G254" s="34">
        <v>1</v>
      </c>
      <c r="H254" s="34">
        <v>81048</v>
      </c>
      <c r="I254" s="34" t="s">
        <v>2690</v>
      </c>
      <c r="J254" s="34">
        <v>18768917</v>
      </c>
      <c r="K254" s="34" t="s">
        <v>3475</v>
      </c>
      <c r="L254" s="40" t="s">
        <v>3476</v>
      </c>
      <c r="M254" s="36">
        <v>149900</v>
      </c>
      <c r="N254" s="37">
        <f t="shared" si="11"/>
        <v>0.7</v>
      </c>
      <c r="O254" s="36">
        <f t="shared" si="9"/>
        <v>44970</v>
      </c>
      <c r="P254" s="34" t="s">
        <v>16</v>
      </c>
    </row>
    <row r="255" spans="1:16" x14ac:dyDescent="0.35">
      <c r="A255" s="34" t="str">
        <f t="shared" si="12"/>
        <v>2024 JAN-JUN DISC 70%</v>
      </c>
      <c r="B255" s="35">
        <f t="shared" si="12"/>
        <v>46086</v>
      </c>
      <c r="C255" s="35">
        <f t="shared" si="12"/>
        <v>46092</v>
      </c>
      <c r="D255" s="34">
        <v>3321</v>
      </c>
      <c r="E255" s="34">
        <v>337</v>
      </c>
      <c r="F255" s="34">
        <v>4</v>
      </c>
      <c r="G255" s="34">
        <v>1</v>
      </c>
      <c r="H255" s="34">
        <v>81048</v>
      </c>
      <c r="I255" s="34" t="s">
        <v>2690</v>
      </c>
      <c r="J255" s="34">
        <v>18768926</v>
      </c>
      <c r="K255" s="34" t="s">
        <v>3475</v>
      </c>
      <c r="L255" s="40" t="s">
        <v>3477</v>
      </c>
      <c r="M255" s="36">
        <v>149900</v>
      </c>
      <c r="N255" s="37">
        <f t="shared" si="11"/>
        <v>0.7</v>
      </c>
      <c r="O255" s="36">
        <f t="shared" si="9"/>
        <v>44970</v>
      </c>
      <c r="P255" s="34" t="s">
        <v>16</v>
      </c>
    </row>
    <row r="256" spans="1:16" x14ac:dyDescent="0.35">
      <c r="A256" s="34" t="str">
        <f t="shared" si="12"/>
        <v>2024 JAN-JUN DISC 70%</v>
      </c>
      <c r="B256" s="35">
        <f t="shared" si="12"/>
        <v>46086</v>
      </c>
      <c r="C256" s="35">
        <f t="shared" si="12"/>
        <v>46092</v>
      </c>
      <c r="D256" s="34">
        <v>3321</v>
      </c>
      <c r="E256" s="34">
        <v>337</v>
      </c>
      <c r="F256" s="34">
        <v>4</v>
      </c>
      <c r="G256" s="34">
        <v>1</v>
      </c>
      <c r="H256" s="34">
        <v>81048</v>
      </c>
      <c r="I256" s="34" t="s">
        <v>2690</v>
      </c>
      <c r="J256" s="34">
        <v>18768935</v>
      </c>
      <c r="K256" s="34" t="s">
        <v>3475</v>
      </c>
      <c r="L256" s="40" t="s">
        <v>3478</v>
      </c>
      <c r="M256" s="36">
        <v>149900</v>
      </c>
      <c r="N256" s="37">
        <f t="shared" si="11"/>
        <v>0.7</v>
      </c>
      <c r="O256" s="36">
        <f t="shared" si="9"/>
        <v>44970</v>
      </c>
      <c r="P256" s="34" t="s">
        <v>16</v>
      </c>
    </row>
    <row r="257" spans="1:16" x14ac:dyDescent="0.35">
      <c r="A257" s="34" t="str">
        <f t="shared" si="12"/>
        <v>2024 JAN-JUN DISC 70%</v>
      </c>
      <c r="B257" s="35">
        <f t="shared" si="12"/>
        <v>46086</v>
      </c>
      <c r="C257" s="35">
        <f t="shared" si="12"/>
        <v>46092</v>
      </c>
      <c r="D257" s="34">
        <v>3321</v>
      </c>
      <c r="E257" s="34">
        <v>337</v>
      </c>
      <c r="F257" s="34">
        <v>4</v>
      </c>
      <c r="G257" s="34">
        <v>1</v>
      </c>
      <c r="H257" s="34">
        <v>81048</v>
      </c>
      <c r="I257" s="34" t="s">
        <v>2690</v>
      </c>
      <c r="J257" s="34">
        <v>18768944</v>
      </c>
      <c r="K257" s="34" t="s">
        <v>3475</v>
      </c>
      <c r="L257" s="40" t="s">
        <v>3479</v>
      </c>
      <c r="M257" s="36">
        <v>149900</v>
      </c>
      <c r="N257" s="37">
        <f t="shared" si="11"/>
        <v>0.7</v>
      </c>
      <c r="O257" s="36">
        <f t="shared" si="9"/>
        <v>44970</v>
      </c>
      <c r="P257" s="34" t="s">
        <v>16</v>
      </c>
    </row>
    <row r="258" spans="1:16" x14ac:dyDescent="0.35">
      <c r="A258" s="34" t="str">
        <f t="shared" si="12"/>
        <v>2024 JAN-JUN DISC 70%</v>
      </c>
      <c r="B258" s="35">
        <f t="shared" si="12"/>
        <v>46086</v>
      </c>
      <c r="C258" s="35">
        <f t="shared" si="12"/>
        <v>46092</v>
      </c>
      <c r="D258" s="34">
        <v>3321</v>
      </c>
      <c r="E258" s="34">
        <v>337</v>
      </c>
      <c r="F258" s="34">
        <v>4</v>
      </c>
      <c r="G258" s="34">
        <v>1</v>
      </c>
      <c r="H258" s="34">
        <v>81048</v>
      </c>
      <c r="I258" s="34" t="s">
        <v>2690</v>
      </c>
      <c r="J258" s="34">
        <v>18768953</v>
      </c>
      <c r="K258" s="34" t="s">
        <v>3480</v>
      </c>
      <c r="L258" s="40" t="s">
        <v>3481</v>
      </c>
      <c r="M258" s="36">
        <v>139900</v>
      </c>
      <c r="N258" s="37">
        <f t="shared" si="11"/>
        <v>0.7</v>
      </c>
      <c r="O258" s="36">
        <f t="shared" si="9"/>
        <v>41970</v>
      </c>
      <c r="P258" s="34" t="s">
        <v>16</v>
      </c>
    </row>
    <row r="259" spans="1:16" x14ac:dyDescent="0.35">
      <c r="A259" s="34" t="str">
        <f t="shared" si="12"/>
        <v>2024 JAN-JUN DISC 70%</v>
      </c>
      <c r="B259" s="35">
        <f t="shared" si="12"/>
        <v>46086</v>
      </c>
      <c r="C259" s="35">
        <f t="shared" si="12"/>
        <v>46092</v>
      </c>
      <c r="D259" s="34">
        <v>3321</v>
      </c>
      <c r="E259" s="34">
        <v>337</v>
      </c>
      <c r="F259" s="34">
        <v>4</v>
      </c>
      <c r="G259" s="34">
        <v>1</v>
      </c>
      <c r="H259" s="34">
        <v>81048</v>
      </c>
      <c r="I259" s="34" t="s">
        <v>2690</v>
      </c>
      <c r="J259" s="34">
        <v>18768962</v>
      </c>
      <c r="K259" s="34" t="s">
        <v>3480</v>
      </c>
      <c r="L259" s="40" t="s">
        <v>3482</v>
      </c>
      <c r="M259" s="36">
        <v>139900</v>
      </c>
      <c r="N259" s="37">
        <f t="shared" si="11"/>
        <v>0.7</v>
      </c>
      <c r="O259" s="36">
        <f t="shared" ref="O259:O269" si="13">M259-((70*M259))/100</f>
        <v>41970</v>
      </c>
      <c r="P259" s="34" t="s">
        <v>16</v>
      </c>
    </row>
    <row r="260" spans="1:16" x14ac:dyDescent="0.35">
      <c r="A260" s="34" t="str">
        <f t="shared" si="12"/>
        <v>2024 JAN-JUN DISC 70%</v>
      </c>
      <c r="B260" s="35">
        <f t="shared" si="12"/>
        <v>46086</v>
      </c>
      <c r="C260" s="35">
        <f t="shared" si="12"/>
        <v>46092</v>
      </c>
      <c r="D260" s="34">
        <v>3321</v>
      </c>
      <c r="E260" s="34">
        <v>337</v>
      </c>
      <c r="F260" s="34">
        <v>4</v>
      </c>
      <c r="G260" s="34">
        <v>1</v>
      </c>
      <c r="H260" s="34">
        <v>81048</v>
      </c>
      <c r="I260" s="34" t="s">
        <v>2690</v>
      </c>
      <c r="J260" s="34">
        <v>18768971</v>
      </c>
      <c r="K260" s="34" t="s">
        <v>3480</v>
      </c>
      <c r="L260" s="40" t="s">
        <v>3483</v>
      </c>
      <c r="M260" s="36">
        <v>139900</v>
      </c>
      <c r="N260" s="37">
        <f t="shared" ref="N260:N269" si="14">N259</f>
        <v>0.7</v>
      </c>
      <c r="O260" s="36">
        <f t="shared" si="13"/>
        <v>41970</v>
      </c>
      <c r="P260" s="34" t="s">
        <v>16</v>
      </c>
    </row>
    <row r="261" spans="1:16" x14ac:dyDescent="0.35">
      <c r="A261" s="34" t="str">
        <f t="shared" si="12"/>
        <v>2024 JAN-JUN DISC 70%</v>
      </c>
      <c r="B261" s="35">
        <f t="shared" si="12"/>
        <v>46086</v>
      </c>
      <c r="C261" s="35">
        <f t="shared" si="12"/>
        <v>46092</v>
      </c>
      <c r="D261" s="34">
        <v>3321</v>
      </c>
      <c r="E261" s="34">
        <v>337</v>
      </c>
      <c r="F261" s="34">
        <v>4</v>
      </c>
      <c r="G261" s="34">
        <v>1</v>
      </c>
      <c r="H261" s="34">
        <v>81048</v>
      </c>
      <c r="I261" s="34" t="s">
        <v>2690</v>
      </c>
      <c r="J261" s="34">
        <v>18768980</v>
      </c>
      <c r="K261" s="34" t="s">
        <v>3480</v>
      </c>
      <c r="L261" s="40" t="s">
        <v>3484</v>
      </c>
      <c r="M261" s="36">
        <v>139900</v>
      </c>
      <c r="N261" s="37">
        <f t="shared" si="14"/>
        <v>0.7</v>
      </c>
      <c r="O261" s="36">
        <f t="shared" si="13"/>
        <v>41970</v>
      </c>
      <c r="P261" s="34" t="s">
        <v>16</v>
      </c>
    </row>
    <row r="262" spans="1:16" x14ac:dyDescent="0.35">
      <c r="A262" s="34" t="str">
        <f t="shared" si="12"/>
        <v>2024 JAN-JUN DISC 70%</v>
      </c>
      <c r="B262" s="35">
        <f t="shared" si="12"/>
        <v>46086</v>
      </c>
      <c r="C262" s="35">
        <f t="shared" si="12"/>
        <v>46092</v>
      </c>
      <c r="D262" s="34">
        <v>3321</v>
      </c>
      <c r="E262" s="34">
        <v>337</v>
      </c>
      <c r="F262" s="34">
        <v>4</v>
      </c>
      <c r="G262" s="34">
        <v>1</v>
      </c>
      <c r="H262" s="34">
        <v>81048</v>
      </c>
      <c r="I262" s="34" t="s">
        <v>2690</v>
      </c>
      <c r="J262" s="34">
        <v>18768999</v>
      </c>
      <c r="K262" s="34" t="s">
        <v>3485</v>
      </c>
      <c r="L262" s="40" t="s">
        <v>3486</v>
      </c>
      <c r="M262" s="36">
        <v>139900</v>
      </c>
      <c r="N262" s="37">
        <f t="shared" si="14"/>
        <v>0.7</v>
      </c>
      <c r="O262" s="36">
        <f t="shared" si="13"/>
        <v>41970</v>
      </c>
      <c r="P262" s="34" t="s">
        <v>16</v>
      </c>
    </row>
    <row r="263" spans="1:16" x14ac:dyDescent="0.35">
      <c r="A263" s="34" t="str">
        <f t="shared" si="12"/>
        <v>2024 JAN-JUN DISC 70%</v>
      </c>
      <c r="B263" s="35">
        <f t="shared" si="12"/>
        <v>46086</v>
      </c>
      <c r="C263" s="35">
        <f t="shared" si="12"/>
        <v>46092</v>
      </c>
      <c r="D263" s="34">
        <v>3321</v>
      </c>
      <c r="E263" s="34">
        <v>337</v>
      </c>
      <c r="F263" s="34">
        <v>4</v>
      </c>
      <c r="G263" s="34">
        <v>1</v>
      </c>
      <c r="H263" s="34">
        <v>81048</v>
      </c>
      <c r="I263" s="34" t="s">
        <v>2690</v>
      </c>
      <c r="J263" s="34">
        <v>18769005</v>
      </c>
      <c r="K263" s="34" t="s">
        <v>3485</v>
      </c>
      <c r="L263" s="40" t="s">
        <v>3487</v>
      </c>
      <c r="M263" s="36">
        <v>139900</v>
      </c>
      <c r="N263" s="37">
        <f t="shared" si="14"/>
        <v>0.7</v>
      </c>
      <c r="O263" s="36">
        <f t="shared" si="13"/>
        <v>41970</v>
      </c>
      <c r="P263" s="34" t="s">
        <v>16</v>
      </c>
    </row>
    <row r="264" spans="1:16" x14ac:dyDescent="0.35">
      <c r="A264" s="34" t="str">
        <f t="shared" si="12"/>
        <v>2024 JAN-JUN DISC 70%</v>
      </c>
      <c r="B264" s="35">
        <f t="shared" si="12"/>
        <v>46086</v>
      </c>
      <c r="C264" s="35">
        <f t="shared" si="12"/>
        <v>46092</v>
      </c>
      <c r="D264" s="34">
        <v>3321</v>
      </c>
      <c r="E264" s="34">
        <v>337</v>
      </c>
      <c r="F264" s="34">
        <v>4</v>
      </c>
      <c r="G264" s="34">
        <v>1</v>
      </c>
      <c r="H264" s="34">
        <v>81048</v>
      </c>
      <c r="I264" s="34" t="s">
        <v>2690</v>
      </c>
      <c r="J264" s="34">
        <v>18769014</v>
      </c>
      <c r="K264" s="34" t="s">
        <v>3485</v>
      </c>
      <c r="L264" s="40" t="s">
        <v>3488</v>
      </c>
      <c r="M264" s="36">
        <v>139900</v>
      </c>
      <c r="N264" s="37">
        <f t="shared" si="14"/>
        <v>0.7</v>
      </c>
      <c r="O264" s="36">
        <f t="shared" si="13"/>
        <v>41970</v>
      </c>
      <c r="P264" s="34" t="s">
        <v>16</v>
      </c>
    </row>
    <row r="265" spans="1:16" x14ac:dyDescent="0.35">
      <c r="A265" s="34" t="str">
        <f t="shared" si="12"/>
        <v>2024 JAN-JUN DISC 70%</v>
      </c>
      <c r="B265" s="35">
        <f t="shared" si="12"/>
        <v>46086</v>
      </c>
      <c r="C265" s="35">
        <f t="shared" si="12"/>
        <v>46092</v>
      </c>
      <c r="D265" s="34">
        <v>3321</v>
      </c>
      <c r="E265" s="34">
        <v>337</v>
      </c>
      <c r="F265" s="34">
        <v>4</v>
      </c>
      <c r="G265" s="34">
        <v>1</v>
      </c>
      <c r="H265" s="34">
        <v>81048</v>
      </c>
      <c r="I265" s="34" t="s">
        <v>2690</v>
      </c>
      <c r="J265" s="34">
        <v>18769023</v>
      </c>
      <c r="K265" s="34" t="s">
        <v>3485</v>
      </c>
      <c r="L265" s="40" t="s">
        <v>3489</v>
      </c>
      <c r="M265" s="36">
        <v>139900</v>
      </c>
      <c r="N265" s="37">
        <f t="shared" si="14"/>
        <v>0.7</v>
      </c>
      <c r="O265" s="36">
        <f t="shared" si="13"/>
        <v>41970</v>
      </c>
      <c r="P265" s="34" t="s">
        <v>16</v>
      </c>
    </row>
    <row r="266" spans="1:16" x14ac:dyDescent="0.35">
      <c r="A266" s="34" t="str">
        <f t="shared" si="12"/>
        <v>2024 JAN-JUN DISC 70%</v>
      </c>
      <c r="B266" s="35">
        <f t="shared" si="12"/>
        <v>46086</v>
      </c>
      <c r="C266" s="35">
        <f t="shared" si="12"/>
        <v>46092</v>
      </c>
      <c r="D266" s="34">
        <v>3321</v>
      </c>
      <c r="E266" s="34">
        <v>337</v>
      </c>
      <c r="F266" s="34">
        <v>4</v>
      </c>
      <c r="G266" s="34">
        <v>1</v>
      </c>
      <c r="H266" s="34">
        <v>81048</v>
      </c>
      <c r="I266" s="34" t="s">
        <v>2690</v>
      </c>
      <c r="J266" s="34">
        <v>18769032</v>
      </c>
      <c r="K266" s="34" t="s">
        <v>3490</v>
      </c>
      <c r="L266" s="40" t="s">
        <v>3491</v>
      </c>
      <c r="M266" s="36">
        <v>149900</v>
      </c>
      <c r="N266" s="37">
        <f t="shared" si="14"/>
        <v>0.7</v>
      </c>
      <c r="O266" s="36">
        <f t="shared" si="13"/>
        <v>44970</v>
      </c>
      <c r="P266" s="34" t="s">
        <v>16</v>
      </c>
    </row>
    <row r="267" spans="1:16" x14ac:dyDescent="0.35">
      <c r="A267" s="34" t="str">
        <f t="shared" si="12"/>
        <v>2024 JAN-JUN DISC 70%</v>
      </c>
      <c r="B267" s="35">
        <f t="shared" si="12"/>
        <v>46086</v>
      </c>
      <c r="C267" s="35">
        <f t="shared" si="12"/>
        <v>46092</v>
      </c>
      <c r="D267" s="34">
        <v>3321</v>
      </c>
      <c r="E267" s="34">
        <v>337</v>
      </c>
      <c r="F267" s="34">
        <v>4</v>
      </c>
      <c r="G267" s="34">
        <v>1</v>
      </c>
      <c r="H267" s="34">
        <v>81048</v>
      </c>
      <c r="I267" s="34" t="s">
        <v>2690</v>
      </c>
      <c r="J267" s="34">
        <v>18769041</v>
      </c>
      <c r="K267" s="34" t="s">
        <v>3490</v>
      </c>
      <c r="L267" s="40" t="s">
        <v>3492</v>
      </c>
      <c r="M267" s="36">
        <v>149900</v>
      </c>
      <c r="N267" s="37">
        <f t="shared" si="14"/>
        <v>0.7</v>
      </c>
      <c r="O267" s="36">
        <f t="shared" si="13"/>
        <v>44970</v>
      </c>
      <c r="P267" s="34" t="s">
        <v>16</v>
      </c>
    </row>
    <row r="268" spans="1:16" x14ac:dyDescent="0.35">
      <c r="A268" s="34" t="str">
        <f t="shared" si="12"/>
        <v>2024 JAN-JUN DISC 70%</v>
      </c>
      <c r="B268" s="35">
        <f t="shared" si="12"/>
        <v>46086</v>
      </c>
      <c r="C268" s="35">
        <f t="shared" si="12"/>
        <v>46092</v>
      </c>
      <c r="D268" s="34">
        <v>3321</v>
      </c>
      <c r="E268" s="34">
        <v>337</v>
      </c>
      <c r="F268" s="34">
        <v>4</v>
      </c>
      <c r="G268" s="34">
        <v>1</v>
      </c>
      <c r="H268" s="34">
        <v>81048</v>
      </c>
      <c r="I268" s="34" t="s">
        <v>2690</v>
      </c>
      <c r="J268" s="34">
        <v>18769050</v>
      </c>
      <c r="K268" s="34" t="s">
        <v>3490</v>
      </c>
      <c r="L268" s="40" t="s">
        <v>3493</v>
      </c>
      <c r="M268" s="36">
        <v>149900</v>
      </c>
      <c r="N268" s="37">
        <f t="shared" si="14"/>
        <v>0.7</v>
      </c>
      <c r="O268" s="36">
        <f t="shared" si="13"/>
        <v>44970</v>
      </c>
      <c r="P268" s="34" t="s">
        <v>16</v>
      </c>
    </row>
    <row r="269" spans="1:16" x14ac:dyDescent="0.35">
      <c r="A269" s="34" t="str">
        <f t="shared" si="12"/>
        <v>2024 JAN-JUN DISC 70%</v>
      </c>
      <c r="B269" s="35">
        <f t="shared" si="12"/>
        <v>46086</v>
      </c>
      <c r="C269" s="35">
        <f t="shared" si="12"/>
        <v>46092</v>
      </c>
      <c r="D269" s="34">
        <v>3321</v>
      </c>
      <c r="E269" s="34">
        <v>337</v>
      </c>
      <c r="F269" s="34">
        <v>4</v>
      </c>
      <c r="G269" s="34">
        <v>1</v>
      </c>
      <c r="H269" s="34">
        <v>81048</v>
      </c>
      <c r="I269" s="34" t="s">
        <v>2690</v>
      </c>
      <c r="J269" s="34">
        <v>18769069</v>
      </c>
      <c r="K269" s="34" t="s">
        <v>3490</v>
      </c>
      <c r="L269" s="40" t="s">
        <v>3494</v>
      </c>
      <c r="M269" s="36">
        <v>149900</v>
      </c>
      <c r="N269" s="37">
        <f t="shared" si="14"/>
        <v>0.7</v>
      </c>
      <c r="O269" s="36">
        <f t="shared" si="13"/>
        <v>44970</v>
      </c>
      <c r="P269" s="34" t="s">
        <v>16</v>
      </c>
    </row>
  </sheetData>
  <autoFilter ref="A1:P1" xr:uid="{00000000-0009-0000-0000-000002000000}"/>
  <conditionalFormatting sqref="J1:J1048576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7C31-6FDF-49F3-8120-6CC2320995DE}">
  <dimension ref="A1:P33"/>
  <sheetViews>
    <sheetView zoomScale="66" zoomScaleNormal="115" workbookViewId="0">
      <pane ySplit="1" topLeftCell="A2" activePane="bottomLeft" state="frozen"/>
      <selection activeCell="M23" sqref="M23"/>
      <selection pane="bottomLeft" activeCell="H19" sqref="H19"/>
    </sheetView>
  </sheetViews>
  <sheetFormatPr defaultColWidth="8.6328125" defaultRowHeight="14.5" x14ac:dyDescent="0.35"/>
  <cols>
    <col min="1" max="1" width="26.17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3.1796875" style="45" customWidth="1"/>
    <col min="12" max="12" width="46.90625" style="49" customWidth="1"/>
    <col min="13" max="13" width="16.36328125" style="47" customWidth="1"/>
    <col min="14" max="14" width="16.36328125" style="48" customWidth="1"/>
    <col min="15" max="15" width="19.90625" style="47" bestFit="1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14" t="s">
        <v>6513</v>
      </c>
      <c r="B2" s="42">
        <f>'2025 AUG B1G1-3321'!B87</f>
        <v>46086</v>
      </c>
      <c r="C2" s="42">
        <f>'2025 AUG B1G1-3321'!C87</f>
        <v>46092</v>
      </c>
      <c r="D2" s="34">
        <v>3321</v>
      </c>
      <c r="E2" s="14">
        <v>337</v>
      </c>
      <c r="F2" s="14">
        <v>4</v>
      </c>
      <c r="G2" s="24">
        <v>1</v>
      </c>
      <c r="H2" s="24">
        <v>81676</v>
      </c>
      <c r="I2" s="34" t="s">
        <v>2690</v>
      </c>
      <c r="J2" s="24">
        <v>54462474</v>
      </c>
      <c r="K2" s="24" t="s">
        <v>5929</v>
      </c>
      <c r="L2" s="24" t="s">
        <v>5942</v>
      </c>
      <c r="M2" s="44">
        <v>149900</v>
      </c>
      <c r="N2" s="36" t="s">
        <v>2569</v>
      </c>
      <c r="O2" s="14" t="s">
        <v>2577</v>
      </c>
      <c r="P2" s="36" t="s">
        <v>2569</v>
      </c>
    </row>
    <row r="3" spans="1:16" s="33" customFormat="1" x14ac:dyDescent="0.35">
      <c r="A3" s="14" t="s">
        <v>6513</v>
      </c>
      <c r="B3" s="35">
        <f>B2</f>
        <v>46086</v>
      </c>
      <c r="C3" s="35">
        <f>C2</f>
        <v>46092</v>
      </c>
      <c r="D3" s="34">
        <v>3321</v>
      </c>
      <c r="E3" s="14">
        <v>337</v>
      </c>
      <c r="F3" s="14">
        <v>4</v>
      </c>
      <c r="G3" s="24">
        <v>1</v>
      </c>
      <c r="H3" s="24">
        <v>81676</v>
      </c>
      <c r="I3" s="34" t="s">
        <v>2690</v>
      </c>
      <c r="J3" s="24">
        <v>54462483</v>
      </c>
      <c r="K3" s="24" t="s">
        <v>5929</v>
      </c>
      <c r="L3" s="24" t="s">
        <v>5935</v>
      </c>
      <c r="M3" s="44">
        <v>149900</v>
      </c>
      <c r="N3" s="36" t="s">
        <v>2569</v>
      </c>
      <c r="O3" s="14" t="s">
        <v>2577</v>
      </c>
      <c r="P3" s="36" t="s">
        <v>2569</v>
      </c>
    </row>
    <row r="4" spans="1:16" s="33" customFormat="1" x14ac:dyDescent="0.35">
      <c r="A4" s="14" t="s">
        <v>6513</v>
      </c>
      <c r="B4" s="35">
        <f t="shared" ref="B4:B33" si="0">B3</f>
        <v>46086</v>
      </c>
      <c r="C4" s="35">
        <f t="shared" ref="C4:C33" si="1">C3</f>
        <v>46092</v>
      </c>
      <c r="D4" s="34">
        <v>3321</v>
      </c>
      <c r="E4" s="14">
        <v>337</v>
      </c>
      <c r="F4" s="14">
        <v>4</v>
      </c>
      <c r="G4" s="24">
        <v>1</v>
      </c>
      <c r="H4" s="24">
        <v>81676</v>
      </c>
      <c r="I4" s="34" t="s">
        <v>2690</v>
      </c>
      <c r="J4" s="24">
        <v>54462492</v>
      </c>
      <c r="K4" s="24" t="s">
        <v>5929</v>
      </c>
      <c r="L4" s="24" t="s">
        <v>5930</v>
      </c>
      <c r="M4" s="44">
        <v>149900</v>
      </c>
      <c r="N4" s="36" t="s">
        <v>2569</v>
      </c>
      <c r="O4" s="14" t="s">
        <v>2577</v>
      </c>
      <c r="P4" s="36" t="s">
        <v>2569</v>
      </c>
    </row>
    <row r="5" spans="1:16" s="33" customFormat="1" x14ac:dyDescent="0.35">
      <c r="A5" s="14" t="s">
        <v>6513</v>
      </c>
      <c r="B5" s="35">
        <f t="shared" si="0"/>
        <v>46086</v>
      </c>
      <c r="C5" s="35">
        <f t="shared" si="1"/>
        <v>46092</v>
      </c>
      <c r="D5" s="34">
        <v>3321</v>
      </c>
      <c r="E5" s="14">
        <v>337</v>
      </c>
      <c r="F5" s="14">
        <v>4</v>
      </c>
      <c r="G5" s="24">
        <v>1</v>
      </c>
      <c r="H5" s="24">
        <v>81676</v>
      </c>
      <c r="I5" s="34" t="s">
        <v>2690</v>
      </c>
      <c r="J5" s="24">
        <v>54462509</v>
      </c>
      <c r="K5" s="24" t="s">
        <v>5929</v>
      </c>
      <c r="L5" s="24" t="s">
        <v>5937</v>
      </c>
      <c r="M5" s="44">
        <v>149900</v>
      </c>
      <c r="N5" s="36" t="s">
        <v>2569</v>
      </c>
      <c r="O5" s="14" t="s">
        <v>2577</v>
      </c>
      <c r="P5" s="36" t="s">
        <v>2569</v>
      </c>
    </row>
    <row r="6" spans="1:16" s="33" customFormat="1" x14ac:dyDescent="0.35">
      <c r="A6" s="14" t="s">
        <v>6513</v>
      </c>
      <c r="B6" s="35">
        <f t="shared" si="0"/>
        <v>46086</v>
      </c>
      <c r="C6" s="35">
        <f t="shared" si="1"/>
        <v>46092</v>
      </c>
      <c r="D6" s="34">
        <v>3321</v>
      </c>
      <c r="E6" s="14">
        <v>337</v>
      </c>
      <c r="F6" s="14">
        <v>4</v>
      </c>
      <c r="G6" s="24">
        <v>1</v>
      </c>
      <c r="H6" s="24">
        <v>81676</v>
      </c>
      <c r="I6" s="34" t="s">
        <v>2690</v>
      </c>
      <c r="J6" s="24">
        <v>54462518</v>
      </c>
      <c r="K6" s="24" t="s">
        <v>5929</v>
      </c>
      <c r="L6" s="24" t="s">
        <v>5940</v>
      </c>
      <c r="M6" s="44">
        <v>149900</v>
      </c>
      <c r="N6" s="36" t="s">
        <v>2569</v>
      </c>
      <c r="O6" s="14" t="s">
        <v>2577</v>
      </c>
      <c r="P6" s="36" t="s">
        <v>2569</v>
      </c>
    </row>
    <row r="7" spans="1:16" s="33" customFormat="1" x14ac:dyDescent="0.35">
      <c r="A7" s="14" t="s">
        <v>6513</v>
      </c>
      <c r="B7" s="35">
        <f t="shared" si="0"/>
        <v>46086</v>
      </c>
      <c r="C7" s="35">
        <f t="shared" si="1"/>
        <v>46092</v>
      </c>
      <c r="D7" s="34">
        <v>3321</v>
      </c>
      <c r="E7" s="14">
        <v>337</v>
      </c>
      <c r="F7" s="14">
        <v>4</v>
      </c>
      <c r="G7" s="24">
        <v>1</v>
      </c>
      <c r="H7" s="24">
        <v>81676</v>
      </c>
      <c r="I7" s="34" t="s">
        <v>2690</v>
      </c>
      <c r="J7" s="24">
        <v>54462527</v>
      </c>
      <c r="K7" s="24" t="s">
        <v>5929</v>
      </c>
      <c r="L7" s="24" t="s">
        <v>5934</v>
      </c>
      <c r="M7" s="44">
        <v>149900</v>
      </c>
      <c r="N7" s="36" t="s">
        <v>2569</v>
      </c>
      <c r="O7" s="14" t="s">
        <v>2577</v>
      </c>
      <c r="P7" s="36" t="s">
        <v>2569</v>
      </c>
    </row>
    <row r="8" spans="1:16" s="33" customFormat="1" x14ac:dyDescent="0.35">
      <c r="A8" s="14" t="s">
        <v>6513</v>
      </c>
      <c r="B8" s="35">
        <f t="shared" si="0"/>
        <v>46086</v>
      </c>
      <c r="C8" s="35">
        <f t="shared" si="1"/>
        <v>46092</v>
      </c>
      <c r="D8" s="34">
        <v>3321</v>
      </c>
      <c r="E8" s="14">
        <v>337</v>
      </c>
      <c r="F8" s="14">
        <v>4</v>
      </c>
      <c r="G8" s="24">
        <v>1</v>
      </c>
      <c r="H8" s="24">
        <v>81676</v>
      </c>
      <c r="I8" s="34" t="s">
        <v>2690</v>
      </c>
      <c r="J8" s="24">
        <v>54462410</v>
      </c>
      <c r="K8" s="24" t="s">
        <v>5931</v>
      </c>
      <c r="L8" s="24" t="s">
        <v>5936</v>
      </c>
      <c r="M8" s="44">
        <v>149900</v>
      </c>
      <c r="N8" s="36" t="s">
        <v>2569</v>
      </c>
      <c r="O8" s="14" t="s">
        <v>2577</v>
      </c>
      <c r="P8" s="36" t="s">
        <v>2569</v>
      </c>
    </row>
    <row r="9" spans="1:16" s="33" customFormat="1" x14ac:dyDescent="0.35">
      <c r="A9" s="14" t="s">
        <v>6513</v>
      </c>
      <c r="B9" s="35">
        <f t="shared" si="0"/>
        <v>46086</v>
      </c>
      <c r="C9" s="35">
        <f t="shared" si="1"/>
        <v>46092</v>
      </c>
      <c r="D9" s="34">
        <v>3321</v>
      </c>
      <c r="E9" s="14">
        <v>337</v>
      </c>
      <c r="F9" s="14">
        <v>4</v>
      </c>
      <c r="G9" s="24">
        <v>1</v>
      </c>
      <c r="H9" s="24">
        <v>81676</v>
      </c>
      <c r="I9" s="34" t="s">
        <v>2690</v>
      </c>
      <c r="J9" s="24">
        <v>54462429</v>
      </c>
      <c r="K9" s="24" t="s">
        <v>5931</v>
      </c>
      <c r="L9" s="24" t="s">
        <v>5938</v>
      </c>
      <c r="M9" s="44">
        <v>149900</v>
      </c>
      <c r="N9" s="36" t="s">
        <v>2569</v>
      </c>
      <c r="O9" s="14" t="s">
        <v>2577</v>
      </c>
      <c r="P9" s="36" t="s">
        <v>2569</v>
      </c>
    </row>
    <row r="10" spans="1:16" s="33" customFormat="1" x14ac:dyDescent="0.35">
      <c r="A10" s="14" t="s">
        <v>6513</v>
      </c>
      <c r="B10" s="35">
        <f t="shared" si="0"/>
        <v>46086</v>
      </c>
      <c r="C10" s="35">
        <f t="shared" si="1"/>
        <v>46092</v>
      </c>
      <c r="D10" s="34">
        <v>3321</v>
      </c>
      <c r="E10" s="14">
        <v>337</v>
      </c>
      <c r="F10" s="14">
        <v>4</v>
      </c>
      <c r="G10" s="24">
        <v>1</v>
      </c>
      <c r="H10" s="24">
        <v>81676</v>
      </c>
      <c r="I10" s="34" t="s">
        <v>2690</v>
      </c>
      <c r="J10" s="24">
        <v>54462438</v>
      </c>
      <c r="K10" s="24" t="s">
        <v>5931</v>
      </c>
      <c r="L10" s="24" t="s">
        <v>5932</v>
      </c>
      <c r="M10" s="44">
        <v>149900</v>
      </c>
      <c r="N10" s="36" t="s">
        <v>2569</v>
      </c>
      <c r="O10" s="14" t="s">
        <v>2577</v>
      </c>
      <c r="P10" s="36" t="s">
        <v>2569</v>
      </c>
    </row>
    <row r="11" spans="1:16" s="33" customFormat="1" x14ac:dyDescent="0.35">
      <c r="A11" s="14" t="s">
        <v>6513</v>
      </c>
      <c r="B11" s="35">
        <f t="shared" si="0"/>
        <v>46086</v>
      </c>
      <c r="C11" s="35">
        <f t="shared" si="1"/>
        <v>46092</v>
      </c>
      <c r="D11" s="34">
        <v>3321</v>
      </c>
      <c r="E11" s="14">
        <v>337</v>
      </c>
      <c r="F11" s="14">
        <v>4</v>
      </c>
      <c r="G11" s="24">
        <v>1</v>
      </c>
      <c r="H11" s="24">
        <v>81676</v>
      </c>
      <c r="I11" s="34" t="s">
        <v>2690</v>
      </c>
      <c r="J11" s="24">
        <v>54462447</v>
      </c>
      <c r="K11" s="24" t="s">
        <v>5931</v>
      </c>
      <c r="L11" s="24" t="s">
        <v>5939</v>
      </c>
      <c r="M11" s="44">
        <v>149900</v>
      </c>
      <c r="N11" s="36" t="s">
        <v>2569</v>
      </c>
      <c r="O11" s="14" t="s">
        <v>2577</v>
      </c>
      <c r="P11" s="36" t="s">
        <v>2569</v>
      </c>
    </row>
    <row r="12" spans="1:16" s="33" customFormat="1" x14ac:dyDescent="0.35">
      <c r="A12" s="14" t="s">
        <v>6513</v>
      </c>
      <c r="B12" s="35">
        <f t="shared" si="0"/>
        <v>46086</v>
      </c>
      <c r="C12" s="35">
        <f t="shared" si="1"/>
        <v>46092</v>
      </c>
      <c r="D12" s="34">
        <v>3321</v>
      </c>
      <c r="E12" s="14">
        <v>337</v>
      </c>
      <c r="F12" s="14">
        <v>4</v>
      </c>
      <c r="G12" s="24">
        <v>1</v>
      </c>
      <c r="H12" s="24">
        <v>81676</v>
      </c>
      <c r="I12" s="34" t="s">
        <v>2690</v>
      </c>
      <c r="J12" s="24">
        <v>54462456</v>
      </c>
      <c r="K12" s="24" t="s">
        <v>5931</v>
      </c>
      <c r="L12" s="24" t="s">
        <v>5941</v>
      </c>
      <c r="M12" s="44">
        <v>149900</v>
      </c>
      <c r="N12" s="36" t="s">
        <v>2569</v>
      </c>
      <c r="O12" s="14" t="s">
        <v>2577</v>
      </c>
      <c r="P12" s="36" t="s">
        <v>2569</v>
      </c>
    </row>
    <row r="13" spans="1:16" s="33" customFormat="1" x14ac:dyDescent="0.35">
      <c r="A13" s="14" t="s">
        <v>6513</v>
      </c>
      <c r="B13" s="35">
        <f t="shared" si="0"/>
        <v>46086</v>
      </c>
      <c r="C13" s="35">
        <f t="shared" si="1"/>
        <v>46092</v>
      </c>
      <c r="D13" s="34">
        <v>3321</v>
      </c>
      <c r="E13" s="14">
        <v>337</v>
      </c>
      <c r="F13" s="14">
        <v>4</v>
      </c>
      <c r="G13" s="24">
        <v>1</v>
      </c>
      <c r="H13" s="24">
        <v>81676</v>
      </c>
      <c r="I13" s="34" t="s">
        <v>2690</v>
      </c>
      <c r="J13" s="24">
        <v>54462465</v>
      </c>
      <c r="K13" s="24" t="s">
        <v>5931</v>
      </c>
      <c r="L13" s="24" t="s">
        <v>5933</v>
      </c>
      <c r="M13" s="44">
        <v>149900</v>
      </c>
      <c r="N13" s="36" t="s">
        <v>2569</v>
      </c>
      <c r="O13" s="14" t="s">
        <v>2577</v>
      </c>
      <c r="P13" s="36" t="s">
        <v>2569</v>
      </c>
    </row>
    <row r="14" spans="1:16" s="33" customFormat="1" x14ac:dyDescent="0.35">
      <c r="A14" s="14" t="s">
        <v>6513</v>
      </c>
      <c r="B14" s="35">
        <f t="shared" si="0"/>
        <v>46086</v>
      </c>
      <c r="C14" s="35">
        <f t="shared" si="1"/>
        <v>46092</v>
      </c>
      <c r="D14" s="34">
        <v>3321</v>
      </c>
      <c r="E14" s="14">
        <v>337</v>
      </c>
      <c r="F14" s="14">
        <v>4</v>
      </c>
      <c r="G14" s="24">
        <v>3</v>
      </c>
      <c r="H14" s="24">
        <v>81005</v>
      </c>
      <c r="I14" s="34" t="s">
        <v>2690</v>
      </c>
      <c r="J14" s="24">
        <v>54391176</v>
      </c>
      <c r="K14" s="24" t="s">
        <v>5919</v>
      </c>
      <c r="L14" s="24" t="s">
        <v>5923</v>
      </c>
      <c r="M14" s="44">
        <v>229900</v>
      </c>
      <c r="N14" s="36" t="s">
        <v>2569</v>
      </c>
      <c r="O14" s="14" t="s">
        <v>2577</v>
      </c>
      <c r="P14" s="36" t="s">
        <v>2569</v>
      </c>
    </row>
    <row r="15" spans="1:16" s="33" customFormat="1" x14ac:dyDescent="0.35">
      <c r="A15" s="14" t="s">
        <v>6513</v>
      </c>
      <c r="B15" s="35">
        <f t="shared" si="0"/>
        <v>46086</v>
      </c>
      <c r="C15" s="35">
        <f t="shared" si="1"/>
        <v>46092</v>
      </c>
      <c r="D15" s="34">
        <v>3321</v>
      </c>
      <c r="E15" s="14">
        <v>337</v>
      </c>
      <c r="F15" s="14">
        <v>4</v>
      </c>
      <c r="G15" s="24">
        <v>3</v>
      </c>
      <c r="H15" s="24">
        <v>81005</v>
      </c>
      <c r="I15" s="34" t="s">
        <v>2690</v>
      </c>
      <c r="J15" s="24">
        <v>54391185</v>
      </c>
      <c r="K15" s="24" t="s">
        <v>5919</v>
      </c>
      <c r="L15" s="24" t="s">
        <v>5920</v>
      </c>
      <c r="M15" s="44">
        <v>229900</v>
      </c>
      <c r="N15" s="36" t="s">
        <v>2569</v>
      </c>
      <c r="O15" s="14" t="s">
        <v>2577</v>
      </c>
      <c r="P15" s="36" t="s">
        <v>2569</v>
      </c>
    </row>
    <row r="16" spans="1:16" s="33" customFormat="1" x14ac:dyDescent="0.35">
      <c r="A16" s="14" t="s">
        <v>6513</v>
      </c>
      <c r="B16" s="35">
        <f t="shared" si="0"/>
        <v>46086</v>
      </c>
      <c r="C16" s="35">
        <f t="shared" si="1"/>
        <v>46092</v>
      </c>
      <c r="D16" s="34">
        <v>3321</v>
      </c>
      <c r="E16" s="14">
        <v>337</v>
      </c>
      <c r="F16" s="14">
        <v>4</v>
      </c>
      <c r="G16" s="24">
        <v>3</v>
      </c>
      <c r="H16" s="24">
        <v>81005</v>
      </c>
      <c r="I16" s="34" t="s">
        <v>2690</v>
      </c>
      <c r="J16" s="24">
        <v>54391194</v>
      </c>
      <c r="K16" s="24" t="s">
        <v>5919</v>
      </c>
      <c r="L16" s="24" t="s">
        <v>5921</v>
      </c>
      <c r="M16" s="44">
        <v>229900</v>
      </c>
      <c r="N16" s="36" t="s">
        <v>2569</v>
      </c>
      <c r="O16" s="14" t="s">
        <v>2577</v>
      </c>
      <c r="P16" s="36" t="s">
        <v>2569</v>
      </c>
    </row>
    <row r="17" spans="1:16" s="33" customFormat="1" x14ac:dyDescent="0.35">
      <c r="A17" s="14" t="s">
        <v>6513</v>
      </c>
      <c r="B17" s="35">
        <f t="shared" si="0"/>
        <v>46086</v>
      </c>
      <c r="C17" s="35">
        <f t="shared" si="1"/>
        <v>46092</v>
      </c>
      <c r="D17" s="34">
        <v>3321</v>
      </c>
      <c r="E17" s="14">
        <v>337</v>
      </c>
      <c r="F17" s="14">
        <v>4</v>
      </c>
      <c r="G17" s="24">
        <v>3</v>
      </c>
      <c r="H17" s="24">
        <v>81005</v>
      </c>
      <c r="I17" s="34" t="s">
        <v>2690</v>
      </c>
      <c r="J17" s="24">
        <v>54391201</v>
      </c>
      <c r="K17" s="24" t="s">
        <v>5919</v>
      </c>
      <c r="L17" s="24" t="s">
        <v>5922</v>
      </c>
      <c r="M17" s="44">
        <v>229900</v>
      </c>
      <c r="N17" s="36" t="s">
        <v>2569</v>
      </c>
      <c r="O17" s="14" t="s">
        <v>2577</v>
      </c>
      <c r="P17" s="36" t="s">
        <v>2569</v>
      </c>
    </row>
    <row r="18" spans="1:16" s="33" customFormat="1" x14ac:dyDescent="0.35">
      <c r="A18" s="14" t="s">
        <v>6513</v>
      </c>
      <c r="B18" s="35">
        <f t="shared" si="0"/>
        <v>46086</v>
      </c>
      <c r="C18" s="35">
        <f t="shared" si="1"/>
        <v>46092</v>
      </c>
      <c r="D18" s="34">
        <v>3321</v>
      </c>
      <c r="E18" s="14">
        <v>337</v>
      </c>
      <c r="F18" s="14">
        <v>4</v>
      </c>
      <c r="G18" s="24">
        <v>5</v>
      </c>
      <c r="H18" s="24">
        <v>81005</v>
      </c>
      <c r="I18" s="34" t="s">
        <v>2690</v>
      </c>
      <c r="J18" s="24">
        <v>54391336</v>
      </c>
      <c r="K18" s="24" t="s">
        <v>5924</v>
      </c>
      <c r="L18" s="24" t="s">
        <v>5926</v>
      </c>
      <c r="M18" s="44">
        <v>299900</v>
      </c>
      <c r="N18" s="36" t="s">
        <v>2569</v>
      </c>
      <c r="O18" s="14" t="s">
        <v>2577</v>
      </c>
      <c r="P18" s="36" t="s">
        <v>2569</v>
      </c>
    </row>
    <row r="19" spans="1:16" s="33" customFormat="1" x14ac:dyDescent="0.35">
      <c r="A19" s="14" t="s">
        <v>6513</v>
      </c>
      <c r="B19" s="35">
        <f t="shared" si="0"/>
        <v>46086</v>
      </c>
      <c r="C19" s="35">
        <f t="shared" si="1"/>
        <v>46092</v>
      </c>
      <c r="D19" s="34">
        <v>3321</v>
      </c>
      <c r="E19" s="14">
        <v>337</v>
      </c>
      <c r="F19" s="14">
        <v>4</v>
      </c>
      <c r="G19" s="24">
        <v>5</v>
      </c>
      <c r="H19" s="24">
        <v>81005</v>
      </c>
      <c r="I19" s="34" t="s">
        <v>2690</v>
      </c>
      <c r="J19" s="24">
        <v>54391345</v>
      </c>
      <c r="K19" s="24" t="s">
        <v>5924</v>
      </c>
      <c r="L19" s="24" t="s">
        <v>5925</v>
      </c>
      <c r="M19" s="44">
        <v>299900</v>
      </c>
      <c r="N19" s="36" t="s">
        <v>2569</v>
      </c>
      <c r="O19" s="14" t="s">
        <v>2577</v>
      </c>
      <c r="P19" s="36" t="s">
        <v>2569</v>
      </c>
    </row>
    <row r="20" spans="1:16" s="33" customFormat="1" x14ac:dyDescent="0.35">
      <c r="A20" s="14" t="s">
        <v>6513</v>
      </c>
      <c r="B20" s="35">
        <f t="shared" si="0"/>
        <v>46086</v>
      </c>
      <c r="C20" s="35">
        <f t="shared" si="1"/>
        <v>46092</v>
      </c>
      <c r="D20" s="34">
        <v>3321</v>
      </c>
      <c r="E20" s="14">
        <v>337</v>
      </c>
      <c r="F20" s="14">
        <v>4</v>
      </c>
      <c r="G20" s="24">
        <v>5</v>
      </c>
      <c r="H20" s="24">
        <v>81005</v>
      </c>
      <c r="I20" s="34" t="s">
        <v>2690</v>
      </c>
      <c r="J20" s="24">
        <v>54391354</v>
      </c>
      <c r="K20" s="24" t="s">
        <v>5924</v>
      </c>
      <c r="L20" s="24" t="s">
        <v>5927</v>
      </c>
      <c r="M20" s="44">
        <v>299900</v>
      </c>
      <c r="N20" s="36" t="s">
        <v>2569</v>
      </c>
      <c r="O20" s="14" t="s">
        <v>2577</v>
      </c>
      <c r="P20" s="36" t="s">
        <v>2569</v>
      </c>
    </row>
    <row r="21" spans="1:16" s="33" customFormat="1" x14ac:dyDescent="0.35">
      <c r="A21" s="14" t="s">
        <v>6513</v>
      </c>
      <c r="B21" s="35">
        <f t="shared" si="0"/>
        <v>46086</v>
      </c>
      <c r="C21" s="35">
        <f t="shared" si="1"/>
        <v>46092</v>
      </c>
      <c r="D21" s="34">
        <v>3321</v>
      </c>
      <c r="E21" s="14">
        <v>337</v>
      </c>
      <c r="F21" s="14">
        <v>4</v>
      </c>
      <c r="G21" s="24">
        <v>5</v>
      </c>
      <c r="H21" s="24">
        <v>81005</v>
      </c>
      <c r="I21" s="34" t="s">
        <v>2690</v>
      </c>
      <c r="J21" s="24">
        <v>54391363</v>
      </c>
      <c r="K21" s="24" t="s">
        <v>5924</v>
      </c>
      <c r="L21" s="24" t="s">
        <v>5928</v>
      </c>
      <c r="M21" s="44">
        <v>299900</v>
      </c>
      <c r="N21" s="36" t="s">
        <v>2569</v>
      </c>
      <c r="O21" s="14" t="s">
        <v>2577</v>
      </c>
      <c r="P21" s="36" t="s">
        <v>2569</v>
      </c>
    </row>
    <row r="22" spans="1:16" s="33" customFormat="1" x14ac:dyDescent="0.35">
      <c r="A22" s="14" t="s">
        <v>6513</v>
      </c>
      <c r="B22" s="35">
        <f t="shared" si="0"/>
        <v>46086</v>
      </c>
      <c r="C22" s="35">
        <f t="shared" si="1"/>
        <v>46092</v>
      </c>
      <c r="D22" s="34">
        <v>3321</v>
      </c>
      <c r="E22" s="14">
        <v>337</v>
      </c>
      <c r="F22" s="14">
        <v>4</v>
      </c>
      <c r="G22" s="24">
        <v>1</v>
      </c>
      <c r="H22" s="24">
        <v>81462</v>
      </c>
      <c r="I22" s="34" t="s">
        <v>2690</v>
      </c>
      <c r="J22" s="24">
        <v>54391130</v>
      </c>
      <c r="K22" s="24" t="s">
        <v>6534</v>
      </c>
      <c r="L22" s="24" t="s">
        <v>6535</v>
      </c>
      <c r="M22" s="44">
        <v>119900</v>
      </c>
      <c r="N22" s="36" t="s">
        <v>2569</v>
      </c>
      <c r="O22" s="14" t="s">
        <v>2577</v>
      </c>
      <c r="P22" s="36" t="s">
        <v>2569</v>
      </c>
    </row>
    <row r="23" spans="1:16" s="33" customFormat="1" x14ac:dyDescent="0.35">
      <c r="A23" s="14" t="s">
        <v>6513</v>
      </c>
      <c r="B23" s="35">
        <f t="shared" si="0"/>
        <v>46086</v>
      </c>
      <c r="C23" s="35">
        <f t="shared" si="1"/>
        <v>46092</v>
      </c>
      <c r="D23" s="34">
        <v>3321</v>
      </c>
      <c r="E23" s="14">
        <v>337</v>
      </c>
      <c r="F23" s="14">
        <v>4</v>
      </c>
      <c r="G23" s="24">
        <v>1</v>
      </c>
      <c r="H23" s="24">
        <v>81462</v>
      </c>
      <c r="I23" s="34" t="s">
        <v>2690</v>
      </c>
      <c r="J23" s="24">
        <v>54391149</v>
      </c>
      <c r="K23" s="24" t="s">
        <v>6534</v>
      </c>
      <c r="L23" s="24" t="s">
        <v>6536</v>
      </c>
      <c r="M23" s="44">
        <v>119900</v>
      </c>
      <c r="N23" s="36" t="s">
        <v>2569</v>
      </c>
      <c r="O23" s="14" t="s">
        <v>2577</v>
      </c>
      <c r="P23" s="36" t="s">
        <v>2569</v>
      </c>
    </row>
    <row r="24" spans="1:16" s="33" customFormat="1" x14ac:dyDescent="0.35">
      <c r="A24" s="14" t="s">
        <v>6513</v>
      </c>
      <c r="B24" s="35">
        <f t="shared" si="0"/>
        <v>46086</v>
      </c>
      <c r="C24" s="35">
        <f t="shared" si="1"/>
        <v>46092</v>
      </c>
      <c r="D24" s="34">
        <v>3321</v>
      </c>
      <c r="E24" s="14">
        <v>337</v>
      </c>
      <c r="F24" s="14">
        <v>4</v>
      </c>
      <c r="G24" s="24">
        <v>1</v>
      </c>
      <c r="H24" s="24">
        <v>81462</v>
      </c>
      <c r="I24" s="34" t="s">
        <v>2690</v>
      </c>
      <c r="J24" s="24">
        <v>54391158</v>
      </c>
      <c r="K24" s="24" t="s">
        <v>6534</v>
      </c>
      <c r="L24" s="24" t="s">
        <v>6537</v>
      </c>
      <c r="M24" s="44">
        <v>119900</v>
      </c>
      <c r="N24" s="36" t="s">
        <v>2569</v>
      </c>
      <c r="O24" s="14" t="s">
        <v>2577</v>
      </c>
      <c r="P24" s="36" t="s">
        <v>2569</v>
      </c>
    </row>
    <row r="25" spans="1:16" s="33" customFormat="1" x14ac:dyDescent="0.35">
      <c r="A25" s="14" t="s">
        <v>6513</v>
      </c>
      <c r="B25" s="35">
        <f t="shared" si="0"/>
        <v>46086</v>
      </c>
      <c r="C25" s="35">
        <f t="shared" si="1"/>
        <v>46092</v>
      </c>
      <c r="D25" s="34">
        <v>3321</v>
      </c>
      <c r="E25" s="14">
        <v>337</v>
      </c>
      <c r="F25" s="14">
        <v>4</v>
      </c>
      <c r="G25" s="24">
        <v>1</v>
      </c>
      <c r="H25" s="24">
        <v>81462</v>
      </c>
      <c r="I25" s="34" t="s">
        <v>2690</v>
      </c>
      <c r="J25" s="24">
        <v>54391167</v>
      </c>
      <c r="K25" s="24" t="s">
        <v>6534</v>
      </c>
      <c r="L25" s="24" t="s">
        <v>6538</v>
      </c>
      <c r="M25" s="44">
        <v>119900</v>
      </c>
      <c r="N25" s="36" t="s">
        <v>2569</v>
      </c>
      <c r="O25" s="14" t="s">
        <v>2577</v>
      </c>
      <c r="P25" s="36" t="s">
        <v>2569</v>
      </c>
    </row>
    <row r="26" spans="1:16" s="33" customFormat="1" x14ac:dyDescent="0.35">
      <c r="A26" s="14" t="s">
        <v>6513</v>
      </c>
      <c r="B26" s="35">
        <f t="shared" si="0"/>
        <v>46086</v>
      </c>
      <c r="C26" s="35">
        <f t="shared" si="1"/>
        <v>46092</v>
      </c>
      <c r="D26" s="34">
        <v>3321</v>
      </c>
      <c r="E26" s="14">
        <v>337</v>
      </c>
      <c r="F26" s="14">
        <v>4</v>
      </c>
      <c r="G26" s="24">
        <v>1</v>
      </c>
      <c r="H26" s="24">
        <v>81462</v>
      </c>
      <c r="I26" s="34" t="s">
        <v>2690</v>
      </c>
      <c r="J26" s="24">
        <v>54391096</v>
      </c>
      <c r="K26" s="24" t="s">
        <v>6539</v>
      </c>
      <c r="L26" s="24" t="s">
        <v>6540</v>
      </c>
      <c r="M26" s="44">
        <v>119900</v>
      </c>
      <c r="N26" s="36" t="s">
        <v>2569</v>
      </c>
      <c r="O26" s="14" t="s">
        <v>2577</v>
      </c>
      <c r="P26" s="36" t="s">
        <v>2569</v>
      </c>
    </row>
    <row r="27" spans="1:16" s="33" customFormat="1" x14ac:dyDescent="0.35">
      <c r="A27" s="14" t="s">
        <v>6513</v>
      </c>
      <c r="B27" s="35">
        <f t="shared" si="0"/>
        <v>46086</v>
      </c>
      <c r="C27" s="35">
        <f t="shared" si="1"/>
        <v>46092</v>
      </c>
      <c r="D27" s="34">
        <v>3321</v>
      </c>
      <c r="E27" s="14">
        <v>337</v>
      </c>
      <c r="F27" s="14">
        <v>4</v>
      </c>
      <c r="G27" s="24">
        <v>1</v>
      </c>
      <c r="H27" s="24">
        <v>81462</v>
      </c>
      <c r="I27" s="34" t="s">
        <v>2690</v>
      </c>
      <c r="J27" s="24">
        <v>54391103</v>
      </c>
      <c r="K27" s="24" t="s">
        <v>6539</v>
      </c>
      <c r="L27" s="24" t="s">
        <v>6541</v>
      </c>
      <c r="M27" s="44">
        <v>119900</v>
      </c>
      <c r="N27" s="36" t="s">
        <v>2569</v>
      </c>
      <c r="O27" s="14" t="s">
        <v>2577</v>
      </c>
      <c r="P27" s="36" t="s">
        <v>2569</v>
      </c>
    </row>
    <row r="28" spans="1:16" s="33" customFormat="1" x14ac:dyDescent="0.35">
      <c r="A28" s="14" t="s">
        <v>6513</v>
      </c>
      <c r="B28" s="35">
        <f t="shared" si="0"/>
        <v>46086</v>
      </c>
      <c r="C28" s="35">
        <f t="shared" si="1"/>
        <v>46092</v>
      </c>
      <c r="D28" s="34">
        <v>3321</v>
      </c>
      <c r="E28" s="14">
        <v>337</v>
      </c>
      <c r="F28" s="14">
        <v>4</v>
      </c>
      <c r="G28" s="24">
        <v>1</v>
      </c>
      <c r="H28" s="24">
        <v>81462</v>
      </c>
      <c r="I28" s="34" t="s">
        <v>2690</v>
      </c>
      <c r="J28" s="24">
        <v>54391112</v>
      </c>
      <c r="K28" s="24" t="s">
        <v>6539</v>
      </c>
      <c r="L28" s="24" t="s">
        <v>6542</v>
      </c>
      <c r="M28" s="44">
        <v>119900</v>
      </c>
      <c r="N28" s="36" t="s">
        <v>2569</v>
      </c>
      <c r="O28" s="14" t="s">
        <v>2577</v>
      </c>
      <c r="P28" s="36" t="s">
        <v>2569</v>
      </c>
    </row>
    <row r="29" spans="1:16" s="33" customFormat="1" x14ac:dyDescent="0.35">
      <c r="A29" s="14" t="s">
        <v>6513</v>
      </c>
      <c r="B29" s="35">
        <f t="shared" si="0"/>
        <v>46086</v>
      </c>
      <c r="C29" s="35">
        <f t="shared" si="1"/>
        <v>46092</v>
      </c>
      <c r="D29" s="34">
        <v>3321</v>
      </c>
      <c r="E29" s="14">
        <v>337</v>
      </c>
      <c r="F29" s="14">
        <v>4</v>
      </c>
      <c r="G29" s="24">
        <v>1</v>
      </c>
      <c r="H29" s="24">
        <v>81462</v>
      </c>
      <c r="I29" s="34" t="s">
        <v>2690</v>
      </c>
      <c r="J29" s="24">
        <v>54391121</v>
      </c>
      <c r="K29" s="24" t="s">
        <v>6539</v>
      </c>
      <c r="L29" s="24" t="s">
        <v>6543</v>
      </c>
      <c r="M29" s="44">
        <v>119900</v>
      </c>
      <c r="N29" s="36" t="s">
        <v>2569</v>
      </c>
      <c r="O29" s="14" t="s">
        <v>2577</v>
      </c>
      <c r="P29" s="36" t="s">
        <v>2569</v>
      </c>
    </row>
    <row r="30" spans="1:16" s="33" customFormat="1" x14ac:dyDescent="0.35">
      <c r="A30" s="14" t="s">
        <v>6513</v>
      </c>
      <c r="B30" s="35">
        <f t="shared" si="0"/>
        <v>46086</v>
      </c>
      <c r="C30" s="35">
        <f t="shared" si="1"/>
        <v>46092</v>
      </c>
      <c r="D30" s="34">
        <v>3321</v>
      </c>
      <c r="E30" s="14">
        <v>337</v>
      </c>
      <c r="F30" s="14">
        <v>4</v>
      </c>
      <c r="G30" s="24">
        <v>1</v>
      </c>
      <c r="H30" s="24">
        <v>81462</v>
      </c>
      <c r="I30" s="34" t="s">
        <v>2690</v>
      </c>
      <c r="J30" s="24">
        <v>54462376</v>
      </c>
      <c r="K30" s="24" t="s">
        <v>6544</v>
      </c>
      <c r="L30" s="24" t="s">
        <v>6545</v>
      </c>
      <c r="M30" s="44">
        <v>119900</v>
      </c>
      <c r="N30" s="36" t="s">
        <v>2569</v>
      </c>
      <c r="O30" s="14" t="s">
        <v>2577</v>
      </c>
      <c r="P30" s="36" t="s">
        <v>2569</v>
      </c>
    </row>
    <row r="31" spans="1:16" s="33" customFormat="1" x14ac:dyDescent="0.35">
      <c r="A31" s="14" t="s">
        <v>6513</v>
      </c>
      <c r="B31" s="35">
        <f t="shared" si="0"/>
        <v>46086</v>
      </c>
      <c r="C31" s="35">
        <f t="shared" si="1"/>
        <v>46092</v>
      </c>
      <c r="D31" s="34">
        <v>3321</v>
      </c>
      <c r="E31" s="14">
        <v>337</v>
      </c>
      <c r="F31" s="14">
        <v>4</v>
      </c>
      <c r="G31" s="24">
        <v>1</v>
      </c>
      <c r="H31" s="24">
        <v>81462</v>
      </c>
      <c r="I31" s="34" t="s">
        <v>2690</v>
      </c>
      <c r="J31" s="24">
        <v>54462385</v>
      </c>
      <c r="K31" s="24" t="s">
        <v>6544</v>
      </c>
      <c r="L31" s="24" t="s">
        <v>6546</v>
      </c>
      <c r="M31" s="44">
        <v>119900</v>
      </c>
      <c r="N31" s="36" t="s">
        <v>2569</v>
      </c>
      <c r="O31" s="14" t="s">
        <v>2577</v>
      </c>
      <c r="P31" s="36" t="s">
        <v>2569</v>
      </c>
    </row>
    <row r="32" spans="1:16" s="33" customFormat="1" x14ac:dyDescent="0.35">
      <c r="A32" s="14" t="s">
        <v>6513</v>
      </c>
      <c r="B32" s="35">
        <f t="shared" si="0"/>
        <v>46086</v>
      </c>
      <c r="C32" s="35">
        <f t="shared" si="1"/>
        <v>46092</v>
      </c>
      <c r="D32" s="34">
        <v>3321</v>
      </c>
      <c r="E32" s="14">
        <v>337</v>
      </c>
      <c r="F32" s="14">
        <v>4</v>
      </c>
      <c r="G32" s="24">
        <v>1</v>
      </c>
      <c r="H32" s="24">
        <v>81462</v>
      </c>
      <c r="I32" s="34" t="s">
        <v>2690</v>
      </c>
      <c r="J32" s="24">
        <v>54462394</v>
      </c>
      <c r="K32" s="24" t="s">
        <v>6544</v>
      </c>
      <c r="L32" s="24" t="s">
        <v>6547</v>
      </c>
      <c r="M32" s="44">
        <v>119900</v>
      </c>
      <c r="N32" s="36" t="s">
        <v>2569</v>
      </c>
      <c r="O32" s="14" t="s">
        <v>2577</v>
      </c>
      <c r="P32" s="36" t="s">
        <v>2569</v>
      </c>
    </row>
    <row r="33" spans="1:16" s="33" customFormat="1" x14ac:dyDescent="0.35">
      <c r="A33" s="14" t="s">
        <v>6513</v>
      </c>
      <c r="B33" s="35">
        <f t="shared" si="0"/>
        <v>46086</v>
      </c>
      <c r="C33" s="35">
        <f t="shared" si="1"/>
        <v>46092</v>
      </c>
      <c r="D33" s="34">
        <v>3321</v>
      </c>
      <c r="E33" s="14">
        <v>337</v>
      </c>
      <c r="F33" s="14">
        <v>4</v>
      </c>
      <c r="G33" s="24">
        <v>1</v>
      </c>
      <c r="H33" s="24">
        <v>81462</v>
      </c>
      <c r="I33" s="34" t="s">
        <v>2690</v>
      </c>
      <c r="J33" s="24">
        <v>54462401</v>
      </c>
      <c r="K33" s="24" t="s">
        <v>6544</v>
      </c>
      <c r="L33" s="24" t="s">
        <v>6548</v>
      </c>
      <c r="M33" s="44">
        <v>119900</v>
      </c>
      <c r="N33" s="36" t="s">
        <v>2569</v>
      </c>
      <c r="O33" s="14" t="s">
        <v>2577</v>
      </c>
      <c r="P33" s="36" t="s">
        <v>2569</v>
      </c>
    </row>
  </sheetData>
  <autoFilter ref="A1:P1" xr:uid="{12EBC60E-AE13-44BD-93B6-3A7F8DEBA866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176"/>
  <sheetViews>
    <sheetView zoomScale="66" zoomScaleNormal="115" workbookViewId="0">
      <pane ySplit="1" topLeftCell="A11" activePane="bottomLeft" state="frozen"/>
      <selection activeCell="M23" sqref="M23"/>
      <selection pane="bottomLeft" activeCell="G20" sqref="G20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3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9" customWidth="1"/>
    <col min="13" max="13" width="16.36328125" style="39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42">
        <f>'2025 AUG B1G1-3321'!B87</f>
        <v>46086</v>
      </c>
      <c r="C2" s="42">
        <f>'2025 AUG B1G1-3321'!C87</f>
        <v>46092</v>
      </c>
      <c r="D2" s="51">
        <v>3321</v>
      </c>
      <c r="E2" s="52">
        <v>337</v>
      </c>
      <c r="F2" s="53">
        <v>4</v>
      </c>
      <c r="G2" s="25">
        <v>4</v>
      </c>
      <c r="H2" s="25">
        <v>81588</v>
      </c>
      <c r="I2" s="34" t="s">
        <v>2690</v>
      </c>
      <c r="J2" s="24">
        <v>51607135</v>
      </c>
      <c r="K2" s="24" t="s">
        <v>4538</v>
      </c>
      <c r="L2" s="24" t="s">
        <v>4539</v>
      </c>
      <c r="M2" s="26">
        <v>199900</v>
      </c>
      <c r="N2" s="36" t="s">
        <v>2569</v>
      </c>
      <c r="O2" s="14" t="s">
        <v>2586</v>
      </c>
      <c r="P2" s="36" t="s">
        <v>2569</v>
      </c>
    </row>
    <row r="3" spans="1:16" x14ac:dyDescent="0.35">
      <c r="A3" s="14" t="s">
        <v>6511</v>
      </c>
      <c r="B3" s="35">
        <f>B2</f>
        <v>46086</v>
      </c>
      <c r="C3" s="35">
        <f>C2</f>
        <v>46092</v>
      </c>
      <c r="D3" s="51">
        <v>3321</v>
      </c>
      <c r="E3" s="52">
        <v>337</v>
      </c>
      <c r="F3" s="53">
        <v>4</v>
      </c>
      <c r="G3" s="25">
        <v>4</v>
      </c>
      <c r="H3" s="25">
        <v>81588</v>
      </c>
      <c r="I3" s="34" t="s">
        <v>2690</v>
      </c>
      <c r="J3" s="24">
        <v>51607144</v>
      </c>
      <c r="K3" s="24" t="s">
        <v>4538</v>
      </c>
      <c r="L3" s="24" t="s">
        <v>4542</v>
      </c>
      <c r="M3" s="26">
        <v>199900</v>
      </c>
      <c r="N3" s="36" t="s">
        <v>2569</v>
      </c>
      <c r="O3" s="14" t="s">
        <v>2586</v>
      </c>
      <c r="P3" s="36" t="s">
        <v>2569</v>
      </c>
    </row>
    <row r="4" spans="1:16" x14ac:dyDescent="0.35">
      <c r="A4" s="14" t="s">
        <v>6511</v>
      </c>
      <c r="B4" s="35">
        <f t="shared" ref="B4:C5" si="0">B3</f>
        <v>46086</v>
      </c>
      <c r="C4" s="35">
        <f t="shared" si="0"/>
        <v>46092</v>
      </c>
      <c r="D4" s="51">
        <v>3321</v>
      </c>
      <c r="E4" s="52">
        <v>337</v>
      </c>
      <c r="F4" s="53">
        <v>4</v>
      </c>
      <c r="G4" s="25">
        <v>4</v>
      </c>
      <c r="H4" s="25">
        <v>81588</v>
      </c>
      <c r="I4" s="34" t="s">
        <v>2690</v>
      </c>
      <c r="J4" s="24">
        <v>51607153</v>
      </c>
      <c r="K4" s="24" t="s">
        <v>4538</v>
      </c>
      <c r="L4" s="24" t="s">
        <v>4540</v>
      </c>
      <c r="M4" s="26">
        <v>199900</v>
      </c>
      <c r="N4" s="36" t="s">
        <v>2569</v>
      </c>
      <c r="O4" s="14" t="s">
        <v>2586</v>
      </c>
      <c r="P4" s="36" t="s">
        <v>2569</v>
      </c>
    </row>
    <row r="5" spans="1:16" x14ac:dyDescent="0.35">
      <c r="A5" s="14" t="s">
        <v>6511</v>
      </c>
      <c r="B5" s="35">
        <f t="shared" si="0"/>
        <v>46086</v>
      </c>
      <c r="C5" s="35">
        <f t="shared" si="0"/>
        <v>46092</v>
      </c>
      <c r="D5" s="51">
        <v>3321</v>
      </c>
      <c r="E5" s="52">
        <v>337</v>
      </c>
      <c r="F5" s="53">
        <v>4</v>
      </c>
      <c r="G5" s="25">
        <v>4</v>
      </c>
      <c r="H5" s="25">
        <v>81588</v>
      </c>
      <c r="I5" s="34" t="s">
        <v>2690</v>
      </c>
      <c r="J5" s="24">
        <v>51607162</v>
      </c>
      <c r="K5" s="24" t="s">
        <v>4538</v>
      </c>
      <c r="L5" s="24" t="s">
        <v>4541</v>
      </c>
      <c r="M5" s="26">
        <v>199900</v>
      </c>
      <c r="N5" s="36" t="s">
        <v>2569</v>
      </c>
      <c r="O5" s="14" t="s">
        <v>2586</v>
      </c>
      <c r="P5" s="36" t="s">
        <v>2569</v>
      </c>
    </row>
    <row r="6" spans="1:16" x14ac:dyDescent="0.35">
      <c r="A6" s="14" t="s">
        <v>6511</v>
      </c>
      <c r="B6" s="35">
        <f t="shared" ref="B6:B69" si="1">B5</f>
        <v>46086</v>
      </c>
      <c r="C6" s="35">
        <f t="shared" ref="C6:C69" si="2">C5</f>
        <v>46092</v>
      </c>
      <c r="D6" s="51">
        <v>3321</v>
      </c>
      <c r="E6" s="52">
        <v>337</v>
      </c>
      <c r="F6" s="53">
        <v>4</v>
      </c>
      <c r="G6" s="25">
        <v>4</v>
      </c>
      <c r="H6" s="25">
        <v>81588</v>
      </c>
      <c r="I6" s="34" t="s">
        <v>2690</v>
      </c>
      <c r="J6" s="24">
        <v>51837191</v>
      </c>
      <c r="K6" s="24" t="s">
        <v>4538</v>
      </c>
      <c r="L6" s="24" t="s">
        <v>4568</v>
      </c>
      <c r="M6" s="26">
        <v>199900</v>
      </c>
      <c r="N6" s="36" t="s">
        <v>2569</v>
      </c>
      <c r="O6" s="14" t="s">
        <v>2586</v>
      </c>
      <c r="P6" s="36" t="s">
        <v>2569</v>
      </c>
    </row>
    <row r="7" spans="1:16" x14ac:dyDescent="0.35">
      <c r="A7" s="14" t="s">
        <v>6511</v>
      </c>
      <c r="B7" s="35">
        <f t="shared" si="1"/>
        <v>46086</v>
      </c>
      <c r="C7" s="35">
        <f t="shared" si="2"/>
        <v>46092</v>
      </c>
      <c r="D7" s="51">
        <v>3321</v>
      </c>
      <c r="E7" s="52">
        <v>337</v>
      </c>
      <c r="F7" s="53">
        <v>4</v>
      </c>
      <c r="G7" s="25">
        <v>4</v>
      </c>
      <c r="H7" s="25">
        <v>81588</v>
      </c>
      <c r="I7" s="34" t="s">
        <v>2690</v>
      </c>
      <c r="J7" s="24">
        <v>51837208</v>
      </c>
      <c r="K7" s="24" t="s">
        <v>4538</v>
      </c>
      <c r="L7" s="24" t="s">
        <v>4569</v>
      </c>
      <c r="M7" s="26">
        <v>199900</v>
      </c>
      <c r="N7" s="36" t="s">
        <v>2569</v>
      </c>
      <c r="O7" s="14" t="s">
        <v>2586</v>
      </c>
      <c r="P7" s="36" t="s">
        <v>2569</v>
      </c>
    </row>
    <row r="8" spans="1:16" x14ac:dyDescent="0.35">
      <c r="A8" s="14" t="s">
        <v>6511</v>
      </c>
      <c r="B8" s="35">
        <f t="shared" si="1"/>
        <v>46086</v>
      </c>
      <c r="C8" s="35">
        <f t="shared" si="2"/>
        <v>46092</v>
      </c>
      <c r="D8" s="51">
        <v>3321</v>
      </c>
      <c r="E8" s="52">
        <v>337</v>
      </c>
      <c r="F8" s="53">
        <v>4</v>
      </c>
      <c r="G8" s="25">
        <v>5</v>
      </c>
      <c r="H8" s="25">
        <v>190</v>
      </c>
      <c r="I8" s="34" t="s">
        <v>2690</v>
      </c>
      <c r="J8" s="24">
        <v>51607019</v>
      </c>
      <c r="K8" s="24" t="s">
        <v>4553</v>
      </c>
      <c r="L8" s="24" t="s">
        <v>4554</v>
      </c>
      <c r="M8" s="26">
        <v>259900</v>
      </c>
      <c r="N8" s="36" t="s">
        <v>2569</v>
      </c>
      <c r="O8" s="14" t="s">
        <v>2586</v>
      </c>
      <c r="P8" s="36" t="s">
        <v>2569</v>
      </c>
    </row>
    <row r="9" spans="1:16" x14ac:dyDescent="0.35">
      <c r="A9" s="14" t="s">
        <v>6511</v>
      </c>
      <c r="B9" s="35">
        <f t="shared" si="1"/>
        <v>46086</v>
      </c>
      <c r="C9" s="35">
        <f t="shared" si="2"/>
        <v>46092</v>
      </c>
      <c r="D9" s="51">
        <v>3321</v>
      </c>
      <c r="E9" s="52">
        <v>337</v>
      </c>
      <c r="F9" s="53">
        <v>4</v>
      </c>
      <c r="G9" s="25">
        <v>5</v>
      </c>
      <c r="H9" s="25">
        <v>190</v>
      </c>
      <c r="I9" s="34" t="s">
        <v>2690</v>
      </c>
      <c r="J9" s="24">
        <v>51607028</v>
      </c>
      <c r="K9" s="24" t="s">
        <v>4553</v>
      </c>
      <c r="L9" s="24" t="s">
        <v>4556</v>
      </c>
      <c r="M9" s="26">
        <v>259900</v>
      </c>
      <c r="N9" s="36" t="s">
        <v>2569</v>
      </c>
      <c r="O9" s="14" t="s">
        <v>2586</v>
      </c>
      <c r="P9" s="36" t="s">
        <v>2569</v>
      </c>
    </row>
    <row r="10" spans="1:16" x14ac:dyDescent="0.35">
      <c r="A10" s="14" t="s">
        <v>6511</v>
      </c>
      <c r="B10" s="35">
        <f t="shared" si="1"/>
        <v>46086</v>
      </c>
      <c r="C10" s="35">
        <f t="shared" si="2"/>
        <v>46092</v>
      </c>
      <c r="D10" s="51">
        <v>3321</v>
      </c>
      <c r="E10" s="52">
        <v>337</v>
      </c>
      <c r="F10" s="53">
        <v>4</v>
      </c>
      <c r="G10" s="25">
        <v>5</v>
      </c>
      <c r="H10" s="25">
        <v>190</v>
      </c>
      <c r="I10" s="34" t="s">
        <v>2690</v>
      </c>
      <c r="J10" s="24">
        <v>51607037</v>
      </c>
      <c r="K10" s="24" t="s">
        <v>4553</v>
      </c>
      <c r="L10" s="24" t="s">
        <v>4555</v>
      </c>
      <c r="M10" s="26">
        <v>259900</v>
      </c>
      <c r="N10" s="36" t="s">
        <v>2569</v>
      </c>
      <c r="O10" s="14" t="s">
        <v>2586</v>
      </c>
      <c r="P10" s="36" t="s">
        <v>2569</v>
      </c>
    </row>
    <row r="11" spans="1:16" x14ac:dyDescent="0.35">
      <c r="A11" s="14" t="s">
        <v>6511</v>
      </c>
      <c r="B11" s="35">
        <f t="shared" si="1"/>
        <v>46086</v>
      </c>
      <c r="C11" s="35">
        <f t="shared" si="2"/>
        <v>46092</v>
      </c>
      <c r="D11" s="51">
        <v>3321</v>
      </c>
      <c r="E11" s="52">
        <v>337</v>
      </c>
      <c r="F11" s="53">
        <v>4</v>
      </c>
      <c r="G11" s="25">
        <v>5</v>
      </c>
      <c r="H11" s="25">
        <v>190</v>
      </c>
      <c r="I11" s="34" t="s">
        <v>2690</v>
      </c>
      <c r="J11" s="24">
        <v>51607046</v>
      </c>
      <c r="K11" s="24" t="s">
        <v>4553</v>
      </c>
      <c r="L11" s="24" t="s">
        <v>4557</v>
      </c>
      <c r="M11" s="26">
        <v>259900</v>
      </c>
      <c r="N11" s="36" t="s">
        <v>2569</v>
      </c>
      <c r="O11" s="14" t="s">
        <v>2586</v>
      </c>
      <c r="P11" s="36" t="s">
        <v>2569</v>
      </c>
    </row>
    <row r="12" spans="1:16" x14ac:dyDescent="0.35">
      <c r="A12" s="14" t="s">
        <v>6511</v>
      </c>
      <c r="B12" s="35">
        <f t="shared" si="1"/>
        <v>46086</v>
      </c>
      <c r="C12" s="35">
        <f t="shared" si="2"/>
        <v>46092</v>
      </c>
      <c r="D12" s="51">
        <v>3321</v>
      </c>
      <c r="E12" s="52">
        <v>337</v>
      </c>
      <c r="F12" s="53">
        <v>4</v>
      </c>
      <c r="G12" s="25">
        <v>5</v>
      </c>
      <c r="H12" s="25">
        <v>190</v>
      </c>
      <c r="I12" s="34" t="s">
        <v>2690</v>
      </c>
      <c r="J12" s="24">
        <v>51607055</v>
      </c>
      <c r="K12" s="24" t="s">
        <v>4543</v>
      </c>
      <c r="L12" s="24" t="s">
        <v>4544</v>
      </c>
      <c r="M12" s="26">
        <v>259900</v>
      </c>
      <c r="N12" s="36" t="s">
        <v>2569</v>
      </c>
      <c r="O12" s="14" t="s">
        <v>2586</v>
      </c>
      <c r="P12" s="36" t="s">
        <v>2569</v>
      </c>
    </row>
    <row r="13" spans="1:16" x14ac:dyDescent="0.35">
      <c r="A13" s="14" t="s">
        <v>6511</v>
      </c>
      <c r="B13" s="35">
        <f t="shared" si="1"/>
        <v>46086</v>
      </c>
      <c r="C13" s="35">
        <f t="shared" si="2"/>
        <v>46092</v>
      </c>
      <c r="D13" s="51">
        <v>3321</v>
      </c>
      <c r="E13" s="52">
        <v>337</v>
      </c>
      <c r="F13" s="53">
        <v>4</v>
      </c>
      <c r="G13" s="25">
        <v>5</v>
      </c>
      <c r="H13" s="25">
        <v>190</v>
      </c>
      <c r="I13" s="34" t="s">
        <v>2690</v>
      </c>
      <c r="J13" s="24">
        <v>51607064</v>
      </c>
      <c r="K13" s="24" t="s">
        <v>4543</v>
      </c>
      <c r="L13" s="24" t="s">
        <v>4547</v>
      </c>
      <c r="M13" s="26">
        <v>259900</v>
      </c>
      <c r="N13" s="36" t="s">
        <v>2569</v>
      </c>
      <c r="O13" s="14" t="s">
        <v>2586</v>
      </c>
      <c r="P13" s="36" t="s">
        <v>2569</v>
      </c>
    </row>
    <row r="14" spans="1:16" x14ac:dyDescent="0.35">
      <c r="A14" s="14" t="s">
        <v>6511</v>
      </c>
      <c r="B14" s="35">
        <f t="shared" si="1"/>
        <v>46086</v>
      </c>
      <c r="C14" s="35">
        <f t="shared" si="2"/>
        <v>46092</v>
      </c>
      <c r="D14" s="51">
        <v>3321</v>
      </c>
      <c r="E14" s="52">
        <v>337</v>
      </c>
      <c r="F14" s="53">
        <v>4</v>
      </c>
      <c r="G14" s="25">
        <v>5</v>
      </c>
      <c r="H14" s="25">
        <v>190</v>
      </c>
      <c r="I14" s="34" t="s">
        <v>2690</v>
      </c>
      <c r="J14" s="24">
        <v>51607073</v>
      </c>
      <c r="K14" s="24" t="s">
        <v>4543</v>
      </c>
      <c r="L14" s="24" t="s">
        <v>4546</v>
      </c>
      <c r="M14" s="26">
        <v>259900</v>
      </c>
      <c r="N14" s="36" t="s">
        <v>2569</v>
      </c>
      <c r="O14" s="14" t="s">
        <v>2586</v>
      </c>
      <c r="P14" s="36" t="s">
        <v>2569</v>
      </c>
    </row>
    <row r="15" spans="1:16" x14ac:dyDescent="0.35">
      <c r="A15" s="14" t="s">
        <v>6511</v>
      </c>
      <c r="B15" s="35">
        <f t="shared" si="1"/>
        <v>46086</v>
      </c>
      <c r="C15" s="35">
        <f t="shared" si="2"/>
        <v>46092</v>
      </c>
      <c r="D15" s="51">
        <v>3321</v>
      </c>
      <c r="E15" s="52">
        <v>337</v>
      </c>
      <c r="F15" s="53">
        <v>4</v>
      </c>
      <c r="G15" s="25">
        <v>5</v>
      </c>
      <c r="H15" s="25">
        <v>190</v>
      </c>
      <c r="I15" s="34" t="s">
        <v>2690</v>
      </c>
      <c r="J15" s="24">
        <v>51607082</v>
      </c>
      <c r="K15" s="24" t="s">
        <v>4543</v>
      </c>
      <c r="L15" s="24" t="s">
        <v>4545</v>
      </c>
      <c r="M15" s="26">
        <v>259900</v>
      </c>
      <c r="N15" s="36" t="s">
        <v>2569</v>
      </c>
      <c r="O15" s="14" t="s">
        <v>2586</v>
      </c>
      <c r="P15" s="36" t="s">
        <v>2569</v>
      </c>
    </row>
    <row r="16" spans="1:16" x14ac:dyDescent="0.35">
      <c r="A16" s="14" t="s">
        <v>6511</v>
      </c>
      <c r="B16" s="35">
        <f t="shared" si="1"/>
        <v>46086</v>
      </c>
      <c r="C16" s="35">
        <f t="shared" si="2"/>
        <v>46092</v>
      </c>
      <c r="D16" s="51">
        <v>3321</v>
      </c>
      <c r="E16" s="52">
        <v>337</v>
      </c>
      <c r="F16" s="53">
        <v>4</v>
      </c>
      <c r="G16" s="25">
        <v>5</v>
      </c>
      <c r="H16" s="25">
        <v>190</v>
      </c>
      <c r="I16" s="34" t="s">
        <v>2690</v>
      </c>
      <c r="J16" s="24">
        <v>51607091</v>
      </c>
      <c r="K16" s="24" t="s">
        <v>4548</v>
      </c>
      <c r="L16" s="24" t="s">
        <v>4551</v>
      </c>
      <c r="M16" s="26">
        <v>259900</v>
      </c>
      <c r="N16" s="36" t="s">
        <v>2569</v>
      </c>
      <c r="O16" s="14" t="s">
        <v>2586</v>
      </c>
      <c r="P16" s="36" t="s">
        <v>2569</v>
      </c>
    </row>
    <row r="17" spans="1:16" x14ac:dyDescent="0.35">
      <c r="A17" s="14" t="s">
        <v>6511</v>
      </c>
      <c r="B17" s="35">
        <f t="shared" si="1"/>
        <v>46086</v>
      </c>
      <c r="C17" s="35">
        <f t="shared" si="2"/>
        <v>46092</v>
      </c>
      <c r="D17" s="51">
        <v>3321</v>
      </c>
      <c r="E17" s="52">
        <v>337</v>
      </c>
      <c r="F17" s="53">
        <v>4</v>
      </c>
      <c r="G17" s="25">
        <v>5</v>
      </c>
      <c r="H17" s="25">
        <v>190</v>
      </c>
      <c r="I17" s="34" t="s">
        <v>2690</v>
      </c>
      <c r="J17" s="24">
        <v>51607108</v>
      </c>
      <c r="K17" s="24" t="s">
        <v>4548</v>
      </c>
      <c r="L17" s="24" t="s">
        <v>4550</v>
      </c>
      <c r="M17" s="26">
        <v>259900</v>
      </c>
      <c r="N17" s="36" t="s">
        <v>2569</v>
      </c>
      <c r="O17" s="14" t="s">
        <v>2586</v>
      </c>
      <c r="P17" s="36" t="s">
        <v>2569</v>
      </c>
    </row>
    <row r="18" spans="1:16" x14ac:dyDescent="0.35">
      <c r="A18" s="14" t="s">
        <v>6511</v>
      </c>
      <c r="B18" s="35">
        <f t="shared" si="1"/>
        <v>46086</v>
      </c>
      <c r="C18" s="35">
        <f t="shared" si="2"/>
        <v>46092</v>
      </c>
      <c r="D18" s="51">
        <v>3321</v>
      </c>
      <c r="E18" s="52">
        <v>337</v>
      </c>
      <c r="F18" s="53">
        <v>4</v>
      </c>
      <c r="G18" s="25">
        <v>5</v>
      </c>
      <c r="H18" s="25">
        <v>190</v>
      </c>
      <c r="I18" s="34" t="s">
        <v>2690</v>
      </c>
      <c r="J18" s="24">
        <v>51607117</v>
      </c>
      <c r="K18" s="24" t="s">
        <v>4548</v>
      </c>
      <c r="L18" s="24" t="s">
        <v>4549</v>
      </c>
      <c r="M18" s="26">
        <v>259900</v>
      </c>
      <c r="N18" s="36" t="s">
        <v>2569</v>
      </c>
      <c r="O18" s="14" t="s">
        <v>2586</v>
      </c>
      <c r="P18" s="36" t="s">
        <v>2569</v>
      </c>
    </row>
    <row r="19" spans="1:16" x14ac:dyDescent="0.35">
      <c r="A19" s="14" t="s">
        <v>6511</v>
      </c>
      <c r="B19" s="35">
        <f t="shared" si="1"/>
        <v>46086</v>
      </c>
      <c r="C19" s="35">
        <f t="shared" si="2"/>
        <v>46092</v>
      </c>
      <c r="D19" s="51">
        <v>3321</v>
      </c>
      <c r="E19" s="52">
        <v>337</v>
      </c>
      <c r="F19" s="53">
        <v>4</v>
      </c>
      <c r="G19" s="25">
        <v>5</v>
      </c>
      <c r="H19" s="25">
        <v>190</v>
      </c>
      <c r="I19" s="34" t="s">
        <v>2690</v>
      </c>
      <c r="J19" s="24">
        <v>51607126</v>
      </c>
      <c r="K19" s="24" t="s">
        <v>4548</v>
      </c>
      <c r="L19" s="24" t="s">
        <v>4552</v>
      </c>
      <c r="M19" s="26">
        <v>259900</v>
      </c>
      <c r="N19" s="36" t="s">
        <v>2569</v>
      </c>
      <c r="O19" s="14" t="s">
        <v>2586</v>
      </c>
      <c r="P19" s="36" t="s">
        <v>2569</v>
      </c>
    </row>
    <row r="20" spans="1:16" x14ac:dyDescent="0.35">
      <c r="A20" s="14" t="s">
        <v>6511</v>
      </c>
      <c r="B20" s="35">
        <f t="shared" si="1"/>
        <v>46086</v>
      </c>
      <c r="C20" s="35">
        <f t="shared" si="2"/>
        <v>46092</v>
      </c>
      <c r="D20" s="51">
        <v>3321</v>
      </c>
      <c r="E20" s="52">
        <v>337</v>
      </c>
      <c r="F20" s="53">
        <v>4</v>
      </c>
      <c r="G20" s="25">
        <v>1</v>
      </c>
      <c r="H20" s="25">
        <v>81676</v>
      </c>
      <c r="I20" s="34" t="s">
        <v>2690</v>
      </c>
      <c r="J20" s="24">
        <v>52132959</v>
      </c>
      <c r="K20" s="24" t="s">
        <v>4790</v>
      </c>
      <c r="L20" s="24" t="s">
        <v>4792</v>
      </c>
      <c r="M20" s="26">
        <v>139900</v>
      </c>
      <c r="N20" s="36" t="s">
        <v>2569</v>
      </c>
      <c r="O20" s="14" t="s">
        <v>2586</v>
      </c>
      <c r="P20" s="36" t="s">
        <v>2569</v>
      </c>
    </row>
    <row r="21" spans="1:16" x14ac:dyDescent="0.35">
      <c r="A21" s="14" t="s">
        <v>6511</v>
      </c>
      <c r="B21" s="35">
        <f t="shared" si="1"/>
        <v>46086</v>
      </c>
      <c r="C21" s="35">
        <f t="shared" si="2"/>
        <v>46092</v>
      </c>
      <c r="D21" s="51">
        <v>3321</v>
      </c>
      <c r="E21" s="52">
        <v>337</v>
      </c>
      <c r="F21" s="53">
        <v>4</v>
      </c>
      <c r="G21" s="25">
        <v>1</v>
      </c>
      <c r="H21" s="25">
        <v>81676</v>
      </c>
      <c r="I21" s="34" t="s">
        <v>2690</v>
      </c>
      <c r="J21" s="24">
        <v>52132968</v>
      </c>
      <c r="K21" s="24" t="s">
        <v>4790</v>
      </c>
      <c r="L21" s="24" t="s">
        <v>4793</v>
      </c>
      <c r="M21" s="26">
        <v>139900</v>
      </c>
      <c r="N21" s="36" t="s">
        <v>2569</v>
      </c>
      <c r="O21" s="14" t="s">
        <v>2586</v>
      </c>
      <c r="P21" s="36" t="s">
        <v>2569</v>
      </c>
    </row>
    <row r="22" spans="1:16" x14ac:dyDescent="0.35">
      <c r="A22" s="14" t="s">
        <v>6511</v>
      </c>
      <c r="B22" s="35">
        <f t="shared" si="1"/>
        <v>46086</v>
      </c>
      <c r="C22" s="35">
        <f t="shared" si="2"/>
        <v>46092</v>
      </c>
      <c r="D22" s="51">
        <v>3321</v>
      </c>
      <c r="E22" s="52">
        <v>337</v>
      </c>
      <c r="F22" s="53">
        <v>4</v>
      </c>
      <c r="G22" s="25">
        <v>1</v>
      </c>
      <c r="H22" s="25">
        <v>81676</v>
      </c>
      <c r="I22" s="34" t="s">
        <v>2690</v>
      </c>
      <c r="J22" s="24">
        <v>52132977</v>
      </c>
      <c r="K22" s="24" t="s">
        <v>4790</v>
      </c>
      <c r="L22" s="24" t="s">
        <v>4791</v>
      </c>
      <c r="M22" s="26">
        <v>139900</v>
      </c>
      <c r="N22" s="36" t="s">
        <v>2569</v>
      </c>
      <c r="O22" s="14" t="s">
        <v>2586</v>
      </c>
      <c r="P22" s="36" t="s">
        <v>2569</v>
      </c>
    </row>
    <row r="23" spans="1:16" x14ac:dyDescent="0.35">
      <c r="A23" s="14" t="s">
        <v>6511</v>
      </c>
      <c r="B23" s="35">
        <f t="shared" si="1"/>
        <v>46086</v>
      </c>
      <c r="C23" s="35">
        <f t="shared" si="2"/>
        <v>46092</v>
      </c>
      <c r="D23" s="51">
        <v>3321</v>
      </c>
      <c r="E23" s="52">
        <v>337</v>
      </c>
      <c r="F23" s="53">
        <v>4</v>
      </c>
      <c r="G23" s="25">
        <v>1</v>
      </c>
      <c r="H23" s="25">
        <v>81676</v>
      </c>
      <c r="I23" s="34" t="s">
        <v>2690</v>
      </c>
      <c r="J23" s="24">
        <v>52132986</v>
      </c>
      <c r="K23" s="24" t="s">
        <v>4790</v>
      </c>
      <c r="L23" s="24" t="s">
        <v>4794</v>
      </c>
      <c r="M23" s="26">
        <v>139900</v>
      </c>
      <c r="N23" s="36" t="s">
        <v>2569</v>
      </c>
      <c r="O23" s="14" t="s">
        <v>2586</v>
      </c>
      <c r="P23" s="36" t="s">
        <v>2569</v>
      </c>
    </row>
    <row r="24" spans="1:16" x14ac:dyDescent="0.35">
      <c r="A24" s="14" t="s">
        <v>6511</v>
      </c>
      <c r="B24" s="35">
        <f t="shared" si="1"/>
        <v>46086</v>
      </c>
      <c r="C24" s="35">
        <f t="shared" si="2"/>
        <v>46092</v>
      </c>
      <c r="D24" s="51">
        <v>3321</v>
      </c>
      <c r="E24" s="52">
        <v>337</v>
      </c>
      <c r="F24" s="53">
        <v>4</v>
      </c>
      <c r="G24" s="25">
        <v>1</v>
      </c>
      <c r="H24" s="25">
        <v>81676</v>
      </c>
      <c r="I24" s="34" t="s">
        <v>2690</v>
      </c>
      <c r="J24" s="24">
        <v>52132995</v>
      </c>
      <c r="K24" s="24" t="s">
        <v>4785</v>
      </c>
      <c r="L24" s="24" t="s">
        <v>4789</v>
      </c>
      <c r="M24" s="26">
        <v>139900</v>
      </c>
      <c r="N24" s="36" t="s">
        <v>2569</v>
      </c>
      <c r="O24" s="14" t="s">
        <v>2586</v>
      </c>
      <c r="P24" s="36" t="s">
        <v>2569</v>
      </c>
    </row>
    <row r="25" spans="1:16" x14ac:dyDescent="0.35">
      <c r="A25" s="14" t="s">
        <v>6511</v>
      </c>
      <c r="B25" s="35">
        <f t="shared" si="1"/>
        <v>46086</v>
      </c>
      <c r="C25" s="35">
        <f t="shared" si="2"/>
        <v>46092</v>
      </c>
      <c r="D25" s="51">
        <v>3321</v>
      </c>
      <c r="E25" s="52">
        <v>337</v>
      </c>
      <c r="F25" s="53">
        <v>4</v>
      </c>
      <c r="G25" s="25">
        <v>1</v>
      </c>
      <c r="H25" s="25">
        <v>81676</v>
      </c>
      <c r="I25" s="34" t="s">
        <v>2690</v>
      </c>
      <c r="J25" s="24">
        <v>52133001</v>
      </c>
      <c r="K25" s="24" t="s">
        <v>4785</v>
      </c>
      <c r="L25" s="24" t="s">
        <v>4788</v>
      </c>
      <c r="M25" s="26">
        <v>139900</v>
      </c>
      <c r="N25" s="36" t="s">
        <v>2569</v>
      </c>
      <c r="O25" s="14" t="s">
        <v>2586</v>
      </c>
      <c r="P25" s="36" t="s">
        <v>2569</v>
      </c>
    </row>
    <row r="26" spans="1:16" x14ac:dyDescent="0.35">
      <c r="A26" s="14" t="s">
        <v>6511</v>
      </c>
      <c r="B26" s="35">
        <f t="shared" si="1"/>
        <v>46086</v>
      </c>
      <c r="C26" s="35">
        <f t="shared" si="2"/>
        <v>46092</v>
      </c>
      <c r="D26" s="51">
        <v>3321</v>
      </c>
      <c r="E26" s="52">
        <v>337</v>
      </c>
      <c r="F26" s="53">
        <v>4</v>
      </c>
      <c r="G26" s="25">
        <v>1</v>
      </c>
      <c r="H26" s="25">
        <v>81676</v>
      </c>
      <c r="I26" s="34" t="s">
        <v>2690</v>
      </c>
      <c r="J26" s="24">
        <v>52133010</v>
      </c>
      <c r="K26" s="24" t="s">
        <v>4785</v>
      </c>
      <c r="L26" s="24" t="s">
        <v>4786</v>
      </c>
      <c r="M26" s="26">
        <v>139900</v>
      </c>
      <c r="N26" s="36" t="s">
        <v>2569</v>
      </c>
      <c r="O26" s="14" t="s">
        <v>2586</v>
      </c>
      <c r="P26" s="36" t="s">
        <v>2569</v>
      </c>
    </row>
    <row r="27" spans="1:16" x14ac:dyDescent="0.35">
      <c r="A27" s="14" t="s">
        <v>6511</v>
      </c>
      <c r="B27" s="35">
        <f t="shared" si="1"/>
        <v>46086</v>
      </c>
      <c r="C27" s="35">
        <f t="shared" si="2"/>
        <v>46092</v>
      </c>
      <c r="D27" s="51">
        <v>3321</v>
      </c>
      <c r="E27" s="52">
        <v>337</v>
      </c>
      <c r="F27" s="53">
        <v>4</v>
      </c>
      <c r="G27" s="25">
        <v>1</v>
      </c>
      <c r="H27" s="25">
        <v>81676</v>
      </c>
      <c r="I27" s="34" t="s">
        <v>2690</v>
      </c>
      <c r="J27" s="24">
        <v>52133029</v>
      </c>
      <c r="K27" s="24" t="s">
        <v>4785</v>
      </c>
      <c r="L27" s="24" t="s">
        <v>4787</v>
      </c>
      <c r="M27" s="26">
        <v>139900</v>
      </c>
      <c r="N27" s="36" t="s">
        <v>2569</v>
      </c>
      <c r="O27" s="14" t="s">
        <v>2586</v>
      </c>
      <c r="P27" s="36" t="s">
        <v>2569</v>
      </c>
    </row>
    <row r="28" spans="1:16" x14ac:dyDescent="0.35">
      <c r="A28" s="14" t="s">
        <v>6511</v>
      </c>
      <c r="B28" s="35">
        <f t="shared" si="1"/>
        <v>46086</v>
      </c>
      <c r="C28" s="35">
        <f t="shared" si="2"/>
        <v>46092</v>
      </c>
      <c r="D28" s="51">
        <v>3321</v>
      </c>
      <c r="E28" s="52">
        <v>337</v>
      </c>
      <c r="F28" s="53">
        <v>4</v>
      </c>
      <c r="G28" s="25">
        <v>1</v>
      </c>
      <c r="H28" s="25">
        <v>81588</v>
      </c>
      <c r="I28" s="34" t="s">
        <v>2690</v>
      </c>
      <c r="J28" s="24">
        <v>51606896</v>
      </c>
      <c r="K28" s="24" t="s">
        <v>4570</v>
      </c>
      <c r="L28" s="24" t="s">
        <v>4572</v>
      </c>
      <c r="M28" s="26">
        <v>149900</v>
      </c>
      <c r="N28" s="36" t="s">
        <v>2569</v>
      </c>
      <c r="O28" s="14" t="s">
        <v>2586</v>
      </c>
      <c r="P28" s="36" t="s">
        <v>2569</v>
      </c>
    </row>
    <row r="29" spans="1:16" x14ac:dyDescent="0.35">
      <c r="A29" s="14" t="s">
        <v>6511</v>
      </c>
      <c r="B29" s="35">
        <f t="shared" si="1"/>
        <v>46086</v>
      </c>
      <c r="C29" s="35">
        <f t="shared" si="2"/>
        <v>46092</v>
      </c>
      <c r="D29" s="51">
        <v>3321</v>
      </c>
      <c r="E29" s="52">
        <v>337</v>
      </c>
      <c r="F29" s="53">
        <v>4</v>
      </c>
      <c r="G29" s="25">
        <v>1</v>
      </c>
      <c r="H29" s="25">
        <v>81588</v>
      </c>
      <c r="I29" s="34" t="s">
        <v>2690</v>
      </c>
      <c r="J29" s="24">
        <v>51606903</v>
      </c>
      <c r="K29" s="24" t="s">
        <v>4570</v>
      </c>
      <c r="L29" s="24" t="s">
        <v>4573</v>
      </c>
      <c r="M29" s="26">
        <v>149900</v>
      </c>
      <c r="N29" s="36" t="s">
        <v>2569</v>
      </c>
      <c r="O29" s="14" t="s">
        <v>2586</v>
      </c>
      <c r="P29" s="36" t="s">
        <v>2569</v>
      </c>
    </row>
    <row r="30" spans="1:16" x14ac:dyDescent="0.35">
      <c r="A30" s="14" t="s">
        <v>6511</v>
      </c>
      <c r="B30" s="35">
        <f t="shared" si="1"/>
        <v>46086</v>
      </c>
      <c r="C30" s="35">
        <f t="shared" si="2"/>
        <v>46092</v>
      </c>
      <c r="D30" s="51">
        <v>3321</v>
      </c>
      <c r="E30" s="52">
        <v>337</v>
      </c>
      <c r="F30" s="53">
        <v>4</v>
      </c>
      <c r="G30" s="25">
        <v>1</v>
      </c>
      <c r="H30" s="25">
        <v>81588</v>
      </c>
      <c r="I30" s="34" t="s">
        <v>2690</v>
      </c>
      <c r="J30" s="24">
        <v>51606912</v>
      </c>
      <c r="K30" s="24" t="s">
        <v>4570</v>
      </c>
      <c r="L30" s="24" t="s">
        <v>4574</v>
      </c>
      <c r="M30" s="26">
        <v>149900</v>
      </c>
      <c r="N30" s="36" t="s">
        <v>2569</v>
      </c>
      <c r="O30" s="14" t="s">
        <v>2586</v>
      </c>
      <c r="P30" s="36" t="s">
        <v>2569</v>
      </c>
    </row>
    <row r="31" spans="1:16" x14ac:dyDescent="0.35">
      <c r="A31" s="14" t="s">
        <v>6511</v>
      </c>
      <c r="B31" s="35">
        <f t="shared" si="1"/>
        <v>46086</v>
      </c>
      <c r="C31" s="35">
        <f t="shared" si="2"/>
        <v>46092</v>
      </c>
      <c r="D31" s="51">
        <v>3321</v>
      </c>
      <c r="E31" s="52">
        <v>337</v>
      </c>
      <c r="F31" s="53">
        <v>4</v>
      </c>
      <c r="G31" s="25">
        <v>1</v>
      </c>
      <c r="H31" s="25">
        <v>81588</v>
      </c>
      <c r="I31" s="34" t="s">
        <v>2690</v>
      </c>
      <c r="J31" s="24">
        <v>51606921</v>
      </c>
      <c r="K31" s="24" t="s">
        <v>4570</v>
      </c>
      <c r="L31" s="24" t="s">
        <v>4571</v>
      </c>
      <c r="M31" s="26">
        <v>149900</v>
      </c>
      <c r="N31" s="36" t="s">
        <v>2569</v>
      </c>
      <c r="O31" s="14" t="s">
        <v>2586</v>
      </c>
      <c r="P31" s="36" t="s">
        <v>2569</v>
      </c>
    </row>
    <row r="32" spans="1:16" x14ac:dyDescent="0.35">
      <c r="A32" s="14" t="s">
        <v>6511</v>
      </c>
      <c r="B32" s="35">
        <f t="shared" si="1"/>
        <v>46086</v>
      </c>
      <c r="C32" s="35">
        <f t="shared" si="2"/>
        <v>46092</v>
      </c>
      <c r="D32" s="51">
        <v>3321</v>
      </c>
      <c r="E32" s="52">
        <v>337</v>
      </c>
      <c r="F32" s="53">
        <v>4</v>
      </c>
      <c r="G32" s="25">
        <v>1</v>
      </c>
      <c r="H32" s="25">
        <v>81588</v>
      </c>
      <c r="I32" s="34" t="s">
        <v>2690</v>
      </c>
      <c r="J32" s="24">
        <v>51606976</v>
      </c>
      <c r="K32" s="24" t="s">
        <v>4580</v>
      </c>
      <c r="L32" s="24" t="s">
        <v>4582</v>
      </c>
      <c r="M32" s="26">
        <v>149900</v>
      </c>
      <c r="N32" s="36" t="s">
        <v>2569</v>
      </c>
      <c r="O32" s="14" t="s">
        <v>2586</v>
      </c>
      <c r="P32" s="36" t="s">
        <v>2569</v>
      </c>
    </row>
    <row r="33" spans="1:16" x14ac:dyDescent="0.35">
      <c r="A33" s="14" t="s">
        <v>6511</v>
      </c>
      <c r="B33" s="35">
        <f t="shared" si="1"/>
        <v>46086</v>
      </c>
      <c r="C33" s="35">
        <f t="shared" si="2"/>
        <v>46092</v>
      </c>
      <c r="D33" s="51">
        <v>3321</v>
      </c>
      <c r="E33" s="52">
        <v>337</v>
      </c>
      <c r="F33" s="53">
        <v>4</v>
      </c>
      <c r="G33" s="25">
        <v>1</v>
      </c>
      <c r="H33" s="25">
        <v>81588</v>
      </c>
      <c r="I33" s="34" t="s">
        <v>2690</v>
      </c>
      <c r="J33" s="24">
        <v>51606985</v>
      </c>
      <c r="K33" s="24" t="s">
        <v>4580</v>
      </c>
      <c r="L33" s="24" t="s">
        <v>4581</v>
      </c>
      <c r="M33" s="26">
        <v>149900</v>
      </c>
      <c r="N33" s="36" t="s">
        <v>2569</v>
      </c>
      <c r="O33" s="14" t="s">
        <v>2586</v>
      </c>
      <c r="P33" s="36" t="s">
        <v>2569</v>
      </c>
    </row>
    <row r="34" spans="1:16" x14ac:dyDescent="0.35">
      <c r="A34" s="14" t="s">
        <v>6511</v>
      </c>
      <c r="B34" s="35">
        <f t="shared" si="1"/>
        <v>46086</v>
      </c>
      <c r="C34" s="35">
        <f t="shared" si="2"/>
        <v>46092</v>
      </c>
      <c r="D34" s="51">
        <v>3321</v>
      </c>
      <c r="E34" s="52">
        <v>337</v>
      </c>
      <c r="F34" s="53">
        <v>4</v>
      </c>
      <c r="G34" s="25">
        <v>1</v>
      </c>
      <c r="H34" s="25">
        <v>81588</v>
      </c>
      <c r="I34" s="34" t="s">
        <v>2690</v>
      </c>
      <c r="J34" s="24">
        <v>51606994</v>
      </c>
      <c r="K34" s="24" t="s">
        <v>4580</v>
      </c>
      <c r="L34" s="24" t="s">
        <v>4583</v>
      </c>
      <c r="M34" s="26">
        <v>149900</v>
      </c>
      <c r="N34" s="36" t="s">
        <v>2569</v>
      </c>
      <c r="O34" s="14" t="s">
        <v>2586</v>
      </c>
      <c r="P34" s="36" t="s">
        <v>2569</v>
      </c>
    </row>
    <row r="35" spans="1:16" x14ac:dyDescent="0.35">
      <c r="A35" s="14" t="s">
        <v>6511</v>
      </c>
      <c r="B35" s="35">
        <f t="shared" si="1"/>
        <v>46086</v>
      </c>
      <c r="C35" s="35">
        <f t="shared" si="2"/>
        <v>46092</v>
      </c>
      <c r="D35" s="51">
        <v>3321</v>
      </c>
      <c r="E35" s="52">
        <v>337</v>
      </c>
      <c r="F35" s="53">
        <v>4</v>
      </c>
      <c r="G35" s="25">
        <v>1</v>
      </c>
      <c r="H35" s="25">
        <v>81588</v>
      </c>
      <c r="I35" s="34" t="s">
        <v>2690</v>
      </c>
      <c r="J35" s="24">
        <v>51607000</v>
      </c>
      <c r="K35" s="24" t="s">
        <v>4580</v>
      </c>
      <c r="L35" s="24" t="s">
        <v>4584</v>
      </c>
      <c r="M35" s="26">
        <v>149900</v>
      </c>
      <c r="N35" s="36" t="s">
        <v>2569</v>
      </c>
      <c r="O35" s="14" t="s">
        <v>2586</v>
      </c>
      <c r="P35" s="36" t="s">
        <v>2569</v>
      </c>
    </row>
    <row r="36" spans="1:16" x14ac:dyDescent="0.35">
      <c r="A36" s="14" t="s">
        <v>6511</v>
      </c>
      <c r="B36" s="35">
        <f t="shared" si="1"/>
        <v>46086</v>
      </c>
      <c r="C36" s="35">
        <f t="shared" si="2"/>
        <v>46092</v>
      </c>
      <c r="D36" s="51">
        <v>3321</v>
      </c>
      <c r="E36" s="52">
        <v>337</v>
      </c>
      <c r="F36" s="53">
        <v>4</v>
      </c>
      <c r="G36" s="25">
        <v>1</v>
      </c>
      <c r="H36" s="25">
        <v>81588</v>
      </c>
      <c r="I36" s="34" t="s">
        <v>2690</v>
      </c>
      <c r="J36" s="24">
        <v>51606930</v>
      </c>
      <c r="K36" s="24" t="s">
        <v>4575</v>
      </c>
      <c r="L36" s="24" t="s">
        <v>4579</v>
      </c>
      <c r="M36" s="26">
        <v>149900</v>
      </c>
      <c r="N36" s="36" t="s">
        <v>2569</v>
      </c>
      <c r="O36" s="14" t="s">
        <v>2586</v>
      </c>
      <c r="P36" s="36" t="s">
        <v>2569</v>
      </c>
    </row>
    <row r="37" spans="1:16" x14ac:dyDescent="0.35">
      <c r="A37" s="14" t="s">
        <v>6511</v>
      </c>
      <c r="B37" s="35">
        <f t="shared" si="1"/>
        <v>46086</v>
      </c>
      <c r="C37" s="35">
        <f t="shared" si="2"/>
        <v>46092</v>
      </c>
      <c r="D37" s="51">
        <v>3321</v>
      </c>
      <c r="E37" s="52">
        <v>337</v>
      </c>
      <c r="F37" s="53">
        <v>4</v>
      </c>
      <c r="G37" s="25">
        <v>1</v>
      </c>
      <c r="H37" s="25">
        <v>81588</v>
      </c>
      <c r="I37" s="34" t="s">
        <v>2690</v>
      </c>
      <c r="J37" s="24">
        <v>51606949</v>
      </c>
      <c r="K37" s="24" t="s">
        <v>4575</v>
      </c>
      <c r="L37" s="24" t="s">
        <v>4578</v>
      </c>
      <c r="M37" s="26">
        <v>149900</v>
      </c>
      <c r="N37" s="36" t="s">
        <v>2569</v>
      </c>
      <c r="O37" s="14" t="s">
        <v>2586</v>
      </c>
      <c r="P37" s="36" t="s">
        <v>2569</v>
      </c>
    </row>
    <row r="38" spans="1:16" x14ac:dyDescent="0.35">
      <c r="A38" s="14" t="s">
        <v>6511</v>
      </c>
      <c r="B38" s="35">
        <f t="shared" si="1"/>
        <v>46086</v>
      </c>
      <c r="C38" s="35">
        <f t="shared" si="2"/>
        <v>46092</v>
      </c>
      <c r="D38" s="51">
        <v>3321</v>
      </c>
      <c r="E38" s="52">
        <v>337</v>
      </c>
      <c r="F38" s="53">
        <v>4</v>
      </c>
      <c r="G38" s="25">
        <v>1</v>
      </c>
      <c r="H38" s="25">
        <v>81588</v>
      </c>
      <c r="I38" s="34" t="s">
        <v>2690</v>
      </c>
      <c r="J38" s="24">
        <v>51606958</v>
      </c>
      <c r="K38" s="24" t="s">
        <v>4575</v>
      </c>
      <c r="L38" s="24" t="s">
        <v>4576</v>
      </c>
      <c r="M38" s="26">
        <v>149900</v>
      </c>
      <c r="N38" s="36" t="s">
        <v>2569</v>
      </c>
      <c r="O38" s="14" t="s">
        <v>2586</v>
      </c>
      <c r="P38" s="36" t="s">
        <v>2569</v>
      </c>
    </row>
    <row r="39" spans="1:16" x14ac:dyDescent="0.35">
      <c r="A39" s="14" t="s">
        <v>6511</v>
      </c>
      <c r="B39" s="35">
        <f t="shared" si="1"/>
        <v>46086</v>
      </c>
      <c r="C39" s="35">
        <f t="shared" si="2"/>
        <v>46092</v>
      </c>
      <c r="D39" s="51">
        <v>3321</v>
      </c>
      <c r="E39" s="52">
        <v>337</v>
      </c>
      <c r="F39" s="53">
        <v>4</v>
      </c>
      <c r="G39" s="25">
        <v>1</v>
      </c>
      <c r="H39" s="25">
        <v>81588</v>
      </c>
      <c r="I39" s="34" t="s">
        <v>2690</v>
      </c>
      <c r="J39" s="24">
        <v>51606967</v>
      </c>
      <c r="K39" s="24" t="s">
        <v>4575</v>
      </c>
      <c r="L39" s="24" t="s">
        <v>4577</v>
      </c>
      <c r="M39" s="26">
        <v>149900</v>
      </c>
      <c r="N39" s="36" t="s">
        <v>2569</v>
      </c>
      <c r="O39" s="14" t="s">
        <v>2586</v>
      </c>
      <c r="P39" s="36" t="s">
        <v>2569</v>
      </c>
    </row>
    <row r="40" spans="1:16" x14ac:dyDescent="0.35">
      <c r="A40" s="14" t="s">
        <v>6511</v>
      </c>
      <c r="B40" s="35">
        <f t="shared" si="1"/>
        <v>46086</v>
      </c>
      <c r="C40" s="35">
        <f t="shared" si="2"/>
        <v>46092</v>
      </c>
      <c r="D40" s="51">
        <v>3321</v>
      </c>
      <c r="E40" s="52">
        <v>337</v>
      </c>
      <c r="F40" s="53">
        <v>4</v>
      </c>
      <c r="G40" s="25">
        <v>5</v>
      </c>
      <c r="H40" s="25">
        <v>81146</v>
      </c>
      <c r="I40" s="34" t="s">
        <v>2690</v>
      </c>
      <c r="J40" s="24">
        <v>51837119</v>
      </c>
      <c r="K40" s="24" t="s">
        <v>4590</v>
      </c>
      <c r="L40" s="24" t="s">
        <v>4594</v>
      </c>
      <c r="M40" s="26">
        <v>299900</v>
      </c>
      <c r="N40" s="36" t="s">
        <v>2569</v>
      </c>
      <c r="O40" s="14" t="s">
        <v>2586</v>
      </c>
      <c r="P40" s="36" t="s">
        <v>2569</v>
      </c>
    </row>
    <row r="41" spans="1:16" x14ac:dyDescent="0.35">
      <c r="A41" s="14" t="s">
        <v>6511</v>
      </c>
      <c r="B41" s="35">
        <f t="shared" si="1"/>
        <v>46086</v>
      </c>
      <c r="C41" s="35">
        <f t="shared" si="2"/>
        <v>46092</v>
      </c>
      <c r="D41" s="51">
        <v>3321</v>
      </c>
      <c r="E41" s="52">
        <v>337</v>
      </c>
      <c r="F41" s="53">
        <v>4</v>
      </c>
      <c r="G41" s="25">
        <v>5</v>
      </c>
      <c r="H41" s="25">
        <v>81146</v>
      </c>
      <c r="I41" s="34" t="s">
        <v>2690</v>
      </c>
      <c r="J41" s="24">
        <v>51837128</v>
      </c>
      <c r="K41" s="24" t="s">
        <v>4590</v>
      </c>
      <c r="L41" s="24" t="s">
        <v>4593</v>
      </c>
      <c r="M41" s="26">
        <v>299900</v>
      </c>
      <c r="N41" s="36" t="s">
        <v>2569</v>
      </c>
      <c r="O41" s="14" t="s">
        <v>2586</v>
      </c>
      <c r="P41" s="36" t="s">
        <v>2569</v>
      </c>
    </row>
    <row r="42" spans="1:16" x14ac:dyDescent="0.35">
      <c r="A42" s="14" t="s">
        <v>6511</v>
      </c>
      <c r="B42" s="35">
        <f t="shared" si="1"/>
        <v>46086</v>
      </c>
      <c r="C42" s="35">
        <f t="shared" si="2"/>
        <v>46092</v>
      </c>
      <c r="D42" s="51">
        <v>3321</v>
      </c>
      <c r="E42" s="52">
        <v>337</v>
      </c>
      <c r="F42" s="53">
        <v>4</v>
      </c>
      <c r="G42" s="25">
        <v>5</v>
      </c>
      <c r="H42" s="25">
        <v>81146</v>
      </c>
      <c r="I42" s="34" t="s">
        <v>2690</v>
      </c>
      <c r="J42" s="24">
        <v>51837137</v>
      </c>
      <c r="K42" s="24" t="s">
        <v>4590</v>
      </c>
      <c r="L42" s="24" t="s">
        <v>4592</v>
      </c>
      <c r="M42" s="26">
        <v>299900</v>
      </c>
      <c r="N42" s="36" t="s">
        <v>2569</v>
      </c>
      <c r="O42" s="14" t="s">
        <v>2586</v>
      </c>
      <c r="P42" s="36" t="s">
        <v>2569</v>
      </c>
    </row>
    <row r="43" spans="1:16" x14ac:dyDescent="0.35">
      <c r="A43" s="14" t="s">
        <v>6511</v>
      </c>
      <c r="B43" s="35">
        <f t="shared" si="1"/>
        <v>46086</v>
      </c>
      <c r="C43" s="35">
        <f t="shared" si="2"/>
        <v>46092</v>
      </c>
      <c r="D43" s="51">
        <v>3321</v>
      </c>
      <c r="E43" s="52">
        <v>337</v>
      </c>
      <c r="F43" s="53">
        <v>4</v>
      </c>
      <c r="G43" s="25">
        <v>5</v>
      </c>
      <c r="H43" s="25">
        <v>81146</v>
      </c>
      <c r="I43" s="34" t="s">
        <v>2690</v>
      </c>
      <c r="J43" s="24">
        <v>51837146</v>
      </c>
      <c r="K43" s="24" t="s">
        <v>4590</v>
      </c>
      <c r="L43" s="24" t="s">
        <v>4591</v>
      </c>
      <c r="M43" s="26">
        <v>299900</v>
      </c>
      <c r="N43" s="36" t="s">
        <v>2569</v>
      </c>
      <c r="O43" s="14" t="s">
        <v>2586</v>
      </c>
      <c r="P43" s="36" t="s">
        <v>2569</v>
      </c>
    </row>
    <row r="44" spans="1:16" x14ac:dyDescent="0.35">
      <c r="A44" s="14" t="s">
        <v>6511</v>
      </c>
      <c r="B44" s="35">
        <f t="shared" si="1"/>
        <v>46086</v>
      </c>
      <c r="C44" s="35">
        <f t="shared" si="2"/>
        <v>46092</v>
      </c>
      <c r="D44" s="51">
        <v>3321</v>
      </c>
      <c r="E44" s="52">
        <v>337</v>
      </c>
      <c r="F44" s="53">
        <v>4</v>
      </c>
      <c r="G44" s="25">
        <v>5</v>
      </c>
      <c r="H44" s="25">
        <v>81146</v>
      </c>
      <c r="I44" s="34" t="s">
        <v>2690</v>
      </c>
      <c r="J44" s="24">
        <v>51607215</v>
      </c>
      <c r="K44" s="24" t="s">
        <v>4585</v>
      </c>
      <c r="L44" s="24" t="s">
        <v>4586</v>
      </c>
      <c r="M44" s="26">
        <v>299900</v>
      </c>
      <c r="N44" s="36" t="s">
        <v>2569</v>
      </c>
      <c r="O44" s="14" t="s">
        <v>2586</v>
      </c>
      <c r="P44" s="36" t="s">
        <v>2569</v>
      </c>
    </row>
    <row r="45" spans="1:16" x14ac:dyDescent="0.35">
      <c r="A45" s="14" t="s">
        <v>6511</v>
      </c>
      <c r="B45" s="35">
        <f t="shared" si="1"/>
        <v>46086</v>
      </c>
      <c r="C45" s="35">
        <f t="shared" si="2"/>
        <v>46092</v>
      </c>
      <c r="D45" s="51">
        <v>3321</v>
      </c>
      <c r="E45" s="52">
        <v>337</v>
      </c>
      <c r="F45" s="53">
        <v>4</v>
      </c>
      <c r="G45" s="25">
        <v>5</v>
      </c>
      <c r="H45" s="25">
        <v>81146</v>
      </c>
      <c r="I45" s="34" t="s">
        <v>2690</v>
      </c>
      <c r="J45" s="24">
        <v>51607224</v>
      </c>
      <c r="K45" s="24" t="s">
        <v>4585</v>
      </c>
      <c r="L45" s="24" t="s">
        <v>4588</v>
      </c>
      <c r="M45" s="26">
        <v>299900</v>
      </c>
      <c r="N45" s="36" t="s">
        <v>2569</v>
      </c>
      <c r="O45" s="14" t="s">
        <v>2586</v>
      </c>
      <c r="P45" s="36" t="s">
        <v>2569</v>
      </c>
    </row>
    <row r="46" spans="1:16" x14ac:dyDescent="0.35">
      <c r="A46" s="14" t="s">
        <v>6511</v>
      </c>
      <c r="B46" s="35">
        <f t="shared" si="1"/>
        <v>46086</v>
      </c>
      <c r="C46" s="35">
        <f t="shared" si="2"/>
        <v>46092</v>
      </c>
      <c r="D46" s="51">
        <v>3321</v>
      </c>
      <c r="E46" s="52">
        <v>337</v>
      </c>
      <c r="F46" s="53">
        <v>4</v>
      </c>
      <c r="G46" s="25">
        <v>5</v>
      </c>
      <c r="H46" s="25">
        <v>81146</v>
      </c>
      <c r="I46" s="34" t="s">
        <v>2690</v>
      </c>
      <c r="J46" s="24">
        <v>51607233</v>
      </c>
      <c r="K46" s="24" t="s">
        <v>4585</v>
      </c>
      <c r="L46" s="24" t="s">
        <v>4589</v>
      </c>
      <c r="M46" s="26">
        <v>299900</v>
      </c>
      <c r="N46" s="36" t="s">
        <v>2569</v>
      </c>
      <c r="O46" s="14" t="s">
        <v>2586</v>
      </c>
      <c r="P46" s="36" t="s">
        <v>2569</v>
      </c>
    </row>
    <row r="47" spans="1:16" x14ac:dyDescent="0.35">
      <c r="A47" s="14" t="s">
        <v>6511</v>
      </c>
      <c r="B47" s="35">
        <f t="shared" si="1"/>
        <v>46086</v>
      </c>
      <c r="C47" s="35">
        <f t="shared" si="2"/>
        <v>46092</v>
      </c>
      <c r="D47" s="51">
        <v>3321</v>
      </c>
      <c r="E47" s="52">
        <v>337</v>
      </c>
      <c r="F47" s="53">
        <v>4</v>
      </c>
      <c r="G47" s="25">
        <v>5</v>
      </c>
      <c r="H47" s="25">
        <v>81146</v>
      </c>
      <c r="I47" s="34" t="s">
        <v>2690</v>
      </c>
      <c r="J47" s="24">
        <v>51607242</v>
      </c>
      <c r="K47" s="24" t="s">
        <v>4585</v>
      </c>
      <c r="L47" s="24" t="s">
        <v>4587</v>
      </c>
      <c r="M47" s="26">
        <v>299900</v>
      </c>
      <c r="N47" s="36" t="s">
        <v>2569</v>
      </c>
      <c r="O47" s="14" t="s">
        <v>2586</v>
      </c>
      <c r="P47" s="36" t="s">
        <v>2569</v>
      </c>
    </row>
    <row r="48" spans="1:16" x14ac:dyDescent="0.35">
      <c r="A48" s="14" t="s">
        <v>6511</v>
      </c>
      <c r="B48" s="35">
        <f t="shared" si="1"/>
        <v>46086</v>
      </c>
      <c r="C48" s="35">
        <f t="shared" si="2"/>
        <v>46092</v>
      </c>
      <c r="D48" s="51">
        <v>3321</v>
      </c>
      <c r="E48" s="52">
        <v>337</v>
      </c>
      <c r="F48" s="53">
        <v>4</v>
      </c>
      <c r="G48" s="25">
        <v>5</v>
      </c>
      <c r="H48" s="25">
        <v>81146</v>
      </c>
      <c r="I48" s="34" t="s">
        <v>2690</v>
      </c>
      <c r="J48" s="24">
        <v>51837155</v>
      </c>
      <c r="K48" s="24" t="s">
        <v>4558</v>
      </c>
      <c r="L48" s="24" t="s">
        <v>4562</v>
      </c>
      <c r="M48" s="26">
        <v>319900</v>
      </c>
      <c r="N48" s="36" t="s">
        <v>2569</v>
      </c>
      <c r="O48" s="14" t="s">
        <v>2586</v>
      </c>
      <c r="P48" s="36" t="s">
        <v>2569</v>
      </c>
    </row>
    <row r="49" spans="1:16" x14ac:dyDescent="0.35">
      <c r="A49" s="14" t="s">
        <v>6511</v>
      </c>
      <c r="B49" s="35">
        <f t="shared" si="1"/>
        <v>46086</v>
      </c>
      <c r="C49" s="35">
        <f t="shared" si="2"/>
        <v>46092</v>
      </c>
      <c r="D49" s="51">
        <v>3321</v>
      </c>
      <c r="E49" s="52">
        <v>337</v>
      </c>
      <c r="F49" s="53">
        <v>4</v>
      </c>
      <c r="G49" s="25">
        <v>5</v>
      </c>
      <c r="H49" s="25">
        <v>81146</v>
      </c>
      <c r="I49" s="34" t="s">
        <v>2690</v>
      </c>
      <c r="J49" s="24">
        <v>51837164</v>
      </c>
      <c r="K49" s="24" t="s">
        <v>4558</v>
      </c>
      <c r="L49" s="24" t="s">
        <v>4561</v>
      </c>
      <c r="M49" s="26">
        <v>319900</v>
      </c>
      <c r="N49" s="36" t="s">
        <v>2569</v>
      </c>
      <c r="O49" s="14" t="s">
        <v>2586</v>
      </c>
      <c r="P49" s="36" t="s">
        <v>2569</v>
      </c>
    </row>
    <row r="50" spans="1:16" x14ac:dyDescent="0.35">
      <c r="A50" s="14" t="s">
        <v>6511</v>
      </c>
      <c r="B50" s="35">
        <f t="shared" si="1"/>
        <v>46086</v>
      </c>
      <c r="C50" s="35">
        <f t="shared" si="2"/>
        <v>46092</v>
      </c>
      <c r="D50" s="51">
        <v>3321</v>
      </c>
      <c r="E50" s="52">
        <v>337</v>
      </c>
      <c r="F50" s="53">
        <v>4</v>
      </c>
      <c r="G50" s="25">
        <v>5</v>
      </c>
      <c r="H50" s="25">
        <v>81146</v>
      </c>
      <c r="I50" s="34" t="s">
        <v>2690</v>
      </c>
      <c r="J50" s="24">
        <v>51837173</v>
      </c>
      <c r="K50" s="24" t="s">
        <v>4558</v>
      </c>
      <c r="L50" s="24" t="s">
        <v>4559</v>
      </c>
      <c r="M50" s="26">
        <v>319900</v>
      </c>
      <c r="N50" s="36" t="s">
        <v>2569</v>
      </c>
      <c r="O50" s="14" t="s">
        <v>2586</v>
      </c>
      <c r="P50" s="36" t="s">
        <v>2569</v>
      </c>
    </row>
    <row r="51" spans="1:16" x14ac:dyDescent="0.35">
      <c r="A51" s="14" t="s">
        <v>6511</v>
      </c>
      <c r="B51" s="35">
        <f t="shared" si="1"/>
        <v>46086</v>
      </c>
      <c r="C51" s="35">
        <f t="shared" si="2"/>
        <v>46092</v>
      </c>
      <c r="D51" s="51">
        <v>3321</v>
      </c>
      <c r="E51" s="52">
        <v>337</v>
      </c>
      <c r="F51" s="53">
        <v>4</v>
      </c>
      <c r="G51" s="25">
        <v>5</v>
      </c>
      <c r="H51" s="25">
        <v>81146</v>
      </c>
      <c r="I51" s="34" t="s">
        <v>2690</v>
      </c>
      <c r="J51" s="24">
        <v>51837182</v>
      </c>
      <c r="K51" s="24" t="s">
        <v>4558</v>
      </c>
      <c r="L51" s="24" t="s">
        <v>4560</v>
      </c>
      <c r="M51" s="26">
        <v>319900</v>
      </c>
      <c r="N51" s="36" t="s">
        <v>2569</v>
      </c>
      <c r="O51" s="14" t="s">
        <v>2586</v>
      </c>
      <c r="P51" s="36" t="s">
        <v>2569</v>
      </c>
    </row>
    <row r="52" spans="1:16" x14ac:dyDescent="0.35">
      <c r="A52" s="14" t="s">
        <v>6511</v>
      </c>
      <c r="B52" s="35">
        <f t="shared" si="1"/>
        <v>46086</v>
      </c>
      <c r="C52" s="35">
        <f t="shared" si="2"/>
        <v>46092</v>
      </c>
      <c r="D52" s="51">
        <v>3321</v>
      </c>
      <c r="E52" s="52">
        <v>337</v>
      </c>
      <c r="F52" s="53">
        <v>4</v>
      </c>
      <c r="G52" s="25">
        <v>1</v>
      </c>
      <c r="H52" s="25">
        <v>81676</v>
      </c>
      <c r="I52" s="34" t="s">
        <v>2690</v>
      </c>
      <c r="J52" s="24">
        <v>52133038</v>
      </c>
      <c r="K52" s="24" t="s">
        <v>5405</v>
      </c>
      <c r="L52" s="24" t="s">
        <v>5411</v>
      </c>
      <c r="M52" s="26">
        <v>139900</v>
      </c>
      <c r="N52" s="36" t="s">
        <v>2569</v>
      </c>
      <c r="O52" s="14" t="s">
        <v>2586</v>
      </c>
      <c r="P52" s="36" t="s">
        <v>2569</v>
      </c>
    </row>
    <row r="53" spans="1:16" x14ac:dyDescent="0.35">
      <c r="A53" s="14" t="s">
        <v>6511</v>
      </c>
      <c r="B53" s="35">
        <f t="shared" si="1"/>
        <v>46086</v>
      </c>
      <c r="C53" s="35">
        <f t="shared" si="2"/>
        <v>46092</v>
      </c>
      <c r="D53" s="51">
        <v>3321</v>
      </c>
      <c r="E53" s="52">
        <v>337</v>
      </c>
      <c r="F53" s="53">
        <v>4</v>
      </c>
      <c r="G53" s="25">
        <v>1</v>
      </c>
      <c r="H53" s="25">
        <v>81676</v>
      </c>
      <c r="I53" s="34" t="s">
        <v>2690</v>
      </c>
      <c r="J53" s="24">
        <v>52133047</v>
      </c>
      <c r="K53" s="24" t="s">
        <v>5405</v>
      </c>
      <c r="L53" s="24" t="s">
        <v>5406</v>
      </c>
      <c r="M53" s="26">
        <v>139900</v>
      </c>
      <c r="N53" s="36" t="s">
        <v>2569</v>
      </c>
      <c r="O53" s="14" t="s">
        <v>2586</v>
      </c>
      <c r="P53" s="36" t="s">
        <v>2569</v>
      </c>
    </row>
    <row r="54" spans="1:16" x14ac:dyDescent="0.35">
      <c r="A54" s="14" t="s">
        <v>6511</v>
      </c>
      <c r="B54" s="35">
        <f t="shared" si="1"/>
        <v>46086</v>
      </c>
      <c r="C54" s="35">
        <f t="shared" si="2"/>
        <v>46092</v>
      </c>
      <c r="D54" s="51">
        <v>3321</v>
      </c>
      <c r="E54" s="52">
        <v>337</v>
      </c>
      <c r="F54" s="53">
        <v>4</v>
      </c>
      <c r="G54" s="25">
        <v>1</v>
      </c>
      <c r="H54" s="25">
        <v>81676</v>
      </c>
      <c r="I54" s="34" t="s">
        <v>2690</v>
      </c>
      <c r="J54" s="24">
        <v>52133056</v>
      </c>
      <c r="K54" s="24" t="s">
        <v>5405</v>
      </c>
      <c r="L54" s="24" t="s">
        <v>5407</v>
      </c>
      <c r="M54" s="26">
        <v>139900</v>
      </c>
      <c r="N54" s="36" t="s">
        <v>2569</v>
      </c>
      <c r="O54" s="14" t="s">
        <v>2586</v>
      </c>
      <c r="P54" s="36" t="s">
        <v>2569</v>
      </c>
    </row>
    <row r="55" spans="1:16" x14ac:dyDescent="0.35">
      <c r="A55" s="14" t="s">
        <v>6511</v>
      </c>
      <c r="B55" s="35">
        <f t="shared" si="1"/>
        <v>46086</v>
      </c>
      <c r="C55" s="35">
        <f t="shared" si="2"/>
        <v>46092</v>
      </c>
      <c r="D55" s="51">
        <v>3321</v>
      </c>
      <c r="E55" s="52">
        <v>337</v>
      </c>
      <c r="F55" s="53">
        <v>4</v>
      </c>
      <c r="G55" s="25">
        <v>1</v>
      </c>
      <c r="H55" s="25">
        <v>81676</v>
      </c>
      <c r="I55" s="34" t="s">
        <v>2690</v>
      </c>
      <c r="J55" s="24">
        <v>52133065</v>
      </c>
      <c r="K55" s="24" t="s">
        <v>5405</v>
      </c>
      <c r="L55" s="24" t="s">
        <v>5410</v>
      </c>
      <c r="M55" s="26">
        <v>139900</v>
      </c>
      <c r="N55" s="36" t="s">
        <v>2569</v>
      </c>
      <c r="O55" s="14" t="s">
        <v>2586</v>
      </c>
      <c r="P55" s="36" t="s">
        <v>2569</v>
      </c>
    </row>
    <row r="56" spans="1:16" x14ac:dyDescent="0.35">
      <c r="A56" s="14" t="s">
        <v>6511</v>
      </c>
      <c r="B56" s="35">
        <f t="shared" si="1"/>
        <v>46086</v>
      </c>
      <c r="C56" s="35">
        <f t="shared" si="2"/>
        <v>46092</v>
      </c>
      <c r="D56" s="51">
        <v>3321</v>
      </c>
      <c r="E56" s="52">
        <v>337</v>
      </c>
      <c r="F56" s="53">
        <v>4</v>
      </c>
      <c r="G56" s="25">
        <v>1</v>
      </c>
      <c r="H56" s="25">
        <v>81676</v>
      </c>
      <c r="I56" s="34" t="s">
        <v>2690</v>
      </c>
      <c r="J56" s="24">
        <v>52133118</v>
      </c>
      <c r="K56" s="24" t="s">
        <v>5408</v>
      </c>
      <c r="L56" s="24" t="s">
        <v>5414</v>
      </c>
      <c r="M56" s="26">
        <v>139900</v>
      </c>
      <c r="N56" s="36" t="s">
        <v>2569</v>
      </c>
      <c r="O56" s="14" t="s">
        <v>2586</v>
      </c>
      <c r="P56" s="36" t="s">
        <v>2569</v>
      </c>
    </row>
    <row r="57" spans="1:16" x14ac:dyDescent="0.35">
      <c r="A57" s="14" t="s">
        <v>6511</v>
      </c>
      <c r="B57" s="35">
        <f t="shared" si="1"/>
        <v>46086</v>
      </c>
      <c r="C57" s="35">
        <f t="shared" si="2"/>
        <v>46092</v>
      </c>
      <c r="D57" s="51">
        <v>3321</v>
      </c>
      <c r="E57" s="52">
        <v>337</v>
      </c>
      <c r="F57" s="53">
        <v>4</v>
      </c>
      <c r="G57" s="25">
        <v>1</v>
      </c>
      <c r="H57" s="25">
        <v>81676</v>
      </c>
      <c r="I57" s="34" t="s">
        <v>2690</v>
      </c>
      <c r="J57" s="24">
        <v>52133127</v>
      </c>
      <c r="K57" s="24" t="s">
        <v>5408</v>
      </c>
      <c r="L57" s="24" t="s">
        <v>5409</v>
      </c>
      <c r="M57" s="26">
        <v>139900</v>
      </c>
      <c r="N57" s="36" t="s">
        <v>2569</v>
      </c>
      <c r="O57" s="14" t="s">
        <v>2586</v>
      </c>
      <c r="P57" s="36" t="s">
        <v>2569</v>
      </c>
    </row>
    <row r="58" spans="1:16" x14ac:dyDescent="0.35">
      <c r="A58" s="14" t="s">
        <v>6511</v>
      </c>
      <c r="B58" s="35">
        <f t="shared" si="1"/>
        <v>46086</v>
      </c>
      <c r="C58" s="35">
        <f t="shared" si="2"/>
        <v>46092</v>
      </c>
      <c r="D58" s="51">
        <v>3321</v>
      </c>
      <c r="E58" s="52">
        <v>337</v>
      </c>
      <c r="F58" s="53">
        <v>4</v>
      </c>
      <c r="G58" s="25">
        <v>1</v>
      </c>
      <c r="H58" s="25">
        <v>81676</v>
      </c>
      <c r="I58" s="34" t="s">
        <v>2690</v>
      </c>
      <c r="J58" s="24">
        <v>52133136</v>
      </c>
      <c r="K58" s="24" t="s">
        <v>5408</v>
      </c>
      <c r="L58" s="24" t="s">
        <v>5412</v>
      </c>
      <c r="M58" s="26">
        <v>139900</v>
      </c>
      <c r="N58" s="36" t="s">
        <v>2569</v>
      </c>
      <c r="O58" s="14" t="s">
        <v>2586</v>
      </c>
      <c r="P58" s="36" t="s">
        <v>2569</v>
      </c>
    </row>
    <row r="59" spans="1:16" x14ac:dyDescent="0.35">
      <c r="A59" s="14" t="s">
        <v>6511</v>
      </c>
      <c r="B59" s="35">
        <f t="shared" si="1"/>
        <v>46086</v>
      </c>
      <c r="C59" s="35">
        <f t="shared" si="2"/>
        <v>46092</v>
      </c>
      <c r="D59" s="51">
        <v>3321</v>
      </c>
      <c r="E59" s="52">
        <v>337</v>
      </c>
      <c r="F59" s="53">
        <v>4</v>
      </c>
      <c r="G59" s="25">
        <v>1</v>
      </c>
      <c r="H59" s="25">
        <v>81676</v>
      </c>
      <c r="I59" s="34" t="s">
        <v>2690</v>
      </c>
      <c r="J59" s="24">
        <v>52133145</v>
      </c>
      <c r="K59" s="24" t="s">
        <v>5408</v>
      </c>
      <c r="L59" s="24" t="s">
        <v>5413</v>
      </c>
      <c r="M59" s="26">
        <v>139900</v>
      </c>
      <c r="N59" s="36" t="s">
        <v>2569</v>
      </c>
      <c r="O59" s="14" t="s">
        <v>2586</v>
      </c>
      <c r="P59" s="36" t="s">
        <v>2569</v>
      </c>
    </row>
    <row r="60" spans="1:16" x14ac:dyDescent="0.35">
      <c r="A60" s="14" t="s">
        <v>6511</v>
      </c>
      <c r="B60" s="35">
        <f t="shared" si="1"/>
        <v>46086</v>
      </c>
      <c r="C60" s="35">
        <f t="shared" si="2"/>
        <v>46092</v>
      </c>
      <c r="D60" s="51">
        <v>3321</v>
      </c>
      <c r="E60" s="52">
        <v>337</v>
      </c>
      <c r="F60" s="53">
        <v>4</v>
      </c>
      <c r="G60" s="25">
        <v>3</v>
      </c>
      <c r="H60" s="25">
        <v>81588</v>
      </c>
      <c r="I60" s="34" t="s">
        <v>2690</v>
      </c>
      <c r="J60" s="24">
        <v>52555403</v>
      </c>
      <c r="K60" s="24" t="s">
        <v>5427</v>
      </c>
      <c r="L60" s="24" t="s">
        <v>5431</v>
      </c>
      <c r="M60" s="26">
        <v>299900</v>
      </c>
      <c r="N60" s="36" t="s">
        <v>2569</v>
      </c>
      <c r="O60" s="14" t="s">
        <v>2586</v>
      </c>
      <c r="P60" s="36" t="s">
        <v>2569</v>
      </c>
    </row>
    <row r="61" spans="1:16" x14ac:dyDescent="0.35">
      <c r="A61" s="14" t="s">
        <v>6511</v>
      </c>
      <c r="B61" s="35">
        <f t="shared" si="1"/>
        <v>46086</v>
      </c>
      <c r="C61" s="35">
        <f t="shared" si="2"/>
        <v>46092</v>
      </c>
      <c r="D61" s="51">
        <v>3321</v>
      </c>
      <c r="E61" s="52">
        <v>337</v>
      </c>
      <c r="F61" s="53">
        <v>4</v>
      </c>
      <c r="G61" s="25">
        <v>3</v>
      </c>
      <c r="H61" s="25">
        <v>81588</v>
      </c>
      <c r="I61" s="34" t="s">
        <v>2690</v>
      </c>
      <c r="J61" s="24">
        <v>52555412</v>
      </c>
      <c r="K61" s="24" t="s">
        <v>5427</v>
      </c>
      <c r="L61" s="24" t="s">
        <v>5428</v>
      </c>
      <c r="M61" s="26">
        <v>299900</v>
      </c>
      <c r="N61" s="36" t="s">
        <v>2569</v>
      </c>
      <c r="O61" s="14" t="s">
        <v>2586</v>
      </c>
      <c r="P61" s="36" t="s">
        <v>2569</v>
      </c>
    </row>
    <row r="62" spans="1:16" x14ac:dyDescent="0.35">
      <c r="A62" s="14" t="s">
        <v>6511</v>
      </c>
      <c r="B62" s="35">
        <f t="shared" si="1"/>
        <v>46086</v>
      </c>
      <c r="C62" s="35">
        <f t="shared" si="2"/>
        <v>46092</v>
      </c>
      <c r="D62" s="51">
        <v>3321</v>
      </c>
      <c r="E62" s="52">
        <v>337</v>
      </c>
      <c r="F62" s="53">
        <v>4</v>
      </c>
      <c r="G62" s="25">
        <v>3</v>
      </c>
      <c r="H62" s="25">
        <v>81588</v>
      </c>
      <c r="I62" s="34" t="s">
        <v>2690</v>
      </c>
      <c r="J62" s="24">
        <v>52555421</v>
      </c>
      <c r="K62" s="24" t="s">
        <v>5427</v>
      </c>
      <c r="L62" s="24" t="s">
        <v>5429</v>
      </c>
      <c r="M62" s="26">
        <v>299900</v>
      </c>
      <c r="N62" s="36" t="s">
        <v>2569</v>
      </c>
      <c r="O62" s="14" t="s">
        <v>2586</v>
      </c>
      <c r="P62" s="36" t="s">
        <v>2569</v>
      </c>
    </row>
    <row r="63" spans="1:16" x14ac:dyDescent="0.35">
      <c r="A63" s="14" t="s">
        <v>6511</v>
      </c>
      <c r="B63" s="35">
        <f t="shared" si="1"/>
        <v>46086</v>
      </c>
      <c r="C63" s="35">
        <f t="shared" si="2"/>
        <v>46092</v>
      </c>
      <c r="D63" s="51">
        <v>3321</v>
      </c>
      <c r="E63" s="52">
        <v>337</v>
      </c>
      <c r="F63" s="53">
        <v>4</v>
      </c>
      <c r="G63" s="25">
        <v>3</v>
      </c>
      <c r="H63" s="25">
        <v>81588</v>
      </c>
      <c r="I63" s="34" t="s">
        <v>2690</v>
      </c>
      <c r="J63" s="24">
        <v>52555430</v>
      </c>
      <c r="K63" s="24" t="s">
        <v>5427</v>
      </c>
      <c r="L63" s="24" t="s">
        <v>5430</v>
      </c>
      <c r="M63" s="26">
        <v>299900</v>
      </c>
      <c r="N63" s="36" t="s">
        <v>2569</v>
      </c>
      <c r="O63" s="14" t="s">
        <v>2586</v>
      </c>
      <c r="P63" s="36" t="s">
        <v>2569</v>
      </c>
    </row>
    <row r="64" spans="1:16" x14ac:dyDescent="0.35">
      <c r="A64" s="14" t="s">
        <v>6511</v>
      </c>
      <c r="B64" s="35">
        <f t="shared" si="1"/>
        <v>46086</v>
      </c>
      <c r="C64" s="35">
        <f t="shared" si="2"/>
        <v>46092</v>
      </c>
      <c r="D64" s="51">
        <v>3321</v>
      </c>
      <c r="E64" s="52">
        <v>337</v>
      </c>
      <c r="F64" s="53">
        <v>4</v>
      </c>
      <c r="G64" s="25">
        <v>3</v>
      </c>
      <c r="H64" s="25">
        <v>81588</v>
      </c>
      <c r="I64" s="34" t="s">
        <v>2690</v>
      </c>
      <c r="J64" s="24">
        <v>51607297</v>
      </c>
      <c r="K64" s="24" t="s">
        <v>5432</v>
      </c>
      <c r="L64" s="24" t="s">
        <v>5435</v>
      </c>
      <c r="M64" s="26">
        <v>279900</v>
      </c>
      <c r="N64" s="36" t="s">
        <v>2569</v>
      </c>
      <c r="O64" s="14" t="s">
        <v>2586</v>
      </c>
      <c r="P64" s="36" t="s">
        <v>2569</v>
      </c>
    </row>
    <row r="65" spans="1:16" x14ac:dyDescent="0.35">
      <c r="A65" s="14" t="s">
        <v>6511</v>
      </c>
      <c r="B65" s="35">
        <f t="shared" si="1"/>
        <v>46086</v>
      </c>
      <c r="C65" s="35">
        <f t="shared" si="2"/>
        <v>46092</v>
      </c>
      <c r="D65" s="51">
        <v>3321</v>
      </c>
      <c r="E65" s="52">
        <v>337</v>
      </c>
      <c r="F65" s="53">
        <v>4</v>
      </c>
      <c r="G65" s="25">
        <v>3</v>
      </c>
      <c r="H65" s="25">
        <v>81588</v>
      </c>
      <c r="I65" s="34" t="s">
        <v>2690</v>
      </c>
      <c r="J65" s="24">
        <v>51607304</v>
      </c>
      <c r="K65" s="24" t="s">
        <v>5432</v>
      </c>
      <c r="L65" s="24" t="s">
        <v>5436</v>
      </c>
      <c r="M65" s="26">
        <v>279900</v>
      </c>
      <c r="N65" s="36" t="s">
        <v>2569</v>
      </c>
      <c r="O65" s="14" t="s">
        <v>2586</v>
      </c>
      <c r="P65" s="36" t="s">
        <v>2569</v>
      </c>
    </row>
    <row r="66" spans="1:16" x14ac:dyDescent="0.35">
      <c r="A66" s="14" t="s">
        <v>6511</v>
      </c>
      <c r="B66" s="35">
        <f t="shared" si="1"/>
        <v>46086</v>
      </c>
      <c r="C66" s="35">
        <f t="shared" si="2"/>
        <v>46092</v>
      </c>
      <c r="D66" s="51">
        <v>3321</v>
      </c>
      <c r="E66" s="52">
        <v>337</v>
      </c>
      <c r="F66" s="53">
        <v>4</v>
      </c>
      <c r="G66" s="25">
        <v>3</v>
      </c>
      <c r="H66" s="25">
        <v>81588</v>
      </c>
      <c r="I66" s="34" t="s">
        <v>2690</v>
      </c>
      <c r="J66" s="24">
        <v>51607313</v>
      </c>
      <c r="K66" s="24" t="s">
        <v>5432</v>
      </c>
      <c r="L66" s="24" t="s">
        <v>5434</v>
      </c>
      <c r="M66" s="26">
        <v>279900</v>
      </c>
      <c r="N66" s="36" t="s">
        <v>2569</v>
      </c>
      <c r="O66" s="14" t="s">
        <v>2586</v>
      </c>
      <c r="P66" s="36" t="s">
        <v>2569</v>
      </c>
    </row>
    <row r="67" spans="1:16" x14ac:dyDescent="0.35">
      <c r="A67" s="14" t="s">
        <v>6511</v>
      </c>
      <c r="B67" s="35">
        <f t="shared" si="1"/>
        <v>46086</v>
      </c>
      <c r="C67" s="35">
        <f t="shared" si="2"/>
        <v>46092</v>
      </c>
      <c r="D67" s="51">
        <v>3321</v>
      </c>
      <c r="E67" s="52">
        <v>337</v>
      </c>
      <c r="F67" s="53">
        <v>4</v>
      </c>
      <c r="G67" s="25">
        <v>3</v>
      </c>
      <c r="H67" s="25">
        <v>81588</v>
      </c>
      <c r="I67" s="34" t="s">
        <v>2690</v>
      </c>
      <c r="J67" s="24">
        <v>51607322</v>
      </c>
      <c r="K67" s="24" t="s">
        <v>5432</v>
      </c>
      <c r="L67" s="24" t="s">
        <v>5433</v>
      </c>
      <c r="M67" s="26">
        <v>279900</v>
      </c>
      <c r="N67" s="36" t="s">
        <v>2569</v>
      </c>
      <c r="O67" s="14" t="s">
        <v>2586</v>
      </c>
      <c r="P67" s="36" t="s">
        <v>2569</v>
      </c>
    </row>
    <row r="68" spans="1:16" x14ac:dyDescent="0.35">
      <c r="A68" s="14" t="s">
        <v>6511</v>
      </c>
      <c r="B68" s="35">
        <f t="shared" si="1"/>
        <v>46086</v>
      </c>
      <c r="C68" s="35">
        <f t="shared" si="2"/>
        <v>46092</v>
      </c>
      <c r="D68" s="51">
        <v>3321</v>
      </c>
      <c r="E68" s="52">
        <v>337</v>
      </c>
      <c r="F68" s="53">
        <v>4</v>
      </c>
      <c r="G68" s="25">
        <v>3</v>
      </c>
      <c r="H68" s="25">
        <v>81588</v>
      </c>
      <c r="I68" s="34" t="s">
        <v>2690</v>
      </c>
      <c r="J68" s="24">
        <v>51607331</v>
      </c>
      <c r="K68" s="24" t="s">
        <v>5460</v>
      </c>
      <c r="L68" s="24" t="s">
        <v>5464</v>
      </c>
      <c r="M68" s="26">
        <v>279900</v>
      </c>
      <c r="N68" s="36" t="s">
        <v>2569</v>
      </c>
      <c r="O68" s="14" t="s">
        <v>2586</v>
      </c>
      <c r="P68" s="36" t="s">
        <v>2569</v>
      </c>
    </row>
    <row r="69" spans="1:16" x14ac:dyDescent="0.35">
      <c r="A69" s="14" t="s">
        <v>6511</v>
      </c>
      <c r="B69" s="35">
        <f t="shared" si="1"/>
        <v>46086</v>
      </c>
      <c r="C69" s="35">
        <f t="shared" si="2"/>
        <v>46092</v>
      </c>
      <c r="D69" s="51">
        <v>3321</v>
      </c>
      <c r="E69" s="52">
        <v>337</v>
      </c>
      <c r="F69" s="53">
        <v>4</v>
      </c>
      <c r="G69" s="25">
        <v>3</v>
      </c>
      <c r="H69" s="25">
        <v>81588</v>
      </c>
      <c r="I69" s="34" t="s">
        <v>2690</v>
      </c>
      <c r="J69" s="24">
        <v>51607340</v>
      </c>
      <c r="K69" s="24" t="s">
        <v>5460</v>
      </c>
      <c r="L69" s="24" t="s">
        <v>5461</v>
      </c>
      <c r="M69" s="26">
        <v>279900</v>
      </c>
      <c r="N69" s="36" t="s">
        <v>2569</v>
      </c>
      <c r="O69" s="14" t="s">
        <v>2586</v>
      </c>
      <c r="P69" s="36" t="s">
        <v>2569</v>
      </c>
    </row>
    <row r="70" spans="1:16" x14ac:dyDescent="0.35">
      <c r="A70" s="14" t="s">
        <v>6511</v>
      </c>
      <c r="B70" s="35">
        <f t="shared" ref="B70:B133" si="3">B69</f>
        <v>46086</v>
      </c>
      <c r="C70" s="35">
        <f t="shared" ref="C70:C133" si="4">C69</f>
        <v>46092</v>
      </c>
      <c r="D70" s="51">
        <v>3321</v>
      </c>
      <c r="E70" s="52">
        <v>337</v>
      </c>
      <c r="F70" s="53">
        <v>4</v>
      </c>
      <c r="G70" s="25">
        <v>3</v>
      </c>
      <c r="H70" s="25">
        <v>81588</v>
      </c>
      <c r="I70" s="34" t="s">
        <v>2690</v>
      </c>
      <c r="J70" s="24">
        <v>51607359</v>
      </c>
      <c r="K70" s="24" t="s">
        <v>5460</v>
      </c>
      <c r="L70" s="24" t="s">
        <v>5463</v>
      </c>
      <c r="M70" s="26">
        <v>279900</v>
      </c>
      <c r="N70" s="36" t="s">
        <v>2569</v>
      </c>
      <c r="O70" s="14" t="s">
        <v>2586</v>
      </c>
      <c r="P70" s="36" t="s">
        <v>2569</v>
      </c>
    </row>
    <row r="71" spans="1:16" x14ac:dyDescent="0.35">
      <c r="A71" s="14" t="s">
        <v>6511</v>
      </c>
      <c r="B71" s="35">
        <f t="shared" si="3"/>
        <v>46086</v>
      </c>
      <c r="C71" s="35">
        <f t="shared" si="4"/>
        <v>46092</v>
      </c>
      <c r="D71" s="51">
        <v>3321</v>
      </c>
      <c r="E71" s="52">
        <v>337</v>
      </c>
      <c r="F71" s="53">
        <v>4</v>
      </c>
      <c r="G71" s="25">
        <v>3</v>
      </c>
      <c r="H71" s="25">
        <v>81588</v>
      </c>
      <c r="I71" s="34" t="s">
        <v>2690</v>
      </c>
      <c r="J71" s="24">
        <v>51607368</v>
      </c>
      <c r="K71" s="24" t="s">
        <v>5460</v>
      </c>
      <c r="L71" s="24" t="s">
        <v>5462</v>
      </c>
      <c r="M71" s="26">
        <v>279900</v>
      </c>
      <c r="N71" s="36" t="s">
        <v>2569</v>
      </c>
      <c r="O71" s="14" t="s">
        <v>2586</v>
      </c>
      <c r="P71" s="36" t="s">
        <v>2569</v>
      </c>
    </row>
    <row r="72" spans="1:16" x14ac:dyDescent="0.35">
      <c r="A72" s="14" t="s">
        <v>6511</v>
      </c>
      <c r="B72" s="35">
        <f t="shared" si="3"/>
        <v>46086</v>
      </c>
      <c r="C72" s="35">
        <f t="shared" si="4"/>
        <v>46092</v>
      </c>
      <c r="D72" s="51">
        <v>3321</v>
      </c>
      <c r="E72" s="52">
        <v>337</v>
      </c>
      <c r="F72" s="53">
        <v>4</v>
      </c>
      <c r="G72" s="25">
        <v>4</v>
      </c>
      <c r="H72" s="25">
        <v>81588</v>
      </c>
      <c r="I72" s="34" t="s">
        <v>2690</v>
      </c>
      <c r="J72" s="24">
        <v>52555485</v>
      </c>
      <c r="K72" s="24" t="s">
        <v>5437</v>
      </c>
      <c r="L72" s="24" t="s">
        <v>5438</v>
      </c>
      <c r="M72" s="26">
        <v>249900</v>
      </c>
      <c r="N72" s="36" t="s">
        <v>2569</v>
      </c>
      <c r="O72" s="14" t="s">
        <v>2586</v>
      </c>
      <c r="P72" s="36" t="s">
        <v>2569</v>
      </c>
    </row>
    <row r="73" spans="1:16" x14ac:dyDescent="0.35">
      <c r="A73" s="14" t="s">
        <v>6511</v>
      </c>
      <c r="B73" s="35">
        <f t="shared" si="3"/>
        <v>46086</v>
      </c>
      <c r="C73" s="35">
        <f t="shared" si="4"/>
        <v>46092</v>
      </c>
      <c r="D73" s="51">
        <v>3321</v>
      </c>
      <c r="E73" s="52">
        <v>337</v>
      </c>
      <c r="F73" s="53">
        <v>4</v>
      </c>
      <c r="G73" s="25">
        <v>4</v>
      </c>
      <c r="H73" s="25">
        <v>81588</v>
      </c>
      <c r="I73" s="34" t="s">
        <v>2690</v>
      </c>
      <c r="J73" s="24">
        <v>52555494</v>
      </c>
      <c r="K73" s="24" t="s">
        <v>5437</v>
      </c>
      <c r="L73" s="24" t="s">
        <v>5440</v>
      </c>
      <c r="M73" s="26">
        <v>249900</v>
      </c>
      <c r="N73" s="36" t="s">
        <v>2569</v>
      </c>
      <c r="O73" s="14" t="s">
        <v>2586</v>
      </c>
      <c r="P73" s="36" t="s">
        <v>2569</v>
      </c>
    </row>
    <row r="74" spans="1:16" x14ac:dyDescent="0.35">
      <c r="A74" s="14" t="s">
        <v>6511</v>
      </c>
      <c r="B74" s="35">
        <f t="shared" si="3"/>
        <v>46086</v>
      </c>
      <c r="C74" s="35">
        <f t="shared" si="4"/>
        <v>46092</v>
      </c>
      <c r="D74" s="51">
        <v>3321</v>
      </c>
      <c r="E74" s="52">
        <v>337</v>
      </c>
      <c r="F74" s="53">
        <v>4</v>
      </c>
      <c r="G74" s="25">
        <v>4</v>
      </c>
      <c r="H74" s="25">
        <v>81588</v>
      </c>
      <c r="I74" s="34" t="s">
        <v>2690</v>
      </c>
      <c r="J74" s="24">
        <v>52555501</v>
      </c>
      <c r="K74" s="24" t="s">
        <v>5437</v>
      </c>
      <c r="L74" s="24" t="s">
        <v>5439</v>
      </c>
      <c r="M74" s="26">
        <v>249900</v>
      </c>
      <c r="N74" s="36" t="s">
        <v>2569</v>
      </c>
      <c r="O74" s="14" t="s">
        <v>2586</v>
      </c>
      <c r="P74" s="36" t="s">
        <v>2569</v>
      </c>
    </row>
    <row r="75" spans="1:16" x14ac:dyDescent="0.35">
      <c r="A75" s="14" t="s">
        <v>6511</v>
      </c>
      <c r="B75" s="35">
        <f t="shared" si="3"/>
        <v>46086</v>
      </c>
      <c r="C75" s="35">
        <f t="shared" si="4"/>
        <v>46092</v>
      </c>
      <c r="D75" s="51">
        <v>3321</v>
      </c>
      <c r="E75" s="52">
        <v>337</v>
      </c>
      <c r="F75" s="53">
        <v>4</v>
      </c>
      <c r="G75" s="25">
        <v>4</v>
      </c>
      <c r="H75" s="25">
        <v>81588</v>
      </c>
      <c r="I75" s="34" t="s">
        <v>2690</v>
      </c>
      <c r="J75" s="24">
        <v>52555510</v>
      </c>
      <c r="K75" s="24" t="s">
        <v>5437</v>
      </c>
      <c r="L75" s="24" t="s">
        <v>5441</v>
      </c>
      <c r="M75" s="26">
        <v>249900</v>
      </c>
      <c r="N75" s="36" t="s">
        <v>2569</v>
      </c>
      <c r="O75" s="14" t="s">
        <v>2586</v>
      </c>
      <c r="P75" s="36" t="s">
        <v>2569</v>
      </c>
    </row>
    <row r="76" spans="1:16" x14ac:dyDescent="0.35">
      <c r="A76" s="14" t="s">
        <v>6511</v>
      </c>
      <c r="B76" s="35">
        <f t="shared" si="3"/>
        <v>46086</v>
      </c>
      <c r="C76" s="35">
        <f t="shared" si="4"/>
        <v>46092</v>
      </c>
      <c r="D76" s="51">
        <v>3321</v>
      </c>
      <c r="E76" s="52">
        <v>337</v>
      </c>
      <c r="F76" s="53">
        <v>4</v>
      </c>
      <c r="G76" s="25">
        <v>5</v>
      </c>
      <c r="H76" s="25">
        <v>81005</v>
      </c>
      <c r="I76" s="34" t="s">
        <v>2690</v>
      </c>
      <c r="J76" s="24">
        <v>52133403</v>
      </c>
      <c r="K76" s="24" t="s">
        <v>5442</v>
      </c>
      <c r="L76" s="24" t="s">
        <v>5445</v>
      </c>
      <c r="M76" s="26">
        <v>299900</v>
      </c>
      <c r="N76" s="36" t="s">
        <v>2569</v>
      </c>
      <c r="O76" s="14" t="s">
        <v>2586</v>
      </c>
      <c r="P76" s="36" t="s">
        <v>2569</v>
      </c>
    </row>
    <row r="77" spans="1:16" x14ac:dyDescent="0.35">
      <c r="A77" s="14" t="s">
        <v>6511</v>
      </c>
      <c r="B77" s="35">
        <f t="shared" si="3"/>
        <v>46086</v>
      </c>
      <c r="C77" s="35">
        <f t="shared" si="4"/>
        <v>46092</v>
      </c>
      <c r="D77" s="51">
        <v>3321</v>
      </c>
      <c r="E77" s="52">
        <v>337</v>
      </c>
      <c r="F77" s="53">
        <v>4</v>
      </c>
      <c r="G77" s="25">
        <v>5</v>
      </c>
      <c r="H77" s="25">
        <v>81005</v>
      </c>
      <c r="I77" s="34" t="s">
        <v>2690</v>
      </c>
      <c r="J77" s="24">
        <v>52133412</v>
      </c>
      <c r="K77" s="24" t="s">
        <v>5442</v>
      </c>
      <c r="L77" s="24" t="s">
        <v>5444</v>
      </c>
      <c r="M77" s="26">
        <v>299900</v>
      </c>
      <c r="N77" s="36" t="s">
        <v>2569</v>
      </c>
      <c r="O77" s="14" t="s">
        <v>2586</v>
      </c>
      <c r="P77" s="36" t="s">
        <v>2569</v>
      </c>
    </row>
    <row r="78" spans="1:16" x14ac:dyDescent="0.35">
      <c r="A78" s="14" t="s">
        <v>6511</v>
      </c>
      <c r="B78" s="35">
        <f t="shared" si="3"/>
        <v>46086</v>
      </c>
      <c r="C78" s="35">
        <f t="shared" si="4"/>
        <v>46092</v>
      </c>
      <c r="D78" s="51">
        <v>3321</v>
      </c>
      <c r="E78" s="52">
        <v>337</v>
      </c>
      <c r="F78" s="53">
        <v>4</v>
      </c>
      <c r="G78" s="25">
        <v>5</v>
      </c>
      <c r="H78" s="25">
        <v>81005</v>
      </c>
      <c r="I78" s="34" t="s">
        <v>2690</v>
      </c>
      <c r="J78" s="24">
        <v>52133421</v>
      </c>
      <c r="K78" s="24" t="s">
        <v>5442</v>
      </c>
      <c r="L78" s="24" t="s">
        <v>5448</v>
      </c>
      <c r="M78" s="26">
        <v>299900</v>
      </c>
      <c r="N78" s="36" t="s">
        <v>2569</v>
      </c>
      <c r="O78" s="14" t="s">
        <v>2586</v>
      </c>
      <c r="P78" s="36" t="s">
        <v>2569</v>
      </c>
    </row>
    <row r="79" spans="1:16" x14ac:dyDescent="0.35">
      <c r="A79" s="14" t="s">
        <v>6511</v>
      </c>
      <c r="B79" s="35">
        <f t="shared" si="3"/>
        <v>46086</v>
      </c>
      <c r="C79" s="35">
        <f t="shared" si="4"/>
        <v>46092</v>
      </c>
      <c r="D79" s="51">
        <v>3321</v>
      </c>
      <c r="E79" s="52">
        <v>337</v>
      </c>
      <c r="F79" s="53">
        <v>4</v>
      </c>
      <c r="G79" s="25">
        <v>5</v>
      </c>
      <c r="H79" s="25">
        <v>81005</v>
      </c>
      <c r="I79" s="34" t="s">
        <v>2690</v>
      </c>
      <c r="J79" s="24">
        <v>52133430</v>
      </c>
      <c r="K79" s="24" t="s">
        <v>5442</v>
      </c>
      <c r="L79" s="24" t="s">
        <v>5447</v>
      </c>
      <c r="M79" s="26">
        <v>299900</v>
      </c>
      <c r="N79" s="36" t="s">
        <v>2569</v>
      </c>
      <c r="O79" s="14" t="s">
        <v>2586</v>
      </c>
      <c r="P79" s="36" t="s">
        <v>2569</v>
      </c>
    </row>
    <row r="80" spans="1:16" x14ac:dyDescent="0.35">
      <c r="A80" s="14" t="s">
        <v>6511</v>
      </c>
      <c r="B80" s="35">
        <f t="shared" si="3"/>
        <v>46086</v>
      </c>
      <c r="C80" s="35">
        <f t="shared" si="4"/>
        <v>46092</v>
      </c>
      <c r="D80" s="51">
        <v>3321</v>
      </c>
      <c r="E80" s="52">
        <v>337</v>
      </c>
      <c r="F80" s="53">
        <v>4</v>
      </c>
      <c r="G80" s="25">
        <v>5</v>
      </c>
      <c r="H80" s="25">
        <v>81005</v>
      </c>
      <c r="I80" s="34" t="s">
        <v>2690</v>
      </c>
      <c r="J80" s="24">
        <v>52133449</v>
      </c>
      <c r="K80" s="24" t="s">
        <v>5442</v>
      </c>
      <c r="L80" s="24" t="s">
        <v>5443</v>
      </c>
      <c r="M80" s="26">
        <v>299900</v>
      </c>
      <c r="N80" s="36" t="s">
        <v>2569</v>
      </c>
      <c r="O80" s="14" t="s">
        <v>2586</v>
      </c>
      <c r="P80" s="36" t="s">
        <v>2569</v>
      </c>
    </row>
    <row r="81" spans="1:16" x14ac:dyDescent="0.35">
      <c r="A81" s="14" t="s">
        <v>6511</v>
      </c>
      <c r="B81" s="35">
        <f t="shared" si="3"/>
        <v>46086</v>
      </c>
      <c r="C81" s="35">
        <f t="shared" si="4"/>
        <v>46092</v>
      </c>
      <c r="D81" s="51">
        <v>3321</v>
      </c>
      <c r="E81" s="52">
        <v>337</v>
      </c>
      <c r="F81" s="53">
        <v>4</v>
      </c>
      <c r="G81" s="25">
        <v>5</v>
      </c>
      <c r="H81" s="25">
        <v>81005</v>
      </c>
      <c r="I81" s="34" t="s">
        <v>2690</v>
      </c>
      <c r="J81" s="24">
        <v>52133458</v>
      </c>
      <c r="K81" s="24" t="s">
        <v>5442</v>
      </c>
      <c r="L81" s="24" t="s">
        <v>5446</v>
      </c>
      <c r="M81" s="26">
        <v>299900</v>
      </c>
      <c r="N81" s="36" t="s">
        <v>2569</v>
      </c>
      <c r="O81" s="14" t="s">
        <v>2586</v>
      </c>
      <c r="P81" s="36" t="s">
        <v>2569</v>
      </c>
    </row>
    <row r="82" spans="1:16" x14ac:dyDescent="0.35">
      <c r="A82" s="14" t="s">
        <v>6511</v>
      </c>
      <c r="B82" s="35">
        <f t="shared" si="3"/>
        <v>46086</v>
      </c>
      <c r="C82" s="35">
        <f t="shared" si="4"/>
        <v>46092</v>
      </c>
      <c r="D82" s="51">
        <v>3321</v>
      </c>
      <c r="E82" s="52">
        <v>337</v>
      </c>
      <c r="F82" s="53">
        <v>4</v>
      </c>
      <c r="G82" s="25">
        <v>5</v>
      </c>
      <c r="H82" s="25">
        <v>81005</v>
      </c>
      <c r="I82" s="34" t="s">
        <v>2690</v>
      </c>
      <c r="J82" s="24">
        <v>52133467</v>
      </c>
      <c r="K82" s="24" t="s">
        <v>5415</v>
      </c>
      <c r="L82" s="24" t="s">
        <v>5417</v>
      </c>
      <c r="M82" s="26">
        <v>299900</v>
      </c>
      <c r="N82" s="36" t="s">
        <v>2569</v>
      </c>
      <c r="O82" s="14" t="s">
        <v>2586</v>
      </c>
      <c r="P82" s="36" t="s">
        <v>2569</v>
      </c>
    </row>
    <row r="83" spans="1:16" x14ac:dyDescent="0.35">
      <c r="A83" s="14" t="s">
        <v>6511</v>
      </c>
      <c r="B83" s="35">
        <f t="shared" si="3"/>
        <v>46086</v>
      </c>
      <c r="C83" s="35">
        <f t="shared" si="4"/>
        <v>46092</v>
      </c>
      <c r="D83" s="51">
        <v>3321</v>
      </c>
      <c r="E83" s="52">
        <v>337</v>
      </c>
      <c r="F83" s="53">
        <v>4</v>
      </c>
      <c r="G83" s="25">
        <v>5</v>
      </c>
      <c r="H83" s="25">
        <v>81005</v>
      </c>
      <c r="I83" s="34" t="s">
        <v>2690</v>
      </c>
      <c r="J83" s="24">
        <v>52133476</v>
      </c>
      <c r="K83" s="24" t="s">
        <v>5415</v>
      </c>
      <c r="L83" s="24" t="s">
        <v>5416</v>
      </c>
      <c r="M83" s="26">
        <v>299900</v>
      </c>
      <c r="N83" s="36" t="s">
        <v>2569</v>
      </c>
      <c r="O83" s="14" t="s">
        <v>2586</v>
      </c>
      <c r="P83" s="36" t="s">
        <v>2569</v>
      </c>
    </row>
    <row r="84" spans="1:16" x14ac:dyDescent="0.35">
      <c r="A84" s="14" t="s">
        <v>6511</v>
      </c>
      <c r="B84" s="35">
        <f t="shared" si="3"/>
        <v>46086</v>
      </c>
      <c r="C84" s="35">
        <f t="shared" si="4"/>
        <v>46092</v>
      </c>
      <c r="D84" s="51">
        <v>3321</v>
      </c>
      <c r="E84" s="52">
        <v>337</v>
      </c>
      <c r="F84" s="53">
        <v>4</v>
      </c>
      <c r="G84" s="25">
        <v>5</v>
      </c>
      <c r="H84" s="25">
        <v>81005</v>
      </c>
      <c r="I84" s="34" t="s">
        <v>2690</v>
      </c>
      <c r="J84" s="24">
        <v>52133485</v>
      </c>
      <c r="K84" s="24" t="s">
        <v>5415</v>
      </c>
      <c r="L84" s="24" t="s">
        <v>5418</v>
      </c>
      <c r="M84" s="26">
        <v>299900</v>
      </c>
      <c r="N84" s="36" t="s">
        <v>2569</v>
      </c>
      <c r="O84" s="14" t="s">
        <v>2586</v>
      </c>
      <c r="P84" s="36" t="s">
        <v>2569</v>
      </c>
    </row>
    <row r="85" spans="1:16" x14ac:dyDescent="0.35">
      <c r="A85" s="14" t="s">
        <v>6511</v>
      </c>
      <c r="B85" s="35">
        <f t="shared" si="3"/>
        <v>46086</v>
      </c>
      <c r="C85" s="35">
        <f t="shared" si="4"/>
        <v>46092</v>
      </c>
      <c r="D85" s="51">
        <v>3321</v>
      </c>
      <c r="E85" s="52">
        <v>337</v>
      </c>
      <c r="F85" s="53">
        <v>4</v>
      </c>
      <c r="G85" s="25">
        <v>5</v>
      </c>
      <c r="H85" s="25">
        <v>81005</v>
      </c>
      <c r="I85" s="34" t="s">
        <v>2690</v>
      </c>
      <c r="J85" s="24">
        <v>52133494</v>
      </c>
      <c r="K85" s="24" t="s">
        <v>5415</v>
      </c>
      <c r="L85" s="24" t="s">
        <v>5421</v>
      </c>
      <c r="M85" s="26">
        <v>299900</v>
      </c>
      <c r="N85" s="36" t="s">
        <v>2569</v>
      </c>
      <c r="O85" s="14" t="s">
        <v>2586</v>
      </c>
      <c r="P85" s="36" t="s">
        <v>2569</v>
      </c>
    </row>
    <row r="86" spans="1:16" x14ac:dyDescent="0.35">
      <c r="A86" s="14" t="s">
        <v>6511</v>
      </c>
      <c r="B86" s="35">
        <f t="shared" si="3"/>
        <v>46086</v>
      </c>
      <c r="C86" s="35">
        <f t="shared" si="4"/>
        <v>46092</v>
      </c>
      <c r="D86" s="51">
        <v>3321</v>
      </c>
      <c r="E86" s="52">
        <v>337</v>
      </c>
      <c r="F86" s="53">
        <v>4</v>
      </c>
      <c r="G86" s="25">
        <v>5</v>
      </c>
      <c r="H86" s="25">
        <v>81005</v>
      </c>
      <c r="I86" s="34" t="s">
        <v>2690</v>
      </c>
      <c r="J86" s="24">
        <v>52133501</v>
      </c>
      <c r="K86" s="24" t="s">
        <v>5415</v>
      </c>
      <c r="L86" s="24" t="s">
        <v>5419</v>
      </c>
      <c r="M86" s="26">
        <v>299900</v>
      </c>
      <c r="N86" s="36" t="s">
        <v>2569</v>
      </c>
      <c r="O86" s="14" t="s">
        <v>2586</v>
      </c>
      <c r="P86" s="36" t="s">
        <v>2569</v>
      </c>
    </row>
    <row r="87" spans="1:16" x14ac:dyDescent="0.35">
      <c r="A87" s="14" t="s">
        <v>6511</v>
      </c>
      <c r="B87" s="35">
        <f t="shared" si="3"/>
        <v>46086</v>
      </c>
      <c r="C87" s="35">
        <f t="shared" si="4"/>
        <v>46092</v>
      </c>
      <c r="D87" s="51">
        <v>3321</v>
      </c>
      <c r="E87" s="52">
        <v>337</v>
      </c>
      <c r="F87" s="53">
        <v>4</v>
      </c>
      <c r="G87" s="25">
        <v>5</v>
      </c>
      <c r="H87" s="25">
        <v>81005</v>
      </c>
      <c r="I87" s="34" t="s">
        <v>2690</v>
      </c>
      <c r="J87" s="24">
        <v>52133510</v>
      </c>
      <c r="K87" s="24" t="s">
        <v>5415</v>
      </c>
      <c r="L87" s="24" t="s">
        <v>5420</v>
      </c>
      <c r="M87" s="26">
        <v>299900</v>
      </c>
      <c r="N87" s="36" t="s">
        <v>2569</v>
      </c>
      <c r="O87" s="14" t="s">
        <v>2586</v>
      </c>
      <c r="P87" s="36" t="s">
        <v>2569</v>
      </c>
    </row>
    <row r="88" spans="1:16" x14ac:dyDescent="0.35">
      <c r="A88" s="14" t="s">
        <v>6511</v>
      </c>
      <c r="B88" s="35">
        <f t="shared" si="3"/>
        <v>46086</v>
      </c>
      <c r="C88" s="35">
        <f t="shared" si="4"/>
        <v>46092</v>
      </c>
      <c r="D88" s="51">
        <v>3321</v>
      </c>
      <c r="E88" s="52">
        <v>337</v>
      </c>
      <c r="F88" s="53">
        <v>4</v>
      </c>
      <c r="G88" s="25">
        <v>5</v>
      </c>
      <c r="H88" s="25">
        <v>81574</v>
      </c>
      <c r="I88" s="34" t="s">
        <v>2690</v>
      </c>
      <c r="J88" s="24">
        <v>52133350</v>
      </c>
      <c r="K88" s="24" t="s">
        <v>5449</v>
      </c>
      <c r="L88" s="24" t="s">
        <v>5450</v>
      </c>
      <c r="M88" s="26">
        <v>339900</v>
      </c>
      <c r="N88" s="36" t="s">
        <v>2569</v>
      </c>
      <c r="O88" s="14" t="s">
        <v>2586</v>
      </c>
      <c r="P88" s="36" t="s">
        <v>2569</v>
      </c>
    </row>
    <row r="89" spans="1:16" x14ac:dyDescent="0.35">
      <c r="A89" s="14" t="s">
        <v>6511</v>
      </c>
      <c r="B89" s="35">
        <f t="shared" si="3"/>
        <v>46086</v>
      </c>
      <c r="C89" s="35">
        <f t="shared" si="4"/>
        <v>46092</v>
      </c>
      <c r="D89" s="51">
        <v>3321</v>
      </c>
      <c r="E89" s="52">
        <v>337</v>
      </c>
      <c r="F89" s="53">
        <v>4</v>
      </c>
      <c r="G89" s="25">
        <v>5</v>
      </c>
      <c r="H89" s="25">
        <v>81574</v>
      </c>
      <c r="I89" s="34" t="s">
        <v>2690</v>
      </c>
      <c r="J89" s="24">
        <v>52133369</v>
      </c>
      <c r="K89" s="24" t="s">
        <v>5449</v>
      </c>
      <c r="L89" s="24" t="s">
        <v>5451</v>
      </c>
      <c r="M89" s="26">
        <v>339900</v>
      </c>
      <c r="N89" s="36" t="s">
        <v>2569</v>
      </c>
      <c r="O89" s="14" t="s">
        <v>2586</v>
      </c>
      <c r="P89" s="36" t="s">
        <v>2569</v>
      </c>
    </row>
    <row r="90" spans="1:16" x14ac:dyDescent="0.35">
      <c r="A90" s="14" t="s">
        <v>6511</v>
      </c>
      <c r="B90" s="35">
        <f t="shared" si="3"/>
        <v>46086</v>
      </c>
      <c r="C90" s="35">
        <f t="shared" si="4"/>
        <v>46092</v>
      </c>
      <c r="D90" s="51">
        <v>3321</v>
      </c>
      <c r="E90" s="52">
        <v>337</v>
      </c>
      <c r="F90" s="53">
        <v>4</v>
      </c>
      <c r="G90" s="25">
        <v>5</v>
      </c>
      <c r="H90" s="25">
        <v>81574</v>
      </c>
      <c r="I90" s="34" t="s">
        <v>2690</v>
      </c>
      <c r="J90" s="24">
        <v>52133378</v>
      </c>
      <c r="K90" s="24" t="s">
        <v>5449</v>
      </c>
      <c r="L90" s="24" t="s">
        <v>5452</v>
      </c>
      <c r="M90" s="26">
        <v>339900</v>
      </c>
      <c r="N90" s="36" t="s">
        <v>2569</v>
      </c>
      <c r="O90" s="14" t="s">
        <v>2586</v>
      </c>
      <c r="P90" s="36" t="s">
        <v>2569</v>
      </c>
    </row>
    <row r="91" spans="1:16" x14ac:dyDescent="0.35">
      <c r="A91" s="14" t="s">
        <v>6511</v>
      </c>
      <c r="B91" s="35">
        <f t="shared" si="3"/>
        <v>46086</v>
      </c>
      <c r="C91" s="35">
        <f t="shared" si="4"/>
        <v>46092</v>
      </c>
      <c r="D91" s="51">
        <v>3321</v>
      </c>
      <c r="E91" s="52">
        <v>337</v>
      </c>
      <c r="F91" s="53">
        <v>4</v>
      </c>
      <c r="G91" s="25">
        <v>5</v>
      </c>
      <c r="H91" s="25">
        <v>81574</v>
      </c>
      <c r="I91" s="34" t="s">
        <v>2690</v>
      </c>
      <c r="J91" s="24">
        <v>52133387</v>
      </c>
      <c r="K91" s="24" t="s">
        <v>5449</v>
      </c>
      <c r="L91" s="24" t="s">
        <v>5453</v>
      </c>
      <c r="M91" s="26">
        <v>339900</v>
      </c>
      <c r="N91" s="36" t="s">
        <v>2569</v>
      </c>
      <c r="O91" s="14" t="s">
        <v>2586</v>
      </c>
      <c r="P91" s="36" t="s">
        <v>2569</v>
      </c>
    </row>
    <row r="92" spans="1:16" x14ac:dyDescent="0.35">
      <c r="A92" s="14" t="s">
        <v>6511</v>
      </c>
      <c r="B92" s="35">
        <f t="shared" si="3"/>
        <v>46086</v>
      </c>
      <c r="C92" s="35">
        <f t="shared" si="4"/>
        <v>46092</v>
      </c>
      <c r="D92" s="51">
        <v>3321</v>
      </c>
      <c r="E92" s="52">
        <v>337</v>
      </c>
      <c r="F92" s="53">
        <v>4</v>
      </c>
      <c r="G92" s="25">
        <v>5</v>
      </c>
      <c r="H92" s="25">
        <v>81574</v>
      </c>
      <c r="I92" s="34" t="s">
        <v>2690</v>
      </c>
      <c r="J92" s="24">
        <v>52133396</v>
      </c>
      <c r="K92" s="24" t="s">
        <v>5449</v>
      </c>
      <c r="L92" s="24" t="s">
        <v>5454</v>
      </c>
      <c r="M92" s="26">
        <v>339900</v>
      </c>
      <c r="N92" s="36" t="s">
        <v>2569</v>
      </c>
      <c r="O92" s="14" t="s">
        <v>2586</v>
      </c>
      <c r="P92" s="36" t="s">
        <v>2569</v>
      </c>
    </row>
    <row r="93" spans="1:16" x14ac:dyDescent="0.35">
      <c r="A93" s="14" t="s">
        <v>6511</v>
      </c>
      <c r="B93" s="35">
        <f t="shared" si="3"/>
        <v>46086</v>
      </c>
      <c r="C93" s="35">
        <f t="shared" si="4"/>
        <v>46092</v>
      </c>
      <c r="D93" s="51">
        <v>3321</v>
      </c>
      <c r="E93" s="52">
        <v>337</v>
      </c>
      <c r="F93" s="53">
        <v>4</v>
      </c>
      <c r="G93" s="25">
        <v>3</v>
      </c>
      <c r="H93" s="25">
        <v>81005</v>
      </c>
      <c r="I93" s="34" t="s">
        <v>2690</v>
      </c>
      <c r="J93" s="24">
        <v>52133234</v>
      </c>
      <c r="K93" s="24" t="s">
        <v>5422</v>
      </c>
      <c r="L93" s="24" t="s">
        <v>5423</v>
      </c>
      <c r="M93" s="26">
        <v>229900</v>
      </c>
      <c r="N93" s="36" t="s">
        <v>2569</v>
      </c>
      <c r="O93" s="14" t="s">
        <v>2586</v>
      </c>
      <c r="P93" s="36" t="s">
        <v>2569</v>
      </c>
    </row>
    <row r="94" spans="1:16" x14ac:dyDescent="0.35">
      <c r="A94" s="14" t="s">
        <v>6511</v>
      </c>
      <c r="B94" s="35">
        <f t="shared" si="3"/>
        <v>46086</v>
      </c>
      <c r="C94" s="35">
        <f t="shared" si="4"/>
        <v>46092</v>
      </c>
      <c r="D94" s="51">
        <v>3321</v>
      </c>
      <c r="E94" s="52">
        <v>337</v>
      </c>
      <c r="F94" s="53">
        <v>4</v>
      </c>
      <c r="G94" s="25">
        <v>3</v>
      </c>
      <c r="H94" s="25">
        <v>81005</v>
      </c>
      <c r="I94" s="34" t="s">
        <v>2690</v>
      </c>
      <c r="J94" s="24">
        <v>52133243</v>
      </c>
      <c r="K94" s="24" t="s">
        <v>5422</v>
      </c>
      <c r="L94" s="24" t="s">
        <v>5426</v>
      </c>
      <c r="M94" s="26">
        <v>229900</v>
      </c>
      <c r="N94" s="36" t="s">
        <v>2569</v>
      </c>
      <c r="O94" s="14" t="s">
        <v>2586</v>
      </c>
      <c r="P94" s="36" t="s">
        <v>2569</v>
      </c>
    </row>
    <row r="95" spans="1:16" x14ac:dyDescent="0.35">
      <c r="A95" s="14" t="s">
        <v>6511</v>
      </c>
      <c r="B95" s="35">
        <f t="shared" si="3"/>
        <v>46086</v>
      </c>
      <c r="C95" s="35">
        <f t="shared" si="4"/>
        <v>46092</v>
      </c>
      <c r="D95" s="51">
        <v>3321</v>
      </c>
      <c r="E95" s="52">
        <v>337</v>
      </c>
      <c r="F95" s="53">
        <v>4</v>
      </c>
      <c r="G95" s="25">
        <v>3</v>
      </c>
      <c r="H95" s="25">
        <v>81005</v>
      </c>
      <c r="I95" s="34" t="s">
        <v>2690</v>
      </c>
      <c r="J95" s="24">
        <v>52133252</v>
      </c>
      <c r="K95" s="24" t="s">
        <v>5422</v>
      </c>
      <c r="L95" s="24" t="s">
        <v>5424</v>
      </c>
      <c r="M95" s="26">
        <v>229900</v>
      </c>
      <c r="N95" s="36" t="s">
        <v>2569</v>
      </c>
      <c r="O95" s="14" t="s">
        <v>2586</v>
      </c>
      <c r="P95" s="36" t="s">
        <v>2569</v>
      </c>
    </row>
    <row r="96" spans="1:16" x14ac:dyDescent="0.35">
      <c r="A96" s="14" t="s">
        <v>6511</v>
      </c>
      <c r="B96" s="35">
        <f t="shared" si="3"/>
        <v>46086</v>
      </c>
      <c r="C96" s="35">
        <f t="shared" si="4"/>
        <v>46092</v>
      </c>
      <c r="D96" s="51">
        <v>3321</v>
      </c>
      <c r="E96" s="52">
        <v>337</v>
      </c>
      <c r="F96" s="53">
        <v>4</v>
      </c>
      <c r="G96" s="25">
        <v>3</v>
      </c>
      <c r="H96" s="25">
        <v>81005</v>
      </c>
      <c r="I96" s="34" t="s">
        <v>2690</v>
      </c>
      <c r="J96" s="24">
        <v>52133261</v>
      </c>
      <c r="K96" s="24" t="s">
        <v>5422</v>
      </c>
      <c r="L96" s="24" t="s">
        <v>5425</v>
      </c>
      <c r="M96" s="26">
        <v>229900</v>
      </c>
      <c r="N96" s="36" t="s">
        <v>2569</v>
      </c>
      <c r="O96" s="14" t="s">
        <v>2586</v>
      </c>
      <c r="P96" s="36" t="s">
        <v>2569</v>
      </c>
    </row>
    <row r="97" spans="1:16" x14ac:dyDescent="0.35">
      <c r="A97" s="14" t="s">
        <v>6511</v>
      </c>
      <c r="B97" s="35">
        <f t="shared" si="3"/>
        <v>46086</v>
      </c>
      <c r="C97" s="35">
        <f t="shared" si="4"/>
        <v>46092</v>
      </c>
      <c r="D97" s="51">
        <v>3321</v>
      </c>
      <c r="E97" s="52">
        <v>337</v>
      </c>
      <c r="F97" s="53">
        <v>4</v>
      </c>
      <c r="G97" s="25">
        <v>1</v>
      </c>
      <c r="H97" s="25">
        <v>81676</v>
      </c>
      <c r="I97" s="34" t="s">
        <v>2690</v>
      </c>
      <c r="J97" s="24">
        <v>52133190</v>
      </c>
      <c r="K97" s="24" t="s">
        <v>5455</v>
      </c>
      <c r="L97" s="24" t="s">
        <v>5456</v>
      </c>
      <c r="M97" s="26">
        <v>139900</v>
      </c>
      <c r="N97" s="36" t="s">
        <v>2569</v>
      </c>
      <c r="O97" s="14" t="s">
        <v>2586</v>
      </c>
      <c r="P97" s="36" t="s">
        <v>2569</v>
      </c>
    </row>
    <row r="98" spans="1:16" x14ac:dyDescent="0.35">
      <c r="A98" s="14" t="s">
        <v>6511</v>
      </c>
      <c r="B98" s="35">
        <f t="shared" si="3"/>
        <v>46086</v>
      </c>
      <c r="C98" s="35">
        <f t="shared" si="4"/>
        <v>46092</v>
      </c>
      <c r="D98" s="51">
        <v>3321</v>
      </c>
      <c r="E98" s="52">
        <v>337</v>
      </c>
      <c r="F98" s="53">
        <v>4</v>
      </c>
      <c r="G98" s="25">
        <v>1</v>
      </c>
      <c r="H98" s="25">
        <v>81676</v>
      </c>
      <c r="I98" s="34" t="s">
        <v>2690</v>
      </c>
      <c r="J98" s="24">
        <v>52133207</v>
      </c>
      <c r="K98" s="24" t="s">
        <v>5455</v>
      </c>
      <c r="L98" s="24" t="s">
        <v>5459</v>
      </c>
      <c r="M98" s="26">
        <v>139900</v>
      </c>
      <c r="N98" s="36" t="s">
        <v>2569</v>
      </c>
      <c r="O98" s="14" t="s">
        <v>2586</v>
      </c>
      <c r="P98" s="36" t="s">
        <v>2569</v>
      </c>
    </row>
    <row r="99" spans="1:16" x14ac:dyDescent="0.35">
      <c r="A99" s="14" t="s">
        <v>6511</v>
      </c>
      <c r="B99" s="35">
        <f t="shared" si="3"/>
        <v>46086</v>
      </c>
      <c r="C99" s="35">
        <f t="shared" si="4"/>
        <v>46092</v>
      </c>
      <c r="D99" s="51">
        <v>3321</v>
      </c>
      <c r="E99" s="52">
        <v>337</v>
      </c>
      <c r="F99" s="53">
        <v>4</v>
      </c>
      <c r="G99" s="25">
        <v>1</v>
      </c>
      <c r="H99" s="25">
        <v>81676</v>
      </c>
      <c r="I99" s="34" t="s">
        <v>2690</v>
      </c>
      <c r="J99" s="24">
        <v>52133216</v>
      </c>
      <c r="K99" s="24" t="s">
        <v>5455</v>
      </c>
      <c r="L99" s="24" t="s">
        <v>5458</v>
      </c>
      <c r="M99" s="26">
        <v>139900</v>
      </c>
      <c r="N99" s="36" t="s">
        <v>2569</v>
      </c>
      <c r="O99" s="14" t="s">
        <v>2586</v>
      </c>
      <c r="P99" s="36" t="s">
        <v>2569</v>
      </c>
    </row>
    <row r="100" spans="1:16" x14ac:dyDescent="0.35">
      <c r="A100" s="14" t="s">
        <v>6511</v>
      </c>
      <c r="B100" s="35">
        <f t="shared" si="3"/>
        <v>46086</v>
      </c>
      <c r="C100" s="35">
        <f t="shared" si="4"/>
        <v>46092</v>
      </c>
      <c r="D100" s="51">
        <v>3321</v>
      </c>
      <c r="E100" s="52">
        <v>337</v>
      </c>
      <c r="F100" s="53">
        <v>4</v>
      </c>
      <c r="G100" s="25">
        <v>1</v>
      </c>
      <c r="H100" s="25">
        <v>81676</v>
      </c>
      <c r="I100" s="34" t="s">
        <v>2690</v>
      </c>
      <c r="J100" s="24">
        <v>52133225</v>
      </c>
      <c r="K100" s="24" t="s">
        <v>5455</v>
      </c>
      <c r="L100" s="24" t="s">
        <v>5457</v>
      </c>
      <c r="M100" s="26">
        <v>139900</v>
      </c>
      <c r="N100" s="36" t="s">
        <v>2569</v>
      </c>
      <c r="O100" s="14" t="s">
        <v>2586</v>
      </c>
      <c r="P100" s="36" t="s">
        <v>2569</v>
      </c>
    </row>
    <row r="101" spans="1:16" x14ac:dyDescent="0.35">
      <c r="A101" s="14" t="s">
        <v>6511</v>
      </c>
      <c r="B101" s="35">
        <f t="shared" si="3"/>
        <v>46086</v>
      </c>
      <c r="C101" s="35">
        <f t="shared" si="4"/>
        <v>46092</v>
      </c>
      <c r="D101" s="51">
        <v>3321</v>
      </c>
      <c r="E101" s="52">
        <v>337</v>
      </c>
      <c r="F101" s="53">
        <v>4</v>
      </c>
      <c r="G101" s="25">
        <v>1</v>
      </c>
      <c r="H101" s="25">
        <v>81005</v>
      </c>
      <c r="I101" s="34" t="s">
        <v>2690</v>
      </c>
      <c r="J101" s="24">
        <v>52555369</v>
      </c>
      <c r="K101" s="24" t="s">
        <v>5465</v>
      </c>
      <c r="L101" s="24" t="s">
        <v>5466</v>
      </c>
      <c r="M101" s="26">
        <v>189900</v>
      </c>
      <c r="N101" s="36" t="s">
        <v>2569</v>
      </c>
      <c r="O101" s="14" t="s">
        <v>2586</v>
      </c>
      <c r="P101" s="36" t="s">
        <v>2569</v>
      </c>
    </row>
    <row r="102" spans="1:16" x14ac:dyDescent="0.35">
      <c r="A102" s="14" t="s">
        <v>6511</v>
      </c>
      <c r="B102" s="35">
        <f t="shared" si="3"/>
        <v>46086</v>
      </c>
      <c r="C102" s="35">
        <f t="shared" si="4"/>
        <v>46092</v>
      </c>
      <c r="D102" s="51">
        <v>3321</v>
      </c>
      <c r="E102" s="52">
        <v>337</v>
      </c>
      <c r="F102" s="53">
        <v>4</v>
      </c>
      <c r="G102" s="25">
        <v>1</v>
      </c>
      <c r="H102" s="25">
        <v>81005</v>
      </c>
      <c r="I102" s="34" t="s">
        <v>2690</v>
      </c>
      <c r="J102" s="24">
        <v>52555378</v>
      </c>
      <c r="K102" s="24" t="s">
        <v>5465</v>
      </c>
      <c r="L102" s="24" t="s">
        <v>5467</v>
      </c>
      <c r="M102" s="26">
        <v>189900</v>
      </c>
      <c r="N102" s="36" t="s">
        <v>2569</v>
      </c>
      <c r="O102" s="14" t="s">
        <v>2586</v>
      </c>
      <c r="P102" s="36" t="s">
        <v>2569</v>
      </c>
    </row>
    <row r="103" spans="1:16" x14ac:dyDescent="0.35">
      <c r="A103" s="14" t="s">
        <v>6511</v>
      </c>
      <c r="B103" s="35">
        <f t="shared" si="3"/>
        <v>46086</v>
      </c>
      <c r="C103" s="35">
        <f t="shared" si="4"/>
        <v>46092</v>
      </c>
      <c r="D103" s="51">
        <v>3321</v>
      </c>
      <c r="E103" s="52">
        <v>337</v>
      </c>
      <c r="F103" s="53">
        <v>4</v>
      </c>
      <c r="G103" s="25">
        <v>1</v>
      </c>
      <c r="H103" s="25">
        <v>81005</v>
      </c>
      <c r="I103" s="34" t="s">
        <v>2690</v>
      </c>
      <c r="J103" s="24">
        <v>52555387</v>
      </c>
      <c r="K103" s="24" t="s">
        <v>5465</v>
      </c>
      <c r="L103" s="24" t="s">
        <v>5469</v>
      </c>
      <c r="M103" s="26">
        <v>189900</v>
      </c>
      <c r="N103" s="36" t="s">
        <v>2569</v>
      </c>
      <c r="O103" s="14" t="s">
        <v>2586</v>
      </c>
      <c r="P103" s="36" t="s">
        <v>2569</v>
      </c>
    </row>
    <row r="104" spans="1:16" x14ac:dyDescent="0.35">
      <c r="A104" s="14" t="s">
        <v>6511</v>
      </c>
      <c r="B104" s="35">
        <f t="shared" si="3"/>
        <v>46086</v>
      </c>
      <c r="C104" s="35">
        <f t="shared" si="4"/>
        <v>46092</v>
      </c>
      <c r="D104" s="51">
        <v>3321</v>
      </c>
      <c r="E104" s="52">
        <v>337</v>
      </c>
      <c r="F104" s="53">
        <v>4</v>
      </c>
      <c r="G104" s="25">
        <v>1</v>
      </c>
      <c r="H104" s="25">
        <v>81005</v>
      </c>
      <c r="I104" s="34" t="s">
        <v>2690</v>
      </c>
      <c r="J104" s="24">
        <v>52555396</v>
      </c>
      <c r="K104" s="24" t="s">
        <v>5465</v>
      </c>
      <c r="L104" s="24" t="s">
        <v>5468</v>
      </c>
      <c r="M104" s="26">
        <v>189900</v>
      </c>
      <c r="N104" s="36" t="s">
        <v>2569</v>
      </c>
      <c r="O104" s="14" t="s">
        <v>2586</v>
      </c>
      <c r="P104" s="36" t="s">
        <v>2569</v>
      </c>
    </row>
    <row r="105" spans="1:16" x14ac:dyDescent="0.35">
      <c r="A105" s="14" t="s">
        <v>6511</v>
      </c>
      <c r="B105" s="35">
        <f t="shared" si="3"/>
        <v>46086</v>
      </c>
      <c r="C105" s="35">
        <f t="shared" si="4"/>
        <v>46092</v>
      </c>
      <c r="D105" s="51">
        <v>3321</v>
      </c>
      <c r="E105" s="52">
        <v>337</v>
      </c>
      <c r="F105" s="53">
        <v>4</v>
      </c>
      <c r="G105" s="25">
        <v>3</v>
      </c>
      <c r="H105" s="25">
        <v>81005</v>
      </c>
      <c r="I105" s="34" t="s">
        <v>2690</v>
      </c>
      <c r="J105" s="24">
        <v>52555449</v>
      </c>
      <c r="K105" s="24" t="s">
        <v>5765</v>
      </c>
      <c r="L105" s="24" t="s">
        <v>5768</v>
      </c>
      <c r="M105" s="26">
        <v>229900</v>
      </c>
      <c r="N105" s="36" t="s">
        <v>2569</v>
      </c>
      <c r="O105" s="14" t="s">
        <v>2586</v>
      </c>
      <c r="P105" s="36" t="s">
        <v>2569</v>
      </c>
    </row>
    <row r="106" spans="1:16" x14ac:dyDescent="0.35">
      <c r="A106" s="14" t="s">
        <v>6511</v>
      </c>
      <c r="B106" s="35">
        <f t="shared" si="3"/>
        <v>46086</v>
      </c>
      <c r="C106" s="35">
        <f t="shared" si="4"/>
        <v>46092</v>
      </c>
      <c r="D106" s="51">
        <v>3321</v>
      </c>
      <c r="E106" s="52">
        <v>337</v>
      </c>
      <c r="F106" s="53">
        <v>4</v>
      </c>
      <c r="G106" s="25">
        <v>3</v>
      </c>
      <c r="H106" s="25">
        <v>81005</v>
      </c>
      <c r="I106" s="34" t="s">
        <v>2690</v>
      </c>
      <c r="J106" s="24">
        <v>52555458</v>
      </c>
      <c r="K106" s="24" t="s">
        <v>5765</v>
      </c>
      <c r="L106" s="24" t="s">
        <v>5769</v>
      </c>
      <c r="M106" s="26">
        <v>229900</v>
      </c>
      <c r="N106" s="36" t="s">
        <v>2569</v>
      </c>
      <c r="O106" s="14" t="s">
        <v>2586</v>
      </c>
      <c r="P106" s="36" t="s">
        <v>2569</v>
      </c>
    </row>
    <row r="107" spans="1:16" x14ac:dyDescent="0.35">
      <c r="A107" s="14" t="s">
        <v>6511</v>
      </c>
      <c r="B107" s="35">
        <f t="shared" si="3"/>
        <v>46086</v>
      </c>
      <c r="C107" s="35">
        <f t="shared" si="4"/>
        <v>46092</v>
      </c>
      <c r="D107" s="51">
        <v>3321</v>
      </c>
      <c r="E107" s="52">
        <v>337</v>
      </c>
      <c r="F107" s="53">
        <v>4</v>
      </c>
      <c r="G107" s="25">
        <v>3</v>
      </c>
      <c r="H107" s="25">
        <v>81005</v>
      </c>
      <c r="I107" s="34" t="s">
        <v>2690</v>
      </c>
      <c r="J107" s="24">
        <v>52555467</v>
      </c>
      <c r="K107" s="24" t="s">
        <v>5765</v>
      </c>
      <c r="L107" s="24" t="s">
        <v>5766</v>
      </c>
      <c r="M107" s="26">
        <v>229900</v>
      </c>
      <c r="N107" s="36" t="s">
        <v>2569</v>
      </c>
      <c r="O107" s="14" t="s">
        <v>2586</v>
      </c>
      <c r="P107" s="36" t="s">
        <v>2569</v>
      </c>
    </row>
    <row r="108" spans="1:16" x14ac:dyDescent="0.35">
      <c r="A108" s="14" t="s">
        <v>6511</v>
      </c>
      <c r="B108" s="35">
        <f t="shared" si="3"/>
        <v>46086</v>
      </c>
      <c r="C108" s="35">
        <f t="shared" si="4"/>
        <v>46092</v>
      </c>
      <c r="D108" s="51">
        <v>3321</v>
      </c>
      <c r="E108" s="52">
        <v>337</v>
      </c>
      <c r="F108" s="53">
        <v>4</v>
      </c>
      <c r="G108" s="25">
        <v>3</v>
      </c>
      <c r="H108" s="25">
        <v>81005</v>
      </c>
      <c r="I108" s="34" t="s">
        <v>2690</v>
      </c>
      <c r="J108" s="24">
        <v>52555476</v>
      </c>
      <c r="K108" s="24" t="s">
        <v>5765</v>
      </c>
      <c r="L108" s="24" t="s">
        <v>5767</v>
      </c>
      <c r="M108" s="26">
        <v>229900</v>
      </c>
      <c r="N108" s="36" t="s">
        <v>2569</v>
      </c>
      <c r="O108" s="14" t="s">
        <v>2586</v>
      </c>
      <c r="P108" s="36" t="s">
        <v>2569</v>
      </c>
    </row>
    <row r="109" spans="1:16" x14ac:dyDescent="0.35">
      <c r="A109" s="14" t="s">
        <v>6511</v>
      </c>
      <c r="B109" s="35">
        <f t="shared" si="3"/>
        <v>46086</v>
      </c>
      <c r="C109" s="35">
        <f t="shared" si="4"/>
        <v>46092</v>
      </c>
      <c r="D109" s="51">
        <v>3321</v>
      </c>
      <c r="E109" s="52">
        <v>337</v>
      </c>
      <c r="F109" s="53">
        <v>4</v>
      </c>
      <c r="G109" s="25">
        <v>5</v>
      </c>
      <c r="H109" s="25">
        <v>81506</v>
      </c>
      <c r="I109" s="34" t="s">
        <v>2690</v>
      </c>
      <c r="J109" s="24">
        <v>53221244</v>
      </c>
      <c r="K109" s="24" t="s">
        <v>5770</v>
      </c>
      <c r="L109" s="24" t="s">
        <v>5773</v>
      </c>
      <c r="M109" s="26">
        <v>279900</v>
      </c>
      <c r="N109" s="36" t="s">
        <v>2569</v>
      </c>
      <c r="O109" s="14" t="s">
        <v>2586</v>
      </c>
      <c r="P109" s="36" t="s">
        <v>2569</v>
      </c>
    </row>
    <row r="110" spans="1:16" x14ac:dyDescent="0.35">
      <c r="A110" s="14" t="s">
        <v>6511</v>
      </c>
      <c r="B110" s="35">
        <f t="shared" si="3"/>
        <v>46086</v>
      </c>
      <c r="C110" s="35">
        <f t="shared" si="4"/>
        <v>46092</v>
      </c>
      <c r="D110" s="51">
        <v>3321</v>
      </c>
      <c r="E110" s="52">
        <v>337</v>
      </c>
      <c r="F110" s="53">
        <v>4</v>
      </c>
      <c r="G110" s="25">
        <v>5</v>
      </c>
      <c r="H110" s="25">
        <v>81506</v>
      </c>
      <c r="I110" s="34" t="s">
        <v>2690</v>
      </c>
      <c r="J110" s="24">
        <v>53221253</v>
      </c>
      <c r="K110" s="24" t="s">
        <v>5770</v>
      </c>
      <c r="L110" s="24" t="s">
        <v>5772</v>
      </c>
      <c r="M110" s="26">
        <v>279900</v>
      </c>
      <c r="N110" s="36" t="s">
        <v>2569</v>
      </c>
      <c r="O110" s="14" t="s">
        <v>2586</v>
      </c>
      <c r="P110" s="36" t="s">
        <v>2569</v>
      </c>
    </row>
    <row r="111" spans="1:16" x14ac:dyDescent="0.35">
      <c r="A111" s="14" t="s">
        <v>6511</v>
      </c>
      <c r="B111" s="35">
        <f t="shared" si="3"/>
        <v>46086</v>
      </c>
      <c r="C111" s="35">
        <f t="shared" si="4"/>
        <v>46092</v>
      </c>
      <c r="D111" s="51">
        <v>3321</v>
      </c>
      <c r="E111" s="52">
        <v>337</v>
      </c>
      <c r="F111" s="53">
        <v>4</v>
      </c>
      <c r="G111" s="25">
        <v>5</v>
      </c>
      <c r="H111" s="25">
        <v>81506</v>
      </c>
      <c r="I111" s="34" t="s">
        <v>2690</v>
      </c>
      <c r="J111" s="24">
        <v>53221262</v>
      </c>
      <c r="K111" s="24" t="s">
        <v>5770</v>
      </c>
      <c r="L111" s="24" t="s">
        <v>5771</v>
      </c>
      <c r="M111" s="26">
        <v>279900</v>
      </c>
      <c r="N111" s="36" t="s">
        <v>2569</v>
      </c>
      <c r="O111" s="14" t="s">
        <v>2586</v>
      </c>
      <c r="P111" s="36" t="s">
        <v>2569</v>
      </c>
    </row>
    <row r="112" spans="1:16" x14ac:dyDescent="0.35">
      <c r="A112" s="14" t="s">
        <v>6511</v>
      </c>
      <c r="B112" s="35">
        <f t="shared" si="3"/>
        <v>46086</v>
      </c>
      <c r="C112" s="35">
        <f t="shared" si="4"/>
        <v>46092</v>
      </c>
      <c r="D112" s="51">
        <v>3321</v>
      </c>
      <c r="E112" s="52">
        <v>337</v>
      </c>
      <c r="F112" s="53">
        <v>4</v>
      </c>
      <c r="G112" s="25">
        <v>5</v>
      </c>
      <c r="H112" s="25">
        <v>81506</v>
      </c>
      <c r="I112" s="34" t="s">
        <v>2690</v>
      </c>
      <c r="J112" s="24">
        <v>53221271</v>
      </c>
      <c r="K112" s="24" t="s">
        <v>5770</v>
      </c>
      <c r="L112" s="24" t="s">
        <v>5774</v>
      </c>
      <c r="M112" s="26">
        <v>279900</v>
      </c>
      <c r="N112" s="36" t="s">
        <v>2569</v>
      </c>
      <c r="O112" s="14" t="s">
        <v>2586</v>
      </c>
      <c r="P112" s="36" t="s">
        <v>2569</v>
      </c>
    </row>
    <row r="113" spans="1:16" x14ac:dyDescent="0.35">
      <c r="A113" s="14" t="s">
        <v>6511</v>
      </c>
      <c r="B113" s="35">
        <f t="shared" si="3"/>
        <v>46086</v>
      </c>
      <c r="C113" s="35">
        <f t="shared" si="4"/>
        <v>46092</v>
      </c>
      <c r="D113" s="51">
        <v>3321</v>
      </c>
      <c r="E113" s="52">
        <v>337</v>
      </c>
      <c r="F113" s="53">
        <v>4</v>
      </c>
      <c r="G113" s="25">
        <v>1</v>
      </c>
      <c r="H113" s="25">
        <v>81588</v>
      </c>
      <c r="I113" s="34" t="s">
        <v>2690</v>
      </c>
      <c r="J113" s="24">
        <v>53828643</v>
      </c>
      <c r="K113" s="24" t="s">
        <v>5775</v>
      </c>
      <c r="L113" s="24" t="s">
        <v>5784</v>
      </c>
      <c r="M113" s="26">
        <v>149900</v>
      </c>
      <c r="N113" s="36" t="s">
        <v>2569</v>
      </c>
      <c r="O113" s="14" t="s">
        <v>2586</v>
      </c>
      <c r="P113" s="36" t="s">
        <v>2569</v>
      </c>
    </row>
    <row r="114" spans="1:16" x14ac:dyDescent="0.35">
      <c r="A114" s="14" t="s">
        <v>6511</v>
      </c>
      <c r="B114" s="35">
        <f t="shared" si="3"/>
        <v>46086</v>
      </c>
      <c r="C114" s="35">
        <f t="shared" si="4"/>
        <v>46092</v>
      </c>
      <c r="D114" s="51">
        <v>3321</v>
      </c>
      <c r="E114" s="52">
        <v>337</v>
      </c>
      <c r="F114" s="53">
        <v>4</v>
      </c>
      <c r="G114" s="25">
        <v>1</v>
      </c>
      <c r="H114" s="25">
        <v>81588</v>
      </c>
      <c r="I114" s="34" t="s">
        <v>2690</v>
      </c>
      <c r="J114" s="24">
        <v>53828652</v>
      </c>
      <c r="K114" s="24" t="s">
        <v>5775</v>
      </c>
      <c r="L114" s="24" t="s">
        <v>5781</v>
      </c>
      <c r="M114" s="26">
        <v>149900</v>
      </c>
      <c r="N114" s="36" t="s">
        <v>2569</v>
      </c>
      <c r="O114" s="14" t="s">
        <v>2586</v>
      </c>
      <c r="P114" s="36" t="s">
        <v>2569</v>
      </c>
    </row>
    <row r="115" spans="1:16" x14ac:dyDescent="0.35">
      <c r="A115" s="14" t="s">
        <v>6511</v>
      </c>
      <c r="B115" s="35">
        <f t="shared" si="3"/>
        <v>46086</v>
      </c>
      <c r="C115" s="35">
        <f t="shared" si="4"/>
        <v>46092</v>
      </c>
      <c r="D115" s="51">
        <v>3321</v>
      </c>
      <c r="E115" s="52">
        <v>337</v>
      </c>
      <c r="F115" s="53">
        <v>4</v>
      </c>
      <c r="G115" s="25">
        <v>1</v>
      </c>
      <c r="H115" s="25">
        <v>81588</v>
      </c>
      <c r="I115" s="34" t="s">
        <v>2690</v>
      </c>
      <c r="J115" s="24">
        <v>53828661</v>
      </c>
      <c r="K115" s="24" t="s">
        <v>5775</v>
      </c>
      <c r="L115" s="24" t="s">
        <v>5798</v>
      </c>
      <c r="M115" s="26">
        <v>149900</v>
      </c>
      <c r="N115" s="36" t="s">
        <v>2569</v>
      </c>
      <c r="O115" s="14" t="s">
        <v>2586</v>
      </c>
      <c r="P115" s="36" t="s">
        <v>2569</v>
      </c>
    </row>
    <row r="116" spans="1:16" x14ac:dyDescent="0.35">
      <c r="A116" s="14" t="s">
        <v>6511</v>
      </c>
      <c r="B116" s="35">
        <f t="shared" si="3"/>
        <v>46086</v>
      </c>
      <c r="C116" s="35">
        <f t="shared" si="4"/>
        <v>46092</v>
      </c>
      <c r="D116" s="51">
        <v>3321</v>
      </c>
      <c r="E116" s="52">
        <v>337</v>
      </c>
      <c r="F116" s="53">
        <v>4</v>
      </c>
      <c r="G116" s="25">
        <v>1</v>
      </c>
      <c r="H116" s="25">
        <v>81588</v>
      </c>
      <c r="I116" s="34" t="s">
        <v>2690</v>
      </c>
      <c r="J116" s="24">
        <v>53828670</v>
      </c>
      <c r="K116" s="24" t="s">
        <v>5775</v>
      </c>
      <c r="L116" s="24" t="s">
        <v>5776</v>
      </c>
      <c r="M116" s="26">
        <v>149900</v>
      </c>
      <c r="N116" s="36" t="s">
        <v>2569</v>
      </c>
      <c r="O116" s="14" t="s">
        <v>2586</v>
      </c>
      <c r="P116" s="36" t="s">
        <v>2569</v>
      </c>
    </row>
    <row r="117" spans="1:16" x14ac:dyDescent="0.35">
      <c r="A117" s="14" t="s">
        <v>6511</v>
      </c>
      <c r="B117" s="35">
        <f t="shared" si="3"/>
        <v>46086</v>
      </c>
      <c r="C117" s="35">
        <f t="shared" si="4"/>
        <v>46092</v>
      </c>
      <c r="D117" s="51">
        <v>3321</v>
      </c>
      <c r="E117" s="52">
        <v>337</v>
      </c>
      <c r="F117" s="53">
        <v>4</v>
      </c>
      <c r="G117" s="25">
        <v>1</v>
      </c>
      <c r="H117" s="25">
        <v>81588</v>
      </c>
      <c r="I117" s="34" t="s">
        <v>2690</v>
      </c>
      <c r="J117" s="24">
        <v>53828483</v>
      </c>
      <c r="K117" s="24" t="s">
        <v>5786</v>
      </c>
      <c r="L117" s="24" t="s">
        <v>5793</v>
      </c>
      <c r="M117" s="26">
        <v>149900</v>
      </c>
      <c r="N117" s="36" t="s">
        <v>2569</v>
      </c>
      <c r="O117" s="14" t="s">
        <v>2586</v>
      </c>
      <c r="P117" s="36" t="s">
        <v>2569</v>
      </c>
    </row>
    <row r="118" spans="1:16" x14ac:dyDescent="0.35">
      <c r="A118" s="14" t="s">
        <v>6511</v>
      </c>
      <c r="B118" s="35">
        <f t="shared" si="3"/>
        <v>46086</v>
      </c>
      <c r="C118" s="35">
        <f t="shared" si="4"/>
        <v>46092</v>
      </c>
      <c r="D118" s="51">
        <v>3321</v>
      </c>
      <c r="E118" s="52">
        <v>337</v>
      </c>
      <c r="F118" s="53">
        <v>4</v>
      </c>
      <c r="G118" s="25">
        <v>1</v>
      </c>
      <c r="H118" s="25">
        <v>81588</v>
      </c>
      <c r="I118" s="34" t="s">
        <v>2690</v>
      </c>
      <c r="J118" s="24">
        <v>53828492</v>
      </c>
      <c r="K118" s="24" t="s">
        <v>5786</v>
      </c>
      <c r="L118" s="24" t="s">
        <v>5787</v>
      </c>
      <c r="M118" s="26">
        <v>149900</v>
      </c>
      <c r="N118" s="36" t="s">
        <v>2569</v>
      </c>
      <c r="O118" s="14" t="s">
        <v>2586</v>
      </c>
      <c r="P118" s="36" t="s">
        <v>2569</v>
      </c>
    </row>
    <row r="119" spans="1:16" x14ac:dyDescent="0.35">
      <c r="A119" s="14" t="s">
        <v>6511</v>
      </c>
      <c r="B119" s="35">
        <f t="shared" si="3"/>
        <v>46086</v>
      </c>
      <c r="C119" s="35">
        <f t="shared" si="4"/>
        <v>46092</v>
      </c>
      <c r="D119" s="51">
        <v>3321</v>
      </c>
      <c r="E119" s="52">
        <v>337</v>
      </c>
      <c r="F119" s="53">
        <v>4</v>
      </c>
      <c r="G119" s="25">
        <v>1</v>
      </c>
      <c r="H119" s="25">
        <v>81588</v>
      </c>
      <c r="I119" s="34" t="s">
        <v>2690</v>
      </c>
      <c r="J119" s="24">
        <v>53828509</v>
      </c>
      <c r="K119" s="24" t="s">
        <v>5786</v>
      </c>
      <c r="L119" s="24" t="s">
        <v>5788</v>
      </c>
      <c r="M119" s="26">
        <v>149900</v>
      </c>
      <c r="N119" s="36" t="s">
        <v>2569</v>
      </c>
      <c r="O119" s="14" t="s">
        <v>2586</v>
      </c>
      <c r="P119" s="36" t="s">
        <v>2569</v>
      </c>
    </row>
    <row r="120" spans="1:16" x14ac:dyDescent="0.35">
      <c r="A120" s="14" t="s">
        <v>6511</v>
      </c>
      <c r="B120" s="35">
        <f t="shared" si="3"/>
        <v>46086</v>
      </c>
      <c r="C120" s="35">
        <f t="shared" si="4"/>
        <v>46092</v>
      </c>
      <c r="D120" s="51">
        <v>3321</v>
      </c>
      <c r="E120" s="52">
        <v>337</v>
      </c>
      <c r="F120" s="53">
        <v>4</v>
      </c>
      <c r="G120" s="25">
        <v>1</v>
      </c>
      <c r="H120" s="25">
        <v>81588</v>
      </c>
      <c r="I120" s="34" t="s">
        <v>2690</v>
      </c>
      <c r="J120" s="24">
        <v>53828518</v>
      </c>
      <c r="K120" s="24" t="s">
        <v>5786</v>
      </c>
      <c r="L120" s="24" t="s">
        <v>5792</v>
      </c>
      <c r="M120" s="26">
        <v>149900</v>
      </c>
      <c r="N120" s="36" t="s">
        <v>2569</v>
      </c>
      <c r="O120" s="14" t="s">
        <v>2586</v>
      </c>
      <c r="P120" s="36" t="s">
        <v>2569</v>
      </c>
    </row>
    <row r="121" spans="1:16" x14ac:dyDescent="0.35">
      <c r="A121" s="14" t="s">
        <v>6511</v>
      </c>
      <c r="B121" s="35">
        <f t="shared" si="3"/>
        <v>46086</v>
      </c>
      <c r="C121" s="35">
        <f t="shared" si="4"/>
        <v>46092</v>
      </c>
      <c r="D121" s="51">
        <v>3321</v>
      </c>
      <c r="E121" s="52">
        <v>337</v>
      </c>
      <c r="F121" s="53">
        <v>4</v>
      </c>
      <c r="G121" s="25">
        <v>1</v>
      </c>
      <c r="H121" s="25">
        <v>81588</v>
      </c>
      <c r="I121" s="34" t="s">
        <v>2690</v>
      </c>
      <c r="J121" s="24">
        <v>53828563</v>
      </c>
      <c r="K121" s="24" t="s">
        <v>5777</v>
      </c>
      <c r="L121" s="24" t="s">
        <v>5795</v>
      </c>
      <c r="M121" s="26">
        <v>119900</v>
      </c>
      <c r="N121" s="36" t="s">
        <v>2569</v>
      </c>
      <c r="O121" s="14" t="s">
        <v>2586</v>
      </c>
      <c r="P121" s="36" t="s">
        <v>2569</v>
      </c>
    </row>
    <row r="122" spans="1:16" x14ac:dyDescent="0.35">
      <c r="A122" s="14" t="s">
        <v>6511</v>
      </c>
      <c r="B122" s="35">
        <f t="shared" si="3"/>
        <v>46086</v>
      </c>
      <c r="C122" s="35">
        <f t="shared" si="4"/>
        <v>46092</v>
      </c>
      <c r="D122" s="51">
        <v>3321</v>
      </c>
      <c r="E122" s="52">
        <v>337</v>
      </c>
      <c r="F122" s="53">
        <v>4</v>
      </c>
      <c r="G122" s="25">
        <v>1</v>
      </c>
      <c r="H122" s="25">
        <v>81588</v>
      </c>
      <c r="I122" s="34" t="s">
        <v>2690</v>
      </c>
      <c r="J122" s="24">
        <v>53828572</v>
      </c>
      <c r="K122" s="24" t="s">
        <v>5777</v>
      </c>
      <c r="L122" s="24" t="s">
        <v>5794</v>
      </c>
      <c r="M122" s="26">
        <v>119900</v>
      </c>
      <c r="N122" s="36" t="s">
        <v>2569</v>
      </c>
      <c r="O122" s="14" t="s">
        <v>2586</v>
      </c>
      <c r="P122" s="36" t="s">
        <v>2569</v>
      </c>
    </row>
    <row r="123" spans="1:16" x14ac:dyDescent="0.35">
      <c r="A123" s="14" t="s">
        <v>6511</v>
      </c>
      <c r="B123" s="35">
        <f t="shared" si="3"/>
        <v>46086</v>
      </c>
      <c r="C123" s="35">
        <f t="shared" si="4"/>
        <v>46092</v>
      </c>
      <c r="D123" s="51">
        <v>3321</v>
      </c>
      <c r="E123" s="52">
        <v>337</v>
      </c>
      <c r="F123" s="53">
        <v>4</v>
      </c>
      <c r="G123" s="25">
        <v>1</v>
      </c>
      <c r="H123" s="25">
        <v>81588</v>
      </c>
      <c r="I123" s="34" t="s">
        <v>2690</v>
      </c>
      <c r="J123" s="24">
        <v>53828581</v>
      </c>
      <c r="K123" s="24" t="s">
        <v>5777</v>
      </c>
      <c r="L123" s="24" t="s">
        <v>5797</v>
      </c>
      <c r="M123" s="26">
        <v>119900</v>
      </c>
      <c r="N123" s="36" t="s">
        <v>2569</v>
      </c>
      <c r="O123" s="14" t="s">
        <v>2586</v>
      </c>
      <c r="P123" s="36" t="s">
        <v>2569</v>
      </c>
    </row>
    <row r="124" spans="1:16" x14ac:dyDescent="0.35">
      <c r="A124" s="14" t="s">
        <v>6511</v>
      </c>
      <c r="B124" s="35">
        <f t="shared" si="3"/>
        <v>46086</v>
      </c>
      <c r="C124" s="35">
        <f t="shared" si="4"/>
        <v>46092</v>
      </c>
      <c r="D124" s="51">
        <v>3321</v>
      </c>
      <c r="E124" s="52">
        <v>337</v>
      </c>
      <c r="F124" s="53">
        <v>4</v>
      </c>
      <c r="G124" s="25">
        <v>1</v>
      </c>
      <c r="H124" s="25">
        <v>81588</v>
      </c>
      <c r="I124" s="34" t="s">
        <v>2690</v>
      </c>
      <c r="J124" s="24">
        <v>53828590</v>
      </c>
      <c r="K124" s="24" t="s">
        <v>5777</v>
      </c>
      <c r="L124" s="24" t="s">
        <v>5778</v>
      </c>
      <c r="M124" s="26">
        <v>119900</v>
      </c>
      <c r="N124" s="36" t="s">
        <v>2569</v>
      </c>
      <c r="O124" s="14" t="s">
        <v>2586</v>
      </c>
      <c r="P124" s="36" t="s">
        <v>2569</v>
      </c>
    </row>
    <row r="125" spans="1:16" x14ac:dyDescent="0.35">
      <c r="A125" s="14" t="s">
        <v>6511</v>
      </c>
      <c r="B125" s="35">
        <f t="shared" si="3"/>
        <v>46086</v>
      </c>
      <c r="C125" s="35">
        <f t="shared" si="4"/>
        <v>46092</v>
      </c>
      <c r="D125" s="51">
        <v>3321</v>
      </c>
      <c r="E125" s="52">
        <v>337</v>
      </c>
      <c r="F125" s="53">
        <v>4</v>
      </c>
      <c r="G125" s="25">
        <v>1</v>
      </c>
      <c r="H125" s="25">
        <v>81588</v>
      </c>
      <c r="I125" s="34" t="s">
        <v>2690</v>
      </c>
      <c r="J125" s="24">
        <v>53828607</v>
      </c>
      <c r="K125" s="24" t="s">
        <v>5779</v>
      </c>
      <c r="L125" s="24" t="s">
        <v>5780</v>
      </c>
      <c r="M125" s="26">
        <v>149900</v>
      </c>
      <c r="N125" s="36" t="s">
        <v>2569</v>
      </c>
      <c r="O125" s="14" t="s">
        <v>2586</v>
      </c>
      <c r="P125" s="36" t="s">
        <v>2569</v>
      </c>
    </row>
    <row r="126" spans="1:16" x14ac:dyDescent="0.35">
      <c r="A126" s="14" t="s">
        <v>6511</v>
      </c>
      <c r="B126" s="35">
        <f t="shared" si="3"/>
        <v>46086</v>
      </c>
      <c r="C126" s="35">
        <f t="shared" si="4"/>
        <v>46092</v>
      </c>
      <c r="D126" s="51">
        <v>3321</v>
      </c>
      <c r="E126" s="52">
        <v>337</v>
      </c>
      <c r="F126" s="53">
        <v>4</v>
      </c>
      <c r="G126" s="25">
        <v>1</v>
      </c>
      <c r="H126" s="25">
        <v>81588</v>
      </c>
      <c r="I126" s="34" t="s">
        <v>2690</v>
      </c>
      <c r="J126" s="24">
        <v>53828616</v>
      </c>
      <c r="K126" s="24" t="s">
        <v>5779</v>
      </c>
      <c r="L126" s="24" t="s">
        <v>5791</v>
      </c>
      <c r="M126" s="26">
        <v>149900</v>
      </c>
      <c r="N126" s="36" t="s">
        <v>2569</v>
      </c>
      <c r="O126" s="14" t="s">
        <v>2586</v>
      </c>
      <c r="P126" s="36" t="s">
        <v>2569</v>
      </c>
    </row>
    <row r="127" spans="1:16" x14ac:dyDescent="0.35">
      <c r="A127" s="14" t="s">
        <v>6511</v>
      </c>
      <c r="B127" s="35">
        <f t="shared" si="3"/>
        <v>46086</v>
      </c>
      <c r="C127" s="35">
        <f t="shared" si="4"/>
        <v>46092</v>
      </c>
      <c r="D127" s="51">
        <v>3321</v>
      </c>
      <c r="E127" s="52">
        <v>337</v>
      </c>
      <c r="F127" s="53">
        <v>4</v>
      </c>
      <c r="G127" s="25">
        <v>1</v>
      </c>
      <c r="H127" s="25">
        <v>81588</v>
      </c>
      <c r="I127" s="34" t="s">
        <v>2690</v>
      </c>
      <c r="J127" s="24">
        <v>53828625</v>
      </c>
      <c r="K127" s="24" t="s">
        <v>5779</v>
      </c>
      <c r="L127" s="24" t="s">
        <v>5789</v>
      </c>
      <c r="M127" s="26">
        <v>149900</v>
      </c>
      <c r="N127" s="36" t="s">
        <v>2569</v>
      </c>
      <c r="O127" s="14" t="s">
        <v>2586</v>
      </c>
      <c r="P127" s="36" t="s">
        <v>2569</v>
      </c>
    </row>
    <row r="128" spans="1:16" x14ac:dyDescent="0.35">
      <c r="A128" s="14" t="s">
        <v>6511</v>
      </c>
      <c r="B128" s="35">
        <f t="shared" si="3"/>
        <v>46086</v>
      </c>
      <c r="C128" s="35">
        <f t="shared" si="4"/>
        <v>46092</v>
      </c>
      <c r="D128" s="51">
        <v>3321</v>
      </c>
      <c r="E128" s="52">
        <v>337</v>
      </c>
      <c r="F128" s="53">
        <v>4</v>
      </c>
      <c r="G128" s="25">
        <v>1</v>
      </c>
      <c r="H128" s="25">
        <v>81588</v>
      </c>
      <c r="I128" s="34" t="s">
        <v>2690</v>
      </c>
      <c r="J128" s="24">
        <v>53828634</v>
      </c>
      <c r="K128" s="24" t="s">
        <v>5779</v>
      </c>
      <c r="L128" s="24" t="s">
        <v>5785</v>
      </c>
      <c r="M128" s="26">
        <v>149900</v>
      </c>
      <c r="N128" s="36" t="s">
        <v>2569</v>
      </c>
      <c r="O128" s="14" t="s">
        <v>2586</v>
      </c>
      <c r="P128" s="36" t="s">
        <v>2569</v>
      </c>
    </row>
    <row r="129" spans="1:16" x14ac:dyDescent="0.35">
      <c r="A129" s="14" t="s">
        <v>6511</v>
      </c>
      <c r="B129" s="35">
        <f t="shared" si="3"/>
        <v>46086</v>
      </c>
      <c r="C129" s="35">
        <f t="shared" si="4"/>
        <v>46092</v>
      </c>
      <c r="D129" s="51">
        <v>3321</v>
      </c>
      <c r="E129" s="52">
        <v>337</v>
      </c>
      <c r="F129" s="53">
        <v>4</v>
      </c>
      <c r="G129" s="25">
        <v>1</v>
      </c>
      <c r="H129" s="25">
        <v>81588</v>
      </c>
      <c r="I129" s="34" t="s">
        <v>2690</v>
      </c>
      <c r="J129" s="24">
        <v>53828527</v>
      </c>
      <c r="K129" s="24" t="s">
        <v>5782</v>
      </c>
      <c r="L129" s="24" t="s">
        <v>5796</v>
      </c>
      <c r="M129" s="26">
        <v>149900</v>
      </c>
      <c r="N129" s="36" t="s">
        <v>2569</v>
      </c>
      <c r="O129" s="14" t="s">
        <v>2586</v>
      </c>
      <c r="P129" s="36" t="s">
        <v>2569</v>
      </c>
    </row>
    <row r="130" spans="1:16" x14ac:dyDescent="0.35">
      <c r="A130" s="14" t="s">
        <v>6511</v>
      </c>
      <c r="B130" s="35">
        <f t="shared" si="3"/>
        <v>46086</v>
      </c>
      <c r="C130" s="35">
        <f t="shared" si="4"/>
        <v>46092</v>
      </c>
      <c r="D130" s="51">
        <v>3321</v>
      </c>
      <c r="E130" s="52">
        <v>337</v>
      </c>
      <c r="F130" s="53">
        <v>4</v>
      </c>
      <c r="G130" s="25">
        <v>1</v>
      </c>
      <c r="H130" s="25">
        <v>81588</v>
      </c>
      <c r="I130" s="34" t="s">
        <v>2690</v>
      </c>
      <c r="J130" s="24">
        <v>53828536</v>
      </c>
      <c r="K130" s="24" t="s">
        <v>5782</v>
      </c>
      <c r="L130" s="24" t="s">
        <v>5783</v>
      </c>
      <c r="M130" s="26">
        <v>149900</v>
      </c>
      <c r="N130" s="36" t="s">
        <v>2569</v>
      </c>
      <c r="O130" s="14" t="s">
        <v>2586</v>
      </c>
      <c r="P130" s="36" t="s">
        <v>2569</v>
      </c>
    </row>
    <row r="131" spans="1:16" x14ac:dyDescent="0.35">
      <c r="A131" s="14" t="s">
        <v>6511</v>
      </c>
      <c r="B131" s="35">
        <f t="shared" si="3"/>
        <v>46086</v>
      </c>
      <c r="C131" s="35">
        <f t="shared" si="4"/>
        <v>46092</v>
      </c>
      <c r="D131" s="51">
        <v>3321</v>
      </c>
      <c r="E131" s="52">
        <v>337</v>
      </c>
      <c r="F131" s="53">
        <v>4</v>
      </c>
      <c r="G131" s="25">
        <v>1</v>
      </c>
      <c r="H131" s="25">
        <v>81588</v>
      </c>
      <c r="I131" s="34" t="s">
        <v>2690</v>
      </c>
      <c r="J131" s="24">
        <v>53828545</v>
      </c>
      <c r="K131" s="24" t="s">
        <v>5782</v>
      </c>
      <c r="L131" s="24" t="s">
        <v>5790</v>
      </c>
      <c r="M131" s="26">
        <v>149900</v>
      </c>
      <c r="N131" s="36" t="s">
        <v>2569</v>
      </c>
      <c r="O131" s="14" t="s">
        <v>2586</v>
      </c>
      <c r="P131" s="36" t="s">
        <v>2569</v>
      </c>
    </row>
    <row r="132" spans="1:16" x14ac:dyDescent="0.35">
      <c r="A132" s="14" t="s">
        <v>6511</v>
      </c>
      <c r="B132" s="35">
        <f t="shared" si="3"/>
        <v>46086</v>
      </c>
      <c r="C132" s="35">
        <f t="shared" si="4"/>
        <v>46092</v>
      </c>
      <c r="D132" s="51">
        <v>3321</v>
      </c>
      <c r="E132" s="52">
        <v>337</v>
      </c>
      <c r="F132" s="53">
        <v>4</v>
      </c>
      <c r="G132" s="25">
        <v>1</v>
      </c>
      <c r="H132" s="25">
        <v>81588</v>
      </c>
      <c r="I132" s="34" t="s">
        <v>2690</v>
      </c>
      <c r="J132" s="24">
        <v>53828554</v>
      </c>
      <c r="K132" s="24" t="s">
        <v>5782</v>
      </c>
      <c r="L132" s="24" t="s">
        <v>5799</v>
      </c>
      <c r="M132" s="26">
        <v>149900</v>
      </c>
      <c r="N132" s="36" t="s">
        <v>2569</v>
      </c>
      <c r="O132" s="14" t="s">
        <v>2586</v>
      </c>
      <c r="P132" s="36" t="s">
        <v>2569</v>
      </c>
    </row>
    <row r="133" spans="1:16" x14ac:dyDescent="0.35">
      <c r="A133" s="14" t="s">
        <v>6511</v>
      </c>
      <c r="B133" s="35">
        <f t="shared" si="3"/>
        <v>46086</v>
      </c>
      <c r="C133" s="35">
        <f t="shared" si="4"/>
        <v>46092</v>
      </c>
      <c r="D133" s="51">
        <v>3321</v>
      </c>
      <c r="E133" s="52">
        <v>337</v>
      </c>
      <c r="F133" s="53">
        <v>4</v>
      </c>
      <c r="G133" s="25">
        <v>3</v>
      </c>
      <c r="H133" s="25">
        <v>81588</v>
      </c>
      <c r="I133" s="34" t="s">
        <v>2690</v>
      </c>
      <c r="J133" s="24">
        <v>53828689</v>
      </c>
      <c r="K133" s="24" t="s">
        <v>5865</v>
      </c>
      <c r="L133" s="24" t="s">
        <v>5867</v>
      </c>
      <c r="M133" s="26">
        <v>279900</v>
      </c>
      <c r="N133" s="36" t="s">
        <v>2569</v>
      </c>
      <c r="O133" s="14" t="s">
        <v>2586</v>
      </c>
      <c r="P133" s="36" t="s">
        <v>2569</v>
      </c>
    </row>
    <row r="134" spans="1:16" x14ac:dyDescent="0.35">
      <c r="A134" s="14" t="s">
        <v>6511</v>
      </c>
      <c r="B134" s="35">
        <f t="shared" ref="B134:B176" si="5">B133</f>
        <v>46086</v>
      </c>
      <c r="C134" s="35">
        <f t="shared" ref="C134:C176" si="6">C133</f>
        <v>46092</v>
      </c>
      <c r="D134" s="51">
        <v>3321</v>
      </c>
      <c r="E134" s="52">
        <v>337</v>
      </c>
      <c r="F134" s="53">
        <v>4</v>
      </c>
      <c r="G134" s="25">
        <v>3</v>
      </c>
      <c r="H134" s="25">
        <v>81588</v>
      </c>
      <c r="I134" s="34" t="s">
        <v>2690</v>
      </c>
      <c r="J134" s="24">
        <v>53828698</v>
      </c>
      <c r="K134" s="24" t="s">
        <v>5865</v>
      </c>
      <c r="L134" s="24" t="s">
        <v>5868</v>
      </c>
      <c r="M134" s="26">
        <v>279900</v>
      </c>
      <c r="N134" s="36" t="s">
        <v>2569</v>
      </c>
      <c r="O134" s="14" t="s">
        <v>2586</v>
      </c>
      <c r="P134" s="36" t="s">
        <v>2569</v>
      </c>
    </row>
    <row r="135" spans="1:16" x14ac:dyDescent="0.35">
      <c r="A135" s="14" t="s">
        <v>6511</v>
      </c>
      <c r="B135" s="35">
        <f t="shared" si="5"/>
        <v>46086</v>
      </c>
      <c r="C135" s="35">
        <f t="shared" si="6"/>
        <v>46092</v>
      </c>
      <c r="D135" s="51">
        <v>3321</v>
      </c>
      <c r="E135" s="52">
        <v>337</v>
      </c>
      <c r="F135" s="53">
        <v>4</v>
      </c>
      <c r="G135" s="25">
        <v>3</v>
      </c>
      <c r="H135" s="25">
        <v>81588</v>
      </c>
      <c r="I135" s="34" t="s">
        <v>2690</v>
      </c>
      <c r="J135" s="24">
        <v>53828705</v>
      </c>
      <c r="K135" s="24" t="s">
        <v>5865</v>
      </c>
      <c r="L135" s="24" t="s">
        <v>5866</v>
      </c>
      <c r="M135" s="26">
        <v>279900</v>
      </c>
      <c r="N135" s="36" t="s">
        <v>2569</v>
      </c>
      <c r="O135" s="14" t="s">
        <v>2586</v>
      </c>
      <c r="P135" s="36" t="s">
        <v>2569</v>
      </c>
    </row>
    <row r="136" spans="1:16" x14ac:dyDescent="0.35">
      <c r="A136" s="14" t="s">
        <v>6511</v>
      </c>
      <c r="B136" s="35">
        <f t="shared" si="5"/>
        <v>46086</v>
      </c>
      <c r="C136" s="35">
        <f t="shared" si="6"/>
        <v>46092</v>
      </c>
      <c r="D136" s="51">
        <v>3321</v>
      </c>
      <c r="E136" s="52">
        <v>337</v>
      </c>
      <c r="F136" s="53">
        <v>4</v>
      </c>
      <c r="G136" s="25">
        <v>3</v>
      </c>
      <c r="H136" s="25">
        <v>81588</v>
      </c>
      <c r="I136" s="34" t="s">
        <v>2690</v>
      </c>
      <c r="J136" s="24">
        <v>53828714</v>
      </c>
      <c r="K136" s="24" t="s">
        <v>5865</v>
      </c>
      <c r="L136" s="24" t="s">
        <v>5869</v>
      </c>
      <c r="M136" s="26">
        <v>279900</v>
      </c>
      <c r="N136" s="36" t="s">
        <v>2569</v>
      </c>
      <c r="O136" s="14" t="s">
        <v>2586</v>
      </c>
      <c r="P136" s="36" t="s">
        <v>2569</v>
      </c>
    </row>
    <row r="137" spans="1:16" x14ac:dyDescent="0.35">
      <c r="A137" s="14" t="s">
        <v>6511</v>
      </c>
      <c r="B137" s="35">
        <f t="shared" si="5"/>
        <v>46086</v>
      </c>
      <c r="C137" s="35">
        <f t="shared" si="6"/>
        <v>46092</v>
      </c>
      <c r="D137" s="51">
        <v>3321</v>
      </c>
      <c r="E137" s="52">
        <v>337</v>
      </c>
      <c r="F137" s="53">
        <v>4</v>
      </c>
      <c r="G137" s="25">
        <v>4</v>
      </c>
      <c r="H137" s="25">
        <v>81588</v>
      </c>
      <c r="I137" s="34" t="s">
        <v>2690</v>
      </c>
      <c r="J137" s="24">
        <v>53828723</v>
      </c>
      <c r="K137" s="24" t="s">
        <v>5870</v>
      </c>
      <c r="L137" s="24" t="s">
        <v>5873</v>
      </c>
      <c r="M137" s="26">
        <v>199900</v>
      </c>
      <c r="N137" s="36" t="s">
        <v>2569</v>
      </c>
      <c r="O137" s="14" t="s">
        <v>2586</v>
      </c>
      <c r="P137" s="36" t="s">
        <v>2569</v>
      </c>
    </row>
    <row r="138" spans="1:16" x14ac:dyDescent="0.35">
      <c r="A138" s="14" t="s">
        <v>6511</v>
      </c>
      <c r="B138" s="35">
        <f t="shared" si="5"/>
        <v>46086</v>
      </c>
      <c r="C138" s="35">
        <f t="shared" si="6"/>
        <v>46092</v>
      </c>
      <c r="D138" s="51">
        <v>3321</v>
      </c>
      <c r="E138" s="52">
        <v>337</v>
      </c>
      <c r="F138" s="53">
        <v>4</v>
      </c>
      <c r="G138" s="25">
        <v>4</v>
      </c>
      <c r="H138" s="25">
        <v>81588</v>
      </c>
      <c r="I138" s="34" t="s">
        <v>2690</v>
      </c>
      <c r="J138" s="24">
        <v>53828732</v>
      </c>
      <c r="K138" s="24" t="s">
        <v>5870</v>
      </c>
      <c r="L138" s="24" t="s">
        <v>5872</v>
      </c>
      <c r="M138" s="26">
        <v>199900</v>
      </c>
      <c r="N138" s="36" t="s">
        <v>2569</v>
      </c>
      <c r="O138" s="14" t="s">
        <v>2586</v>
      </c>
      <c r="P138" s="36" t="s">
        <v>2569</v>
      </c>
    </row>
    <row r="139" spans="1:16" x14ac:dyDescent="0.35">
      <c r="A139" s="14" t="s">
        <v>6511</v>
      </c>
      <c r="B139" s="35">
        <f t="shared" si="5"/>
        <v>46086</v>
      </c>
      <c r="C139" s="35">
        <f t="shared" si="6"/>
        <v>46092</v>
      </c>
      <c r="D139" s="51">
        <v>3321</v>
      </c>
      <c r="E139" s="52">
        <v>337</v>
      </c>
      <c r="F139" s="53">
        <v>4</v>
      </c>
      <c r="G139" s="25">
        <v>4</v>
      </c>
      <c r="H139" s="25">
        <v>81588</v>
      </c>
      <c r="I139" s="34" t="s">
        <v>2690</v>
      </c>
      <c r="J139" s="24">
        <v>53828741</v>
      </c>
      <c r="K139" s="24" t="s">
        <v>5870</v>
      </c>
      <c r="L139" s="24" t="s">
        <v>5871</v>
      </c>
      <c r="M139" s="26">
        <v>199900</v>
      </c>
      <c r="N139" s="36" t="s">
        <v>2569</v>
      </c>
      <c r="O139" s="14" t="s">
        <v>2586</v>
      </c>
      <c r="P139" s="36" t="s">
        <v>2569</v>
      </c>
    </row>
    <row r="140" spans="1:16" x14ac:dyDescent="0.35">
      <c r="A140" s="14" t="s">
        <v>6511</v>
      </c>
      <c r="B140" s="35">
        <f t="shared" si="5"/>
        <v>46086</v>
      </c>
      <c r="C140" s="35">
        <f t="shared" si="6"/>
        <v>46092</v>
      </c>
      <c r="D140" s="51">
        <v>3321</v>
      </c>
      <c r="E140" s="52">
        <v>337</v>
      </c>
      <c r="F140" s="53">
        <v>4</v>
      </c>
      <c r="G140" s="25">
        <v>4</v>
      </c>
      <c r="H140" s="25">
        <v>81588</v>
      </c>
      <c r="I140" s="34" t="s">
        <v>2690</v>
      </c>
      <c r="J140" s="24">
        <v>53828750</v>
      </c>
      <c r="K140" s="24" t="s">
        <v>5870</v>
      </c>
      <c r="L140" s="24" t="s">
        <v>5874</v>
      </c>
      <c r="M140" s="26">
        <v>199900</v>
      </c>
      <c r="N140" s="36" t="s">
        <v>2569</v>
      </c>
      <c r="O140" s="14" t="s">
        <v>2586</v>
      </c>
      <c r="P140" s="36" t="s">
        <v>2569</v>
      </c>
    </row>
    <row r="141" spans="1:16" x14ac:dyDescent="0.35">
      <c r="A141" s="14" t="s">
        <v>6511</v>
      </c>
      <c r="B141" s="35">
        <f t="shared" si="5"/>
        <v>46086</v>
      </c>
      <c r="C141" s="35">
        <f t="shared" si="6"/>
        <v>46092</v>
      </c>
      <c r="D141" s="51">
        <v>3321</v>
      </c>
      <c r="E141" s="52">
        <v>337</v>
      </c>
      <c r="F141" s="53">
        <v>4</v>
      </c>
      <c r="G141" s="25">
        <v>5</v>
      </c>
      <c r="H141" s="25">
        <v>81588</v>
      </c>
      <c r="I141" s="34" t="s">
        <v>2690</v>
      </c>
      <c r="J141" s="24">
        <v>53828769</v>
      </c>
      <c r="K141" s="24" t="s">
        <v>5875</v>
      </c>
      <c r="L141" s="24" t="s">
        <v>5876</v>
      </c>
      <c r="M141" s="26">
        <v>259900</v>
      </c>
      <c r="N141" s="36" t="s">
        <v>2569</v>
      </c>
      <c r="O141" s="14" t="s">
        <v>2586</v>
      </c>
      <c r="P141" s="36" t="s">
        <v>2569</v>
      </c>
    </row>
    <row r="142" spans="1:16" x14ac:dyDescent="0.35">
      <c r="A142" s="14" t="s">
        <v>6511</v>
      </c>
      <c r="B142" s="35">
        <f t="shared" si="5"/>
        <v>46086</v>
      </c>
      <c r="C142" s="35">
        <f t="shared" si="6"/>
        <v>46092</v>
      </c>
      <c r="D142" s="51">
        <v>3321</v>
      </c>
      <c r="E142" s="52">
        <v>337</v>
      </c>
      <c r="F142" s="53">
        <v>4</v>
      </c>
      <c r="G142" s="25">
        <v>5</v>
      </c>
      <c r="H142" s="25">
        <v>81588</v>
      </c>
      <c r="I142" s="34" t="s">
        <v>2690</v>
      </c>
      <c r="J142" s="24">
        <v>53828778</v>
      </c>
      <c r="K142" s="24" t="s">
        <v>5875</v>
      </c>
      <c r="L142" s="24" t="s">
        <v>5879</v>
      </c>
      <c r="M142" s="26">
        <v>259900</v>
      </c>
      <c r="N142" s="36" t="s">
        <v>2569</v>
      </c>
      <c r="O142" s="14" t="s">
        <v>2586</v>
      </c>
      <c r="P142" s="36" t="s">
        <v>2569</v>
      </c>
    </row>
    <row r="143" spans="1:16" x14ac:dyDescent="0.35">
      <c r="A143" s="14" t="s">
        <v>6511</v>
      </c>
      <c r="B143" s="35">
        <f t="shared" si="5"/>
        <v>46086</v>
      </c>
      <c r="C143" s="35">
        <f t="shared" si="6"/>
        <v>46092</v>
      </c>
      <c r="D143" s="51">
        <v>3321</v>
      </c>
      <c r="E143" s="52">
        <v>337</v>
      </c>
      <c r="F143" s="53">
        <v>4</v>
      </c>
      <c r="G143" s="25">
        <v>5</v>
      </c>
      <c r="H143" s="25">
        <v>81588</v>
      </c>
      <c r="I143" s="34" t="s">
        <v>2690</v>
      </c>
      <c r="J143" s="24">
        <v>53828787</v>
      </c>
      <c r="K143" s="24" t="s">
        <v>5875</v>
      </c>
      <c r="L143" s="24" t="s">
        <v>5878</v>
      </c>
      <c r="M143" s="26">
        <v>259900</v>
      </c>
      <c r="N143" s="36" t="s">
        <v>2569</v>
      </c>
      <c r="O143" s="14" t="s">
        <v>2586</v>
      </c>
      <c r="P143" s="36" t="s">
        <v>2569</v>
      </c>
    </row>
    <row r="144" spans="1:16" x14ac:dyDescent="0.35">
      <c r="A144" s="14" t="s">
        <v>6511</v>
      </c>
      <c r="B144" s="35">
        <f t="shared" si="5"/>
        <v>46086</v>
      </c>
      <c r="C144" s="35">
        <f t="shared" si="6"/>
        <v>46092</v>
      </c>
      <c r="D144" s="51">
        <v>3321</v>
      </c>
      <c r="E144" s="52">
        <v>337</v>
      </c>
      <c r="F144" s="53">
        <v>4</v>
      </c>
      <c r="G144" s="25">
        <v>5</v>
      </c>
      <c r="H144" s="25">
        <v>81588</v>
      </c>
      <c r="I144" s="34" t="s">
        <v>2690</v>
      </c>
      <c r="J144" s="24">
        <v>53828796</v>
      </c>
      <c r="K144" s="24" t="s">
        <v>5875</v>
      </c>
      <c r="L144" s="24" t="s">
        <v>5877</v>
      </c>
      <c r="M144" s="26">
        <v>259900</v>
      </c>
      <c r="N144" s="36" t="s">
        <v>2569</v>
      </c>
      <c r="O144" s="14" t="s">
        <v>2586</v>
      </c>
      <c r="P144" s="36" t="s">
        <v>2569</v>
      </c>
    </row>
    <row r="145" spans="1:16" x14ac:dyDescent="0.35">
      <c r="A145" s="14" t="s">
        <v>6511</v>
      </c>
      <c r="B145" s="35">
        <f t="shared" si="5"/>
        <v>46086</v>
      </c>
      <c r="C145" s="35">
        <f t="shared" si="6"/>
        <v>46092</v>
      </c>
      <c r="D145" s="51">
        <v>3321</v>
      </c>
      <c r="E145" s="52">
        <v>337</v>
      </c>
      <c r="F145" s="53">
        <v>4</v>
      </c>
      <c r="G145" s="25">
        <v>1</v>
      </c>
      <c r="H145" s="25">
        <v>4953</v>
      </c>
      <c r="I145" s="34" t="s">
        <v>2690</v>
      </c>
      <c r="J145" s="24">
        <v>54390953</v>
      </c>
      <c r="K145" s="24" t="s">
        <v>5893</v>
      </c>
      <c r="L145" s="24" t="s">
        <v>5895</v>
      </c>
      <c r="M145" s="26">
        <v>119900</v>
      </c>
      <c r="N145" s="36" t="s">
        <v>2569</v>
      </c>
      <c r="O145" s="14" t="s">
        <v>2586</v>
      </c>
      <c r="P145" s="36" t="s">
        <v>2569</v>
      </c>
    </row>
    <row r="146" spans="1:16" x14ac:dyDescent="0.35">
      <c r="A146" s="14" t="s">
        <v>6511</v>
      </c>
      <c r="B146" s="35">
        <f t="shared" si="5"/>
        <v>46086</v>
      </c>
      <c r="C146" s="35">
        <f t="shared" si="6"/>
        <v>46092</v>
      </c>
      <c r="D146" s="51">
        <v>3321</v>
      </c>
      <c r="E146" s="52">
        <v>337</v>
      </c>
      <c r="F146" s="53">
        <v>4</v>
      </c>
      <c r="G146" s="25">
        <v>1</v>
      </c>
      <c r="H146" s="25">
        <v>4953</v>
      </c>
      <c r="I146" s="34" t="s">
        <v>2690</v>
      </c>
      <c r="J146" s="24">
        <v>54390962</v>
      </c>
      <c r="K146" s="24" t="s">
        <v>5893</v>
      </c>
      <c r="L146" s="24" t="s">
        <v>5896</v>
      </c>
      <c r="M146" s="26">
        <v>119900</v>
      </c>
      <c r="N146" s="36" t="s">
        <v>2569</v>
      </c>
      <c r="O146" s="14" t="s">
        <v>2586</v>
      </c>
      <c r="P146" s="36" t="s">
        <v>2569</v>
      </c>
    </row>
    <row r="147" spans="1:16" x14ac:dyDescent="0.35">
      <c r="A147" s="14" t="s">
        <v>6511</v>
      </c>
      <c r="B147" s="35">
        <f t="shared" si="5"/>
        <v>46086</v>
      </c>
      <c r="C147" s="35">
        <f t="shared" si="6"/>
        <v>46092</v>
      </c>
      <c r="D147" s="51">
        <v>3321</v>
      </c>
      <c r="E147" s="52">
        <v>337</v>
      </c>
      <c r="F147" s="53">
        <v>4</v>
      </c>
      <c r="G147" s="25">
        <v>1</v>
      </c>
      <c r="H147" s="25">
        <v>4953</v>
      </c>
      <c r="I147" s="34" t="s">
        <v>2690</v>
      </c>
      <c r="J147" s="24">
        <v>54390971</v>
      </c>
      <c r="K147" s="24" t="s">
        <v>5893</v>
      </c>
      <c r="L147" s="24" t="s">
        <v>5902</v>
      </c>
      <c r="M147" s="26">
        <v>119900</v>
      </c>
      <c r="N147" s="36" t="s">
        <v>2569</v>
      </c>
      <c r="O147" s="14" t="s">
        <v>2586</v>
      </c>
      <c r="P147" s="36" t="s">
        <v>2569</v>
      </c>
    </row>
    <row r="148" spans="1:16" x14ac:dyDescent="0.35">
      <c r="A148" s="14" t="s">
        <v>6511</v>
      </c>
      <c r="B148" s="35">
        <f t="shared" si="5"/>
        <v>46086</v>
      </c>
      <c r="C148" s="35">
        <f t="shared" si="6"/>
        <v>46092</v>
      </c>
      <c r="D148" s="51">
        <v>3321</v>
      </c>
      <c r="E148" s="52">
        <v>337</v>
      </c>
      <c r="F148" s="53">
        <v>4</v>
      </c>
      <c r="G148" s="25">
        <v>1</v>
      </c>
      <c r="H148" s="25">
        <v>4953</v>
      </c>
      <c r="I148" s="34" t="s">
        <v>2690</v>
      </c>
      <c r="J148" s="24">
        <v>54390980</v>
      </c>
      <c r="K148" s="24" t="s">
        <v>5893</v>
      </c>
      <c r="L148" s="24" t="s">
        <v>5900</v>
      </c>
      <c r="M148" s="26">
        <v>119900</v>
      </c>
      <c r="N148" s="36" t="s">
        <v>2569</v>
      </c>
      <c r="O148" s="14" t="s">
        <v>2586</v>
      </c>
      <c r="P148" s="36" t="s">
        <v>2569</v>
      </c>
    </row>
    <row r="149" spans="1:16" x14ac:dyDescent="0.35">
      <c r="A149" s="14" t="s">
        <v>6511</v>
      </c>
      <c r="B149" s="35">
        <f t="shared" si="5"/>
        <v>46086</v>
      </c>
      <c r="C149" s="35">
        <f t="shared" si="6"/>
        <v>46092</v>
      </c>
      <c r="D149" s="51">
        <v>3321</v>
      </c>
      <c r="E149" s="52">
        <v>337</v>
      </c>
      <c r="F149" s="53">
        <v>4</v>
      </c>
      <c r="G149" s="25">
        <v>1</v>
      </c>
      <c r="H149" s="25">
        <v>4953</v>
      </c>
      <c r="I149" s="34" t="s">
        <v>2690</v>
      </c>
      <c r="J149" s="24">
        <v>54390999</v>
      </c>
      <c r="K149" s="24" t="s">
        <v>5893</v>
      </c>
      <c r="L149" s="24" t="s">
        <v>5894</v>
      </c>
      <c r="M149" s="26">
        <v>119900</v>
      </c>
      <c r="N149" s="36" t="s">
        <v>2569</v>
      </c>
      <c r="O149" s="14" t="s">
        <v>2586</v>
      </c>
      <c r="P149" s="36" t="s">
        <v>2569</v>
      </c>
    </row>
    <row r="150" spans="1:16" x14ac:dyDescent="0.35">
      <c r="A150" s="14" t="s">
        <v>6511</v>
      </c>
      <c r="B150" s="35">
        <f t="shared" si="5"/>
        <v>46086</v>
      </c>
      <c r="C150" s="35">
        <f t="shared" si="6"/>
        <v>46092</v>
      </c>
      <c r="D150" s="51">
        <v>3321</v>
      </c>
      <c r="E150" s="52">
        <v>337</v>
      </c>
      <c r="F150" s="53">
        <v>4</v>
      </c>
      <c r="G150" s="25">
        <v>1</v>
      </c>
      <c r="H150" s="25">
        <v>4953</v>
      </c>
      <c r="I150" s="34" t="s">
        <v>2690</v>
      </c>
      <c r="J150" s="24">
        <v>54408345</v>
      </c>
      <c r="K150" s="24" t="s">
        <v>5893</v>
      </c>
      <c r="L150" s="24" t="s">
        <v>5898</v>
      </c>
      <c r="M150" s="26">
        <v>119900</v>
      </c>
      <c r="N150" s="36" t="s">
        <v>2569</v>
      </c>
      <c r="O150" s="14" t="s">
        <v>2586</v>
      </c>
      <c r="P150" s="36" t="s">
        <v>2569</v>
      </c>
    </row>
    <row r="151" spans="1:16" x14ac:dyDescent="0.35">
      <c r="A151" s="14" t="s">
        <v>6511</v>
      </c>
      <c r="B151" s="35">
        <f t="shared" si="5"/>
        <v>46086</v>
      </c>
      <c r="C151" s="35">
        <f t="shared" si="6"/>
        <v>46092</v>
      </c>
      <c r="D151" s="51">
        <v>3321</v>
      </c>
      <c r="E151" s="52">
        <v>337</v>
      </c>
      <c r="F151" s="53">
        <v>4</v>
      </c>
      <c r="G151" s="25">
        <v>1</v>
      </c>
      <c r="H151" s="25">
        <v>4953</v>
      </c>
      <c r="I151" s="34" t="s">
        <v>2690</v>
      </c>
      <c r="J151" s="24">
        <v>54391005</v>
      </c>
      <c r="K151" s="24" t="s">
        <v>5890</v>
      </c>
      <c r="L151" s="24" t="s">
        <v>5892</v>
      </c>
      <c r="M151" s="26">
        <v>119900</v>
      </c>
      <c r="N151" s="36" t="s">
        <v>2569</v>
      </c>
      <c r="O151" s="14" t="s">
        <v>2586</v>
      </c>
      <c r="P151" s="36" t="s">
        <v>2569</v>
      </c>
    </row>
    <row r="152" spans="1:16" x14ac:dyDescent="0.35">
      <c r="A152" s="14" t="s">
        <v>6511</v>
      </c>
      <c r="B152" s="35">
        <f t="shared" si="5"/>
        <v>46086</v>
      </c>
      <c r="C152" s="35">
        <f t="shared" si="6"/>
        <v>46092</v>
      </c>
      <c r="D152" s="51">
        <v>3321</v>
      </c>
      <c r="E152" s="52">
        <v>337</v>
      </c>
      <c r="F152" s="53">
        <v>4</v>
      </c>
      <c r="G152" s="25">
        <v>1</v>
      </c>
      <c r="H152" s="25">
        <v>4953</v>
      </c>
      <c r="I152" s="34" t="s">
        <v>2690</v>
      </c>
      <c r="J152" s="24">
        <v>54391014</v>
      </c>
      <c r="K152" s="24" t="s">
        <v>5890</v>
      </c>
      <c r="L152" s="24" t="s">
        <v>5903</v>
      </c>
      <c r="M152" s="26">
        <v>119900</v>
      </c>
      <c r="N152" s="36" t="s">
        <v>2569</v>
      </c>
      <c r="O152" s="14" t="s">
        <v>2586</v>
      </c>
      <c r="P152" s="36" t="s">
        <v>2569</v>
      </c>
    </row>
    <row r="153" spans="1:16" x14ac:dyDescent="0.35">
      <c r="A153" s="14" t="s">
        <v>6511</v>
      </c>
      <c r="B153" s="35">
        <f t="shared" si="5"/>
        <v>46086</v>
      </c>
      <c r="C153" s="35">
        <f t="shared" si="6"/>
        <v>46092</v>
      </c>
      <c r="D153" s="51">
        <v>3321</v>
      </c>
      <c r="E153" s="52">
        <v>337</v>
      </c>
      <c r="F153" s="53">
        <v>4</v>
      </c>
      <c r="G153" s="25">
        <v>1</v>
      </c>
      <c r="H153" s="25">
        <v>4953</v>
      </c>
      <c r="I153" s="34" t="s">
        <v>2690</v>
      </c>
      <c r="J153" s="24">
        <v>54391023</v>
      </c>
      <c r="K153" s="24" t="s">
        <v>5890</v>
      </c>
      <c r="L153" s="24" t="s">
        <v>5899</v>
      </c>
      <c r="M153" s="26">
        <v>119900</v>
      </c>
      <c r="N153" s="36" t="s">
        <v>2569</v>
      </c>
      <c r="O153" s="14" t="s">
        <v>2586</v>
      </c>
      <c r="P153" s="36" t="s">
        <v>2569</v>
      </c>
    </row>
    <row r="154" spans="1:16" x14ac:dyDescent="0.35">
      <c r="A154" s="14" t="s">
        <v>6511</v>
      </c>
      <c r="B154" s="35">
        <f t="shared" si="5"/>
        <v>46086</v>
      </c>
      <c r="C154" s="35">
        <f t="shared" si="6"/>
        <v>46092</v>
      </c>
      <c r="D154" s="51">
        <v>3321</v>
      </c>
      <c r="E154" s="52">
        <v>337</v>
      </c>
      <c r="F154" s="53">
        <v>4</v>
      </c>
      <c r="G154" s="25">
        <v>1</v>
      </c>
      <c r="H154" s="25">
        <v>4953</v>
      </c>
      <c r="I154" s="34" t="s">
        <v>2690</v>
      </c>
      <c r="J154" s="24">
        <v>54391032</v>
      </c>
      <c r="K154" s="24" t="s">
        <v>5890</v>
      </c>
      <c r="L154" s="24" t="s">
        <v>5897</v>
      </c>
      <c r="M154" s="26">
        <v>119900</v>
      </c>
      <c r="N154" s="36" t="s">
        <v>2569</v>
      </c>
      <c r="O154" s="14" t="s">
        <v>2586</v>
      </c>
      <c r="P154" s="36" t="s">
        <v>2569</v>
      </c>
    </row>
    <row r="155" spans="1:16" x14ac:dyDescent="0.35">
      <c r="A155" s="14" t="s">
        <v>6511</v>
      </c>
      <c r="B155" s="35">
        <f t="shared" si="5"/>
        <v>46086</v>
      </c>
      <c r="C155" s="35">
        <f t="shared" si="6"/>
        <v>46092</v>
      </c>
      <c r="D155" s="51">
        <v>3321</v>
      </c>
      <c r="E155" s="52">
        <v>337</v>
      </c>
      <c r="F155" s="53">
        <v>4</v>
      </c>
      <c r="G155" s="25">
        <v>1</v>
      </c>
      <c r="H155" s="25">
        <v>4953</v>
      </c>
      <c r="I155" s="34" t="s">
        <v>2690</v>
      </c>
      <c r="J155" s="24">
        <v>54391041</v>
      </c>
      <c r="K155" s="24" t="s">
        <v>5890</v>
      </c>
      <c r="L155" s="24" t="s">
        <v>5891</v>
      </c>
      <c r="M155" s="26">
        <v>119900</v>
      </c>
      <c r="N155" s="36" t="s">
        <v>2569</v>
      </c>
      <c r="O155" s="14" t="s">
        <v>2586</v>
      </c>
      <c r="P155" s="36" t="s">
        <v>2569</v>
      </c>
    </row>
    <row r="156" spans="1:16" x14ac:dyDescent="0.35">
      <c r="A156" s="14" t="s">
        <v>6511</v>
      </c>
      <c r="B156" s="35">
        <f t="shared" si="5"/>
        <v>46086</v>
      </c>
      <c r="C156" s="35">
        <f t="shared" si="6"/>
        <v>46092</v>
      </c>
      <c r="D156" s="51">
        <v>3321</v>
      </c>
      <c r="E156" s="52">
        <v>337</v>
      </c>
      <c r="F156" s="53">
        <v>4</v>
      </c>
      <c r="G156" s="25">
        <v>1</v>
      </c>
      <c r="H156" s="25">
        <v>4953</v>
      </c>
      <c r="I156" s="34" t="s">
        <v>2690</v>
      </c>
      <c r="J156" s="24">
        <v>54408354</v>
      </c>
      <c r="K156" s="24" t="s">
        <v>5890</v>
      </c>
      <c r="L156" s="24" t="s">
        <v>5901</v>
      </c>
      <c r="M156" s="26">
        <v>119900</v>
      </c>
      <c r="N156" s="36" t="s">
        <v>2569</v>
      </c>
      <c r="O156" s="14" t="s">
        <v>2586</v>
      </c>
      <c r="P156" s="36" t="s">
        <v>2569</v>
      </c>
    </row>
    <row r="157" spans="1:16" x14ac:dyDescent="0.35">
      <c r="A157" s="14" t="s">
        <v>6511</v>
      </c>
      <c r="B157" s="35">
        <f t="shared" si="5"/>
        <v>46086</v>
      </c>
      <c r="C157" s="35">
        <f t="shared" si="6"/>
        <v>46092</v>
      </c>
      <c r="D157" s="51">
        <v>3321</v>
      </c>
      <c r="E157" s="52">
        <v>337</v>
      </c>
      <c r="F157" s="53">
        <v>4</v>
      </c>
      <c r="G157" s="25">
        <v>1</v>
      </c>
      <c r="H157" s="25">
        <v>190</v>
      </c>
      <c r="I157" s="34" t="s">
        <v>2690</v>
      </c>
      <c r="J157" s="24">
        <v>54391050</v>
      </c>
      <c r="K157" s="24" t="s">
        <v>5904</v>
      </c>
      <c r="L157" s="24" t="s">
        <v>5905</v>
      </c>
      <c r="M157" s="26">
        <v>169900</v>
      </c>
      <c r="N157" s="36" t="s">
        <v>2569</v>
      </c>
      <c r="O157" s="14" t="s">
        <v>2586</v>
      </c>
      <c r="P157" s="36" t="s">
        <v>2569</v>
      </c>
    </row>
    <row r="158" spans="1:16" x14ac:dyDescent="0.35">
      <c r="A158" s="14" t="s">
        <v>6511</v>
      </c>
      <c r="B158" s="35">
        <f t="shared" si="5"/>
        <v>46086</v>
      </c>
      <c r="C158" s="35">
        <f t="shared" si="6"/>
        <v>46092</v>
      </c>
      <c r="D158" s="51">
        <v>3321</v>
      </c>
      <c r="E158" s="52">
        <v>337</v>
      </c>
      <c r="F158" s="53">
        <v>4</v>
      </c>
      <c r="G158" s="25">
        <v>1</v>
      </c>
      <c r="H158" s="25">
        <v>190</v>
      </c>
      <c r="I158" s="34" t="s">
        <v>2690</v>
      </c>
      <c r="J158" s="24">
        <v>54391069</v>
      </c>
      <c r="K158" s="24" t="s">
        <v>5904</v>
      </c>
      <c r="L158" s="24" t="s">
        <v>5906</v>
      </c>
      <c r="M158" s="26">
        <v>169900</v>
      </c>
      <c r="N158" s="36" t="s">
        <v>2569</v>
      </c>
      <c r="O158" s="14" t="s">
        <v>2586</v>
      </c>
      <c r="P158" s="36" t="s">
        <v>2569</v>
      </c>
    </row>
    <row r="159" spans="1:16" x14ac:dyDescent="0.35">
      <c r="A159" s="14" t="s">
        <v>6511</v>
      </c>
      <c r="B159" s="35">
        <f t="shared" si="5"/>
        <v>46086</v>
      </c>
      <c r="C159" s="35">
        <f t="shared" si="6"/>
        <v>46092</v>
      </c>
      <c r="D159" s="51">
        <v>3321</v>
      </c>
      <c r="E159" s="52">
        <v>337</v>
      </c>
      <c r="F159" s="53">
        <v>4</v>
      </c>
      <c r="G159" s="25">
        <v>1</v>
      </c>
      <c r="H159" s="25">
        <v>190</v>
      </c>
      <c r="I159" s="34" t="s">
        <v>2690</v>
      </c>
      <c r="J159" s="24">
        <v>54391078</v>
      </c>
      <c r="K159" s="24" t="s">
        <v>5904</v>
      </c>
      <c r="L159" s="24" t="s">
        <v>5908</v>
      </c>
      <c r="M159" s="26">
        <v>169900</v>
      </c>
      <c r="N159" s="36" t="s">
        <v>2569</v>
      </c>
      <c r="O159" s="14" t="s">
        <v>2586</v>
      </c>
      <c r="P159" s="36" t="s">
        <v>2569</v>
      </c>
    </row>
    <row r="160" spans="1:16" x14ac:dyDescent="0.35">
      <c r="A160" s="14" t="s">
        <v>6511</v>
      </c>
      <c r="B160" s="35">
        <f t="shared" si="5"/>
        <v>46086</v>
      </c>
      <c r="C160" s="35">
        <f t="shared" si="6"/>
        <v>46092</v>
      </c>
      <c r="D160" s="51">
        <v>3321</v>
      </c>
      <c r="E160" s="52">
        <v>337</v>
      </c>
      <c r="F160" s="53">
        <v>4</v>
      </c>
      <c r="G160" s="25">
        <v>1</v>
      </c>
      <c r="H160" s="25">
        <v>190</v>
      </c>
      <c r="I160" s="34" t="s">
        <v>2690</v>
      </c>
      <c r="J160" s="24">
        <v>54391087</v>
      </c>
      <c r="K160" s="24" t="s">
        <v>5904</v>
      </c>
      <c r="L160" s="24" t="s">
        <v>5907</v>
      </c>
      <c r="M160" s="26">
        <v>169900</v>
      </c>
      <c r="N160" s="36" t="s">
        <v>2569</v>
      </c>
      <c r="O160" s="14" t="s">
        <v>2586</v>
      </c>
      <c r="P160" s="36" t="s">
        <v>2569</v>
      </c>
    </row>
    <row r="161" spans="1:16" x14ac:dyDescent="0.35">
      <c r="A161" s="14" t="s">
        <v>6511</v>
      </c>
      <c r="B161" s="35">
        <f t="shared" si="5"/>
        <v>46086</v>
      </c>
      <c r="C161" s="35">
        <f t="shared" si="6"/>
        <v>46092</v>
      </c>
      <c r="D161" s="51">
        <v>3321</v>
      </c>
      <c r="E161" s="52">
        <v>337</v>
      </c>
      <c r="F161" s="53">
        <v>4</v>
      </c>
      <c r="G161" s="25">
        <v>5</v>
      </c>
      <c r="H161" s="25">
        <v>190</v>
      </c>
      <c r="I161" s="34" t="s">
        <v>2690</v>
      </c>
      <c r="J161" s="24">
        <v>54391292</v>
      </c>
      <c r="K161" s="24" t="s">
        <v>5880</v>
      </c>
      <c r="L161" s="24" t="s">
        <v>5881</v>
      </c>
      <c r="M161" s="26">
        <v>249900</v>
      </c>
      <c r="N161" s="36" t="s">
        <v>2569</v>
      </c>
      <c r="O161" s="14" t="s">
        <v>2586</v>
      </c>
      <c r="P161" s="36" t="s">
        <v>2569</v>
      </c>
    </row>
    <row r="162" spans="1:16" x14ac:dyDescent="0.35">
      <c r="A162" s="14" t="s">
        <v>6511</v>
      </c>
      <c r="B162" s="35">
        <f t="shared" si="5"/>
        <v>46086</v>
      </c>
      <c r="C162" s="35">
        <f t="shared" si="6"/>
        <v>46092</v>
      </c>
      <c r="D162" s="51">
        <v>3321</v>
      </c>
      <c r="E162" s="52">
        <v>337</v>
      </c>
      <c r="F162" s="53">
        <v>4</v>
      </c>
      <c r="G162" s="25">
        <v>5</v>
      </c>
      <c r="H162" s="25">
        <v>190</v>
      </c>
      <c r="I162" s="34" t="s">
        <v>2690</v>
      </c>
      <c r="J162" s="24">
        <v>54391309</v>
      </c>
      <c r="K162" s="24" t="s">
        <v>5880</v>
      </c>
      <c r="L162" s="24" t="s">
        <v>5885</v>
      </c>
      <c r="M162" s="26">
        <v>249900</v>
      </c>
      <c r="N162" s="36" t="s">
        <v>2569</v>
      </c>
      <c r="O162" s="14" t="s">
        <v>2586</v>
      </c>
      <c r="P162" s="36" t="s">
        <v>2569</v>
      </c>
    </row>
    <row r="163" spans="1:16" x14ac:dyDescent="0.35">
      <c r="A163" s="14" t="s">
        <v>6511</v>
      </c>
      <c r="B163" s="35">
        <f t="shared" si="5"/>
        <v>46086</v>
      </c>
      <c r="C163" s="35">
        <f t="shared" si="6"/>
        <v>46092</v>
      </c>
      <c r="D163" s="51">
        <v>3321</v>
      </c>
      <c r="E163" s="52">
        <v>337</v>
      </c>
      <c r="F163" s="53">
        <v>4</v>
      </c>
      <c r="G163" s="25">
        <v>5</v>
      </c>
      <c r="H163" s="25">
        <v>190</v>
      </c>
      <c r="I163" s="34" t="s">
        <v>2690</v>
      </c>
      <c r="J163" s="24">
        <v>54391318</v>
      </c>
      <c r="K163" s="24" t="s">
        <v>5880</v>
      </c>
      <c r="L163" s="24" t="s">
        <v>5887</v>
      </c>
      <c r="M163" s="26">
        <v>249900</v>
      </c>
      <c r="N163" s="36" t="s">
        <v>2569</v>
      </c>
      <c r="O163" s="14" t="s">
        <v>2586</v>
      </c>
      <c r="P163" s="36" t="s">
        <v>2569</v>
      </c>
    </row>
    <row r="164" spans="1:16" x14ac:dyDescent="0.35">
      <c r="A164" s="14" t="s">
        <v>6511</v>
      </c>
      <c r="B164" s="35">
        <f t="shared" si="5"/>
        <v>46086</v>
      </c>
      <c r="C164" s="35">
        <f t="shared" si="6"/>
        <v>46092</v>
      </c>
      <c r="D164" s="51">
        <v>3321</v>
      </c>
      <c r="E164" s="52">
        <v>337</v>
      </c>
      <c r="F164" s="53">
        <v>4</v>
      </c>
      <c r="G164" s="25">
        <v>5</v>
      </c>
      <c r="H164" s="25">
        <v>190</v>
      </c>
      <c r="I164" s="34" t="s">
        <v>2690</v>
      </c>
      <c r="J164" s="24">
        <v>54391327</v>
      </c>
      <c r="K164" s="24" t="s">
        <v>5880</v>
      </c>
      <c r="L164" s="24" t="s">
        <v>5886</v>
      </c>
      <c r="M164" s="26">
        <v>249900</v>
      </c>
      <c r="N164" s="36" t="s">
        <v>2569</v>
      </c>
      <c r="O164" s="14" t="s">
        <v>2586</v>
      </c>
      <c r="P164" s="36" t="s">
        <v>2569</v>
      </c>
    </row>
    <row r="165" spans="1:16" x14ac:dyDescent="0.35">
      <c r="A165" s="14" t="s">
        <v>6511</v>
      </c>
      <c r="B165" s="35">
        <f t="shared" si="5"/>
        <v>46086</v>
      </c>
      <c r="C165" s="35">
        <f t="shared" si="6"/>
        <v>46092</v>
      </c>
      <c r="D165" s="51">
        <v>3321</v>
      </c>
      <c r="E165" s="52">
        <v>337</v>
      </c>
      <c r="F165" s="53">
        <v>4</v>
      </c>
      <c r="G165" s="25">
        <v>5</v>
      </c>
      <c r="H165" s="25">
        <v>190</v>
      </c>
      <c r="I165" s="34" t="s">
        <v>2690</v>
      </c>
      <c r="J165" s="24">
        <v>54391256</v>
      </c>
      <c r="K165" s="24" t="s">
        <v>5882</v>
      </c>
      <c r="L165" s="24" t="s">
        <v>5883</v>
      </c>
      <c r="M165" s="26">
        <v>279900</v>
      </c>
      <c r="N165" s="36" t="s">
        <v>2569</v>
      </c>
      <c r="O165" s="14" t="s">
        <v>2586</v>
      </c>
      <c r="P165" s="36" t="s">
        <v>2569</v>
      </c>
    </row>
    <row r="166" spans="1:16" x14ac:dyDescent="0.35">
      <c r="A166" s="14" t="s">
        <v>6511</v>
      </c>
      <c r="B166" s="35">
        <f t="shared" si="5"/>
        <v>46086</v>
      </c>
      <c r="C166" s="35">
        <f t="shared" si="6"/>
        <v>46092</v>
      </c>
      <c r="D166" s="51">
        <v>3321</v>
      </c>
      <c r="E166" s="52">
        <v>337</v>
      </c>
      <c r="F166" s="53">
        <v>4</v>
      </c>
      <c r="G166" s="25">
        <v>5</v>
      </c>
      <c r="H166" s="25">
        <v>190</v>
      </c>
      <c r="I166" s="34" t="s">
        <v>2690</v>
      </c>
      <c r="J166" s="24">
        <v>54391265</v>
      </c>
      <c r="K166" s="24" t="s">
        <v>5882</v>
      </c>
      <c r="L166" s="24" t="s">
        <v>5889</v>
      </c>
      <c r="M166" s="26">
        <v>279900</v>
      </c>
      <c r="N166" s="36" t="s">
        <v>2569</v>
      </c>
      <c r="O166" s="14" t="s">
        <v>2586</v>
      </c>
      <c r="P166" s="36" t="s">
        <v>2569</v>
      </c>
    </row>
    <row r="167" spans="1:16" x14ac:dyDescent="0.35">
      <c r="A167" s="14" t="s">
        <v>6511</v>
      </c>
      <c r="B167" s="35">
        <f t="shared" si="5"/>
        <v>46086</v>
      </c>
      <c r="C167" s="35">
        <f t="shared" si="6"/>
        <v>46092</v>
      </c>
      <c r="D167" s="51">
        <v>3321</v>
      </c>
      <c r="E167" s="52">
        <v>337</v>
      </c>
      <c r="F167" s="53">
        <v>4</v>
      </c>
      <c r="G167" s="25">
        <v>5</v>
      </c>
      <c r="H167" s="25">
        <v>190</v>
      </c>
      <c r="I167" s="34" t="s">
        <v>2690</v>
      </c>
      <c r="J167" s="24">
        <v>54391274</v>
      </c>
      <c r="K167" s="24" t="s">
        <v>5882</v>
      </c>
      <c r="L167" s="24" t="s">
        <v>5888</v>
      </c>
      <c r="M167" s="26">
        <v>279900</v>
      </c>
      <c r="N167" s="36" t="s">
        <v>2569</v>
      </c>
      <c r="O167" s="14" t="s">
        <v>2586</v>
      </c>
      <c r="P167" s="36" t="s">
        <v>2569</v>
      </c>
    </row>
    <row r="168" spans="1:16" x14ac:dyDescent="0.35">
      <c r="A168" s="14" t="s">
        <v>6511</v>
      </c>
      <c r="B168" s="35">
        <f t="shared" si="5"/>
        <v>46086</v>
      </c>
      <c r="C168" s="35">
        <f t="shared" si="6"/>
        <v>46092</v>
      </c>
      <c r="D168" s="51">
        <v>3321</v>
      </c>
      <c r="E168" s="52">
        <v>337</v>
      </c>
      <c r="F168" s="53">
        <v>4</v>
      </c>
      <c r="G168" s="25">
        <v>5</v>
      </c>
      <c r="H168" s="25">
        <v>190</v>
      </c>
      <c r="I168" s="34" t="s">
        <v>2690</v>
      </c>
      <c r="J168" s="24">
        <v>54391283</v>
      </c>
      <c r="K168" s="24" t="s">
        <v>5882</v>
      </c>
      <c r="L168" s="24" t="s">
        <v>5884</v>
      </c>
      <c r="M168" s="26">
        <v>279900</v>
      </c>
      <c r="N168" s="36" t="s">
        <v>2569</v>
      </c>
      <c r="O168" s="14" t="s">
        <v>2586</v>
      </c>
      <c r="P168" s="36" t="s">
        <v>2569</v>
      </c>
    </row>
    <row r="169" spans="1:16" x14ac:dyDescent="0.35">
      <c r="A169" s="14" t="s">
        <v>6511</v>
      </c>
      <c r="B169" s="35">
        <f t="shared" si="5"/>
        <v>46086</v>
      </c>
      <c r="C169" s="35">
        <f t="shared" si="6"/>
        <v>46092</v>
      </c>
      <c r="D169" s="51">
        <v>3321</v>
      </c>
      <c r="E169" s="52">
        <v>337</v>
      </c>
      <c r="F169" s="53">
        <v>4</v>
      </c>
      <c r="G169" s="25">
        <v>1</v>
      </c>
      <c r="H169" s="25">
        <v>81676</v>
      </c>
      <c r="I169" s="34" t="s">
        <v>2690</v>
      </c>
      <c r="J169" s="24">
        <v>54462330</v>
      </c>
      <c r="K169" s="24" t="s">
        <v>5909</v>
      </c>
      <c r="L169" s="24" t="s">
        <v>5913</v>
      </c>
      <c r="M169" s="26">
        <v>119900</v>
      </c>
      <c r="N169" s="36" t="s">
        <v>2569</v>
      </c>
      <c r="O169" s="14" t="s">
        <v>2586</v>
      </c>
      <c r="P169" s="36" t="s">
        <v>2569</v>
      </c>
    </row>
    <row r="170" spans="1:16" x14ac:dyDescent="0.35">
      <c r="A170" s="14" t="s">
        <v>6511</v>
      </c>
      <c r="B170" s="35">
        <f t="shared" si="5"/>
        <v>46086</v>
      </c>
      <c r="C170" s="35">
        <f t="shared" si="6"/>
        <v>46092</v>
      </c>
      <c r="D170" s="51">
        <v>3321</v>
      </c>
      <c r="E170" s="52">
        <v>337</v>
      </c>
      <c r="F170" s="53">
        <v>4</v>
      </c>
      <c r="G170" s="25">
        <v>1</v>
      </c>
      <c r="H170" s="25">
        <v>81676</v>
      </c>
      <c r="I170" s="34" t="s">
        <v>2690</v>
      </c>
      <c r="J170" s="24">
        <v>54462349</v>
      </c>
      <c r="K170" s="24" t="s">
        <v>5909</v>
      </c>
      <c r="L170" s="24" t="s">
        <v>5910</v>
      </c>
      <c r="M170" s="26">
        <v>119900</v>
      </c>
      <c r="N170" s="36" t="s">
        <v>2569</v>
      </c>
      <c r="O170" s="14" t="s">
        <v>2586</v>
      </c>
      <c r="P170" s="36" t="s">
        <v>2569</v>
      </c>
    </row>
    <row r="171" spans="1:16" x14ac:dyDescent="0.35">
      <c r="A171" s="14" t="s">
        <v>6511</v>
      </c>
      <c r="B171" s="35">
        <f t="shared" si="5"/>
        <v>46086</v>
      </c>
      <c r="C171" s="35">
        <f t="shared" si="6"/>
        <v>46092</v>
      </c>
      <c r="D171" s="51">
        <v>3321</v>
      </c>
      <c r="E171" s="52">
        <v>337</v>
      </c>
      <c r="F171" s="53">
        <v>4</v>
      </c>
      <c r="G171" s="25">
        <v>1</v>
      </c>
      <c r="H171" s="25">
        <v>81676</v>
      </c>
      <c r="I171" s="34" t="s">
        <v>2690</v>
      </c>
      <c r="J171" s="24">
        <v>54462358</v>
      </c>
      <c r="K171" s="24" t="s">
        <v>5909</v>
      </c>
      <c r="L171" s="24" t="s">
        <v>5912</v>
      </c>
      <c r="M171" s="26">
        <v>119900</v>
      </c>
      <c r="N171" s="36" t="s">
        <v>2569</v>
      </c>
      <c r="O171" s="14" t="s">
        <v>2586</v>
      </c>
      <c r="P171" s="36" t="s">
        <v>2569</v>
      </c>
    </row>
    <row r="172" spans="1:16" x14ac:dyDescent="0.35">
      <c r="A172" s="14" t="s">
        <v>6511</v>
      </c>
      <c r="B172" s="35">
        <f t="shared" si="5"/>
        <v>46086</v>
      </c>
      <c r="C172" s="35">
        <f t="shared" si="6"/>
        <v>46092</v>
      </c>
      <c r="D172" s="51">
        <v>3321</v>
      </c>
      <c r="E172" s="52">
        <v>337</v>
      </c>
      <c r="F172" s="53">
        <v>4</v>
      </c>
      <c r="G172" s="25">
        <v>1</v>
      </c>
      <c r="H172" s="25">
        <v>81676</v>
      </c>
      <c r="I172" s="34" t="s">
        <v>2690</v>
      </c>
      <c r="J172" s="24">
        <v>54462367</v>
      </c>
      <c r="K172" s="24" t="s">
        <v>5909</v>
      </c>
      <c r="L172" s="24" t="s">
        <v>5911</v>
      </c>
      <c r="M172" s="26">
        <v>119900</v>
      </c>
      <c r="N172" s="36" t="s">
        <v>2569</v>
      </c>
      <c r="O172" s="14" t="s">
        <v>2586</v>
      </c>
      <c r="P172" s="36" t="s">
        <v>2569</v>
      </c>
    </row>
    <row r="173" spans="1:16" x14ac:dyDescent="0.35">
      <c r="A173" s="14" t="s">
        <v>6511</v>
      </c>
      <c r="B173" s="35">
        <f t="shared" si="5"/>
        <v>46086</v>
      </c>
      <c r="C173" s="35">
        <f t="shared" si="6"/>
        <v>46092</v>
      </c>
      <c r="D173" s="51">
        <v>3321</v>
      </c>
      <c r="E173" s="52">
        <v>337</v>
      </c>
      <c r="F173" s="53">
        <v>4</v>
      </c>
      <c r="G173" s="25">
        <v>4</v>
      </c>
      <c r="H173" s="25">
        <v>81005</v>
      </c>
      <c r="I173" s="34" t="s">
        <v>2690</v>
      </c>
      <c r="J173" s="24">
        <v>54391210</v>
      </c>
      <c r="K173" s="24" t="s">
        <v>5914</v>
      </c>
      <c r="L173" s="24" t="s">
        <v>5918</v>
      </c>
      <c r="M173" s="26">
        <v>199900</v>
      </c>
      <c r="N173" s="36" t="s">
        <v>2569</v>
      </c>
      <c r="O173" s="14" t="s">
        <v>2586</v>
      </c>
      <c r="P173" s="36" t="s">
        <v>2569</v>
      </c>
    </row>
    <row r="174" spans="1:16" x14ac:dyDescent="0.35">
      <c r="A174" s="14" t="s">
        <v>6511</v>
      </c>
      <c r="B174" s="35">
        <f t="shared" si="5"/>
        <v>46086</v>
      </c>
      <c r="C174" s="35">
        <f t="shared" si="6"/>
        <v>46092</v>
      </c>
      <c r="D174" s="51">
        <v>3321</v>
      </c>
      <c r="E174" s="52">
        <v>337</v>
      </c>
      <c r="F174" s="53">
        <v>4</v>
      </c>
      <c r="G174" s="25">
        <v>4</v>
      </c>
      <c r="H174" s="25">
        <v>81005</v>
      </c>
      <c r="I174" s="34" t="s">
        <v>2690</v>
      </c>
      <c r="J174" s="24">
        <v>54391229</v>
      </c>
      <c r="K174" s="24" t="s">
        <v>5914</v>
      </c>
      <c r="L174" s="24" t="s">
        <v>5915</v>
      </c>
      <c r="M174" s="26">
        <v>199900</v>
      </c>
      <c r="N174" s="36" t="s">
        <v>2569</v>
      </c>
      <c r="O174" s="14" t="s">
        <v>2586</v>
      </c>
      <c r="P174" s="36" t="s">
        <v>2569</v>
      </c>
    </row>
    <row r="175" spans="1:16" x14ac:dyDescent="0.35">
      <c r="A175" s="14" t="s">
        <v>6511</v>
      </c>
      <c r="B175" s="35">
        <f t="shared" si="5"/>
        <v>46086</v>
      </c>
      <c r="C175" s="35">
        <f t="shared" si="6"/>
        <v>46092</v>
      </c>
      <c r="D175" s="51">
        <v>3321</v>
      </c>
      <c r="E175" s="52">
        <v>337</v>
      </c>
      <c r="F175" s="53">
        <v>4</v>
      </c>
      <c r="G175" s="25">
        <v>4</v>
      </c>
      <c r="H175" s="25">
        <v>81005</v>
      </c>
      <c r="I175" s="34" t="s">
        <v>2690</v>
      </c>
      <c r="J175" s="24">
        <v>54391238</v>
      </c>
      <c r="K175" s="24" t="s">
        <v>5914</v>
      </c>
      <c r="L175" s="24" t="s">
        <v>5916</v>
      </c>
      <c r="M175" s="26">
        <v>199900</v>
      </c>
      <c r="N175" s="36" t="s">
        <v>2569</v>
      </c>
      <c r="O175" s="14" t="s">
        <v>2586</v>
      </c>
      <c r="P175" s="36" t="s">
        <v>2569</v>
      </c>
    </row>
    <row r="176" spans="1:16" x14ac:dyDescent="0.35">
      <c r="A176" s="14" t="s">
        <v>6511</v>
      </c>
      <c r="B176" s="35">
        <f t="shared" si="5"/>
        <v>46086</v>
      </c>
      <c r="C176" s="35">
        <f t="shared" si="6"/>
        <v>46092</v>
      </c>
      <c r="D176" s="51">
        <v>3321</v>
      </c>
      <c r="E176" s="52">
        <v>337</v>
      </c>
      <c r="F176" s="53">
        <v>4</v>
      </c>
      <c r="G176" s="25">
        <v>4</v>
      </c>
      <c r="H176" s="25">
        <v>81005</v>
      </c>
      <c r="I176" s="34" t="s">
        <v>2690</v>
      </c>
      <c r="J176" s="24">
        <v>54391247</v>
      </c>
      <c r="K176" s="24" t="s">
        <v>5914</v>
      </c>
      <c r="L176" s="24" t="s">
        <v>5917</v>
      </c>
      <c r="M176" s="26">
        <v>199900</v>
      </c>
      <c r="N176" s="36" t="s">
        <v>2569</v>
      </c>
      <c r="O176" s="14" t="s">
        <v>2586</v>
      </c>
      <c r="P176" s="36" t="s">
        <v>2569</v>
      </c>
    </row>
  </sheetData>
  <phoneticPr fontId="8" type="noConversion"/>
  <conditionalFormatting sqref="J1:J1048576">
    <cfRule type="duplicateValues" dxfId="17" priority="1"/>
    <cfRule type="duplicateValues" dxfId="1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" activePane="bottomLeft" state="frozen"/>
      <selection activeCell="M23" sqref="M23"/>
      <selection pane="bottomLeft" activeCell="F63" sqref="F63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6641</v>
      </c>
      <c r="B2" s="7">
        <f>'2025 HILITE D80 - 3321'!B2</f>
        <v>46086</v>
      </c>
      <c r="C2" s="7">
        <f>'2025 HILITE D80 - 3321'!C2</f>
        <v>46092</v>
      </c>
      <c r="D2" s="6">
        <v>3321</v>
      </c>
      <c r="E2" s="6">
        <v>337</v>
      </c>
      <c r="F2" s="6">
        <v>4</v>
      </c>
      <c r="G2" s="25">
        <v>1</v>
      </c>
      <c r="H2" s="25">
        <v>81421</v>
      </c>
      <c r="I2" s="6" t="s">
        <v>4981</v>
      </c>
      <c r="J2" s="54">
        <v>14608392</v>
      </c>
      <c r="K2" s="54" t="s">
        <v>2587</v>
      </c>
      <c r="L2" s="54" t="s">
        <v>2588</v>
      </c>
      <c r="M2" s="55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4" t="s">
        <v>6641</v>
      </c>
      <c r="B3" s="7">
        <f>B2</f>
        <v>46086</v>
      </c>
      <c r="C3" s="7">
        <f>C2</f>
        <v>46092</v>
      </c>
      <c r="D3" s="6">
        <v>3321</v>
      </c>
      <c r="E3" s="6">
        <v>337</v>
      </c>
      <c r="F3" s="6">
        <v>4</v>
      </c>
      <c r="G3" s="25">
        <v>1</v>
      </c>
      <c r="H3" s="25">
        <v>81421</v>
      </c>
      <c r="I3" s="6" t="s">
        <v>4981</v>
      </c>
      <c r="J3" s="54">
        <v>14608418</v>
      </c>
      <c r="K3" s="54" t="s">
        <v>2587</v>
      </c>
      <c r="L3" s="54" t="s">
        <v>2589</v>
      </c>
      <c r="M3" s="55">
        <v>149900</v>
      </c>
      <c r="N3" s="37">
        <v>0.9</v>
      </c>
      <c r="O3" s="36">
        <f>M3-((90*M3)/100)</f>
        <v>14990</v>
      </c>
      <c r="P3" s="6" t="s">
        <v>16</v>
      </c>
    </row>
    <row r="4" spans="1:16" x14ac:dyDescent="0.35">
      <c r="A4" s="34" t="s">
        <v>6641</v>
      </c>
      <c r="B4" s="7">
        <f t="shared" ref="B4:B67" si="0">B3</f>
        <v>46086</v>
      </c>
      <c r="C4" s="7">
        <f t="shared" ref="C4:C67" si="1">C3</f>
        <v>46092</v>
      </c>
      <c r="D4" s="6">
        <v>3321</v>
      </c>
      <c r="E4" s="6">
        <v>337</v>
      </c>
      <c r="F4" s="6">
        <v>4</v>
      </c>
      <c r="G4" s="25">
        <v>1</v>
      </c>
      <c r="H4" s="25">
        <v>81421</v>
      </c>
      <c r="I4" s="6" t="s">
        <v>4981</v>
      </c>
      <c r="J4" s="54">
        <v>14608427</v>
      </c>
      <c r="K4" s="54" t="s">
        <v>2587</v>
      </c>
      <c r="L4" s="54" t="s">
        <v>2590</v>
      </c>
      <c r="M4" s="55">
        <v>149900</v>
      </c>
      <c r="N4" s="37">
        <v>0.9</v>
      </c>
      <c r="O4" s="36">
        <f t="shared" ref="O4:O67" si="2">M4-((90*M4)/100)</f>
        <v>14990</v>
      </c>
      <c r="P4" s="6" t="s">
        <v>16</v>
      </c>
    </row>
    <row r="5" spans="1:16" x14ac:dyDescent="0.35">
      <c r="A5" s="34" t="s">
        <v>6641</v>
      </c>
      <c r="B5" s="7">
        <f t="shared" si="0"/>
        <v>46086</v>
      </c>
      <c r="C5" s="7">
        <f t="shared" si="1"/>
        <v>46092</v>
      </c>
      <c r="D5" s="6">
        <v>3321</v>
      </c>
      <c r="E5" s="6">
        <v>337</v>
      </c>
      <c r="F5" s="6">
        <v>4</v>
      </c>
      <c r="G5" s="25">
        <v>1</v>
      </c>
      <c r="H5" s="25">
        <v>81421</v>
      </c>
      <c r="I5" s="6" t="s">
        <v>4981</v>
      </c>
      <c r="J5" s="54">
        <v>14608436</v>
      </c>
      <c r="K5" s="54" t="s">
        <v>2591</v>
      </c>
      <c r="L5" s="54" t="s">
        <v>2592</v>
      </c>
      <c r="M5" s="55">
        <v>149900</v>
      </c>
      <c r="N5" s="37">
        <v>0.9</v>
      </c>
      <c r="O5" s="36">
        <f t="shared" si="2"/>
        <v>14990</v>
      </c>
      <c r="P5" s="6" t="s">
        <v>16</v>
      </c>
    </row>
    <row r="6" spans="1:16" x14ac:dyDescent="0.35">
      <c r="A6" s="34" t="s">
        <v>6641</v>
      </c>
      <c r="B6" s="7">
        <f t="shared" si="0"/>
        <v>46086</v>
      </c>
      <c r="C6" s="7">
        <f t="shared" si="1"/>
        <v>46092</v>
      </c>
      <c r="D6" s="6">
        <v>3321</v>
      </c>
      <c r="E6" s="6">
        <v>337</v>
      </c>
      <c r="F6" s="6">
        <v>4</v>
      </c>
      <c r="G6" s="25">
        <v>1</v>
      </c>
      <c r="H6" s="25">
        <v>81421</v>
      </c>
      <c r="I6" s="6" t="s">
        <v>4981</v>
      </c>
      <c r="J6" s="54">
        <v>14608445</v>
      </c>
      <c r="K6" s="54" t="s">
        <v>2591</v>
      </c>
      <c r="L6" s="54" t="s">
        <v>2593</v>
      </c>
      <c r="M6" s="55">
        <v>149900</v>
      </c>
      <c r="N6" s="37">
        <v>0.9</v>
      </c>
      <c r="O6" s="36">
        <f t="shared" si="2"/>
        <v>14990</v>
      </c>
      <c r="P6" s="6" t="s">
        <v>16</v>
      </c>
    </row>
    <row r="7" spans="1:16" x14ac:dyDescent="0.35">
      <c r="A7" s="34" t="s">
        <v>6641</v>
      </c>
      <c r="B7" s="7">
        <f t="shared" si="0"/>
        <v>46086</v>
      </c>
      <c r="C7" s="7">
        <f t="shared" si="1"/>
        <v>46092</v>
      </c>
      <c r="D7" s="6">
        <v>3321</v>
      </c>
      <c r="E7" s="6">
        <v>337</v>
      </c>
      <c r="F7" s="6">
        <v>4</v>
      </c>
      <c r="G7" s="25">
        <v>1</v>
      </c>
      <c r="H7" s="25">
        <v>81421</v>
      </c>
      <c r="I7" s="6" t="s">
        <v>4981</v>
      </c>
      <c r="J7" s="54">
        <v>14608454</v>
      </c>
      <c r="K7" s="54" t="s">
        <v>2591</v>
      </c>
      <c r="L7" s="54" t="s">
        <v>2594</v>
      </c>
      <c r="M7" s="55">
        <v>149900</v>
      </c>
      <c r="N7" s="37">
        <v>0.9</v>
      </c>
      <c r="O7" s="36">
        <f t="shared" si="2"/>
        <v>14990</v>
      </c>
      <c r="P7" s="6" t="s">
        <v>16</v>
      </c>
    </row>
    <row r="8" spans="1:16" x14ac:dyDescent="0.35">
      <c r="A8" s="34" t="s">
        <v>6641</v>
      </c>
      <c r="B8" s="7">
        <f t="shared" si="0"/>
        <v>46086</v>
      </c>
      <c r="C8" s="7">
        <f t="shared" si="1"/>
        <v>46092</v>
      </c>
      <c r="D8" s="6">
        <v>3321</v>
      </c>
      <c r="E8" s="6">
        <v>337</v>
      </c>
      <c r="F8" s="6">
        <v>4</v>
      </c>
      <c r="G8" s="25">
        <v>1</v>
      </c>
      <c r="H8" s="25">
        <v>81462</v>
      </c>
      <c r="I8" s="6" t="s">
        <v>4981</v>
      </c>
      <c r="J8" s="54">
        <v>14292278</v>
      </c>
      <c r="K8" s="54" t="s">
        <v>2595</v>
      </c>
      <c r="L8" s="54" t="s">
        <v>2596</v>
      </c>
      <c r="M8" s="55">
        <v>149900</v>
      </c>
      <c r="N8" s="37">
        <v>0.9</v>
      </c>
      <c r="O8" s="36">
        <f t="shared" si="2"/>
        <v>14990</v>
      </c>
      <c r="P8" s="6" t="s">
        <v>16</v>
      </c>
    </row>
    <row r="9" spans="1:16" x14ac:dyDescent="0.35">
      <c r="A9" s="34" t="s">
        <v>6641</v>
      </c>
      <c r="B9" s="7">
        <f t="shared" si="0"/>
        <v>46086</v>
      </c>
      <c r="C9" s="7">
        <f t="shared" si="1"/>
        <v>46092</v>
      </c>
      <c r="D9" s="6">
        <v>3321</v>
      </c>
      <c r="E9" s="6">
        <v>337</v>
      </c>
      <c r="F9" s="6">
        <v>4</v>
      </c>
      <c r="G9" s="25">
        <v>1</v>
      </c>
      <c r="H9" s="25">
        <v>81462</v>
      </c>
      <c r="I9" s="6" t="s">
        <v>4981</v>
      </c>
      <c r="J9" s="54">
        <v>14292287</v>
      </c>
      <c r="K9" s="54" t="s">
        <v>2595</v>
      </c>
      <c r="L9" s="54" t="s">
        <v>2597</v>
      </c>
      <c r="M9" s="55">
        <v>149900</v>
      </c>
      <c r="N9" s="37">
        <v>0.9</v>
      </c>
      <c r="O9" s="36">
        <f t="shared" si="2"/>
        <v>14990</v>
      </c>
      <c r="P9" s="6" t="s">
        <v>16</v>
      </c>
    </row>
    <row r="10" spans="1:16" x14ac:dyDescent="0.35">
      <c r="A10" s="34" t="s">
        <v>6641</v>
      </c>
      <c r="B10" s="7">
        <f t="shared" si="0"/>
        <v>46086</v>
      </c>
      <c r="C10" s="7">
        <f t="shared" si="1"/>
        <v>46092</v>
      </c>
      <c r="D10" s="6">
        <v>3321</v>
      </c>
      <c r="E10" s="6">
        <v>337</v>
      </c>
      <c r="F10" s="6">
        <v>4</v>
      </c>
      <c r="G10" s="25">
        <v>1</v>
      </c>
      <c r="H10" s="25">
        <v>81462</v>
      </c>
      <c r="I10" s="6" t="s">
        <v>4981</v>
      </c>
      <c r="J10" s="54">
        <v>14292303</v>
      </c>
      <c r="K10" s="54" t="s">
        <v>2595</v>
      </c>
      <c r="L10" s="54" t="s">
        <v>2598</v>
      </c>
      <c r="M10" s="55">
        <v>149900</v>
      </c>
      <c r="N10" s="37">
        <v>0.9</v>
      </c>
      <c r="O10" s="36">
        <f t="shared" si="2"/>
        <v>14990</v>
      </c>
      <c r="P10" s="6" t="s">
        <v>16</v>
      </c>
    </row>
    <row r="11" spans="1:16" x14ac:dyDescent="0.35">
      <c r="A11" s="34" t="s">
        <v>6641</v>
      </c>
      <c r="B11" s="7">
        <f t="shared" si="0"/>
        <v>46086</v>
      </c>
      <c r="C11" s="7">
        <f t="shared" si="1"/>
        <v>46092</v>
      </c>
      <c r="D11" s="6">
        <v>3321</v>
      </c>
      <c r="E11" s="6">
        <v>337</v>
      </c>
      <c r="F11" s="6">
        <v>4</v>
      </c>
      <c r="G11" s="25">
        <v>1</v>
      </c>
      <c r="H11" s="25">
        <v>81462</v>
      </c>
      <c r="I11" s="6" t="s">
        <v>4981</v>
      </c>
      <c r="J11" s="54">
        <v>14292312</v>
      </c>
      <c r="K11" s="54" t="s">
        <v>2599</v>
      </c>
      <c r="L11" s="54" t="s">
        <v>2600</v>
      </c>
      <c r="M11" s="55">
        <v>149900</v>
      </c>
      <c r="N11" s="37">
        <v>0.9</v>
      </c>
      <c r="O11" s="36">
        <f t="shared" si="2"/>
        <v>14990</v>
      </c>
      <c r="P11" s="6" t="s">
        <v>16</v>
      </c>
    </row>
    <row r="12" spans="1:16" x14ac:dyDescent="0.35">
      <c r="A12" s="34" t="s">
        <v>6641</v>
      </c>
      <c r="B12" s="7">
        <f t="shared" si="0"/>
        <v>46086</v>
      </c>
      <c r="C12" s="7">
        <f t="shared" si="1"/>
        <v>46092</v>
      </c>
      <c r="D12" s="6">
        <v>3321</v>
      </c>
      <c r="E12" s="6">
        <v>337</v>
      </c>
      <c r="F12" s="6">
        <v>4</v>
      </c>
      <c r="G12" s="25">
        <v>1</v>
      </c>
      <c r="H12" s="25">
        <v>81462</v>
      </c>
      <c r="I12" s="6" t="s">
        <v>4981</v>
      </c>
      <c r="J12" s="54">
        <v>14292349</v>
      </c>
      <c r="K12" s="54" t="s">
        <v>2599</v>
      </c>
      <c r="L12" s="54" t="s">
        <v>2601</v>
      </c>
      <c r="M12" s="55">
        <v>149900</v>
      </c>
      <c r="N12" s="37">
        <v>0.9</v>
      </c>
      <c r="O12" s="36">
        <f t="shared" si="2"/>
        <v>14990</v>
      </c>
      <c r="P12" s="6" t="s">
        <v>16</v>
      </c>
    </row>
    <row r="13" spans="1:16" x14ac:dyDescent="0.35">
      <c r="A13" s="34" t="s">
        <v>6641</v>
      </c>
      <c r="B13" s="7">
        <f t="shared" si="0"/>
        <v>46086</v>
      </c>
      <c r="C13" s="7">
        <f t="shared" si="1"/>
        <v>46092</v>
      </c>
      <c r="D13" s="6">
        <v>3321</v>
      </c>
      <c r="E13" s="6">
        <v>337</v>
      </c>
      <c r="F13" s="6">
        <v>4</v>
      </c>
      <c r="G13" s="25">
        <v>1</v>
      </c>
      <c r="H13" s="25">
        <v>81462</v>
      </c>
      <c r="I13" s="6" t="s">
        <v>4981</v>
      </c>
      <c r="J13" s="54">
        <v>14927225</v>
      </c>
      <c r="K13" s="54" t="s">
        <v>2602</v>
      </c>
      <c r="L13" s="54" t="s">
        <v>2603</v>
      </c>
      <c r="M13" s="55">
        <v>149900</v>
      </c>
      <c r="N13" s="37">
        <v>0.9</v>
      </c>
      <c r="O13" s="36">
        <f t="shared" si="2"/>
        <v>14990</v>
      </c>
      <c r="P13" s="6" t="s">
        <v>16</v>
      </c>
    </row>
    <row r="14" spans="1:16" x14ac:dyDescent="0.35">
      <c r="A14" s="34" t="s">
        <v>6641</v>
      </c>
      <c r="B14" s="7">
        <f t="shared" si="0"/>
        <v>46086</v>
      </c>
      <c r="C14" s="7">
        <f t="shared" si="1"/>
        <v>46092</v>
      </c>
      <c r="D14" s="6">
        <v>3321</v>
      </c>
      <c r="E14" s="6">
        <v>337</v>
      </c>
      <c r="F14" s="6">
        <v>4</v>
      </c>
      <c r="G14" s="25">
        <v>1</v>
      </c>
      <c r="H14" s="25">
        <v>81462</v>
      </c>
      <c r="I14" s="6" t="s">
        <v>4981</v>
      </c>
      <c r="J14" s="54">
        <v>14927243</v>
      </c>
      <c r="K14" s="54" t="s">
        <v>2602</v>
      </c>
      <c r="L14" s="54" t="s">
        <v>2604</v>
      </c>
      <c r="M14" s="55">
        <v>149900</v>
      </c>
      <c r="N14" s="37">
        <v>0.9</v>
      </c>
      <c r="O14" s="36">
        <f t="shared" si="2"/>
        <v>14990</v>
      </c>
      <c r="P14" s="6" t="s">
        <v>16</v>
      </c>
    </row>
    <row r="15" spans="1:16" x14ac:dyDescent="0.35">
      <c r="A15" s="34" t="s">
        <v>6641</v>
      </c>
      <c r="B15" s="7">
        <f t="shared" si="0"/>
        <v>46086</v>
      </c>
      <c r="C15" s="7">
        <f t="shared" si="1"/>
        <v>46092</v>
      </c>
      <c r="D15" s="6">
        <v>3321</v>
      </c>
      <c r="E15" s="6">
        <v>337</v>
      </c>
      <c r="F15" s="6">
        <v>4</v>
      </c>
      <c r="G15" s="25">
        <v>1</v>
      </c>
      <c r="H15" s="25">
        <v>81462</v>
      </c>
      <c r="I15" s="6" t="s">
        <v>4981</v>
      </c>
      <c r="J15" s="54">
        <v>14927252</v>
      </c>
      <c r="K15" s="54" t="s">
        <v>2602</v>
      </c>
      <c r="L15" s="54" t="s">
        <v>2605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6641</v>
      </c>
      <c r="B16" s="7">
        <f t="shared" si="0"/>
        <v>46086</v>
      </c>
      <c r="C16" s="7">
        <f t="shared" si="1"/>
        <v>46092</v>
      </c>
      <c r="D16" s="6">
        <v>3321</v>
      </c>
      <c r="E16" s="6">
        <v>337</v>
      </c>
      <c r="F16" s="6">
        <v>4</v>
      </c>
      <c r="G16" s="25">
        <v>1</v>
      </c>
      <c r="H16" s="25">
        <v>81676</v>
      </c>
      <c r="I16" s="6" t="s">
        <v>4981</v>
      </c>
      <c r="J16" s="54">
        <v>16047557</v>
      </c>
      <c r="K16" s="54" t="s">
        <v>2607</v>
      </c>
      <c r="L16" s="54" t="s">
        <v>2608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6641</v>
      </c>
      <c r="B17" s="7">
        <f t="shared" si="0"/>
        <v>46086</v>
      </c>
      <c r="C17" s="7">
        <f t="shared" si="1"/>
        <v>46092</v>
      </c>
      <c r="D17" s="6">
        <v>3321</v>
      </c>
      <c r="E17" s="6">
        <v>337</v>
      </c>
      <c r="F17" s="6">
        <v>4</v>
      </c>
      <c r="G17" s="25">
        <v>1</v>
      </c>
      <c r="H17" s="25">
        <v>81676</v>
      </c>
      <c r="I17" s="6" t="s">
        <v>4981</v>
      </c>
      <c r="J17" s="54">
        <v>16047593</v>
      </c>
      <c r="K17" s="54" t="s">
        <v>2609</v>
      </c>
      <c r="L17" s="54" t="s">
        <v>2610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6641</v>
      </c>
      <c r="B18" s="7">
        <f t="shared" si="0"/>
        <v>46086</v>
      </c>
      <c r="C18" s="7">
        <f t="shared" si="1"/>
        <v>46092</v>
      </c>
      <c r="D18" s="6">
        <v>3321</v>
      </c>
      <c r="E18" s="6">
        <v>337</v>
      </c>
      <c r="F18" s="6">
        <v>4</v>
      </c>
      <c r="G18" s="25">
        <v>1</v>
      </c>
      <c r="H18" s="25">
        <v>81676</v>
      </c>
      <c r="I18" s="6" t="s">
        <v>4981</v>
      </c>
      <c r="J18" s="54">
        <v>16047646</v>
      </c>
      <c r="K18" s="54" t="s">
        <v>2611</v>
      </c>
      <c r="L18" s="54" t="s">
        <v>2612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6641</v>
      </c>
      <c r="B19" s="7">
        <f t="shared" si="0"/>
        <v>46086</v>
      </c>
      <c r="C19" s="7">
        <f t="shared" si="1"/>
        <v>46092</v>
      </c>
      <c r="D19" s="6">
        <v>3321</v>
      </c>
      <c r="E19" s="6">
        <v>337</v>
      </c>
      <c r="F19" s="6">
        <v>4</v>
      </c>
      <c r="G19" s="25">
        <v>1</v>
      </c>
      <c r="H19" s="25">
        <v>81676</v>
      </c>
      <c r="I19" s="6" t="s">
        <v>4981</v>
      </c>
      <c r="J19" s="54">
        <v>16047655</v>
      </c>
      <c r="K19" s="54" t="s">
        <v>2611</v>
      </c>
      <c r="L19" s="54" t="s">
        <v>2613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6641</v>
      </c>
      <c r="B20" s="7">
        <f t="shared" si="0"/>
        <v>46086</v>
      </c>
      <c r="C20" s="7">
        <f t="shared" si="1"/>
        <v>46092</v>
      </c>
      <c r="D20" s="6">
        <v>3321</v>
      </c>
      <c r="E20" s="6">
        <v>337</v>
      </c>
      <c r="F20" s="6">
        <v>4</v>
      </c>
      <c r="G20" s="25">
        <v>1</v>
      </c>
      <c r="H20" s="25">
        <v>81676</v>
      </c>
      <c r="I20" s="6" t="s">
        <v>4981</v>
      </c>
      <c r="J20" s="54">
        <v>16047664</v>
      </c>
      <c r="K20" s="54" t="s">
        <v>2611</v>
      </c>
      <c r="L20" s="54" t="s">
        <v>2614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6641</v>
      </c>
      <c r="B21" s="7">
        <f t="shared" si="0"/>
        <v>46086</v>
      </c>
      <c r="C21" s="7">
        <f t="shared" si="1"/>
        <v>46092</v>
      </c>
      <c r="D21" s="6">
        <v>3321</v>
      </c>
      <c r="E21" s="6">
        <v>337</v>
      </c>
      <c r="F21" s="6">
        <v>4</v>
      </c>
      <c r="G21" s="25">
        <v>1</v>
      </c>
      <c r="H21" s="25">
        <v>81676</v>
      </c>
      <c r="I21" s="6" t="s">
        <v>4981</v>
      </c>
      <c r="J21" s="54">
        <v>16047717</v>
      </c>
      <c r="K21" s="54" t="s">
        <v>2615</v>
      </c>
      <c r="L21" s="54" t="s">
        <v>2616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6641</v>
      </c>
      <c r="B22" s="7">
        <f t="shared" si="0"/>
        <v>46086</v>
      </c>
      <c r="C22" s="7">
        <f t="shared" si="1"/>
        <v>46092</v>
      </c>
      <c r="D22" s="6">
        <v>3321</v>
      </c>
      <c r="E22" s="6">
        <v>337</v>
      </c>
      <c r="F22" s="6">
        <v>4</v>
      </c>
      <c r="G22" s="25">
        <v>1</v>
      </c>
      <c r="H22" s="25">
        <v>81800</v>
      </c>
      <c r="I22" s="6" t="s">
        <v>4981</v>
      </c>
      <c r="J22" s="54">
        <v>82958707</v>
      </c>
      <c r="K22" s="54" t="s">
        <v>2653</v>
      </c>
      <c r="L22" s="54" t="s">
        <v>6639</v>
      </c>
      <c r="M22" s="55">
        <v>159900</v>
      </c>
      <c r="N22" s="37">
        <v>0.9</v>
      </c>
      <c r="O22" s="36">
        <f t="shared" si="2"/>
        <v>15990</v>
      </c>
      <c r="P22" s="6" t="s">
        <v>16</v>
      </c>
    </row>
    <row r="23" spans="1:16" x14ac:dyDescent="0.35">
      <c r="A23" s="34" t="s">
        <v>6641</v>
      </c>
      <c r="B23" s="7">
        <f t="shared" si="0"/>
        <v>46086</v>
      </c>
      <c r="C23" s="7">
        <f t="shared" si="1"/>
        <v>46092</v>
      </c>
      <c r="D23" s="6">
        <v>3321</v>
      </c>
      <c r="E23" s="6">
        <v>337</v>
      </c>
      <c r="F23" s="6">
        <v>4</v>
      </c>
      <c r="G23" s="25">
        <v>1</v>
      </c>
      <c r="H23" s="25">
        <v>81800</v>
      </c>
      <c r="I23" s="6" t="s">
        <v>4981</v>
      </c>
      <c r="J23" s="54">
        <v>13492938</v>
      </c>
      <c r="K23" s="54" t="s">
        <v>2617</v>
      </c>
      <c r="L23" s="54" t="s">
        <v>2618</v>
      </c>
      <c r="M23" s="55">
        <v>159900</v>
      </c>
      <c r="N23" s="37">
        <v>0.9</v>
      </c>
      <c r="O23" s="36">
        <f t="shared" si="2"/>
        <v>15990</v>
      </c>
      <c r="P23" s="6" t="s">
        <v>16</v>
      </c>
    </row>
    <row r="24" spans="1:16" x14ac:dyDescent="0.35">
      <c r="A24" s="34" t="s">
        <v>6641</v>
      </c>
      <c r="B24" s="7">
        <f t="shared" si="0"/>
        <v>46086</v>
      </c>
      <c r="C24" s="7">
        <f t="shared" si="1"/>
        <v>46092</v>
      </c>
      <c r="D24" s="6">
        <v>3321</v>
      </c>
      <c r="E24" s="6">
        <v>337</v>
      </c>
      <c r="F24" s="6">
        <v>4</v>
      </c>
      <c r="G24" s="25">
        <v>1</v>
      </c>
      <c r="H24" s="25">
        <v>81800</v>
      </c>
      <c r="I24" s="6" t="s">
        <v>4981</v>
      </c>
      <c r="J24" s="54">
        <v>13492947</v>
      </c>
      <c r="K24" s="54" t="s">
        <v>2617</v>
      </c>
      <c r="L24" s="54" t="s">
        <v>2619</v>
      </c>
      <c r="M24" s="55">
        <v>159900</v>
      </c>
      <c r="N24" s="37">
        <v>0.9</v>
      </c>
      <c r="O24" s="36">
        <f t="shared" si="2"/>
        <v>15990</v>
      </c>
      <c r="P24" s="6" t="s">
        <v>16</v>
      </c>
    </row>
    <row r="25" spans="1:16" x14ac:dyDescent="0.35">
      <c r="A25" s="34" t="s">
        <v>6641</v>
      </c>
      <c r="B25" s="7">
        <f t="shared" si="0"/>
        <v>46086</v>
      </c>
      <c r="C25" s="7">
        <f t="shared" si="1"/>
        <v>46092</v>
      </c>
      <c r="D25" s="6">
        <v>3321</v>
      </c>
      <c r="E25" s="6">
        <v>337</v>
      </c>
      <c r="F25" s="6">
        <v>4</v>
      </c>
      <c r="G25" s="25">
        <v>1</v>
      </c>
      <c r="H25" s="25">
        <v>81800</v>
      </c>
      <c r="I25" s="6" t="s">
        <v>4981</v>
      </c>
      <c r="J25" s="54">
        <v>13492956</v>
      </c>
      <c r="K25" s="54" t="s">
        <v>2617</v>
      </c>
      <c r="L25" s="54" t="s">
        <v>2620</v>
      </c>
      <c r="M25" s="55">
        <v>159900</v>
      </c>
      <c r="N25" s="37">
        <v>0.9</v>
      </c>
      <c r="O25" s="36">
        <f t="shared" si="2"/>
        <v>15990</v>
      </c>
      <c r="P25" s="6" t="s">
        <v>16</v>
      </c>
    </row>
    <row r="26" spans="1:16" x14ac:dyDescent="0.35">
      <c r="A26" s="34" t="s">
        <v>6641</v>
      </c>
      <c r="B26" s="7">
        <f t="shared" si="0"/>
        <v>46086</v>
      </c>
      <c r="C26" s="7">
        <f t="shared" si="1"/>
        <v>46092</v>
      </c>
      <c r="D26" s="6">
        <v>3321</v>
      </c>
      <c r="E26" s="6">
        <v>337</v>
      </c>
      <c r="F26" s="6">
        <v>4</v>
      </c>
      <c r="G26" s="25">
        <v>1</v>
      </c>
      <c r="H26" s="25">
        <v>81800</v>
      </c>
      <c r="I26" s="6" t="s">
        <v>4981</v>
      </c>
      <c r="J26" s="54">
        <v>13492965</v>
      </c>
      <c r="K26" s="54" t="s">
        <v>2621</v>
      </c>
      <c r="L26" s="54" t="s">
        <v>2622</v>
      </c>
      <c r="M26" s="55">
        <v>159900</v>
      </c>
      <c r="N26" s="37">
        <v>0.9</v>
      </c>
      <c r="O26" s="36">
        <f t="shared" si="2"/>
        <v>15990</v>
      </c>
      <c r="P26" s="6" t="s">
        <v>16</v>
      </c>
    </row>
    <row r="27" spans="1:16" x14ac:dyDescent="0.35">
      <c r="A27" s="34" t="s">
        <v>6641</v>
      </c>
      <c r="B27" s="7">
        <f t="shared" si="0"/>
        <v>46086</v>
      </c>
      <c r="C27" s="7">
        <f t="shared" si="1"/>
        <v>46092</v>
      </c>
      <c r="D27" s="6">
        <v>3321</v>
      </c>
      <c r="E27" s="6">
        <v>337</v>
      </c>
      <c r="F27" s="6">
        <v>4</v>
      </c>
      <c r="G27" s="25">
        <v>1</v>
      </c>
      <c r="H27" s="25">
        <v>81800</v>
      </c>
      <c r="I27" s="6" t="s">
        <v>4981</v>
      </c>
      <c r="J27" s="54">
        <v>13492974</v>
      </c>
      <c r="K27" s="54" t="s">
        <v>2621</v>
      </c>
      <c r="L27" s="54" t="s">
        <v>2623</v>
      </c>
      <c r="M27" s="55">
        <v>159900</v>
      </c>
      <c r="N27" s="37">
        <v>0.9</v>
      </c>
      <c r="O27" s="36">
        <f t="shared" si="2"/>
        <v>15990</v>
      </c>
      <c r="P27" s="6" t="s">
        <v>16</v>
      </c>
    </row>
    <row r="28" spans="1:16" x14ac:dyDescent="0.35">
      <c r="A28" s="34" t="s">
        <v>6641</v>
      </c>
      <c r="B28" s="7">
        <f t="shared" si="0"/>
        <v>46086</v>
      </c>
      <c r="C28" s="7">
        <f t="shared" si="1"/>
        <v>46092</v>
      </c>
      <c r="D28" s="6">
        <v>3321</v>
      </c>
      <c r="E28" s="6">
        <v>337</v>
      </c>
      <c r="F28" s="6">
        <v>4</v>
      </c>
      <c r="G28" s="25">
        <v>1</v>
      </c>
      <c r="H28" s="25">
        <v>81800</v>
      </c>
      <c r="I28" s="6" t="s">
        <v>4981</v>
      </c>
      <c r="J28" s="54">
        <v>13492983</v>
      </c>
      <c r="K28" s="54" t="s">
        <v>2621</v>
      </c>
      <c r="L28" s="54" t="s">
        <v>2624</v>
      </c>
      <c r="M28" s="55">
        <v>159900</v>
      </c>
      <c r="N28" s="37">
        <v>0.9</v>
      </c>
      <c r="O28" s="36">
        <f t="shared" si="2"/>
        <v>15990</v>
      </c>
      <c r="P28" s="6" t="s">
        <v>16</v>
      </c>
    </row>
    <row r="29" spans="1:16" x14ac:dyDescent="0.35">
      <c r="A29" s="34" t="s">
        <v>6641</v>
      </c>
      <c r="B29" s="7">
        <f t="shared" si="0"/>
        <v>46086</v>
      </c>
      <c r="C29" s="7">
        <f t="shared" si="1"/>
        <v>46092</v>
      </c>
      <c r="D29" s="6">
        <v>3321</v>
      </c>
      <c r="E29" s="6">
        <v>337</v>
      </c>
      <c r="F29" s="6">
        <v>4</v>
      </c>
      <c r="G29" s="25">
        <v>1</v>
      </c>
      <c r="H29" s="25">
        <v>81800</v>
      </c>
      <c r="I29" s="6" t="s">
        <v>4981</v>
      </c>
      <c r="J29" s="54">
        <v>13492992</v>
      </c>
      <c r="K29" s="54" t="s">
        <v>2621</v>
      </c>
      <c r="L29" s="54" t="s">
        <v>2625</v>
      </c>
      <c r="M29" s="55">
        <v>159900</v>
      </c>
      <c r="N29" s="37">
        <v>0.9</v>
      </c>
      <c r="O29" s="36">
        <f t="shared" si="2"/>
        <v>15990</v>
      </c>
      <c r="P29" s="6" t="s">
        <v>16</v>
      </c>
    </row>
    <row r="30" spans="1:16" x14ac:dyDescent="0.35">
      <c r="A30" s="34" t="s">
        <v>6641</v>
      </c>
      <c r="B30" s="7">
        <f t="shared" si="0"/>
        <v>46086</v>
      </c>
      <c r="C30" s="7">
        <f t="shared" si="1"/>
        <v>46092</v>
      </c>
      <c r="D30" s="6">
        <v>3321</v>
      </c>
      <c r="E30" s="6">
        <v>337</v>
      </c>
      <c r="F30" s="6">
        <v>4</v>
      </c>
      <c r="G30" s="25">
        <v>1</v>
      </c>
      <c r="H30" s="25">
        <v>81800</v>
      </c>
      <c r="I30" s="6" t="s">
        <v>4981</v>
      </c>
      <c r="J30" s="54">
        <v>13493017</v>
      </c>
      <c r="K30" s="54" t="s">
        <v>2626</v>
      </c>
      <c r="L30" s="54" t="s">
        <v>2627</v>
      </c>
      <c r="M30" s="55">
        <v>159900</v>
      </c>
      <c r="N30" s="37">
        <v>0.9</v>
      </c>
      <c r="O30" s="36">
        <f t="shared" si="2"/>
        <v>15990</v>
      </c>
      <c r="P30" s="6" t="s">
        <v>16</v>
      </c>
    </row>
    <row r="31" spans="1:16" x14ac:dyDescent="0.35">
      <c r="A31" s="34" t="s">
        <v>6641</v>
      </c>
      <c r="B31" s="7">
        <f t="shared" si="0"/>
        <v>46086</v>
      </c>
      <c r="C31" s="7">
        <f t="shared" si="1"/>
        <v>46092</v>
      </c>
      <c r="D31" s="6">
        <v>3321</v>
      </c>
      <c r="E31" s="6">
        <v>337</v>
      </c>
      <c r="F31" s="6">
        <v>4</v>
      </c>
      <c r="G31" s="25">
        <v>1</v>
      </c>
      <c r="H31" s="25">
        <v>81800</v>
      </c>
      <c r="I31" s="6" t="s">
        <v>4981</v>
      </c>
      <c r="J31" s="54">
        <v>13493026</v>
      </c>
      <c r="K31" s="54" t="s">
        <v>2626</v>
      </c>
      <c r="L31" s="54" t="s">
        <v>2628</v>
      </c>
      <c r="M31" s="55">
        <v>159900</v>
      </c>
      <c r="N31" s="37">
        <v>0.9</v>
      </c>
      <c r="O31" s="36">
        <f t="shared" si="2"/>
        <v>15990</v>
      </c>
      <c r="P31" s="6" t="s">
        <v>16</v>
      </c>
    </row>
    <row r="32" spans="1:16" x14ac:dyDescent="0.35">
      <c r="A32" s="34" t="s">
        <v>6641</v>
      </c>
      <c r="B32" s="7">
        <f t="shared" si="0"/>
        <v>46086</v>
      </c>
      <c r="C32" s="7">
        <f t="shared" si="1"/>
        <v>46092</v>
      </c>
      <c r="D32" s="6">
        <v>3321</v>
      </c>
      <c r="E32" s="6">
        <v>337</v>
      </c>
      <c r="F32" s="6">
        <v>4</v>
      </c>
      <c r="G32" s="25">
        <v>1</v>
      </c>
      <c r="H32" s="25">
        <v>81800</v>
      </c>
      <c r="I32" s="6" t="s">
        <v>4981</v>
      </c>
      <c r="J32" s="54">
        <v>13493044</v>
      </c>
      <c r="K32" s="54" t="s">
        <v>2629</v>
      </c>
      <c r="L32" s="54" t="s">
        <v>2630</v>
      </c>
      <c r="M32" s="55">
        <v>159900</v>
      </c>
      <c r="N32" s="37">
        <v>0.9</v>
      </c>
      <c r="O32" s="36">
        <f t="shared" si="2"/>
        <v>15990</v>
      </c>
      <c r="P32" s="6" t="s">
        <v>16</v>
      </c>
    </row>
    <row r="33" spans="1:16" x14ac:dyDescent="0.35">
      <c r="A33" s="34" t="s">
        <v>6641</v>
      </c>
      <c r="B33" s="7">
        <f t="shared" si="0"/>
        <v>46086</v>
      </c>
      <c r="C33" s="7">
        <f t="shared" si="1"/>
        <v>46092</v>
      </c>
      <c r="D33" s="6">
        <v>3321</v>
      </c>
      <c r="E33" s="6">
        <v>337</v>
      </c>
      <c r="F33" s="6">
        <v>4</v>
      </c>
      <c r="G33" s="25">
        <v>1</v>
      </c>
      <c r="H33" s="25">
        <v>81800</v>
      </c>
      <c r="I33" s="6" t="s">
        <v>4981</v>
      </c>
      <c r="J33" s="54">
        <v>13493053</v>
      </c>
      <c r="K33" s="54" t="s">
        <v>2629</v>
      </c>
      <c r="L33" s="54" t="s">
        <v>2631</v>
      </c>
      <c r="M33" s="55">
        <v>159900</v>
      </c>
      <c r="N33" s="37">
        <v>0.9</v>
      </c>
      <c r="O33" s="36">
        <f t="shared" si="2"/>
        <v>15990</v>
      </c>
      <c r="P33" s="6" t="s">
        <v>16</v>
      </c>
    </row>
    <row r="34" spans="1:16" x14ac:dyDescent="0.35">
      <c r="A34" s="34" t="s">
        <v>6641</v>
      </c>
      <c r="B34" s="7">
        <f t="shared" si="0"/>
        <v>46086</v>
      </c>
      <c r="C34" s="7">
        <f t="shared" si="1"/>
        <v>46092</v>
      </c>
      <c r="D34" s="6">
        <v>3321</v>
      </c>
      <c r="E34" s="6">
        <v>337</v>
      </c>
      <c r="F34" s="6">
        <v>4</v>
      </c>
      <c r="G34" s="25">
        <v>1</v>
      </c>
      <c r="H34" s="25">
        <v>81800</v>
      </c>
      <c r="I34" s="6" t="s">
        <v>4981</v>
      </c>
      <c r="J34" s="54">
        <v>13493071</v>
      </c>
      <c r="K34" s="54" t="s">
        <v>2629</v>
      </c>
      <c r="L34" s="54" t="s">
        <v>2632</v>
      </c>
      <c r="M34" s="55">
        <v>159900</v>
      </c>
      <c r="N34" s="37">
        <v>0.9</v>
      </c>
      <c r="O34" s="36">
        <f t="shared" si="2"/>
        <v>15990</v>
      </c>
      <c r="P34" s="6" t="s">
        <v>16</v>
      </c>
    </row>
    <row r="35" spans="1:16" x14ac:dyDescent="0.35">
      <c r="A35" s="34" t="s">
        <v>6641</v>
      </c>
      <c r="B35" s="7">
        <f t="shared" si="0"/>
        <v>46086</v>
      </c>
      <c r="C35" s="7">
        <f t="shared" si="1"/>
        <v>46092</v>
      </c>
      <c r="D35" s="6">
        <v>3321</v>
      </c>
      <c r="E35" s="6">
        <v>337</v>
      </c>
      <c r="F35" s="6">
        <v>4</v>
      </c>
      <c r="G35" s="25">
        <v>1</v>
      </c>
      <c r="H35" s="25">
        <v>81800</v>
      </c>
      <c r="I35" s="6" t="s">
        <v>4981</v>
      </c>
      <c r="J35" s="54">
        <v>13846921</v>
      </c>
      <c r="K35" s="54" t="s">
        <v>2633</v>
      </c>
      <c r="L35" s="54" t="s">
        <v>2634</v>
      </c>
      <c r="M35" s="55">
        <v>159900</v>
      </c>
      <c r="N35" s="37">
        <v>0.9</v>
      </c>
      <c r="O35" s="36">
        <f t="shared" si="2"/>
        <v>15990</v>
      </c>
      <c r="P35" s="6" t="s">
        <v>16</v>
      </c>
    </row>
    <row r="36" spans="1:16" x14ac:dyDescent="0.35">
      <c r="A36" s="34" t="s">
        <v>6641</v>
      </c>
      <c r="B36" s="7">
        <f t="shared" si="0"/>
        <v>46086</v>
      </c>
      <c r="C36" s="7">
        <f t="shared" si="1"/>
        <v>46092</v>
      </c>
      <c r="D36" s="6">
        <v>3321</v>
      </c>
      <c r="E36" s="6">
        <v>337</v>
      </c>
      <c r="F36" s="6">
        <v>4</v>
      </c>
      <c r="G36" s="25">
        <v>1</v>
      </c>
      <c r="H36" s="25">
        <v>81800</v>
      </c>
      <c r="I36" s="6" t="s">
        <v>4981</v>
      </c>
      <c r="J36" s="54">
        <v>13846930</v>
      </c>
      <c r="K36" s="54" t="s">
        <v>2633</v>
      </c>
      <c r="L36" s="54" t="s">
        <v>2635</v>
      </c>
      <c r="M36" s="55">
        <v>159900</v>
      </c>
      <c r="N36" s="37">
        <v>0.9</v>
      </c>
      <c r="O36" s="36">
        <f t="shared" si="2"/>
        <v>15990</v>
      </c>
      <c r="P36" s="6" t="s">
        <v>16</v>
      </c>
    </row>
    <row r="37" spans="1:16" x14ac:dyDescent="0.35">
      <c r="A37" s="34" t="s">
        <v>6641</v>
      </c>
      <c r="B37" s="7">
        <f t="shared" si="0"/>
        <v>46086</v>
      </c>
      <c r="C37" s="7">
        <f t="shared" si="1"/>
        <v>46092</v>
      </c>
      <c r="D37" s="6">
        <v>3321</v>
      </c>
      <c r="E37" s="6">
        <v>337</v>
      </c>
      <c r="F37" s="6">
        <v>4</v>
      </c>
      <c r="G37" s="25">
        <v>1</v>
      </c>
      <c r="H37" s="25">
        <v>81800</v>
      </c>
      <c r="I37" s="6" t="s">
        <v>4981</v>
      </c>
      <c r="J37" s="54">
        <v>13846949</v>
      </c>
      <c r="K37" s="54" t="s">
        <v>2633</v>
      </c>
      <c r="L37" s="54" t="s">
        <v>2636</v>
      </c>
      <c r="M37" s="55">
        <v>159900</v>
      </c>
      <c r="N37" s="37">
        <v>0.9</v>
      </c>
      <c r="O37" s="36">
        <f t="shared" si="2"/>
        <v>15990</v>
      </c>
      <c r="P37" s="6" t="s">
        <v>16</v>
      </c>
    </row>
    <row r="38" spans="1:16" x14ac:dyDescent="0.35">
      <c r="A38" s="34" t="s">
        <v>6641</v>
      </c>
      <c r="B38" s="7">
        <f t="shared" si="0"/>
        <v>46086</v>
      </c>
      <c r="C38" s="7">
        <f t="shared" si="1"/>
        <v>46092</v>
      </c>
      <c r="D38" s="6">
        <v>3321</v>
      </c>
      <c r="E38" s="6">
        <v>337</v>
      </c>
      <c r="F38" s="6">
        <v>4</v>
      </c>
      <c r="G38" s="25">
        <v>1</v>
      </c>
      <c r="H38" s="25">
        <v>81800</v>
      </c>
      <c r="I38" s="6" t="s">
        <v>4981</v>
      </c>
      <c r="J38" s="54">
        <v>14100957</v>
      </c>
      <c r="K38" s="54" t="s">
        <v>2637</v>
      </c>
      <c r="L38" s="54" t="s">
        <v>2638</v>
      </c>
      <c r="M38" s="55">
        <v>159900</v>
      </c>
      <c r="N38" s="37">
        <v>0.9</v>
      </c>
      <c r="O38" s="36">
        <f t="shared" si="2"/>
        <v>15990</v>
      </c>
      <c r="P38" s="6" t="s">
        <v>16</v>
      </c>
    </row>
    <row r="39" spans="1:16" x14ac:dyDescent="0.35">
      <c r="A39" s="34" t="s">
        <v>6641</v>
      </c>
      <c r="B39" s="7">
        <f t="shared" si="0"/>
        <v>46086</v>
      </c>
      <c r="C39" s="7">
        <f t="shared" si="1"/>
        <v>46092</v>
      </c>
      <c r="D39" s="6">
        <v>3321</v>
      </c>
      <c r="E39" s="6">
        <v>337</v>
      </c>
      <c r="F39" s="6">
        <v>4</v>
      </c>
      <c r="G39" s="25">
        <v>1</v>
      </c>
      <c r="H39" s="25">
        <v>81800</v>
      </c>
      <c r="I39" s="6" t="s">
        <v>4981</v>
      </c>
      <c r="J39" s="54">
        <v>14100966</v>
      </c>
      <c r="K39" s="54" t="s">
        <v>2639</v>
      </c>
      <c r="L39" s="54" t="s">
        <v>2640</v>
      </c>
      <c r="M39" s="55">
        <v>159900</v>
      </c>
      <c r="N39" s="37">
        <v>0.9</v>
      </c>
      <c r="O39" s="36">
        <f t="shared" si="2"/>
        <v>15990</v>
      </c>
      <c r="P39" s="6" t="s">
        <v>16</v>
      </c>
    </row>
    <row r="40" spans="1:16" x14ac:dyDescent="0.35">
      <c r="A40" s="34" t="s">
        <v>6641</v>
      </c>
      <c r="B40" s="7">
        <f t="shared" si="0"/>
        <v>46086</v>
      </c>
      <c r="C40" s="7">
        <f t="shared" si="1"/>
        <v>46092</v>
      </c>
      <c r="D40" s="6">
        <v>3321</v>
      </c>
      <c r="E40" s="6">
        <v>337</v>
      </c>
      <c r="F40" s="6">
        <v>4</v>
      </c>
      <c r="G40" s="25">
        <v>1</v>
      </c>
      <c r="H40" s="25">
        <v>81800</v>
      </c>
      <c r="I40" s="6" t="s">
        <v>4981</v>
      </c>
      <c r="J40" s="54">
        <v>14100975</v>
      </c>
      <c r="K40" s="54" t="s">
        <v>2639</v>
      </c>
      <c r="L40" s="54" t="s">
        <v>2641</v>
      </c>
      <c r="M40" s="55">
        <v>159900</v>
      </c>
      <c r="N40" s="37">
        <v>0.9</v>
      </c>
      <c r="O40" s="36">
        <f t="shared" si="2"/>
        <v>15990</v>
      </c>
      <c r="P40" s="6" t="s">
        <v>16</v>
      </c>
    </row>
    <row r="41" spans="1:16" x14ac:dyDescent="0.35">
      <c r="A41" s="34" t="s">
        <v>6641</v>
      </c>
      <c r="B41" s="7">
        <f t="shared" si="0"/>
        <v>46086</v>
      </c>
      <c r="C41" s="7">
        <f t="shared" si="1"/>
        <v>46092</v>
      </c>
      <c r="D41" s="6">
        <v>3321</v>
      </c>
      <c r="E41" s="6">
        <v>337</v>
      </c>
      <c r="F41" s="6">
        <v>4</v>
      </c>
      <c r="G41" s="25">
        <v>1</v>
      </c>
      <c r="H41" s="25">
        <v>81800</v>
      </c>
      <c r="I41" s="6" t="s">
        <v>4981</v>
      </c>
      <c r="J41" s="54">
        <v>14100984</v>
      </c>
      <c r="K41" s="54" t="s">
        <v>2639</v>
      </c>
      <c r="L41" s="54" t="s">
        <v>2642</v>
      </c>
      <c r="M41" s="55">
        <v>159900</v>
      </c>
      <c r="N41" s="37">
        <v>0.9</v>
      </c>
      <c r="O41" s="36">
        <f t="shared" si="2"/>
        <v>15990</v>
      </c>
      <c r="P41" s="6" t="s">
        <v>16</v>
      </c>
    </row>
    <row r="42" spans="1:16" x14ac:dyDescent="0.35">
      <c r="A42" s="34" t="s">
        <v>6641</v>
      </c>
      <c r="B42" s="7">
        <f t="shared" si="0"/>
        <v>46086</v>
      </c>
      <c r="C42" s="7">
        <f t="shared" si="1"/>
        <v>46092</v>
      </c>
      <c r="D42" s="6">
        <v>3321</v>
      </c>
      <c r="E42" s="6">
        <v>337</v>
      </c>
      <c r="F42" s="6">
        <v>4</v>
      </c>
      <c r="G42" s="25">
        <v>1</v>
      </c>
      <c r="H42" s="25">
        <v>81800</v>
      </c>
      <c r="I42" s="6" t="s">
        <v>4981</v>
      </c>
      <c r="J42" s="54">
        <v>14100993</v>
      </c>
      <c r="K42" s="54" t="s">
        <v>2639</v>
      </c>
      <c r="L42" s="54" t="s">
        <v>2643</v>
      </c>
      <c r="M42" s="55">
        <v>159900</v>
      </c>
      <c r="N42" s="37">
        <v>0.9</v>
      </c>
      <c r="O42" s="36">
        <f t="shared" si="2"/>
        <v>15990</v>
      </c>
      <c r="P42" s="6" t="s">
        <v>16</v>
      </c>
    </row>
    <row r="43" spans="1:16" x14ac:dyDescent="0.35">
      <c r="A43" s="34" t="s">
        <v>6641</v>
      </c>
      <c r="B43" s="7">
        <f t="shared" si="0"/>
        <v>46086</v>
      </c>
      <c r="C43" s="7">
        <f t="shared" si="1"/>
        <v>46092</v>
      </c>
      <c r="D43" s="6">
        <v>3321</v>
      </c>
      <c r="E43" s="6">
        <v>337</v>
      </c>
      <c r="F43" s="6">
        <v>4</v>
      </c>
      <c r="G43" s="25">
        <v>1</v>
      </c>
      <c r="H43" s="25">
        <v>81800</v>
      </c>
      <c r="I43" s="6" t="s">
        <v>4981</v>
      </c>
      <c r="J43" s="54">
        <v>14101009</v>
      </c>
      <c r="K43" s="54" t="s">
        <v>2644</v>
      </c>
      <c r="L43" s="54" t="s">
        <v>2645</v>
      </c>
      <c r="M43" s="55">
        <v>159900</v>
      </c>
      <c r="N43" s="37">
        <v>0.9</v>
      </c>
      <c r="O43" s="36">
        <f t="shared" si="2"/>
        <v>15990</v>
      </c>
      <c r="P43" s="6" t="s">
        <v>16</v>
      </c>
    </row>
    <row r="44" spans="1:16" x14ac:dyDescent="0.35">
      <c r="A44" s="34" t="s">
        <v>6641</v>
      </c>
      <c r="B44" s="7">
        <f t="shared" si="0"/>
        <v>46086</v>
      </c>
      <c r="C44" s="7">
        <f t="shared" si="1"/>
        <v>46092</v>
      </c>
      <c r="D44" s="6">
        <v>3321</v>
      </c>
      <c r="E44" s="6">
        <v>337</v>
      </c>
      <c r="F44" s="6">
        <v>4</v>
      </c>
      <c r="G44" s="25">
        <v>1</v>
      </c>
      <c r="H44" s="25">
        <v>81800</v>
      </c>
      <c r="I44" s="6" t="s">
        <v>4981</v>
      </c>
      <c r="J44" s="54">
        <v>14101018</v>
      </c>
      <c r="K44" s="54" t="s">
        <v>2644</v>
      </c>
      <c r="L44" s="54" t="s">
        <v>2646</v>
      </c>
      <c r="M44" s="55">
        <v>159900</v>
      </c>
      <c r="N44" s="37">
        <v>0.9</v>
      </c>
      <c r="O44" s="36">
        <f t="shared" si="2"/>
        <v>15990</v>
      </c>
      <c r="P44" s="6" t="s">
        <v>16</v>
      </c>
    </row>
    <row r="45" spans="1:16" x14ac:dyDescent="0.35">
      <c r="A45" s="34" t="s">
        <v>6641</v>
      </c>
      <c r="B45" s="7">
        <f t="shared" si="0"/>
        <v>46086</v>
      </c>
      <c r="C45" s="7">
        <f t="shared" si="1"/>
        <v>46092</v>
      </c>
      <c r="D45" s="6">
        <v>3321</v>
      </c>
      <c r="E45" s="6">
        <v>337</v>
      </c>
      <c r="F45" s="6">
        <v>4</v>
      </c>
      <c r="G45" s="25">
        <v>1</v>
      </c>
      <c r="H45" s="25">
        <v>81800</v>
      </c>
      <c r="I45" s="6" t="s">
        <v>4981</v>
      </c>
      <c r="J45" s="54">
        <v>14101027</v>
      </c>
      <c r="K45" s="54" t="s">
        <v>2644</v>
      </c>
      <c r="L45" s="54" t="s">
        <v>2647</v>
      </c>
      <c r="M45" s="55">
        <v>159900</v>
      </c>
      <c r="N45" s="37">
        <v>0.9</v>
      </c>
      <c r="O45" s="36">
        <f t="shared" si="2"/>
        <v>15990</v>
      </c>
      <c r="P45" s="6" t="s">
        <v>16</v>
      </c>
    </row>
    <row r="46" spans="1:16" x14ac:dyDescent="0.35">
      <c r="A46" s="34" t="s">
        <v>6641</v>
      </c>
      <c r="B46" s="7">
        <f t="shared" si="0"/>
        <v>46086</v>
      </c>
      <c r="C46" s="7">
        <f t="shared" si="1"/>
        <v>46092</v>
      </c>
      <c r="D46" s="6">
        <v>3321</v>
      </c>
      <c r="E46" s="6">
        <v>337</v>
      </c>
      <c r="F46" s="6">
        <v>4</v>
      </c>
      <c r="G46" s="25">
        <v>1</v>
      </c>
      <c r="H46" s="25">
        <v>81800</v>
      </c>
      <c r="I46" s="6" t="s">
        <v>4981</v>
      </c>
      <c r="J46" s="54">
        <v>14101036</v>
      </c>
      <c r="K46" s="54" t="s">
        <v>2644</v>
      </c>
      <c r="L46" s="54" t="s">
        <v>2648</v>
      </c>
      <c r="M46" s="55">
        <v>159900</v>
      </c>
      <c r="N46" s="37">
        <v>0.9</v>
      </c>
      <c r="O46" s="36">
        <f t="shared" si="2"/>
        <v>15990</v>
      </c>
      <c r="P46" s="6" t="s">
        <v>16</v>
      </c>
    </row>
    <row r="47" spans="1:16" x14ac:dyDescent="0.35">
      <c r="A47" s="34" t="s">
        <v>6641</v>
      </c>
      <c r="B47" s="7">
        <f t="shared" si="0"/>
        <v>46086</v>
      </c>
      <c r="C47" s="7">
        <f t="shared" si="1"/>
        <v>46092</v>
      </c>
      <c r="D47" s="6">
        <v>3321</v>
      </c>
      <c r="E47" s="6">
        <v>337</v>
      </c>
      <c r="F47" s="6">
        <v>4</v>
      </c>
      <c r="G47" s="25">
        <v>1</v>
      </c>
      <c r="H47" s="25">
        <v>81800</v>
      </c>
      <c r="I47" s="6" t="s">
        <v>4981</v>
      </c>
      <c r="J47" s="54">
        <v>82958565</v>
      </c>
      <c r="K47" s="54" t="s">
        <v>2649</v>
      </c>
      <c r="L47" s="54" t="s">
        <v>2650</v>
      </c>
      <c r="M47" s="55">
        <v>159900</v>
      </c>
      <c r="N47" s="37">
        <v>0.9</v>
      </c>
      <c r="O47" s="36">
        <f t="shared" si="2"/>
        <v>15990</v>
      </c>
      <c r="P47" s="6" t="s">
        <v>16</v>
      </c>
    </row>
    <row r="48" spans="1:16" x14ac:dyDescent="0.35">
      <c r="A48" s="34" t="s">
        <v>6641</v>
      </c>
      <c r="B48" s="7">
        <f t="shared" si="0"/>
        <v>46086</v>
      </c>
      <c r="C48" s="7">
        <f t="shared" si="1"/>
        <v>46092</v>
      </c>
      <c r="D48" s="6">
        <v>3321</v>
      </c>
      <c r="E48" s="6">
        <v>337</v>
      </c>
      <c r="F48" s="6">
        <v>4</v>
      </c>
      <c r="G48" s="25">
        <v>1</v>
      </c>
      <c r="H48" s="25">
        <v>81800</v>
      </c>
      <c r="I48" s="6" t="s">
        <v>4981</v>
      </c>
      <c r="J48" s="54">
        <v>82958627</v>
      </c>
      <c r="K48" s="54" t="s">
        <v>2651</v>
      </c>
      <c r="L48" s="54" t="s">
        <v>2652</v>
      </c>
      <c r="M48" s="55">
        <v>159900</v>
      </c>
      <c r="N48" s="37">
        <v>0.9</v>
      </c>
      <c r="O48" s="36">
        <f t="shared" si="2"/>
        <v>15990</v>
      </c>
      <c r="P48" s="6" t="s">
        <v>16</v>
      </c>
    </row>
    <row r="49" spans="1:16" x14ac:dyDescent="0.35">
      <c r="A49" s="34" t="s">
        <v>6641</v>
      </c>
      <c r="B49" s="7">
        <f t="shared" si="0"/>
        <v>46086</v>
      </c>
      <c r="C49" s="7">
        <f t="shared" si="1"/>
        <v>46092</v>
      </c>
      <c r="D49" s="6">
        <v>3321</v>
      </c>
      <c r="E49" s="6">
        <v>337</v>
      </c>
      <c r="F49" s="6">
        <v>4</v>
      </c>
      <c r="G49" s="25">
        <v>1</v>
      </c>
      <c r="H49" s="25">
        <v>81800</v>
      </c>
      <c r="I49" s="6" t="s">
        <v>4981</v>
      </c>
      <c r="J49" s="54">
        <v>84614388</v>
      </c>
      <c r="K49" s="54" t="s">
        <v>2654</v>
      </c>
      <c r="L49" s="54" t="s">
        <v>2655</v>
      </c>
      <c r="M49" s="55">
        <v>159900</v>
      </c>
      <c r="N49" s="37">
        <v>0.9</v>
      </c>
      <c r="O49" s="36">
        <f t="shared" si="2"/>
        <v>15990</v>
      </c>
      <c r="P49" s="6" t="s">
        <v>16</v>
      </c>
    </row>
    <row r="50" spans="1:16" x14ac:dyDescent="0.35">
      <c r="A50" s="34" t="s">
        <v>6641</v>
      </c>
      <c r="B50" s="7">
        <f t="shared" si="0"/>
        <v>46086</v>
      </c>
      <c r="C50" s="7">
        <f t="shared" si="1"/>
        <v>46092</v>
      </c>
      <c r="D50" s="6">
        <v>3321</v>
      </c>
      <c r="E50" s="6">
        <v>337</v>
      </c>
      <c r="F50" s="6">
        <v>4</v>
      </c>
      <c r="G50" s="25">
        <v>3</v>
      </c>
      <c r="H50" s="25">
        <v>81419</v>
      </c>
      <c r="I50" s="6" t="s">
        <v>4981</v>
      </c>
      <c r="J50" s="54">
        <v>14608570</v>
      </c>
      <c r="K50" s="54" t="s">
        <v>2656</v>
      </c>
      <c r="L50" s="54" t="s">
        <v>2657</v>
      </c>
      <c r="M50" s="55">
        <v>279900</v>
      </c>
      <c r="N50" s="37">
        <v>0.9</v>
      </c>
      <c r="O50" s="36">
        <f t="shared" si="2"/>
        <v>27990</v>
      </c>
      <c r="P50" s="6" t="s">
        <v>16</v>
      </c>
    </row>
    <row r="51" spans="1:16" x14ac:dyDescent="0.35">
      <c r="A51" s="34" t="s">
        <v>6641</v>
      </c>
      <c r="B51" s="7">
        <f t="shared" si="0"/>
        <v>46086</v>
      </c>
      <c r="C51" s="7">
        <f t="shared" si="1"/>
        <v>46092</v>
      </c>
      <c r="D51" s="6">
        <v>3321</v>
      </c>
      <c r="E51" s="6">
        <v>337</v>
      </c>
      <c r="F51" s="6">
        <v>4</v>
      </c>
      <c r="G51" s="25">
        <v>3</v>
      </c>
      <c r="H51" s="25">
        <v>81800</v>
      </c>
      <c r="I51" s="6" t="s">
        <v>4981</v>
      </c>
      <c r="J51" s="54">
        <v>86978787</v>
      </c>
      <c r="K51" s="54" t="s">
        <v>2672</v>
      </c>
      <c r="L51" s="54" t="s">
        <v>6640</v>
      </c>
      <c r="M51" s="55">
        <v>229900</v>
      </c>
      <c r="N51" s="37">
        <v>0.9</v>
      </c>
      <c r="O51" s="36">
        <f t="shared" si="2"/>
        <v>22990</v>
      </c>
      <c r="P51" s="6" t="s">
        <v>16</v>
      </c>
    </row>
    <row r="52" spans="1:16" x14ac:dyDescent="0.35">
      <c r="A52" s="34" t="s">
        <v>6641</v>
      </c>
      <c r="B52" s="7">
        <f t="shared" si="0"/>
        <v>46086</v>
      </c>
      <c r="C52" s="7">
        <f t="shared" si="1"/>
        <v>46092</v>
      </c>
      <c r="D52" s="6">
        <v>3321</v>
      </c>
      <c r="E52" s="6">
        <v>337</v>
      </c>
      <c r="F52" s="6">
        <v>4</v>
      </c>
      <c r="G52" s="25">
        <v>3</v>
      </c>
      <c r="H52" s="25">
        <v>81800</v>
      </c>
      <c r="I52" s="6" t="s">
        <v>4981</v>
      </c>
      <c r="J52" s="54">
        <v>13493080</v>
      </c>
      <c r="K52" s="54" t="s">
        <v>2658</v>
      </c>
      <c r="L52" s="54" t="s">
        <v>2659</v>
      </c>
      <c r="M52" s="55">
        <v>239900</v>
      </c>
      <c r="N52" s="37">
        <v>0.9</v>
      </c>
      <c r="O52" s="36">
        <f t="shared" si="2"/>
        <v>23990</v>
      </c>
      <c r="P52" s="6" t="s">
        <v>16</v>
      </c>
    </row>
    <row r="53" spans="1:16" x14ac:dyDescent="0.35">
      <c r="A53" s="34" t="s">
        <v>6641</v>
      </c>
      <c r="B53" s="7">
        <f t="shared" si="0"/>
        <v>46086</v>
      </c>
      <c r="C53" s="7">
        <f t="shared" si="1"/>
        <v>46092</v>
      </c>
      <c r="D53" s="6">
        <v>3321</v>
      </c>
      <c r="E53" s="6">
        <v>337</v>
      </c>
      <c r="F53" s="6">
        <v>4</v>
      </c>
      <c r="G53" s="25">
        <v>3</v>
      </c>
      <c r="H53" s="25">
        <v>81800</v>
      </c>
      <c r="I53" s="6" t="s">
        <v>4981</v>
      </c>
      <c r="J53" s="54">
        <v>13493099</v>
      </c>
      <c r="K53" s="54" t="s">
        <v>2658</v>
      </c>
      <c r="L53" s="54" t="s">
        <v>2660</v>
      </c>
      <c r="M53" s="55">
        <v>239900</v>
      </c>
      <c r="N53" s="37">
        <v>0.9</v>
      </c>
      <c r="O53" s="36">
        <f t="shared" si="2"/>
        <v>23990</v>
      </c>
      <c r="P53" s="6" t="s">
        <v>16</v>
      </c>
    </row>
    <row r="54" spans="1:16" x14ac:dyDescent="0.35">
      <c r="A54" s="34" t="s">
        <v>6641</v>
      </c>
      <c r="B54" s="7">
        <f t="shared" si="0"/>
        <v>46086</v>
      </c>
      <c r="C54" s="7">
        <f t="shared" si="1"/>
        <v>46092</v>
      </c>
      <c r="D54" s="6">
        <v>3321</v>
      </c>
      <c r="E54" s="6">
        <v>337</v>
      </c>
      <c r="F54" s="6">
        <v>4</v>
      </c>
      <c r="G54" s="25">
        <v>3</v>
      </c>
      <c r="H54" s="25">
        <v>81800</v>
      </c>
      <c r="I54" s="6" t="s">
        <v>4981</v>
      </c>
      <c r="J54" s="54">
        <v>13493106</v>
      </c>
      <c r="K54" s="54" t="s">
        <v>2658</v>
      </c>
      <c r="L54" s="54" t="s">
        <v>2661</v>
      </c>
      <c r="M54" s="55">
        <v>239900</v>
      </c>
      <c r="N54" s="37">
        <v>0.9</v>
      </c>
      <c r="O54" s="36">
        <f t="shared" si="2"/>
        <v>23990</v>
      </c>
      <c r="P54" s="6" t="s">
        <v>16</v>
      </c>
    </row>
    <row r="55" spans="1:16" x14ac:dyDescent="0.35">
      <c r="A55" s="34" t="s">
        <v>6641</v>
      </c>
      <c r="B55" s="7">
        <f t="shared" si="0"/>
        <v>46086</v>
      </c>
      <c r="C55" s="7">
        <f t="shared" si="1"/>
        <v>46092</v>
      </c>
      <c r="D55" s="6">
        <v>3321</v>
      </c>
      <c r="E55" s="6">
        <v>337</v>
      </c>
      <c r="F55" s="6">
        <v>4</v>
      </c>
      <c r="G55" s="25">
        <v>3</v>
      </c>
      <c r="H55" s="25">
        <v>81800</v>
      </c>
      <c r="I55" s="6" t="s">
        <v>4981</v>
      </c>
      <c r="J55" s="54">
        <v>13493115</v>
      </c>
      <c r="K55" s="54" t="s">
        <v>2658</v>
      </c>
      <c r="L55" s="54" t="s">
        <v>2662</v>
      </c>
      <c r="M55" s="55">
        <v>239900</v>
      </c>
      <c r="N55" s="37">
        <v>0.9</v>
      </c>
      <c r="O55" s="36">
        <f t="shared" si="2"/>
        <v>23990</v>
      </c>
      <c r="P55" s="6" t="s">
        <v>16</v>
      </c>
    </row>
    <row r="56" spans="1:16" x14ac:dyDescent="0.35">
      <c r="A56" s="34" t="s">
        <v>6641</v>
      </c>
      <c r="B56" s="7">
        <f t="shared" si="0"/>
        <v>46086</v>
      </c>
      <c r="C56" s="7">
        <f t="shared" si="1"/>
        <v>46092</v>
      </c>
      <c r="D56" s="6">
        <v>3321</v>
      </c>
      <c r="E56" s="6">
        <v>337</v>
      </c>
      <c r="F56" s="6">
        <v>4</v>
      </c>
      <c r="G56" s="25">
        <v>3</v>
      </c>
      <c r="H56" s="25">
        <v>81800</v>
      </c>
      <c r="I56" s="6" t="s">
        <v>4981</v>
      </c>
      <c r="J56" s="54">
        <v>14927163</v>
      </c>
      <c r="K56" s="54" t="s">
        <v>2663</v>
      </c>
      <c r="L56" s="54" t="s">
        <v>2664</v>
      </c>
      <c r="M56" s="55">
        <v>289900</v>
      </c>
      <c r="N56" s="37">
        <v>0.9</v>
      </c>
      <c r="O56" s="36">
        <f t="shared" si="2"/>
        <v>28990</v>
      </c>
      <c r="P56" s="6" t="s">
        <v>16</v>
      </c>
    </row>
    <row r="57" spans="1:16" x14ac:dyDescent="0.35">
      <c r="A57" s="34" t="s">
        <v>6641</v>
      </c>
      <c r="B57" s="7">
        <f t="shared" si="0"/>
        <v>46086</v>
      </c>
      <c r="C57" s="7">
        <f t="shared" si="1"/>
        <v>46092</v>
      </c>
      <c r="D57" s="6">
        <v>3321</v>
      </c>
      <c r="E57" s="6">
        <v>337</v>
      </c>
      <c r="F57" s="6">
        <v>4</v>
      </c>
      <c r="G57" s="25">
        <v>3</v>
      </c>
      <c r="H57" s="25">
        <v>81800</v>
      </c>
      <c r="I57" s="6" t="s">
        <v>4981</v>
      </c>
      <c r="J57" s="54">
        <v>14927172</v>
      </c>
      <c r="K57" s="54" t="s">
        <v>2663</v>
      </c>
      <c r="L57" s="54" t="s">
        <v>2665</v>
      </c>
      <c r="M57" s="55">
        <v>289900</v>
      </c>
      <c r="N57" s="37">
        <v>0.9</v>
      </c>
      <c r="O57" s="36">
        <f t="shared" si="2"/>
        <v>28990</v>
      </c>
      <c r="P57" s="6" t="s">
        <v>16</v>
      </c>
    </row>
    <row r="58" spans="1:16" x14ac:dyDescent="0.35">
      <c r="A58" s="34" t="s">
        <v>6641</v>
      </c>
      <c r="B58" s="7">
        <f t="shared" si="0"/>
        <v>46086</v>
      </c>
      <c r="C58" s="7">
        <f t="shared" si="1"/>
        <v>46092</v>
      </c>
      <c r="D58" s="6">
        <v>3321</v>
      </c>
      <c r="E58" s="6">
        <v>337</v>
      </c>
      <c r="F58" s="6">
        <v>4</v>
      </c>
      <c r="G58" s="25">
        <v>3</v>
      </c>
      <c r="H58" s="25">
        <v>81800</v>
      </c>
      <c r="I58" s="6" t="s">
        <v>4981</v>
      </c>
      <c r="J58" s="54">
        <v>14927181</v>
      </c>
      <c r="K58" s="54" t="s">
        <v>2666</v>
      </c>
      <c r="L58" s="54" t="s">
        <v>2667</v>
      </c>
      <c r="M58" s="55">
        <v>259900</v>
      </c>
      <c r="N58" s="37">
        <v>0.9</v>
      </c>
      <c r="O58" s="36">
        <f t="shared" si="2"/>
        <v>25990</v>
      </c>
      <c r="P58" s="6" t="s">
        <v>16</v>
      </c>
    </row>
    <row r="59" spans="1:16" x14ac:dyDescent="0.35">
      <c r="A59" s="34" t="s">
        <v>6641</v>
      </c>
      <c r="B59" s="7">
        <f t="shared" si="0"/>
        <v>46086</v>
      </c>
      <c r="C59" s="7">
        <f t="shared" si="1"/>
        <v>46092</v>
      </c>
      <c r="D59" s="6">
        <v>3321</v>
      </c>
      <c r="E59" s="6">
        <v>337</v>
      </c>
      <c r="F59" s="6">
        <v>4</v>
      </c>
      <c r="G59" s="25">
        <v>3</v>
      </c>
      <c r="H59" s="25">
        <v>81800</v>
      </c>
      <c r="I59" s="6" t="s">
        <v>4981</v>
      </c>
      <c r="J59" s="54">
        <v>14927190</v>
      </c>
      <c r="K59" s="54" t="s">
        <v>2666</v>
      </c>
      <c r="L59" s="54" t="s">
        <v>2668</v>
      </c>
      <c r="M59" s="55">
        <v>259900</v>
      </c>
      <c r="N59" s="37">
        <v>0.9</v>
      </c>
      <c r="O59" s="36">
        <f t="shared" si="2"/>
        <v>25990</v>
      </c>
      <c r="P59" s="6" t="s">
        <v>16</v>
      </c>
    </row>
    <row r="60" spans="1:16" x14ac:dyDescent="0.35">
      <c r="A60" s="34" t="s">
        <v>6641</v>
      </c>
      <c r="B60" s="7">
        <f t="shared" si="0"/>
        <v>46086</v>
      </c>
      <c r="C60" s="7">
        <f t="shared" si="1"/>
        <v>46092</v>
      </c>
      <c r="D60" s="6">
        <v>3321</v>
      </c>
      <c r="E60" s="6">
        <v>337</v>
      </c>
      <c r="F60" s="6">
        <v>4</v>
      </c>
      <c r="G60" s="25">
        <v>3</v>
      </c>
      <c r="H60" s="25">
        <v>81800</v>
      </c>
      <c r="I60" s="6" t="s">
        <v>4981</v>
      </c>
      <c r="J60" s="54">
        <v>14927207</v>
      </c>
      <c r="K60" s="54" t="s">
        <v>2666</v>
      </c>
      <c r="L60" s="54" t="s">
        <v>2669</v>
      </c>
      <c r="M60" s="55">
        <v>259900</v>
      </c>
      <c r="N60" s="37">
        <v>0.9</v>
      </c>
      <c r="O60" s="36">
        <f t="shared" si="2"/>
        <v>25990</v>
      </c>
      <c r="P60" s="6" t="s">
        <v>16</v>
      </c>
    </row>
    <row r="61" spans="1:16" x14ac:dyDescent="0.35">
      <c r="A61" s="34" t="s">
        <v>6641</v>
      </c>
      <c r="B61" s="7">
        <f t="shared" si="0"/>
        <v>46086</v>
      </c>
      <c r="C61" s="7">
        <f t="shared" si="1"/>
        <v>46092</v>
      </c>
      <c r="D61" s="6">
        <v>3321</v>
      </c>
      <c r="E61" s="6">
        <v>337</v>
      </c>
      <c r="F61" s="6">
        <v>4</v>
      </c>
      <c r="G61" s="25">
        <v>3</v>
      </c>
      <c r="H61" s="25">
        <v>81800</v>
      </c>
      <c r="I61" s="6" t="s">
        <v>4981</v>
      </c>
      <c r="J61" s="54">
        <v>82958789</v>
      </c>
      <c r="K61" s="54" t="s">
        <v>2670</v>
      </c>
      <c r="L61" s="54" t="s">
        <v>2671</v>
      </c>
      <c r="M61" s="55">
        <v>279900</v>
      </c>
      <c r="N61" s="37">
        <v>0.9</v>
      </c>
      <c r="O61" s="36">
        <f t="shared" si="2"/>
        <v>27990</v>
      </c>
      <c r="P61" s="6" t="s">
        <v>16</v>
      </c>
    </row>
    <row r="62" spans="1:16" x14ac:dyDescent="0.35">
      <c r="A62" s="34" t="s">
        <v>6641</v>
      </c>
      <c r="B62" s="7">
        <f t="shared" si="0"/>
        <v>46086</v>
      </c>
      <c r="C62" s="7">
        <f t="shared" si="1"/>
        <v>46092</v>
      </c>
      <c r="D62" s="6">
        <v>3321</v>
      </c>
      <c r="E62" s="6">
        <v>337</v>
      </c>
      <c r="F62" s="6">
        <v>4</v>
      </c>
      <c r="G62" s="25">
        <v>3</v>
      </c>
      <c r="H62" s="25">
        <v>81800</v>
      </c>
      <c r="I62" s="6" t="s">
        <v>4981</v>
      </c>
      <c r="J62" s="54">
        <v>86978778</v>
      </c>
      <c r="K62" s="54" t="s">
        <v>2672</v>
      </c>
      <c r="L62" s="54" t="s">
        <v>2673</v>
      </c>
      <c r="M62" s="55">
        <v>229900</v>
      </c>
      <c r="N62" s="37">
        <v>0.9</v>
      </c>
      <c r="O62" s="36">
        <f t="shared" si="2"/>
        <v>22990</v>
      </c>
      <c r="P62" s="6" t="s">
        <v>16</v>
      </c>
    </row>
    <row r="63" spans="1:16" x14ac:dyDescent="0.35">
      <c r="A63" s="34" t="s">
        <v>6641</v>
      </c>
      <c r="B63" s="7">
        <f t="shared" si="0"/>
        <v>46086</v>
      </c>
      <c r="C63" s="7">
        <f t="shared" si="1"/>
        <v>46092</v>
      </c>
      <c r="D63" s="6">
        <v>3321</v>
      </c>
      <c r="E63" s="6">
        <v>337</v>
      </c>
      <c r="F63" s="6">
        <v>4</v>
      </c>
      <c r="G63" s="25">
        <v>3</v>
      </c>
      <c r="H63" s="25">
        <v>81800</v>
      </c>
      <c r="I63" s="6" t="s">
        <v>4981</v>
      </c>
      <c r="J63" s="54">
        <v>86978796</v>
      </c>
      <c r="K63" s="54" t="s">
        <v>2672</v>
      </c>
      <c r="L63" s="54" t="s">
        <v>2674</v>
      </c>
      <c r="M63" s="55">
        <v>229900</v>
      </c>
      <c r="N63" s="37">
        <v>0.9</v>
      </c>
      <c r="O63" s="36">
        <f t="shared" si="2"/>
        <v>22990</v>
      </c>
      <c r="P63" s="6" t="s">
        <v>16</v>
      </c>
    </row>
    <row r="64" spans="1:16" x14ac:dyDescent="0.35">
      <c r="A64" s="34" t="s">
        <v>6641</v>
      </c>
      <c r="B64" s="7">
        <f t="shared" si="0"/>
        <v>46086</v>
      </c>
      <c r="C64" s="7">
        <f t="shared" si="1"/>
        <v>46092</v>
      </c>
      <c r="D64" s="6">
        <v>3321</v>
      </c>
      <c r="E64" s="6">
        <v>337</v>
      </c>
      <c r="F64" s="6">
        <v>4</v>
      </c>
      <c r="G64" s="25">
        <v>3</v>
      </c>
      <c r="H64" s="25">
        <v>81800</v>
      </c>
      <c r="I64" s="6" t="s">
        <v>4981</v>
      </c>
      <c r="J64" s="54">
        <v>86978812</v>
      </c>
      <c r="K64" s="54" t="s">
        <v>2675</v>
      </c>
      <c r="L64" s="54" t="s">
        <v>2676</v>
      </c>
      <c r="M64" s="55">
        <v>229900</v>
      </c>
      <c r="N64" s="37">
        <v>0.9</v>
      </c>
      <c r="O64" s="36">
        <f t="shared" si="2"/>
        <v>22990</v>
      </c>
      <c r="P64" s="6" t="s">
        <v>16</v>
      </c>
    </row>
    <row r="65" spans="1:16" x14ac:dyDescent="0.35">
      <c r="A65" s="34" t="s">
        <v>6641</v>
      </c>
      <c r="B65" s="7">
        <f t="shared" si="0"/>
        <v>46086</v>
      </c>
      <c r="C65" s="7">
        <f t="shared" si="1"/>
        <v>46092</v>
      </c>
      <c r="D65" s="6">
        <v>3321</v>
      </c>
      <c r="E65" s="6">
        <v>337</v>
      </c>
      <c r="F65" s="6">
        <v>4</v>
      </c>
      <c r="G65" s="25">
        <v>3</v>
      </c>
      <c r="H65" s="25">
        <v>81800</v>
      </c>
      <c r="I65" s="6" t="s">
        <v>4981</v>
      </c>
      <c r="J65" s="54">
        <v>86978830</v>
      </c>
      <c r="K65" s="54" t="s">
        <v>2675</v>
      </c>
      <c r="L65" s="54" t="s">
        <v>2677</v>
      </c>
      <c r="M65" s="55">
        <v>229900</v>
      </c>
      <c r="N65" s="37">
        <v>0.9</v>
      </c>
      <c r="O65" s="36">
        <f t="shared" si="2"/>
        <v>22990</v>
      </c>
      <c r="P65" s="6" t="s">
        <v>16</v>
      </c>
    </row>
    <row r="66" spans="1:16" x14ac:dyDescent="0.35">
      <c r="A66" s="34" t="s">
        <v>6641</v>
      </c>
      <c r="B66" s="7">
        <f t="shared" si="0"/>
        <v>46086</v>
      </c>
      <c r="C66" s="7">
        <f t="shared" si="1"/>
        <v>46092</v>
      </c>
      <c r="D66" s="6">
        <v>3321</v>
      </c>
      <c r="E66" s="6">
        <v>337</v>
      </c>
      <c r="F66" s="6">
        <v>4</v>
      </c>
      <c r="G66" s="25">
        <v>4</v>
      </c>
      <c r="H66" s="25">
        <v>81800</v>
      </c>
      <c r="I66" s="6" t="s">
        <v>4981</v>
      </c>
      <c r="J66" s="54">
        <v>13493124</v>
      </c>
      <c r="K66" s="54" t="s">
        <v>2678</v>
      </c>
      <c r="L66" s="54" t="s">
        <v>2679</v>
      </c>
      <c r="M66" s="55">
        <v>249900</v>
      </c>
      <c r="N66" s="37">
        <v>0.9</v>
      </c>
      <c r="O66" s="36">
        <f t="shared" si="2"/>
        <v>24990</v>
      </c>
      <c r="P66" s="6" t="s">
        <v>16</v>
      </c>
    </row>
    <row r="67" spans="1:16" x14ac:dyDescent="0.35">
      <c r="A67" s="34" t="s">
        <v>6641</v>
      </c>
      <c r="B67" s="7">
        <f t="shared" si="0"/>
        <v>46086</v>
      </c>
      <c r="C67" s="7">
        <f t="shared" si="1"/>
        <v>46092</v>
      </c>
      <c r="D67" s="6">
        <v>3321</v>
      </c>
      <c r="E67" s="20">
        <v>337</v>
      </c>
      <c r="F67" s="20">
        <v>4</v>
      </c>
      <c r="G67" s="56">
        <v>4</v>
      </c>
      <c r="H67" s="56">
        <v>81800</v>
      </c>
      <c r="I67" s="20" t="s">
        <v>4981</v>
      </c>
      <c r="J67" s="54">
        <v>13493133</v>
      </c>
      <c r="K67" s="54" t="s">
        <v>2678</v>
      </c>
      <c r="L67" s="54" t="s">
        <v>2680</v>
      </c>
      <c r="M67" s="55">
        <v>249900</v>
      </c>
      <c r="N67" s="57">
        <v>0.9</v>
      </c>
      <c r="O67" s="36">
        <f t="shared" si="2"/>
        <v>24990</v>
      </c>
      <c r="P67" s="20" t="s">
        <v>16</v>
      </c>
    </row>
    <row r="68" spans="1:16" x14ac:dyDescent="0.35">
      <c r="A68" s="34" t="s">
        <v>6641</v>
      </c>
      <c r="B68" s="7">
        <f t="shared" ref="B68:B73" si="3">B67</f>
        <v>46086</v>
      </c>
      <c r="C68" s="7">
        <f t="shared" ref="C68:C73" si="4">C67</f>
        <v>46092</v>
      </c>
      <c r="D68" s="6">
        <v>3321</v>
      </c>
      <c r="E68" s="34">
        <v>337</v>
      </c>
      <c r="F68" s="34">
        <v>4</v>
      </c>
      <c r="G68" s="25">
        <v>4</v>
      </c>
      <c r="H68" s="25">
        <v>81800</v>
      </c>
      <c r="I68" s="34" t="s">
        <v>4981</v>
      </c>
      <c r="J68" s="24">
        <v>13493142</v>
      </c>
      <c r="K68" s="24" t="s">
        <v>2678</v>
      </c>
      <c r="L68" s="24" t="s">
        <v>2681</v>
      </c>
      <c r="M68" s="58">
        <v>249900</v>
      </c>
      <c r="N68" s="37">
        <v>0.9</v>
      </c>
      <c r="O68" s="36">
        <f t="shared" ref="O68:O73" si="5">M68-((90*M68)/100)</f>
        <v>24990</v>
      </c>
      <c r="P68" s="34" t="s">
        <v>16</v>
      </c>
    </row>
    <row r="69" spans="1:16" x14ac:dyDescent="0.35">
      <c r="A69" s="34" t="s">
        <v>6641</v>
      </c>
      <c r="B69" s="7">
        <f t="shared" si="3"/>
        <v>46086</v>
      </c>
      <c r="C69" s="7">
        <f t="shared" si="4"/>
        <v>46092</v>
      </c>
      <c r="D69" s="6">
        <v>3321</v>
      </c>
      <c r="E69" s="34">
        <v>337</v>
      </c>
      <c r="F69" s="34">
        <v>4</v>
      </c>
      <c r="G69" s="25">
        <v>4</v>
      </c>
      <c r="H69" s="25">
        <v>81800</v>
      </c>
      <c r="I69" s="34" t="s">
        <v>4981</v>
      </c>
      <c r="J69" s="24">
        <v>13493151</v>
      </c>
      <c r="K69" s="24" t="s">
        <v>2678</v>
      </c>
      <c r="L69" s="24" t="s">
        <v>2682</v>
      </c>
      <c r="M69" s="58">
        <v>249900</v>
      </c>
      <c r="N69" s="37">
        <v>0.9</v>
      </c>
      <c r="O69" s="36">
        <f t="shared" si="5"/>
        <v>24990</v>
      </c>
      <c r="P69" s="34" t="s">
        <v>16</v>
      </c>
    </row>
    <row r="70" spans="1:16" x14ac:dyDescent="0.35">
      <c r="A70" s="34" t="s">
        <v>6641</v>
      </c>
      <c r="B70" s="7">
        <f t="shared" si="3"/>
        <v>46086</v>
      </c>
      <c r="C70" s="7">
        <f t="shared" si="4"/>
        <v>46092</v>
      </c>
      <c r="D70" s="6">
        <v>3321</v>
      </c>
      <c r="E70" s="34">
        <v>337</v>
      </c>
      <c r="F70" s="34">
        <v>4</v>
      </c>
      <c r="G70" s="25">
        <v>4</v>
      </c>
      <c r="H70" s="25">
        <v>81800</v>
      </c>
      <c r="I70" s="34" t="s">
        <v>4981</v>
      </c>
      <c r="J70" s="24">
        <v>82958798</v>
      </c>
      <c r="K70" s="24" t="s">
        <v>2683</v>
      </c>
      <c r="L70" s="24" t="s">
        <v>2684</v>
      </c>
      <c r="M70" s="58">
        <v>249900</v>
      </c>
      <c r="N70" s="37">
        <v>0.9</v>
      </c>
      <c r="O70" s="36">
        <f t="shared" si="5"/>
        <v>24990</v>
      </c>
      <c r="P70" s="34" t="s">
        <v>16</v>
      </c>
    </row>
    <row r="71" spans="1:16" x14ac:dyDescent="0.35">
      <c r="A71" s="34" t="s">
        <v>6641</v>
      </c>
      <c r="B71" s="7">
        <f t="shared" si="3"/>
        <v>46086</v>
      </c>
      <c r="C71" s="7">
        <f t="shared" si="4"/>
        <v>46092</v>
      </c>
      <c r="D71" s="6">
        <v>3321</v>
      </c>
      <c r="E71" s="34">
        <v>337</v>
      </c>
      <c r="F71" s="34">
        <v>4</v>
      </c>
      <c r="G71" s="25">
        <v>4</v>
      </c>
      <c r="H71" s="25">
        <v>81800</v>
      </c>
      <c r="I71" s="34" t="s">
        <v>4981</v>
      </c>
      <c r="J71" s="24">
        <v>82958814</v>
      </c>
      <c r="K71" s="24" t="s">
        <v>2683</v>
      </c>
      <c r="L71" s="24" t="s">
        <v>2685</v>
      </c>
      <c r="M71" s="58">
        <v>249900</v>
      </c>
      <c r="N71" s="37">
        <v>0.9</v>
      </c>
      <c r="O71" s="36">
        <f t="shared" si="5"/>
        <v>24990</v>
      </c>
      <c r="P71" s="34" t="s">
        <v>16</v>
      </c>
    </row>
    <row r="72" spans="1:16" x14ac:dyDescent="0.35">
      <c r="A72" s="34" t="s">
        <v>6641</v>
      </c>
      <c r="B72" s="7">
        <f t="shared" si="3"/>
        <v>46086</v>
      </c>
      <c r="C72" s="7">
        <f t="shared" si="4"/>
        <v>46092</v>
      </c>
      <c r="D72" s="6">
        <v>3321</v>
      </c>
      <c r="E72" s="34">
        <v>337</v>
      </c>
      <c r="F72" s="34">
        <v>4</v>
      </c>
      <c r="G72" s="25">
        <v>5</v>
      </c>
      <c r="H72" s="25">
        <v>81800</v>
      </c>
      <c r="I72" s="34" t="s">
        <v>4981</v>
      </c>
      <c r="J72" s="24">
        <v>13493160</v>
      </c>
      <c r="K72" s="24" t="s">
        <v>2686</v>
      </c>
      <c r="L72" s="24" t="s">
        <v>2687</v>
      </c>
      <c r="M72" s="58">
        <v>279900</v>
      </c>
      <c r="N72" s="37">
        <v>0.9</v>
      </c>
      <c r="O72" s="36">
        <f t="shared" si="5"/>
        <v>27990</v>
      </c>
      <c r="P72" s="34" t="s">
        <v>16</v>
      </c>
    </row>
    <row r="73" spans="1:16" x14ac:dyDescent="0.35">
      <c r="A73" s="34" t="s">
        <v>6641</v>
      </c>
      <c r="B73" s="7">
        <f t="shared" si="3"/>
        <v>46086</v>
      </c>
      <c r="C73" s="7">
        <f t="shared" si="4"/>
        <v>46092</v>
      </c>
      <c r="D73" s="6">
        <v>3321</v>
      </c>
      <c r="E73" s="34">
        <v>337</v>
      </c>
      <c r="F73" s="34">
        <v>4</v>
      </c>
      <c r="G73" s="25">
        <v>5</v>
      </c>
      <c r="H73" s="25">
        <v>81800</v>
      </c>
      <c r="I73" s="34" t="s">
        <v>4981</v>
      </c>
      <c r="J73" s="24">
        <v>82958850</v>
      </c>
      <c r="K73" s="24" t="s">
        <v>2688</v>
      </c>
      <c r="L73" s="24" t="s">
        <v>2689</v>
      </c>
      <c r="M73" s="58">
        <v>219900</v>
      </c>
      <c r="N73" s="37">
        <v>0.9</v>
      </c>
      <c r="O73" s="36">
        <f t="shared" si="5"/>
        <v>21990</v>
      </c>
      <c r="P73" s="34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79"/>
  <sheetViews>
    <sheetView tabSelected="1" zoomScale="59" zoomScaleNormal="59" workbookViewId="0">
      <pane ySplit="1" topLeftCell="A29" activePane="bottomLeft" state="frozen"/>
      <selection activeCell="N270" sqref="N270"/>
      <selection pane="bottomLeft" activeCell="A21" sqref="A21:C79"/>
    </sheetView>
  </sheetViews>
  <sheetFormatPr defaultColWidth="8.81640625" defaultRowHeight="14.5" x14ac:dyDescent="0.35"/>
  <cols>
    <col min="1" max="1" width="30.9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46086</v>
      </c>
      <c r="C2" s="35">
        <f>'2025 HILITE D80 - 3321'!C3</f>
        <v>46092</v>
      </c>
      <c r="D2" s="34">
        <v>3281</v>
      </c>
      <c r="E2" s="34">
        <v>337</v>
      </c>
      <c r="F2" s="34">
        <v>4</v>
      </c>
      <c r="G2" s="25">
        <v>4</v>
      </c>
      <c r="H2" s="25">
        <v>81146</v>
      </c>
      <c r="I2" s="34" t="s">
        <v>17</v>
      </c>
      <c r="J2" s="24">
        <v>61942594</v>
      </c>
      <c r="K2" s="24" t="s">
        <v>7075</v>
      </c>
      <c r="L2" s="24" t="s">
        <v>7078</v>
      </c>
      <c r="M2" s="44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C5" si="0">A2</f>
        <v>2026 NOV-FEB B3 DISC 10%</v>
      </c>
      <c r="B3" s="35">
        <f t="shared" si="0"/>
        <v>46086</v>
      </c>
      <c r="C3" s="35">
        <f t="shared" si="0"/>
        <v>46092</v>
      </c>
      <c r="D3" s="34">
        <v>3281</v>
      </c>
      <c r="E3" s="34">
        <v>337</v>
      </c>
      <c r="F3" s="34">
        <v>4</v>
      </c>
      <c r="G3" s="25">
        <v>4</v>
      </c>
      <c r="H3" s="25">
        <v>81146</v>
      </c>
      <c r="I3" s="34" t="s">
        <v>17</v>
      </c>
      <c r="J3" s="24">
        <v>61942601</v>
      </c>
      <c r="K3" s="24" t="s">
        <v>7075</v>
      </c>
      <c r="L3" s="24" t="s">
        <v>7077</v>
      </c>
      <c r="M3" s="44">
        <v>149900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0"/>
        <v>46086</v>
      </c>
      <c r="C4" s="35">
        <f t="shared" si="0"/>
        <v>46092</v>
      </c>
      <c r="D4" s="34">
        <v>3281</v>
      </c>
      <c r="E4" s="34">
        <v>337</v>
      </c>
      <c r="F4" s="34">
        <v>4</v>
      </c>
      <c r="G4" s="25">
        <v>4</v>
      </c>
      <c r="H4" s="25">
        <v>81146</v>
      </c>
      <c r="I4" s="34" t="s">
        <v>17</v>
      </c>
      <c r="J4" s="24">
        <v>61942610</v>
      </c>
      <c r="K4" s="24" t="s">
        <v>7075</v>
      </c>
      <c r="L4" s="24" t="s">
        <v>7076</v>
      </c>
      <c r="M4" s="44">
        <v>149900</v>
      </c>
      <c r="N4" s="34" t="s">
        <v>2569</v>
      </c>
      <c r="O4" s="36" t="s">
        <v>6895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0"/>
        <v>46086</v>
      </c>
      <c r="C5" s="35">
        <f t="shared" si="0"/>
        <v>46092</v>
      </c>
      <c r="D5" s="34">
        <v>3281</v>
      </c>
      <c r="E5" s="34">
        <v>337</v>
      </c>
      <c r="F5" s="34">
        <v>4</v>
      </c>
      <c r="G5" s="25">
        <v>4</v>
      </c>
      <c r="H5" s="25">
        <v>81146</v>
      </c>
      <c r="I5" s="34" t="s">
        <v>17</v>
      </c>
      <c r="J5" s="24">
        <v>61942629</v>
      </c>
      <c r="K5" s="24" t="s">
        <v>7075</v>
      </c>
      <c r="L5" s="24" t="s">
        <v>7074</v>
      </c>
      <c r="M5" s="44">
        <v>149900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ref="A6:A69" si="1">A5</f>
        <v>2026 NOV-FEB B3 DISC 10%</v>
      </c>
      <c r="B6" s="35">
        <f t="shared" ref="B6:B69" si="2">B5</f>
        <v>46086</v>
      </c>
      <c r="C6" s="35">
        <f t="shared" ref="C6:C69" si="3">C5</f>
        <v>46092</v>
      </c>
      <c r="D6" s="34">
        <v>3281</v>
      </c>
      <c r="E6" s="34">
        <v>337</v>
      </c>
      <c r="F6" s="34">
        <v>4</v>
      </c>
      <c r="G6" s="25">
        <v>3</v>
      </c>
      <c r="H6" s="25">
        <v>81588</v>
      </c>
      <c r="I6" s="34" t="s">
        <v>17</v>
      </c>
      <c r="J6" s="24">
        <v>61942790</v>
      </c>
      <c r="K6" s="24" t="s">
        <v>7070</v>
      </c>
      <c r="L6" s="24" t="s">
        <v>7073</v>
      </c>
      <c r="M6" s="44">
        <v>199900</v>
      </c>
      <c r="N6" s="34" t="s">
        <v>2569</v>
      </c>
      <c r="O6" s="36" t="s">
        <v>6895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46086</v>
      </c>
      <c r="C7" s="35">
        <f t="shared" si="3"/>
        <v>46092</v>
      </c>
      <c r="D7" s="34">
        <v>3281</v>
      </c>
      <c r="E7" s="34">
        <v>337</v>
      </c>
      <c r="F7" s="34">
        <v>4</v>
      </c>
      <c r="G7" s="25">
        <v>3</v>
      </c>
      <c r="H7" s="25">
        <v>81588</v>
      </c>
      <c r="I7" s="34" t="s">
        <v>17</v>
      </c>
      <c r="J7" s="24">
        <v>61942807</v>
      </c>
      <c r="K7" s="24" t="s">
        <v>7070</v>
      </c>
      <c r="L7" s="24" t="s">
        <v>7072</v>
      </c>
      <c r="M7" s="44">
        <v>199900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46086</v>
      </c>
      <c r="C8" s="35">
        <f t="shared" si="3"/>
        <v>46092</v>
      </c>
      <c r="D8" s="34">
        <v>3281</v>
      </c>
      <c r="E8" s="34">
        <v>337</v>
      </c>
      <c r="F8" s="34">
        <v>4</v>
      </c>
      <c r="G8" s="25">
        <v>3</v>
      </c>
      <c r="H8" s="25">
        <v>81588</v>
      </c>
      <c r="I8" s="34" t="s">
        <v>17</v>
      </c>
      <c r="J8" s="24">
        <v>61942816</v>
      </c>
      <c r="K8" s="24" t="s">
        <v>7070</v>
      </c>
      <c r="L8" s="24" t="s">
        <v>7071</v>
      </c>
      <c r="M8" s="44">
        <v>199900</v>
      </c>
      <c r="N8" s="34" t="s">
        <v>2569</v>
      </c>
      <c r="O8" s="36" t="s">
        <v>6895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46086</v>
      </c>
      <c r="C9" s="35">
        <f t="shared" si="3"/>
        <v>46092</v>
      </c>
      <c r="D9" s="34">
        <v>3281</v>
      </c>
      <c r="E9" s="34">
        <v>337</v>
      </c>
      <c r="F9" s="34">
        <v>4</v>
      </c>
      <c r="G9" s="25">
        <v>3</v>
      </c>
      <c r="H9" s="25">
        <v>81588</v>
      </c>
      <c r="I9" s="34" t="s">
        <v>17</v>
      </c>
      <c r="J9" s="24">
        <v>61942825</v>
      </c>
      <c r="K9" s="24" t="s">
        <v>7070</v>
      </c>
      <c r="L9" s="24" t="s">
        <v>7069</v>
      </c>
      <c r="M9" s="44">
        <v>199900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46086</v>
      </c>
      <c r="C10" s="35">
        <f t="shared" si="3"/>
        <v>46092</v>
      </c>
      <c r="D10" s="34">
        <v>3281</v>
      </c>
      <c r="E10" s="34">
        <v>337</v>
      </c>
      <c r="F10" s="34">
        <v>4</v>
      </c>
      <c r="G10" s="25">
        <v>4</v>
      </c>
      <c r="H10" s="25">
        <v>81679</v>
      </c>
      <c r="I10" s="34" t="s">
        <v>17</v>
      </c>
      <c r="J10" s="24">
        <v>61491625</v>
      </c>
      <c r="K10" s="24" t="s">
        <v>7065</v>
      </c>
      <c r="L10" s="24" t="s">
        <v>7068</v>
      </c>
      <c r="M10" s="44">
        <v>99900</v>
      </c>
      <c r="N10" s="34" t="s">
        <v>2569</v>
      </c>
      <c r="O10" s="36" t="s">
        <v>6895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46086</v>
      </c>
      <c r="C11" s="35">
        <f t="shared" si="3"/>
        <v>46092</v>
      </c>
      <c r="D11" s="34">
        <v>3281</v>
      </c>
      <c r="E11" s="34">
        <v>337</v>
      </c>
      <c r="F11" s="34">
        <v>4</v>
      </c>
      <c r="G11" s="25">
        <v>4</v>
      </c>
      <c r="H11" s="25">
        <v>81679</v>
      </c>
      <c r="I11" s="34" t="s">
        <v>17</v>
      </c>
      <c r="J11" s="24">
        <v>61491634</v>
      </c>
      <c r="K11" s="24" t="s">
        <v>7065</v>
      </c>
      <c r="L11" s="24" t="s">
        <v>7067</v>
      </c>
      <c r="M11" s="4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46086</v>
      </c>
      <c r="C12" s="35">
        <f t="shared" si="3"/>
        <v>46092</v>
      </c>
      <c r="D12" s="34">
        <v>3281</v>
      </c>
      <c r="E12" s="34">
        <v>337</v>
      </c>
      <c r="F12" s="34">
        <v>4</v>
      </c>
      <c r="G12" s="25">
        <v>4</v>
      </c>
      <c r="H12" s="25">
        <v>81679</v>
      </c>
      <c r="I12" s="34" t="s">
        <v>17</v>
      </c>
      <c r="J12" s="24">
        <v>61491643</v>
      </c>
      <c r="K12" s="24" t="s">
        <v>7065</v>
      </c>
      <c r="L12" s="24" t="s">
        <v>7066</v>
      </c>
      <c r="M12" s="44">
        <v>99900</v>
      </c>
      <c r="N12" s="34" t="s">
        <v>2569</v>
      </c>
      <c r="O12" s="36" t="s">
        <v>6895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46086</v>
      </c>
      <c r="C13" s="35">
        <f t="shared" si="3"/>
        <v>46092</v>
      </c>
      <c r="D13" s="34">
        <v>3281</v>
      </c>
      <c r="E13" s="34">
        <v>337</v>
      </c>
      <c r="F13" s="34">
        <v>4</v>
      </c>
      <c r="G13" s="25">
        <v>4</v>
      </c>
      <c r="H13" s="25">
        <v>81679</v>
      </c>
      <c r="I13" s="34" t="s">
        <v>17</v>
      </c>
      <c r="J13" s="24">
        <v>61491652</v>
      </c>
      <c r="K13" s="24" t="s">
        <v>7065</v>
      </c>
      <c r="L13" s="24" t="s">
        <v>7064</v>
      </c>
      <c r="M13" s="4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46086</v>
      </c>
      <c r="C14" s="35">
        <f t="shared" si="3"/>
        <v>46092</v>
      </c>
      <c r="D14" s="34">
        <v>3281</v>
      </c>
      <c r="E14" s="34">
        <v>337</v>
      </c>
      <c r="F14" s="34">
        <v>4</v>
      </c>
      <c r="G14" s="25">
        <v>5</v>
      </c>
      <c r="H14" s="25">
        <v>81679</v>
      </c>
      <c r="I14" s="34" t="s">
        <v>17</v>
      </c>
      <c r="J14" s="24">
        <v>61942754</v>
      </c>
      <c r="K14" s="24" t="s">
        <v>7060</v>
      </c>
      <c r="L14" s="24" t="s">
        <v>7063</v>
      </c>
      <c r="M14" s="44">
        <v>149900</v>
      </c>
      <c r="N14" s="34" t="s">
        <v>2569</v>
      </c>
      <c r="O14" s="36" t="s">
        <v>6895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46086</v>
      </c>
      <c r="C15" s="35">
        <f t="shared" si="3"/>
        <v>46092</v>
      </c>
      <c r="D15" s="34">
        <v>3281</v>
      </c>
      <c r="E15" s="34">
        <v>337</v>
      </c>
      <c r="F15" s="34">
        <v>4</v>
      </c>
      <c r="G15" s="25">
        <v>5</v>
      </c>
      <c r="H15" s="25">
        <v>81679</v>
      </c>
      <c r="I15" s="34" t="s">
        <v>17</v>
      </c>
      <c r="J15" s="24">
        <v>61942763</v>
      </c>
      <c r="K15" s="24" t="s">
        <v>7060</v>
      </c>
      <c r="L15" s="24" t="s">
        <v>7062</v>
      </c>
      <c r="M15" s="44">
        <v>149900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46086</v>
      </c>
      <c r="C16" s="35">
        <f t="shared" si="3"/>
        <v>46092</v>
      </c>
      <c r="D16" s="34">
        <v>3281</v>
      </c>
      <c r="E16" s="34">
        <v>337</v>
      </c>
      <c r="F16" s="34">
        <v>4</v>
      </c>
      <c r="G16" s="25">
        <v>5</v>
      </c>
      <c r="H16" s="25">
        <v>81679</v>
      </c>
      <c r="I16" s="34" t="s">
        <v>17</v>
      </c>
      <c r="J16" s="24">
        <v>61942772</v>
      </c>
      <c r="K16" s="24" t="s">
        <v>7060</v>
      </c>
      <c r="L16" s="24" t="s">
        <v>7061</v>
      </c>
      <c r="M16" s="44">
        <v>149900</v>
      </c>
      <c r="N16" s="34" t="s">
        <v>2569</v>
      </c>
      <c r="O16" s="36" t="s">
        <v>6895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46086</v>
      </c>
      <c r="C17" s="35">
        <f t="shared" si="3"/>
        <v>46092</v>
      </c>
      <c r="D17" s="34">
        <v>3281</v>
      </c>
      <c r="E17" s="34">
        <v>337</v>
      </c>
      <c r="F17" s="34">
        <v>4</v>
      </c>
      <c r="G17" s="25">
        <v>5</v>
      </c>
      <c r="H17" s="25">
        <v>81679</v>
      </c>
      <c r="I17" s="34" t="s">
        <v>17</v>
      </c>
      <c r="J17" s="24">
        <v>61942781</v>
      </c>
      <c r="K17" s="24" t="s">
        <v>7060</v>
      </c>
      <c r="L17" s="24" t="s">
        <v>7059</v>
      </c>
      <c r="M17" s="44">
        <v>149900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46086</v>
      </c>
      <c r="C18" s="35">
        <f t="shared" si="3"/>
        <v>46092</v>
      </c>
      <c r="D18" s="34">
        <v>3281</v>
      </c>
      <c r="E18" s="34">
        <v>337</v>
      </c>
      <c r="F18" s="34">
        <v>4</v>
      </c>
      <c r="G18" s="25">
        <v>4</v>
      </c>
      <c r="H18" s="25">
        <v>81588</v>
      </c>
      <c r="I18" s="34" t="s">
        <v>17</v>
      </c>
      <c r="J18" s="24">
        <v>61942638</v>
      </c>
      <c r="K18" s="24" t="s">
        <v>7055</v>
      </c>
      <c r="L18" s="24" t="s">
        <v>7058</v>
      </c>
      <c r="M18" s="44">
        <v>149900</v>
      </c>
      <c r="N18" s="34" t="s">
        <v>2569</v>
      </c>
      <c r="O18" s="36" t="s">
        <v>6895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46086</v>
      </c>
      <c r="C19" s="35">
        <f t="shared" si="3"/>
        <v>46092</v>
      </c>
      <c r="D19" s="34">
        <v>3281</v>
      </c>
      <c r="E19" s="34">
        <v>337</v>
      </c>
      <c r="F19" s="34">
        <v>4</v>
      </c>
      <c r="G19" s="25">
        <v>4</v>
      </c>
      <c r="H19" s="25">
        <v>81588</v>
      </c>
      <c r="I19" s="34" t="s">
        <v>17</v>
      </c>
      <c r="J19" s="24">
        <v>61942647</v>
      </c>
      <c r="K19" s="24" t="s">
        <v>7055</v>
      </c>
      <c r="L19" s="24" t="s">
        <v>7057</v>
      </c>
      <c r="M19" s="44">
        <v>149900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46086</v>
      </c>
      <c r="C20" s="35">
        <f t="shared" si="3"/>
        <v>46092</v>
      </c>
      <c r="D20" s="34">
        <v>3281</v>
      </c>
      <c r="E20" s="34">
        <v>337</v>
      </c>
      <c r="F20" s="34">
        <v>4</v>
      </c>
      <c r="G20" s="25">
        <v>4</v>
      </c>
      <c r="H20" s="25">
        <v>81588</v>
      </c>
      <c r="I20" s="34" t="s">
        <v>17</v>
      </c>
      <c r="J20" s="24">
        <v>61942656</v>
      </c>
      <c r="K20" s="24" t="s">
        <v>7055</v>
      </c>
      <c r="L20" s="24" t="s">
        <v>7056</v>
      </c>
      <c r="M20" s="44">
        <v>149900</v>
      </c>
      <c r="N20" s="34" t="s">
        <v>2569</v>
      </c>
      <c r="O20" s="36" t="s">
        <v>6895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46086</v>
      </c>
      <c r="C21" s="35">
        <f t="shared" si="3"/>
        <v>46092</v>
      </c>
      <c r="D21" s="34">
        <v>3281</v>
      </c>
      <c r="E21" s="34">
        <v>337</v>
      </c>
      <c r="F21" s="34">
        <v>4</v>
      </c>
      <c r="G21" s="25">
        <v>4</v>
      </c>
      <c r="H21" s="25">
        <v>81588</v>
      </c>
      <c r="I21" s="34" t="s">
        <v>17</v>
      </c>
      <c r="J21" s="24">
        <v>61942665</v>
      </c>
      <c r="K21" s="24" t="s">
        <v>7055</v>
      </c>
      <c r="L21" s="24" t="s">
        <v>7054</v>
      </c>
      <c r="M21" s="44">
        <v>149900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46086</v>
      </c>
      <c r="C22" s="35">
        <f t="shared" si="3"/>
        <v>46092</v>
      </c>
      <c r="D22" s="34">
        <v>3281</v>
      </c>
      <c r="E22" s="34">
        <v>337</v>
      </c>
      <c r="F22" s="34">
        <v>4</v>
      </c>
      <c r="G22" s="25">
        <v>5</v>
      </c>
      <c r="H22" s="25">
        <v>81506</v>
      </c>
      <c r="I22" s="34" t="s">
        <v>17</v>
      </c>
      <c r="J22" s="24">
        <v>61942718</v>
      </c>
      <c r="K22" s="24" t="s">
        <v>7050</v>
      </c>
      <c r="L22" s="24" t="s">
        <v>7053</v>
      </c>
      <c r="M22" s="44">
        <v>179900</v>
      </c>
      <c r="N22" s="34" t="s">
        <v>2569</v>
      </c>
      <c r="O22" s="36" t="s">
        <v>6895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46086</v>
      </c>
      <c r="C23" s="35">
        <f t="shared" si="3"/>
        <v>46092</v>
      </c>
      <c r="D23" s="34">
        <v>3281</v>
      </c>
      <c r="E23" s="34">
        <v>337</v>
      </c>
      <c r="F23" s="34">
        <v>4</v>
      </c>
      <c r="G23" s="25">
        <v>5</v>
      </c>
      <c r="H23" s="25">
        <v>81506</v>
      </c>
      <c r="I23" s="34" t="s">
        <v>17</v>
      </c>
      <c r="J23" s="24">
        <v>61942727</v>
      </c>
      <c r="K23" s="24" t="s">
        <v>7050</v>
      </c>
      <c r="L23" s="24" t="s">
        <v>7052</v>
      </c>
      <c r="M23" s="44">
        <v>179900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46086</v>
      </c>
      <c r="C24" s="35">
        <f t="shared" si="3"/>
        <v>46092</v>
      </c>
      <c r="D24" s="34">
        <v>3281</v>
      </c>
      <c r="E24" s="34">
        <v>337</v>
      </c>
      <c r="F24" s="34">
        <v>4</v>
      </c>
      <c r="G24" s="25">
        <v>5</v>
      </c>
      <c r="H24" s="25">
        <v>81506</v>
      </c>
      <c r="I24" s="34" t="s">
        <v>17</v>
      </c>
      <c r="J24" s="24">
        <v>61942736</v>
      </c>
      <c r="K24" s="24" t="s">
        <v>7050</v>
      </c>
      <c r="L24" s="24" t="s">
        <v>7051</v>
      </c>
      <c r="M24" s="44">
        <v>179900</v>
      </c>
      <c r="N24" s="34" t="s">
        <v>2569</v>
      </c>
      <c r="O24" s="36" t="s">
        <v>6895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46086</v>
      </c>
      <c r="C25" s="35">
        <f t="shared" si="3"/>
        <v>46092</v>
      </c>
      <c r="D25" s="34">
        <v>3281</v>
      </c>
      <c r="E25" s="34">
        <v>337</v>
      </c>
      <c r="F25" s="34">
        <v>4</v>
      </c>
      <c r="G25" s="25">
        <v>5</v>
      </c>
      <c r="H25" s="25">
        <v>81506</v>
      </c>
      <c r="I25" s="34" t="s">
        <v>17</v>
      </c>
      <c r="J25" s="24">
        <v>61942745</v>
      </c>
      <c r="K25" s="24" t="s">
        <v>7050</v>
      </c>
      <c r="L25" s="24" t="s">
        <v>7049</v>
      </c>
      <c r="M25" s="44">
        <v>179900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46086</v>
      </c>
      <c r="C26" s="35">
        <f t="shared" si="3"/>
        <v>46092</v>
      </c>
      <c r="D26" s="34">
        <v>3281</v>
      </c>
      <c r="E26" s="34">
        <v>337</v>
      </c>
      <c r="F26" s="34">
        <v>4</v>
      </c>
      <c r="G26" s="25">
        <v>5</v>
      </c>
      <c r="H26" s="25">
        <v>81847</v>
      </c>
      <c r="I26" s="34" t="s">
        <v>17</v>
      </c>
      <c r="J26" s="24">
        <v>67948765</v>
      </c>
      <c r="K26" s="24" t="s">
        <v>7042</v>
      </c>
      <c r="L26" s="24" t="s">
        <v>7048</v>
      </c>
      <c r="M26" s="44">
        <v>299900</v>
      </c>
      <c r="N26" s="34" t="s">
        <v>2569</v>
      </c>
      <c r="O26" s="36" t="s">
        <v>6895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46086</v>
      </c>
      <c r="C27" s="35">
        <f t="shared" si="3"/>
        <v>46092</v>
      </c>
      <c r="D27" s="34">
        <v>3281</v>
      </c>
      <c r="E27" s="34">
        <v>337</v>
      </c>
      <c r="F27" s="34">
        <v>4</v>
      </c>
      <c r="G27" s="25">
        <v>5</v>
      </c>
      <c r="H27" s="25">
        <v>81847</v>
      </c>
      <c r="I27" s="34" t="s">
        <v>17</v>
      </c>
      <c r="J27" s="24">
        <v>67948774</v>
      </c>
      <c r="K27" s="24" t="s">
        <v>7042</v>
      </c>
      <c r="L27" s="24" t="s">
        <v>7047</v>
      </c>
      <c r="M27" s="44">
        <v>299900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46086</v>
      </c>
      <c r="C28" s="35">
        <f t="shared" si="3"/>
        <v>46092</v>
      </c>
      <c r="D28" s="34">
        <v>3281</v>
      </c>
      <c r="E28" s="34">
        <v>337</v>
      </c>
      <c r="F28" s="34">
        <v>4</v>
      </c>
      <c r="G28" s="25">
        <v>5</v>
      </c>
      <c r="H28" s="25">
        <v>81847</v>
      </c>
      <c r="I28" s="34" t="s">
        <v>17</v>
      </c>
      <c r="J28" s="24">
        <v>67948783</v>
      </c>
      <c r="K28" s="24" t="s">
        <v>7042</v>
      </c>
      <c r="L28" s="24" t="s">
        <v>7046</v>
      </c>
      <c r="M28" s="44">
        <v>299900</v>
      </c>
      <c r="N28" s="34" t="s">
        <v>2569</v>
      </c>
      <c r="O28" s="36" t="s">
        <v>6895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46086</v>
      </c>
      <c r="C29" s="35">
        <f t="shared" si="3"/>
        <v>46092</v>
      </c>
      <c r="D29" s="34">
        <v>3281</v>
      </c>
      <c r="E29" s="34">
        <v>337</v>
      </c>
      <c r="F29" s="34">
        <v>4</v>
      </c>
      <c r="G29" s="25">
        <v>5</v>
      </c>
      <c r="H29" s="25">
        <v>81847</v>
      </c>
      <c r="I29" s="34" t="s">
        <v>17</v>
      </c>
      <c r="J29" s="24">
        <v>67948792</v>
      </c>
      <c r="K29" s="24" t="s">
        <v>7042</v>
      </c>
      <c r="L29" s="24" t="s">
        <v>7045</v>
      </c>
      <c r="M29" s="44">
        <v>299900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46086</v>
      </c>
      <c r="C30" s="35">
        <f t="shared" si="3"/>
        <v>46092</v>
      </c>
      <c r="D30" s="34">
        <v>3281</v>
      </c>
      <c r="E30" s="34">
        <v>337</v>
      </c>
      <c r="F30" s="34">
        <v>4</v>
      </c>
      <c r="G30" s="25">
        <v>5</v>
      </c>
      <c r="H30" s="25">
        <v>81847</v>
      </c>
      <c r="I30" s="34" t="s">
        <v>17</v>
      </c>
      <c r="J30" s="24">
        <v>67948809</v>
      </c>
      <c r="K30" s="24" t="s">
        <v>7042</v>
      </c>
      <c r="L30" s="24" t="s">
        <v>7044</v>
      </c>
      <c r="M30" s="44">
        <v>299900</v>
      </c>
      <c r="N30" s="34" t="s">
        <v>2569</v>
      </c>
      <c r="O30" s="36" t="s">
        <v>6895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46086</v>
      </c>
      <c r="C31" s="35">
        <f t="shared" si="3"/>
        <v>46092</v>
      </c>
      <c r="D31" s="34">
        <v>3281</v>
      </c>
      <c r="E31" s="34">
        <v>337</v>
      </c>
      <c r="F31" s="34">
        <v>4</v>
      </c>
      <c r="G31" s="25">
        <v>5</v>
      </c>
      <c r="H31" s="25">
        <v>81847</v>
      </c>
      <c r="I31" s="34" t="s">
        <v>17</v>
      </c>
      <c r="J31" s="24">
        <v>67948818</v>
      </c>
      <c r="K31" s="24" t="s">
        <v>7042</v>
      </c>
      <c r="L31" s="24" t="s">
        <v>7043</v>
      </c>
      <c r="M31" s="44">
        <v>299900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46086</v>
      </c>
      <c r="C32" s="35">
        <f t="shared" si="3"/>
        <v>46092</v>
      </c>
      <c r="D32" s="34">
        <v>3281</v>
      </c>
      <c r="E32" s="34">
        <v>337</v>
      </c>
      <c r="F32" s="34">
        <v>4</v>
      </c>
      <c r="G32" s="25">
        <v>5</v>
      </c>
      <c r="H32" s="25">
        <v>81847</v>
      </c>
      <c r="I32" s="34" t="s">
        <v>17</v>
      </c>
      <c r="J32" s="24">
        <v>67948827</v>
      </c>
      <c r="K32" s="24" t="s">
        <v>7042</v>
      </c>
      <c r="L32" s="24" t="s">
        <v>7041</v>
      </c>
      <c r="M32" s="44">
        <v>299900</v>
      </c>
      <c r="N32" s="34" t="s">
        <v>2569</v>
      </c>
      <c r="O32" s="36" t="s">
        <v>6895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46086</v>
      </c>
      <c r="C33" s="35">
        <f t="shared" si="3"/>
        <v>46092</v>
      </c>
      <c r="D33" s="34">
        <v>3281</v>
      </c>
      <c r="E33" s="34">
        <v>337</v>
      </c>
      <c r="F33" s="34">
        <v>4</v>
      </c>
      <c r="G33" s="25">
        <v>4</v>
      </c>
      <c r="H33" s="25">
        <v>81847</v>
      </c>
      <c r="I33" s="34" t="s">
        <v>17</v>
      </c>
      <c r="J33" s="24">
        <v>68791280</v>
      </c>
      <c r="K33" s="24" t="s">
        <v>7034</v>
      </c>
      <c r="L33" s="24" t="s">
        <v>7040</v>
      </c>
      <c r="M33" s="44">
        <v>149900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46086</v>
      </c>
      <c r="C34" s="35">
        <f t="shared" si="3"/>
        <v>46092</v>
      </c>
      <c r="D34" s="34">
        <v>3281</v>
      </c>
      <c r="E34" s="34">
        <v>337</v>
      </c>
      <c r="F34" s="34">
        <v>4</v>
      </c>
      <c r="G34" s="25">
        <v>4</v>
      </c>
      <c r="H34" s="25">
        <v>81847</v>
      </c>
      <c r="I34" s="34" t="s">
        <v>17</v>
      </c>
      <c r="J34" s="24">
        <v>68791299</v>
      </c>
      <c r="K34" s="24" t="s">
        <v>7034</v>
      </c>
      <c r="L34" s="24" t="s">
        <v>7039</v>
      </c>
      <c r="M34" s="44">
        <v>149900</v>
      </c>
      <c r="N34" s="34" t="s">
        <v>2569</v>
      </c>
      <c r="O34" s="36" t="s">
        <v>6895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46086</v>
      </c>
      <c r="C35" s="35">
        <f t="shared" si="3"/>
        <v>46092</v>
      </c>
      <c r="D35" s="34">
        <v>3281</v>
      </c>
      <c r="E35" s="34">
        <v>337</v>
      </c>
      <c r="F35" s="34">
        <v>4</v>
      </c>
      <c r="G35" s="25">
        <v>4</v>
      </c>
      <c r="H35" s="25">
        <v>81847</v>
      </c>
      <c r="I35" s="34" t="s">
        <v>17</v>
      </c>
      <c r="J35" s="24">
        <v>68791306</v>
      </c>
      <c r="K35" s="24" t="s">
        <v>7034</v>
      </c>
      <c r="L35" s="24" t="s">
        <v>7038</v>
      </c>
      <c r="M35" s="44">
        <v>149900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46086</v>
      </c>
      <c r="C36" s="35">
        <f t="shared" si="3"/>
        <v>46092</v>
      </c>
      <c r="D36" s="34">
        <v>3281</v>
      </c>
      <c r="E36" s="34">
        <v>337</v>
      </c>
      <c r="F36" s="34">
        <v>4</v>
      </c>
      <c r="G36" s="25">
        <v>4</v>
      </c>
      <c r="H36" s="25">
        <v>81847</v>
      </c>
      <c r="I36" s="34" t="s">
        <v>17</v>
      </c>
      <c r="J36" s="24">
        <v>68791315</v>
      </c>
      <c r="K36" s="24" t="s">
        <v>7034</v>
      </c>
      <c r="L36" s="24" t="s">
        <v>7037</v>
      </c>
      <c r="M36" s="44">
        <v>149900</v>
      </c>
      <c r="N36" s="34" t="s">
        <v>2569</v>
      </c>
      <c r="O36" s="36" t="s">
        <v>6895</v>
      </c>
      <c r="P36" s="34" t="s">
        <v>2569</v>
      </c>
    </row>
    <row r="37" spans="1:16" x14ac:dyDescent="0.35">
      <c r="A37" s="34" t="str">
        <f t="shared" si="1"/>
        <v>2026 NOV-FEB B3 DISC 10%</v>
      </c>
      <c r="B37" s="35">
        <f t="shared" si="2"/>
        <v>46086</v>
      </c>
      <c r="C37" s="35">
        <f t="shared" si="3"/>
        <v>46092</v>
      </c>
      <c r="D37" s="34">
        <v>3281</v>
      </c>
      <c r="E37" s="34">
        <v>337</v>
      </c>
      <c r="F37" s="34">
        <v>4</v>
      </c>
      <c r="G37" s="25">
        <v>2</v>
      </c>
      <c r="H37" s="25">
        <v>81588</v>
      </c>
      <c r="I37" s="34" t="s">
        <v>17</v>
      </c>
      <c r="J37" s="24">
        <v>68791324</v>
      </c>
      <c r="K37" s="24" t="s">
        <v>7034</v>
      </c>
      <c r="L37" s="24" t="s">
        <v>7036</v>
      </c>
      <c r="M37" s="44">
        <v>149900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1"/>
        <v>2026 NOV-FEB B3 DISC 10%</v>
      </c>
      <c r="B38" s="35">
        <f t="shared" si="2"/>
        <v>46086</v>
      </c>
      <c r="C38" s="35">
        <f t="shared" si="3"/>
        <v>46092</v>
      </c>
      <c r="D38" s="34">
        <v>3281</v>
      </c>
      <c r="E38" s="34">
        <v>337</v>
      </c>
      <c r="F38" s="34">
        <v>4</v>
      </c>
      <c r="G38" s="25">
        <v>2</v>
      </c>
      <c r="H38" s="25">
        <v>81588</v>
      </c>
      <c r="I38" s="34" t="s">
        <v>17</v>
      </c>
      <c r="J38" s="24">
        <v>68791333</v>
      </c>
      <c r="K38" s="24" t="s">
        <v>7034</v>
      </c>
      <c r="L38" s="24" t="s">
        <v>7035</v>
      </c>
      <c r="M38" s="44">
        <v>149900</v>
      </c>
      <c r="N38" s="34" t="s">
        <v>2569</v>
      </c>
      <c r="O38" s="36" t="s">
        <v>6895</v>
      </c>
      <c r="P38" s="34" t="s">
        <v>2569</v>
      </c>
    </row>
    <row r="39" spans="1:16" x14ac:dyDescent="0.35">
      <c r="A39" s="34" t="str">
        <f t="shared" si="1"/>
        <v>2026 NOV-FEB B3 DISC 10%</v>
      </c>
      <c r="B39" s="35">
        <f t="shared" si="2"/>
        <v>46086</v>
      </c>
      <c r="C39" s="35">
        <f t="shared" si="3"/>
        <v>46092</v>
      </c>
      <c r="D39" s="34">
        <v>3281</v>
      </c>
      <c r="E39" s="34">
        <v>337</v>
      </c>
      <c r="F39" s="34">
        <v>4</v>
      </c>
      <c r="G39" s="25">
        <v>2</v>
      </c>
      <c r="H39" s="25">
        <v>81588</v>
      </c>
      <c r="I39" s="34" t="s">
        <v>17</v>
      </c>
      <c r="J39" s="24">
        <v>68791342</v>
      </c>
      <c r="K39" s="24" t="s">
        <v>7034</v>
      </c>
      <c r="L39" s="24" t="s">
        <v>7033</v>
      </c>
      <c r="M39" s="44">
        <v>149900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1"/>
        <v>2026 NOV-FEB B3 DISC 10%</v>
      </c>
      <c r="B40" s="35">
        <f t="shared" si="2"/>
        <v>46086</v>
      </c>
      <c r="C40" s="35">
        <f t="shared" si="3"/>
        <v>46092</v>
      </c>
      <c r="D40" s="34">
        <v>3281</v>
      </c>
      <c r="E40" s="34">
        <v>337</v>
      </c>
      <c r="F40" s="34">
        <v>4</v>
      </c>
      <c r="G40" s="25">
        <v>2</v>
      </c>
      <c r="H40" s="25">
        <v>81588</v>
      </c>
      <c r="I40" s="34" t="s">
        <v>17</v>
      </c>
      <c r="J40" s="24">
        <v>68791351</v>
      </c>
      <c r="K40" s="24" t="s">
        <v>7026</v>
      </c>
      <c r="L40" s="24" t="s">
        <v>7032</v>
      </c>
      <c r="M40" s="44">
        <v>149900</v>
      </c>
      <c r="N40" s="34" t="s">
        <v>2569</v>
      </c>
      <c r="O40" s="36" t="s">
        <v>6895</v>
      </c>
      <c r="P40" s="34" t="s">
        <v>2569</v>
      </c>
    </row>
    <row r="41" spans="1:16" x14ac:dyDescent="0.35">
      <c r="A41" s="34" t="str">
        <f t="shared" si="1"/>
        <v>2026 NOV-FEB B3 DISC 10%</v>
      </c>
      <c r="B41" s="35">
        <f t="shared" si="2"/>
        <v>46086</v>
      </c>
      <c r="C41" s="35">
        <f t="shared" si="3"/>
        <v>46092</v>
      </c>
      <c r="D41" s="34">
        <v>3281</v>
      </c>
      <c r="E41" s="34">
        <v>337</v>
      </c>
      <c r="F41" s="34">
        <v>4</v>
      </c>
      <c r="G41" s="25">
        <v>2</v>
      </c>
      <c r="H41" s="25">
        <v>81588</v>
      </c>
      <c r="I41" s="34" t="s">
        <v>17</v>
      </c>
      <c r="J41" s="24">
        <v>68791360</v>
      </c>
      <c r="K41" s="24" t="s">
        <v>7026</v>
      </c>
      <c r="L41" s="24" t="s">
        <v>7031</v>
      </c>
      <c r="M41" s="44">
        <v>149900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1"/>
        <v>2026 NOV-FEB B3 DISC 10%</v>
      </c>
      <c r="B42" s="35">
        <f t="shared" si="2"/>
        <v>46086</v>
      </c>
      <c r="C42" s="35">
        <f t="shared" si="3"/>
        <v>46092</v>
      </c>
      <c r="D42" s="34">
        <v>3281</v>
      </c>
      <c r="E42" s="34">
        <v>337</v>
      </c>
      <c r="F42" s="34">
        <v>4</v>
      </c>
      <c r="G42" s="25">
        <v>2</v>
      </c>
      <c r="H42" s="25">
        <v>81588</v>
      </c>
      <c r="I42" s="34" t="s">
        <v>17</v>
      </c>
      <c r="J42" s="24">
        <v>68791379</v>
      </c>
      <c r="K42" s="24" t="s">
        <v>7026</v>
      </c>
      <c r="L42" s="24" t="s">
        <v>7030</v>
      </c>
      <c r="M42" s="44">
        <v>149900</v>
      </c>
      <c r="N42" s="34" t="s">
        <v>2569</v>
      </c>
      <c r="O42" s="36" t="s">
        <v>6895</v>
      </c>
      <c r="P42" s="34" t="s">
        <v>2569</v>
      </c>
    </row>
    <row r="43" spans="1:16" x14ac:dyDescent="0.35">
      <c r="A43" s="34" t="str">
        <f t="shared" si="1"/>
        <v>2026 NOV-FEB B3 DISC 10%</v>
      </c>
      <c r="B43" s="35">
        <f t="shared" si="2"/>
        <v>46086</v>
      </c>
      <c r="C43" s="35">
        <f t="shared" si="3"/>
        <v>46092</v>
      </c>
      <c r="D43" s="34">
        <v>3281</v>
      </c>
      <c r="E43" s="34">
        <v>337</v>
      </c>
      <c r="F43" s="34">
        <v>4</v>
      </c>
      <c r="G43" s="25">
        <v>2</v>
      </c>
      <c r="H43" s="25">
        <v>81588</v>
      </c>
      <c r="I43" s="34" t="s">
        <v>17</v>
      </c>
      <c r="J43" s="24">
        <v>68791388</v>
      </c>
      <c r="K43" s="24" t="s">
        <v>7026</v>
      </c>
      <c r="L43" s="24" t="s">
        <v>7029</v>
      </c>
      <c r="M43" s="44">
        <v>149900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1"/>
        <v>2026 NOV-FEB B3 DISC 10%</v>
      </c>
      <c r="B44" s="35">
        <f t="shared" si="2"/>
        <v>46086</v>
      </c>
      <c r="C44" s="35">
        <f t="shared" si="3"/>
        <v>46092</v>
      </c>
      <c r="D44" s="34">
        <v>3281</v>
      </c>
      <c r="E44" s="34">
        <v>337</v>
      </c>
      <c r="F44" s="34">
        <v>4</v>
      </c>
      <c r="G44" s="25">
        <v>2</v>
      </c>
      <c r="H44" s="25">
        <v>81588</v>
      </c>
      <c r="I44" s="34" t="s">
        <v>17</v>
      </c>
      <c r="J44" s="24">
        <v>68791397</v>
      </c>
      <c r="K44" s="24" t="s">
        <v>7026</v>
      </c>
      <c r="L44" s="24" t="s">
        <v>7028</v>
      </c>
      <c r="M44" s="44">
        <v>149900</v>
      </c>
      <c r="N44" s="34" t="s">
        <v>2569</v>
      </c>
      <c r="O44" s="36" t="s">
        <v>6895</v>
      </c>
      <c r="P44" s="34" t="s">
        <v>2569</v>
      </c>
    </row>
    <row r="45" spans="1:16" x14ac:dyDescent="0.35">
      <c r="A45" s="34" t="str">
        <f t="shared" si="1"/>
        <v>2026 NOV-FEB B3 DISC 10%</v>
      </c>
      <c r="B45" s="35">
        <f t="shared" si="2"/>
        <v>46086</v>
      </c>
      <c r="C45" s="35">
        <f t="shared" si="3"/>
        <v>46092</v>
      </c>
      <c r="D45" s="34">
        <v>3281</v>
      </c>
      <c r="E45" s="34">
        <v>337</v>
      </c>
      <c r="F45" s="34">
        <v>4</v>
      </c>
      <c r="G45" s="25">
        <v>2</v>
      </c>
      <c r="H45" s="25">
        <v>81588</v>
      </c>
      <c r="I45" s="34" t="s">
        <v>17</v>
      </c>
      <c r="J45" s="24">
        <v>68791404</v>
      </c>
      <c r="K45" s="24" t="s">
        <v>7026</v>
      </c>
      <c r="L45" s="24" t="s">
        <v>7027</v>
      </c>
      <c r="M45" s="44">
        <v>149900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1"/>
        <v>2026 NOV-FEB B3 DISC 10%</v>
      </c>
      <c r="B46" s="35">
        <f t="shared" si="2"/>
        <v>46086</v>
      </c>
      <c r="C46" s="35">
        <f t="shared" si="3"/>
        <v>46092</v>
      </c>
      <c r="D46" s="34">
        <v>3281</v>
      </c>
      <c r="E46" s="34">
        <v>337</v>
      </c>
      <c r="F46" s="34">
        <v>4</v>
      </c>
      <c r="G46" s="25">
        <v>2</v>
      </c>
      <c r="H46" s="25">
        <v>81588</v>
      </c>
      <c r="I46" s="34" t="s">
        <v>17</v>
      </c>
      <c r="J46" s="24">
        <v>68791413</v>
      </c>
      <c r="K46" s="24" t="s">
        <v>7026</v>
      </c>
      <c r="L46" s="24" t="s">
        <v>7025</v>
      </c>
      <c r="M46" s="44">
        <v>149900</v>
      </c>
      <c r="N46" s="34" t="s">
        <v>2569</v>
      </c>
      <c r="O46" s="36" t="s">
        <v>6895</v>
      </c>
      <c r="P46" s="34" t="s">
        <v>2569</v>
      </c>
    </row>
    <row r="47" spans="1:16" x14ac:dyDescent="0.35">
      <c r="A47" s="34" t="str">
        <f t="shared" si="1"/>
        <v>2026 NOV-FEB B3 DISC 10%</v>
      </c>
      <c r="B47" s="35">
        <f t="shared" si="2"/>
        <v>46086</v>
      </c>
      <c r="C47" s="35">
        <f t="shared" si="3"/>
        <v>46092</v>
      </c>
      <c r="D47" s="34">
        <v>3281</v>
      </c>
      <c r="E47" s="34">
        <v>337</v>
      </c>
      <c r="F47" s="34">
        <v>4</v>
      </c>
      <c r="G47" s="25">
        <v>2</v>
      </c>
      <c r="H47" s="25">
        <v>81588</v>
      </c>
      <c r="I47" s="34" t="s">
        <v>17</v>
      </c>
      <c r="J47" s="24">
        <v>68791422</v>
      </c>
      <c r="K47" s="24" t="s">
        <v>7018</v>
      </c>
      <c r="L47" s="24" t="s">
        <v>7024</v>
      </c>
      <c r="M47" s="44">
        <v>149900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1"/>
        <v>2026 NOV-FEB B3 DISC 10%</v>
      </c>
      <c r="B48" s="35">
        <f t="shared" si="2"/>
        <v>46086</v>
      </c>
      <c r="C48" s="35">
        <f t="shared" si="3"/>
        <v>46092</v>
      </c>
      <c r="D48" s="34">
        <v>3281</v>
      </c>
      <c r="E48" s="34">
        <v>337</v>
      </c>
      <c r="F48" s="34">
        <v>4</v>
      </c>
      <c r="G48" s="25">
        <v>2</v>
      </c>
      <c r="H48" s="25">
        <v>81588</v>
      </c>
      <c r="I48" s="34" t="s">
        <v>17</v>
      </c>
      <c r="J48" s="24">
        <v>68791431</v>
      </c>
      <c r="K48" s="24" t="s">
        <v>7018</v>
      </c>
      <c r="L48" s="24" t="s">
        <v>7023</v>
      </c>
      <c r="M48" s="44">
        <v>149900</v>
      </c>
      <c r="N48" s="34" t="s">
        <v>2569</v>
      </c>
      <c r="O48" s="36" t="s">
        <v>6895</v>
      </c>
      <c r="P48" s="34" t="s">
        <v>2569</v>
      </c>
    </row>
    <row r="49" spans="1:16" x14ac:dyDescent="0.35">
      <c r="A49" s="34" t="str">
        <f t="shared" si="1"/>
        <v>2026 NOV-FEB B3 DISC 10%</v>
      </c>
      <c r="B49" s="35">
        <f t="shared" si="2"/>
        <v>46086</v>
      </c>
      <c r="C49" s="35">
        <f t="shared" si="3"/>
        <v>46092</v>
      </c>
      <c r="D49" s="34">
        <v>3281</v>
      </c>
      <c r="E49" s="34">
        <v>337</v>
      </c>
      <c r="F49" s="34">
        <v>4</v>
      </c>
      <c r="G49" s="25">
        <v>2</v>
      </c>
      <c r="H49" s="25">
        <v>81588</v>
      </c>
      <c r="I49" s="34" t="s">
        <v>17</v>
      </c>
      <c r="J49" s="24">
        <v>68791440</v>
      </c>
      <c r="K49" s="24" t="s">
        <v>7018</v>
      </c>
      <c r="L49" s="24" t="s">
        <v>7022</v>
      </c>
      <c r="M49" s="44">
        <v>149900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1"/>
        <v>2026 NOV-FEB B3 DISC 10%</v>
      </c>
      <c r="B50" s="35">
        <f t="shared" si="2"/>
        <v>46086</v>
      </c>
      <c r="C50" s="35">
        <f t="shared" si="3"/>
        <v>46092</v>
      </c>
      <c r="D50" s="34">
        <v>3281</v>
      </c>
      <c r="E50" s="34">
        <v>337</v>
      </c>
      <c r="F50" s="34">
        <v>4</v>
      </c>
      <c r="G50" s="25">
        <v>4</v>
      </c>
      <c r="H50" s="25">
        <v>81588</v>
      </c>
      <c r="I50" s="34" t="s">
        <v>17</v>
      </c>
      <c r="J50" s="24">
        <v>68791459</v>
      </c>
      <c r="K50" s="24" t="s">
        <v>7018</v>
      </c>
      <c r="L50" s="24" t="s">
        <v>7021</v>
      </c>
      <c r="M50" s="44">
        <v>149900</v>
      </c>
      <c r="N50" s="34" t="s">
        <v>2569</v>
      </c>
      <c r="O50" s="36" t="s">
        <v>6895</v>
      </c>
      <c r="P50" s="34" t="s">
        <v>2569</v>
      </c>
    </row>
    <row r="51" spans="1:16" x14ac:dyDescent="0.35">
      <c r="A51" s="34" t="str">
        <f t="shared" si="1"/>
        <v>2026 NOV-FEB B3 DISC 10%</v>
      </c>
      <c r="B51" s="35">
        <f t="shared" si="2"/>
        <v>46086</v>
      </c>
      <c r="C51" s="35">
        <f t="shared" si="3"/>
        <v>46092</v>
      </c>
      <c r="D51" s="34">
        <v>3281</v>
      </c>
      <c r="E51" s="34">
        <v>337</v>
      </c>
      <c r="F51" s="34">
        <v>4</v>
      </c>
      <c r="G51" s="25">
        <v>4</v>
      </c>
      <c r="H51" s="25">
        <v>81588</v>
      </c>
      <c r="I51" s="34" t="s">
        <v>17</v>
      </c>
      <c r="J51" s="24">
        <v>68791468</v>
      </c>
      <c r="K51" s="24" t="s">
        <v>7018</v>
      </c>
      <c r="L51" s="24" t="s">
        <v>7020</v>
      </c>
      <c r="M51" s="44">
        <v>149900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1"/>
        <v>2026 NOV-FEB B3 DISC 10%</v>
      </c>
      <c r="B52" s="35">
        <f t="shared" si="2"/>
        <v>46086</v>
      </c>
      <c r="C52" s="35">
        <f t="shared" si="3"/>
        <v>46092</v>
      </c>
      <c r="D52" s="34">
        <v>3281</v>
      </c>
      <c r="E52" s="34">
        <v>337</v>
      </c>
      <c r="F52" s="34">
        <v>4</v>
      </c>
      <c r="G52" s="25">
        <v>4</v>
      </c>
      <c r="H52" s="25">
        <v>81588</v>
      </c>
      <c r="I52" s="34" t="s">
        <v>17</v>
      </c>
      <c r="J52" s="24">
        <v>68791477</v>
      </c>
      <c r="K52" s="24" t="s">
        <v>7018</v>
      </c>
      <c r="L52" s="24" t="s">
        <v>7019</v>
      </c>
      <c r="M52" s="44">
        <v>149900</v>
      </c>
      <c r="N52" s="34" t="s">
        <v>2569</v>
      </c>
      <c r="O52" s="36" t="s">
        <v>6895</v>
      </c>
      <c r="P52" s="34" t="s">
        <v>2569</v>
      </c>
    </row>
    <row r="53" spans="1:16" x14ac:dyDescent="0.35">
      <c r="A53" s="34" t="str">
        <f t="shared" si="1"/>
        <v>2026 NOV-FEB B3 DISC 10%</v>
      </c>
      <c r="B53" s="35">
        <f t="shared" si="2"/>
        <v>46086</v>
      </c>
      <c r="C53" s="35">
        <f t="shared" si="3"/>
        <v>46092</v>
      </c>
      <c r="D53" s="34">
        <v>3281</v>
      </c>
      <c r="E53" s="34">
        <v>337</v>
      </c>
      <c r="F53" s="34">
        <v>4</v>
      </c>
      <c r="G53" s="25">
        <v>4</v>
      </c>
      <c r="H53" s="25">
        <v>81588</v>
      </c>
      <c r="I53" s="34" t="s">
        <v>17</v>
      </c>
      <c r="J53" s="24">
        <v>68791486</v>
      </c>
      <c r="K53" s="24" t="s">
        <v>7018</v>
      </c>
      <c r="L53" s="24" t="s">
        <v>7017</v>
      </c>
      <c r="M53" s="44">
        <v>149900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1"/>
        <v>2026 NOV-FEB B3 DISC 10%</v>
      </c>
      <c r="B54" s="35">
        <f t="shared" si="2"/>
        <v>46086</v>
      </c>
      <c r="C54" s="35">
        <f t="shared" si="3"/>
        <v>46092</v>
      </c>
      <c r="D54" s="34">
        <v>3281</v>
      </c>
      <c r="E54" s="34">
        <v>337</v>
      </c>
      <c r="F54" s="34">
        <v>4</v>
      </c>
      <c r="G54" s="25">
        <v>4</v>
      </c>
      <c r="H54" s="25">
        <v>81588</v>
      </c>
      <c r="I54" s="34" t="s">
        <v>17</v>
      </c>
      <c r="J54" s="24">
        <v>68791217</v>
      </c>
      <c r="K54" s="24" t="s">
        <v>7010</v>
      </c>
      <c r="L54" s="24" t="s">
        <v>7016</v>
      </c>
      <c r="M54" s="44">
        <v>179900</v>
      </c>
      <c r="N54" s="34" t="s">
        <v>2569</v>
      </c>
      <c r="O54" s="36" t="s">
        <v>6895</v>
      </c>
      <c r="P54" s="34" t="s">
        <v>2569</v>
      </c>
    </row>
    <row r="55" spans="1:16" x14ac:dyDescent="0.35">
      <c r="A55" s="34" t="str">
        <f t="shared" si="1"/>
        <v>2026 NOV-FEB B3 DISC 10%</v>
      </c>
      <c r="B55" s="35">
        <f t="shared" si="2"/>
        <v>46086</v>
      </c>
      <c r="C55" s="35">
        <f t="shared" si="3"/>
        <v>46092</v>
      </c>
      <c r="D55" s="34">
        <v>3281</v>
      </c>
      <c r="E55" s="34">
        <v>337</v>
      </c>
      <c r="F55" s="34">
        <v>4</v>
      </c>
      <c r="G55" s="25">
        <v>4</v>
      </c>
      <c r="H55" s="25">
        <v>81588</v>
      </c>
      <c r="I55" s="34" t="s">
        <v>17</v>
      </c>
      <c r="J55" s="24">
        <v>68791226</v>
      </c>
      <c r="K55" s="24" t="s">
        <v>7010</v>
      </c>
      <c r="L55" s="24" t="s">
        <v>7015</v>
      </c>
      <c r="M55" s="44">
        <v>179900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1"/>
        <v>2026 NOV-FEB B3 DISC 10%</v>
      </c>
      <c r="B56" s="35">
        <f t="shared" si="2"/>
        <v>46086</v>
      </c>
      <c r="C56" s="35">
        <f t="shared" si="3"/>
        <v>46092</v>
      </c>
      <c r="D56" s="34">
        <v>3281</v>
      </c>
      <c r="E56" s="34">
        <v>337</v>
      </c>
      <c r="F56" s="34">
        <v>4</v>
      </c>
      <c r="G56" s="25">
        <v>4</v>
      </c>
      <c r="H56" s="25">
        <v>81588</v>
      </c>
      <c r="I56" s="34" t="s">
        <v>17</v>
      </c>
      <c r="J56" s="24">
        <v>68791235</v>
      </c>
      <c r="K56" s="24" t="s">
        <v>7010</v>
      </c>
      <c r="L56" s="24" t="s">
        <v>7014</v>
      </c>
      <c r="M56" s="44">
        <v>179900</v>
      </c>
      <c r="N56" s="34" t="s">
        <v>2569</v>
      </c>
      <c r="O56" s="36" t="s">
        <v>6895</v>
      </c>
      <c r="P56" s="34" t="s">
        <v>2569</v>
      </c>
    </row>
    <row r="57" spans="1:16" x14ac:dyDescent="0.35">
      <c r="A57" s="34" t="str">
        <f t="shared" si="1"/>
        <v>2026 NOV-FEB B3 DISC 10%</v>
      </c>
      <c r="B57" s="35">
        <f t="shared" si="2"/>
        <v>46086</v>
      </c>
      <c r="C57" s="35">
        <f t="shared" si="3"/>
        <v>46092</v>
      </c>
      <c r="D57" s="34">
        <v>3281</v>
      </c>
      <c r="E57" s="34">
        <v>337</v>
      </c>
      <c r="F57" s="34">
        <v>4</v>
      </c>
      <c r="G57" s="25">
        <v>4</v>
      </c>
      <c r="H57" s="25">
        <v>81588</v>
      </c>
      <c r="I57" s="34" t="s">
        <v>17</v>
      </c>
      <c r="J57" s="24">
        <v>68791244</v>
      </c>
      <c r="K57" s="24" t="s">
        <v>7010</v>
      </c>
      <c r="L57" s="24" t="s">
        <v>7013</v>
      </c>
      <c r="M57" s="4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1"/>
        <v>2026 NOV-FEB B3 DISC 10%</v>
      </c>
      <c r="B58" s="35">
        <f t="shared" si="2"/>
        <v>46086</v>
      </c>
      <c r="C58" s="35">
        <f t="shared" si="3"/>
        <v>46092</v>
      </c>
      <c r="D58" s="34">
        <v>3281</v>
      </c>
      <c r="E58" s="34">
        <v>337</v>
      </c>
      <c r="F58" s="34">
        <v>4</v>
      </c>
      <c r="G58" s="25">
        <v>4</v>
      </c>
      <c r="H58" s="25">
        <v>81588</v>
      </c>
      <c r="I58" s="34" t="s">
        <v>17</v>
      </c>
      <c r="J58" s="24">
        <v>68791253</v>
      </c>
      <c r="K58" s="24" t="s">
        <v>7010</v>
      </c>
      <c r="L58" s="24" t="s">
        <v>7012</v>
      </c>
      <c r="M58" s="44">
        <v>179900</v>
      </c>
      <c r="N58" s="34" t="s">
        <v>2569</v>
      </c>
      <c r="O58" s="36" t="s">
        <v>6895</v>
      </c>
      <c r="P58" s="34" t="s">
        <v>2569</v>
      </c>
    </row>
    <row r="59" spans="1:16" x14ac:dyDescent="0.35">
      <c r="A59" s="34" t="str">
        <f t="shared" si="1"/>
        <v>2026 NOV-FEB B3 DISC 10%</v>
      </c>
      <c r="B59" s="35">
        <f t="shared" si="2"/>
        <v>46086</v>
      </c>
      <c r="C59" s="35">
        <f t="shared" si="3"/>
        <v>46092</v>
      </c>
      <c r="D59" s="34">
        <v>3281</v>
      </c>
      <c r="E59" s="34">
        <v>337</v>
      </c>
      <c r="F59" s="34">
        <v>4</v>
      </c>
      <c r="G59" s="25">
        <v>4</v>
      </c>
      <c r="H59" s="25">
        <v>81588</v>
      </c>
      <c r="I59" s="34" t="s">
        <v>17</v>
      </c>
      <c r="J59" s="24">
        <v>68791262</v>
      </c>
      <c r="K59" s="24" t="s">
        <v>7010</v>
      </c>
      <c r="L59" s="24" t="s">
        <v>7011</v>
      </c>
      <c r="M59" s="4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1"/>
        <v>2026 NOV-FEB B3 DISC 10%</v>
      </c>
      <c r="B60" s="35">
        <f t="shared" si="2"/>
        <v>46086</v>
      </c>
      <c r="C60" s="35">
        <f t="shared" si="3"/>
        <v>46092</v>
      </c>
      <c r="D60" s="34">
        <v>3281</v>
      </c>
      <c r="E60" s="34">
        <v>337</v>
      </c>
      <c r="F60" s="34">
        <v>4</v>
      </c>
      <c r="G60" s="25">
        <v>4</v>
      </c>
      <c r="H60" s="25">
        <v>81588</v>
      </c>
      <c r="I60" s="34" t="s">
        <v>17</v>
      </c>
      <c r="J60" s="24">
        <v>68791271</v>
      </c>
      <c r="K60" s="24" t="s">
        <v>7010</v>
      </c>
      <c r="L60" s="24" t="s">
        <v>7009</v>
      </c>
      <c r="M60" s="44">
        <v>179900</v>
      </c>
      <c r="N60" s="34" t="s">
        <v>2569</v>
      </c>
      <c r="O60" s="36" t="s">
        <v>6895</v>
      </c>
      <c r="P60" s="34" t="s">
        <v>2569</v>
      </c>
    </row>
    <row r="61" spans="1:16" x14ac:dyDescent="0.35">
      <c r="A61" s="34" t="str">
        <f t="shared" si="1"/>
        <v>2026 NOV-FEB B3 DISC 10%</v>
      </c>
      <c r="B61" s="35">
        <f t="shared" si="2"/>
        <v>46086</v>
      </c>
      <c r="C61" s="35">
        <f t="shared" si="3"/>
        <v>46092</v>
      </c>
      <c r="D61" s="34">
        <v>3281</v>
      </c>
      <c r="E61" s="34">
        <v>337</v>
      </c>
      <c r="F61" s="34">
        <v>4</v>
      </c>
      <c r="G61" s="25">
        <v>4</v>
      </c>
      <c r="H61" s="25">
        <v>81588</v>
      </c>
      <c r="I61" s="34" t="s">
        <v>17</v>
      </c>
      <c r="J61" s="24">
        <v>68791075</v>
      </c>
      <c r="K61" s="24" t="s">
        <v>7002</v>
      </c>
      <c r="L61" s="24" t="s">
        <v>7008</v>
      </c>
      <c r="M61" s="44">
        <v>179900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1"/>
        <v>2026 NOV-FEB B3 DISC 10%</v>
      </c>
      <c r="B62" s="35">
        <f t="shared" si="2"/>
        <v>46086</v>
      </c>
      <c r="C62" s="35">
        <f t="shared" si="3"/>
        <v>46092</v>
      </c>
      <c r="D62" s="34">
        <v>3281</v>
      </c>
      <c r="E62" s="34">
        <v>337</v>
      </c>
      <c r="F62" s="34">
        <v>4</v>
      </c>
      <c r="G62" s="25">
        <v>4</v>
      </c>
      <c r="H62" s="25">
        <v>81588</v>
      </c>
      <c r="I62" s="34" t="s">
        <v>17</v>
      </c>
      <c r="J62" s="24">
        <v>68791084</v>
      </c>
      <c r="K62" s="24" t="s">
        <v>7002</v>
      </c>
      <c r="L62" s="24" t="s">
        <v>7007</v>
      </c>
      <c r="M62" s="44">
        <v>179900</v>
      </c>
      <c r="N62" s="34" t="s">
        <v>2569</v>
      </c>
      <c r="O62" s="36" t="s">
        <v>6895</v>
      </c>
      <c r="P62" s="34" t="s">
        <v>2569</v>
      </c>
    </row>
    <row r="63" spans="1:16" x14ac:dyDescent="0.35">
      <c r="A63" s="34" t="str">
        <f t="shared" si="1"/>
        <v>2026 NOV-FEB B3 DISC 10%</v>
      </c>
      <c r="B63" s="35">
        <f t="shared" si="2"/>
        <v>46086</v>
      </c>
      <c r="C63" s="35">
        <f t="shared" si="3"/>
        <v>46092</v>
      </c>
      <c r="D63" s="34">
        <v>3281</v>
      </c>
      <c r="E63" s="34">
        <v>337</v>
      </c>
      <c r="F63" s="34">
        <v>4</v>
      </c>
      <c r="G63" s="25">
        <v>4</v>
      </c>
      <c r="H63" s="25">
        <v>81588</v>
      </c>
      <c r="I63" s="34" t="s">
        <v>17</v>
      </c>
      <c r="J63" s="24">
        <v>68791093</v>
      </c>
      <c r="K63" s="24" t="s">
        <v>7002</v>
      </c>
      <c r="L63" s="24" t="s">
        <v>7006</v>
      </c>
      <c r="M63" s="44">
        <v>179900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1"/>
        <v>2026 NOV-FEB B3 DISC 10%</v>
      </c>
      <c r="B64" s="35">
        <f t="shared" si="2"/>
        <v>46086</v>
      </c>
      <c r="C64" s="35">
        <f t="shared" si="3"/>
        <v>46092</v>
      </c>
      <c r="D64" s="34">
        <v>3281</v>
      </c>
      <c r="E64" s="34">
        <v>337</v>
      </c>
      <c r="F64" s="34">
        <v>4</v>
      </c>
      <c r="G64" s="25">
        <v>4</v>
      </c>
      <c r="H64" s="25">
        <v>81588</v>
      </c>
      <c r="I64" s="34" t="s">
        <v>17</v>
      </c>
      <c r="J64" s="24">
        <v>68791100</v>
      </c>
      <c r="K64" s="24" t="s">
        <v>7002</v>
      </c>
      <c r="L64" s="24" t="s">
        <v>7005</v>
      </c>
      <c r="M64" s="44">
        <v>179900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1"/>
        <v>2026 NOV-FEB B3 DISC 10%</v>
      </c>
      <c r="B65" s="35">
        <f t="shared" si="2"/>
        <v>46086</v>
      </c>
      <c r="C65" s="35">
        <f t="shared" si="3"/>
        <v>46092</v>
      </c>
      <c r="D65" s="34">
        <v>3281</v>
      </c>
      <c r="E65" s="34">
        <v>337</v>
      </c>
      <c r="F65" s="34">
        <v>4</v>
      </c>
      <c r="G65" s="25">
        <v>5</v>
      </c>
      <c r="H65" s="25">
        <v>81588</v>
      </c>
      <c r="I65" s="34" t="s">
        <v>17</v>
      </c>
      <c r="J65" s="24">
        <v>68791119</v>
      </c>
      <c r="K65" s="24" t="s">
        <v>7002</v>
      </c>
      <c r="L65" s="24" t="s">
        <v>7004</v>
      </c>
      <c r="M65" s="44">
        <v>179900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1"/>
        <v>2026 NOV-FEB B3 DISC 10%</v>
      </c>
      <c r="B66" s="35">
        <f t="shared" si="2"/>
        <v>46086</v>
      </c>
      <c r="C66" s="35">
        <f t="shared" si="3"/>
        <v>46092</v>
      </c>
      <c r="D66" s="34">
        <v>3281</v>
      </c>
      <c r="E66" s="34">
        <v>337</v>
      </c>
      <c r="F66" s="34">
        <v>4</v>
      </c>
      <c r="G66" s="25">
        <v>5</v>
      </c>
      <c r="H66" s="25">
        <v>81588</v>
      </c>
      <c r="I66" s="34" t="s">
        <v>17</v>
      </c>
      <c r="J66" s="24">
        <v>68791128</v>
      </c>
      <c r="K66" s="24" t="s">
        <v>7002</v>
      </c>
      <c r="L66" s="24" t="s">
        <v>7003</v>
      </c>
      <c r="M66" s="44">
        <v>179900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si="1"/>
        <v>2026 NOV-FEB B3 DISC 10%</v>
      </c>
      <c r="B67" s="35">
        <f t="shared" si="2"/>
        <v>46086</v>
      </c>
      <c r="C67" s="35">
        <f t="shared" si="3"/>
        <v>46092</v>
      </c>
      <c r="D67" s="34">
        <v>3281</v>
      </c>
      <c r="E67" s="34">
        <v>337</v>
      </c>
      <c r="F67" s="34">
        <v>4</v>
      </c>
      <c r="G67" s="25">
        <v>5</v>
      </c>
      <c r="H67" s="25">
        <v>81588</v>
      </c>
      <c r="I67" s="34" t="s">
        <v>17</v>
      </c>
      <c r="J67" s="24">
        <v>68791137</v>
      </c>
      <c r="K67" s="24" t="s">
        <v>7002</v>
      </c>
      <c r="L67" s="24" t="s">
        <v>7001</v>
      </c>
      <c r="M67" s="44">
        <v>179900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1"/>
        <v>2026 NOV-FEB B3 DISC 10%</v>
      </c>
      <c r="B68" s="35">
        <f t="shared" si="2"/>
        <v>46086</v>
      </c>
      <c r="C68" s="35">
        <f t="shared" si="3"/>
        <v>46092</v>
      </c>
      <c r="D68" s="34">
        <v>3281</v>
      </c>
      <c r="E68" s="34">
        <v>337</v>
      </c>
      <c r="F68" s="34">
        <v>4</v>
      </c>
      <c r="G68" s="25">
        <v>5</v>
      </c>
      <c r="H68" s="25">
        <v>81588</v>
      </c>
      <c r="I68" s="34" t="s">
        <v>17</v>
      </c>
      <c r="J68" s="24">
        <v>61918843</v>
      </c>
      <c r="K68" s="24" t="s">
        <v>6997</v>
      </c>
      <c r="L68" s="24" t="s">
        <v>7000</v>
      </c>
      <c r="M68" s="44">
        <v>179900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1"/>
        <v>2026 NOV-FEB B3 DISC 10%</v>
      </c>
      <c r="B69" s="35">
        <f t="shared" si="2"/>
        <v>46086</v>
      </c>
      <c r="C69" s="35">
        <f t="shared" si="3"/>
        <v>46092</v>
      </c>
      <c r="D69" s="34">
        <v>3281</v>
      </c>
      <c r="E69" s="34">
        <v>337</v>
      </c>
      <c r="F69" s="34">
        <v>4</v>
      </c>
      <c r="G69" s="25">
        <v>5</v>
      </c>
      <c r="H69" s="25">
        <v>81588</v>
      </c>
      <c r="I69" s="34" t="s">
        <v>17</v>
      </c>
      <c r="J69" s="24">
        <v>61918852</v>
      </c>
      <c r="K69" s="24" t="s">
        <v>6997</v>
      </c>
      <c r="L69" s="24" t="s">
        <v>6999</v>
      </c>
      <c r="M69" s="44">
        <v>179900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ref="A70:C79" si="4">A69</f>
        <v>2026 NOV-FEB B3 DISC 10%</v>
      </c>
      <c r="B70" s="35">
        <f t="shared" si="4"/>
        <v>46086</v>
      </c>
      <c r="C70" s="35">
        <f t="shared" si="4"/>
        <v>46092</v>
      </c>
      <c r="D70" s="34">
        <v>3281</v>
      </c>
      <c r="E70" s="34">
        <v>337</v>
      </c>
      <c r="F70" s="34">
        <v>4</v>
      </c>
      <c r="G70" s="25">
        <v>5</v>
      </c>
      <c r="H70" s="25">
        <v>81588</v>
      </c>
      <c r="I70" s="34" t="s">
        <v>17</v>
      </c>
      <c r="J70" s="24">
        <v>61918861</v>
      </c>
      <c r="K70" s="24" t="s">
        <v>6997</v>
      </c>
      <c r="L70" s="24" t="s">
        <v>6998</v>
      </c>
      <c r="M70" s="44">
        <v>179900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4"/>
        <v>2026 NOV-FEB B3 DISC 10%</v>
      </c>
      <c r="B71" s="35">
        <f t="shared" si="4"/>
        <v>46086</v>
      </c>
      <c r="C71" s="35">
        <f t="shared" si="4"/>
        <v>46092</v>
      </c>
      <c r="D71" s="34">
        <v>3281</v>
      </c>
      <c r="E71" s="34">
        <v>337</v>
      </c>
      <c r="F71" s="34">
        <v>4</v>
      </c>
      <c r="G71" s="25">
        <v>5</v>
      </c>
      <c r="H71" s="25">
        <v>81588</v>
      </c>
      <c r="I71" s="34" t="s">
        <v>17</v>
      </c>
      <c r="J71" s="24">
        <v>61918870</v>
      </c>
      <c r="K71" s="24" t="s">
        <v>6997</v>
      </c>
      <c r="L71" s="24" t="s">
        <v>6996</v>
      </c>
      <c r="M71" s="44">
        <v>179900</v>
      </c>
      <c r="N71" s="34" t="s">
        <v>2569</v>
      </c>
      <c r="O71" s="36" t="s">
        <v>6895</v>
      </c>
      <c r="P71" s="34" t="s">
        <v>2569</v>
      </c>
    </row>
    <row r="72" spans="1:16" x14ac:dyDescent="0.35">
      <c r="A72" s="34" t="str">
        <f t="shared" si="4"/>
        <v>2026 NOV-FEB B3 DISC 10%</v>
      </c>
      <c r="B72" s="35">
        <f t="shared" si="4"/>
        <v>46086</v>
      </c>
      <c r="C72" s="35">
        <f t="shared" si="4"/>
        <v>46092</v>
      </c>
      <c r="D72" s="34">
        <v>3281</v>
      </c>
      <c r="E72" s="34">
        <v>337</v>
      </c>
      <c r="F72" s="34">
        <v>4</v>
      </c>
      <c r="G72" s="25">
        <v>5</v>
      </c>
      <c r="H72" s="25">
        <v>81588</v>
      </c>
      <c r="I72" s="34" t="s">
        <v>17</v>
      </c>
      <c r="J72" s="24">
        <v>68791495</v>
      </c>
      <c r="K72" s="24" t="s">
        <v>6992</v>
      </c>
      <c r="L72" s="24" t="s">
        <v>6995</v>
      </c>
      <c r="M72" s="44">
        <v>99900</v>
      </c>
      <c r="N72" s="34" t="s">
        <v>2569</v>
      </c>
      <c r="O72" s="36" t="s">
        <v>6895</v>
      </c>
      <c r="P72" s="34" t="s">
        <v>2569</v>
      </c>
    </row>
    <row r="73" spans="1:16" x14ac:dyDescent="0.35">
      <c r="A73" s="34" t="str">
        <f t="shared" si="4"/>
        <v>2026 NOV-FEB B3 DISC 10%</v>
      </c>
      <c r="B73" s="35">
        <f t="shared" si="4"/>
        <v>46086</v>
      </c>
      <c r="C73" s="35">
        <f t="shared" si="4"/>
        <v>46092</v>
      </c>
      <c r="D73" s="34">
        <v>3281</v>
      </c>
      <c r="E73" s="34">
        <v>337</v>
      </c>
      <c r="F73" s="34">
        <v>4</v>
      </c>
      <c r="G73" s="25">
        <v>5</v>
      </c>
      <c r="H73" s="25">
        <v>81588</v>
      </c>
      <c r="I73" s="34" t="s">
        <v>17</v>
      </c>
      <c r="J73" s="24">
        <v>68791502</v>
      </c>
      <c r="K73" s="24" t="s">
        <v>6992</v>
      </c>
      <c r="L73" s="24" t="s">
        <v>6994</v>
      </c>
      <c r="M73" s="44">
        <v>99900</v>
      </c>
      <c r="N73" s="34" t="s">
        <v>2569</v>
      </c>
      <c r="O73" s="36" t="s">
        <v>6895</v>
      </c>
      <c r="P73" s="34" t="s">
        <v>2569</v>
      </c>
    </row>
    <row r="74" spans="1:16" x14ac:dyDescent="0.35">
      <c r="A74" s="34" t="str">
        <f t="shared" si="4"/>
        <v>2026 NOV-FEB B3 DISC 10%</v>
      </c>
      <c r="B74" s="35">
        <f t="shared" si="4"/>
        <v>46086</v>
      </c>
      <c r="C74" s="35">
        <f t="shared" si="4"/>
        <v>46092</v>
      </c>
      <c r="D74" s="34">
        <v>3281</v>
      </c>
      <c r="E74" s="34">
        <v>337</v>
      </c>
      <c r="F74" s="34">
        <v>4</v>
      </c>
      <c r="G74" s="25">
        <v>5</v>
      </c>
      <c r="H74" s="25">
        <v>81506</v>
      </c>
      <c r="I74" s="34" t="s">
        <v>17</v>
      </c>
      <c r="J74" s="24">
        <v>68791511</v>
      </c>
      <c r="K74" s="24" t="s">
        <v>6992</v>
      </c>
      <c r="L74" s="24" t="s">
        <v>6993</v>
      </c>
      <c r="M74" s="44">
        <v>99900</v>
      </c>
      <c r="N74" s="34" t="s">
        <v>2569</v>
      </c>
      <c r="O74" s="36" t="s">
        <v>6895</v>
      </c>
      <c r="P74" s="34" t="s">
        <v>2569</v>
      </c>
    </row>
    <row r="75" spans="1:16" x14ac:dyDescent="0.35">
      <c r="A75" s="34" t="str">
        <f t="shared" si="4"/>
        <v>2026 NOV-FEB B3 DISC 10%</v>
      </c>
      <c r="B75" s="35">
        <f t="shared" si="4"/>
        <v>46086</v>
      </c>
      <c r="C75" s="35">
        <f t="shared" si="4"/>
        <v>46092</v>
      </c>
      <c r="D75" s="34">
        <v>3281</v>
      </c>
      <c r="E75" s="34">
        <v>337</v>
      </c>
      <c r="F75" s="34">
        <v>4</v>
      </c>
      <c r="G75" s="25">
        <v>5</v>
      </c>
      <c r="H75" s="25">
        <v>81506</v>
      </c>
      <c r="I75" s="34" t="s">
        <v>17</v>
      </c>
      <c r="J75" s="24">
        <v>68791520</v>
      </c>
      <c r="K75" s="24" t="s">
        <v>6992</v>
      </c>
      <c r="L75" s="24" t="s">
        <v>6991</v>
      </c>
      <c r="M75" s="44">
        <v>99900</v>
      </c>
      <c r="N75" s="34" t="s">
        <v>2569</v>
      </c>
      <c r="O75" s="36" t="s">
        <v>6895</v>
      </c>
      <c r="P75" s="34" t="s">
        <v>2569</v>
      </c>
    </row>
    <row r="76" spans="1:16" x14ac:dyDescent="0.35">
      <c r="A76" s="34" t="str">
        <f t="shared" si="4"/>
        <v>2026 NOV-FEB B3 DISC 10%</v>
      </c>
      <c r="B76" s="35">
        <f t="shared" si="4"/>
        <v>46086</v>
      </c>
      <c r="C76" s="35">
        <f t="shared" si="4"/>
        <v>46092</v>
      </c>
      <c r="D76" s="34">
        <v>3281</v>
      </c>
      <c r="E76" s="34">
        <v>337</v>
      </c>
      <c r="F76" s="34">
        <v>4</v>
      </c>
      <c r="G76" s="25">
        <v>5</v>
      </c>
      <c r="H76" s="25">
        <v>81506</v>
      </c>
      <c r="I76" s="34" t="s">
        <v>17</v>
      </c>
      <c r="J76" s="24">
        <v>68791539</v>
      </c>
      <c r="K76" s="24" t="s">
        <v>6987</v>
      </c>
      <c r="L76" s="24" t="s">
        <v>6990</v>
      </c>
      <c r="M76" s="44">
        <v>179900</v>
      </c>
      <c r="N76" s="34" t="s">
        <v>2569</v>
      </c>
      <c r="O76" s="36" t="s">
        <v>6895</v>
      </c>
      <c r="P76" s="34" t="s">
        <v>2569</v>
      </c>
    </row>
    <row r="77" spans="1:16" x14ac:dyDescent="0.35">
      <c r="A77" s="34" t="str">
        <f t="shared" si="4"/>
        <v>2026 NOV-FEB B3 DISC 10%</v>
      </c>
      <c r="B77" s="35">
        <f t="shared" si="4"/>
        <v>46086</v>
      </c>
      <c r="C77" s="35">
        <f t="shared" si="4"/>
        <v>46092</v>
      </c>
      <c r="D77" s="34">
        <v>3281</v>
      </c>
      <c r="E77" s="34">
        <v>337</v>
      </c>
      <c r="F77" s="34">
        <v>4</v>
      </c>
      <c r="G77" s="25">
        <v>5</v>
      </c>
      <c r="H77" s="25">
        <v>81506</v>
      </c>
      <c r="I77" s="34" t="s">
        <v>17</v>
      </c>
      <c r="J77" s="24">
        <v>68791548</v>
      </c>
      <c r="K77" s="24" t="s">
        <v>6987</v>
      </c>
      <c r="L77" s="24" t="s">
        <v>6989</v>
      </c>
      <c r="M77" s="44">
        <v>179900</v>
      </c>
      <c r="N77" s="34" t="s">
        <v>2569</v>
      </c>
      <c r="O77" s="36" t="s">
        <v>6895</v>
      </c>
      <c r="P77" s="34" t="s">
        <v>2569</v>
      </c>
    </row>
    <row r="78" spans="1:16" x14ac:dyDescent="0.35">
      <c r="A78" s="34" t="str">
        <f t="shared" si="4"/>
        <v>2026 NOV-FEB B3 DISC 10%</v>
      </c>
      <c r="B78" s="35">
        <f t="shared" si="4"/>
        <v>46086</v>
      </c>
      <c r="C78" s="35">
        <f t="shared" si="4"/>
        <v>46092</v>
      </c>
      <c r="D78" s="34">
        <v>3281</v>
      </c>
      <c r="E78" s="34">
        <v>337</v>
      </c>
      <c r="F78" s="34">
        <v>4</v>
      </c>
      <c r="G78" s="25">
        <v>5</v>
      </c>
      <c r="H78" s="25">
        <v>81506</v>
      </c>
      <c r="I78" s="34" t="s">
        <v>17</v>
      </c>
      <c r="J78" s="24">
        <v>68791557</v>
      </c>
      <c r="K78" s="24" t="s">
        <v>6987</v>
      </c>
      <c r="L78" s="24" t="s">
        <v>6988</v>
      </c>
      <c r="M78" s="44">
        <v>179900</v>
      </c>
      <c r="N78" s="34" t="s">
        <v>2569</v>
      </c>
      <c r="O78" s="36" t="s">
        <v>6895</v>
      </c>
      <c r="P78" s="34" t="s">
        <v>2569</v>
      </c>
    </row>
    <row r="79" spans="1:16" x14ac:dyDescent="0.35">
      <c r="A79" s="34" t="str">
        <f t="shared" si="4"/>
        <v>2026 NOV-FEB B3 DISC 10%</v>
      </c>
      <c r="B79" s="35">
        <f t="shared" si="4"/>
        <v>46086</v>
      </c>
      <c r="C79" s="35">
        <f t="shared" si="4"/>
        <v>46092</v>
      </c>
      <c r="D79" s="34">
        <v>3281</v>
      </c>
      <c r="E79" s="34">
        <v>337</v>
      </c>
      <c r="F79" s="34">
        <v>4</v>
      </c>
      <c r="G79" s="25">
        <v>1</v>
      </c>
      <c r="H79" s="25">
        <v>81588</v>
      </c>
      <c r="I79" s="34" t="s">
        <v>17</v>
      </c>
      <c r="J79" s="24">
        <v>68791566</v>
      </c>
      <c r="K79" s="24" t="s">
        <v>6987</v>
      </c>
      <c r="L79" s="24" t="s">
        <v>6986</v>
      </c>
      <c r="M79" s="44">
        <v>179900</v>
      </c>
      <c r="N79" s="34" t="s">
        <v>2569</v>
      </c>
      <c r="O79" s="36" t="s">
        <v>6895</v>
      </c>
      <c r="P79" s="34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007-C1C0-4CF3-95E0-8C3AA61F650F}">
  <dimension ref="A1:P25"/>
  <sheetViews>
    <sheetView workbookViewId="0">
      <selection activeCell="W28" sqref="W28"/>
    </sheetView>
  </sheetViews>
  <sheetFormatPr defaultRowHeight="14.5" x14ac:dyDescent="0.35"/>
  <cols>
    <col min="1" max="1" width="23.90625" style="82" customWidth="1"/>
    <col min="2" max="3" width="16.453125" style="83" customWidth="1"/>
    <col min="4" max="4" width="12.08984375" style="82" customWidth="1"/>
    <col min="5" max="5" width="12.36328125" style="83" customWidth="1"/>
    <col min="6" max="6" width="11.81640625" style="83" customWidth="1"/>
    <col min="7" max="7" width="8.6328125" style="83" customWidth="1"/>
    <col min="8" max="8" width="11.6328125" style="82" customWidth="1"/>
    <col min="9" max="9" width="11.81640625" style="83" customWidth="1"/>
    <col min="10" max="10" width="10.1796875" style="83" customWidth="1"/>
    <col min="11" max="11" width="11.36328125" style="83" customWidth="1"/>
    <col min="12" max="12" width="44.90625" style="83" customWidth="1"/>
    <col min="13" max="13" width="16.453125" style="83" customWidth="1"/>
    <col min="14" max="14" width="9.1796875" style="82" customWidth="1"/>
    <col min="15" max="16" width="16.453125" style="83" customWidth="1"/>
    <col min="17" max="16384" width="8.7265625" style="83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67" t="s">
        <v>12</v>
      </c>
      <c r="G1" s="31" t="s">
        <v>3</v>
      </c>
      <c r="H1" s="31" t="s">
        <v>4</v>
      </c>
      <c r="I1" s="68" t="s">
        <v>5</v>
      </c>
      <c r="J1" s="67" t="s">
        <v>6</v>
      </c>
      <c r="K1" s="29" t="s">
        <v>7</v>
      </c>
      <c r="L1" s="68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customFormat="1" x14ac:dyDescent="0.35">
      <c r="A2" s="25" t="s">
        <v>6749</v>
      </c>
      <c r="B2" s="35">
        <f>'2025 HILITE D80 - 3321'!B3</f>
        <v>46086</v>
      </c>
      <c r="C2" s="35">
        <f>'2025 HILITE D80 - 3321'!C3</f>
        <v>46092</v>
      </c>
      <c r="D2" s="25">
        <v>3281</v>
      </c>
      <c r="E2" s="34">
        <v>337</v>
      </c>
      <c r="F2" s="69">
        <v>4</v>
      </c>
      <c r="G2" s="25">
        <v>1</v>
      </c>
      <c r="H2" s="25">
        <v>81679</v>
      </c>
      <c r="I2" s="65" t="s">
        <v>17</v>
      </c>
      <c r="J2" s="70">
        <v>61076959</v>
      </c>
      <c r="K2" s="25" t="s">
        <v>6392</v>
      </c>
      <c r="L2" s="71" t="s">
        <v>6395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customFormat="1" x14ac:dyDescent="0.35">
      <c r="A3" s="25" t="s">
        <v>6749</v>
      </c>
      <c r="B3" s="35">
        <f t="shared" ref="B3:C3" si="0">B2</f>
        <v>46086</v>
      </c>
      <c r="C3" s="35">
        <f t="shared" si="0"/>
        <v>46092</v>
      </c>
      <c r="D3" s="25">
        <v>3281</v>
      </c>
      <c r="E3" s="34">
        <v>337</v>
      </c>
      <c r="F3" s="69">
        <v>4</v>
      </c>
      <c r="G3" s="25">
        <v>1</v>
      </c>
      <c r="H3" s="25">
        <v>81679</v>
      </c>
      <c r="I3" s="65" t="s">
        <v>17</v>
      </c>
      <c r="J3" s="70">
        <v>61076968</v>
      </c>
      <c r="K3" s="25" t="s">
        <v>6392</v>
      </c>
      <c r="L3" s="71" t="s">
        <v>6396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customFormat="1" x14ac:dyDescent="0.35">
      <c r="A4" s="25" t="s">
        <v>6749</v>
      </c>
      <c r="B4" s="35">
        <f t="shared" ref="B4:C25" si="1">B3</f>
        <v>46086</v>
      </c>
      <c r="C4" s="35">
        <f t="shared" si="1"/>
        <v>46092</v>
      </c>
      <c r="D4" s="25">
        <v>3281</v>
      </c>
      <c r="E4" s="34">
        <v>337</v>
      </c>
      <c r="F4" s="69">
        <v>4</v>
      </c>
      <c r="G4" s="25">
        <v>1</v>
      </c>
      <c r="H4" s="25">
        <v>81679</v>
      </c>
      <c r="I4" s="65" t="s">
        <v>17</v>
      </c>
      <c r="J4" s="70">
        <v>61076977</v>
      </c>
      <c r="K4" s="25" t="s">
        <v>6392</v>
      </c>
      <c r="L4" s="71" t="s">
        <v>6394</v>
      </c>
      <c r="M4" s="26">
        <v>99900</v>
      </c>
      <c r="N4" s="34">
        <v>0</v>
      </c>
      <c r="O4" s="36" t="str">
        <f t="shared" ref="O4:O25" si="2">O3</f>
        <v>SHARP PRICE</v>
      </c>
      <c r="P4" s="34" t="s">
        <v>6747</v>
      </c>
    </row>
    <row r="5" spans="1:16" customFormat="1" x14ac:dyDescent="0.35">
      <c r="A5" s="25" t="s">
        <v>6749</v>
      </c>
      <c r="B5" s="35">
        <f t="shared" si="1"/>
        <v>46086</v>
      </c>
      <c r="C5" s="35">
        <f t="shared" si="1"/>
        <v>46092</v>
      </c>
      <c r="D5" s="25">
        <v>3281</v>
      </c>
      <c r="E5" s="34">
        <v>337</v>
      </c>
      <c r="F5" s="69">
        <v>4</v>
      </c>
      <c r="G5" s="25">
        <v>1</v>
      </c>
      <c r="H5" s="25">
        <v>81679</v>
      </c>
      <c r="I5" s="65" t="s">
        <v>17</v>
      </c>
      <c r="J5" s="70">
        <v>61076986</v>
      </c>
      <c r="K5" s="25" t="s">
        <v>6392</v>
      </c>
      <c r="L5" s="71" t="s">
        <v>6393</v>
      </c>
      <c r="M5" s="26">
        <v>99900</v>
      </c>
      <c r="N5" s="34">
        <v>0</v>
      </c>
      <c r="O5" s="36" t="str">
        <f t="shared" si="2"/>
        <v>SHARP PRICE</v>
      </c>
      <c r="P5" s="34" t="s">
        <v>6747</v>
      </c>
    </row>
    <row r="6" spans="1:16" customFormat="1" x14ac:dyDescent="0.35">
      <c r="A6" s="25" t="s">
        <v>6749</v>
      </c>
      <c r="B6" s="35">
        <f t="shared" si="1"/>
        <v>46086</v>
      </c>
      <c r="C6" s="35">
        <f t="shared" si="1"/>
        <v>46092</v>
      </c>
      <c r="D6" s="25">
        <v>3281</v>
      </c>
      <c r="E6" s="34">
        <v>337</v>
      </c>
      <c r="F6" s="69">
        <v>4</v>
      </c>
      <c r="G6" s="25">
        <v>1</v>
      </c>
      <c r="H6" s="25">
        <v>81679</v>
      </c>
      <c r="I6" s="65" t="s">
        <v>17</v>
      </c>
      <c r="J6" s="70">
        <v>61076833</v>
      </c>
      <c r="K6" s="25" t="s">
        <v>6397</v>
      </c>
      <c r="L6" s="71" t="s">
        <v>6399</v>
      </c>
      <c r="M6" s="26">
        <v>99900</v>
      </c>
      <c r="N6" s="34">
        <v>0</v>
      </c>
      <c r="O6" s="36" t="str">
        <f t="shared" si="2"/>
        <v>SHARP PRICE</v>
      </c>
      <c r="P6" s="34" t="s">
        <v>6747</v>
      </c>
    </row>
    <row r="7" spans="1:16" customFormat="1" x14ac:dyDescent="0.35">
      <c r="A7" s="25" t="s">
        <v>6749</v>
      </c>
      <c r="B7" s="35">
        <f t="shared" si="1"/>
        <v>46086</v>
      </c>
      <c r="C7" s="35">
        <f t="shared" si="1"/>
        <v>46092</v>
      </c>
      <c r="D7" s="25">
        <v>3281</v>
      </c>
      <c r="E7" s="34">
        <v>337</v>
      </c>
      <c r="F7" s="69">
        <v>4</v>
      </c>
      <c r="G7" s="25">
        <v>1</v>
      </c>
      <c r="H7" s="25">
        <v>81679</v>
      </c>
      <c r="I7" s="65" t="s">
        <v>17</v>
      </c>
      <c r="J7" s="72">
        <v>61076842</v>
      </c>
      <c r="K7" s="25" t="s">
        <v>6397</v>
      </c>
      <c r="L7" s="73" t="s">
        <v>6398</v>
      </c>
      <c r="M7" s="26">
        <v>99900</v>
      </c>
      <c r="N7" s="34">
        <v>0</v>
      </c>
      <c r="O7" s="36" t="str">
        <f t="shared" si="2"/>
        <v>SHARP PRICE</v>
      </c>
      <c r="P7" s="34" t="s">
        <v>6747</v>
      </c>
    </row>
    <row r="8" spans="1:16" customFormat="1" x14ac:dyDescent="0.35">
      <c r="A8" s="25" t="s">
        <v>6749</v>
      </c>
      <c r="B8" s="35">
        <f t="shared" si="1"/>
        <v>46086</v>
      </c>
      <c r="C8" s="35">
        <f t="shared" si="1"/>
        <v>46092</v>
      </c>
      <c r="D8" s="25">
        <v>3281</v>
      </c>
      <c r="E8" s="34">
        <v>337</v>
      </c>
      <c r="F8" s="69">
        <v>4</v>
      </c>
      <c r="G8" s="25">
        <v>1</v>
      </c>
      <c r="H8" s="25">
        <v>81679</v>
      </c>
      <c r="I8" s="65" t="s">
        <v>17</v>
      </c>
      <c r="J8" s="70">
        <v>61076851</v>
      </c>
      <c r="K8" s="25" t="s">
        <v>6397</v>
      </c>
      <c r="L8" s="71" t="s">
        <v>6401</v>
      </c>
      <c r="M8" s="26">
        <v>99900</v>
      </c>
      <c r="N8" s="34">
        <v>0</v>
      </c>
      <c r="O8" s="36" t="str">
        <f t="shared" si="2"/>
        <v>SHARP PRICE</v>
      </c>
      <c r="P8" s="34" t="s">
        <v>6747</v>
      </c>
    </row>
    <row r="9" spans="1:16" customFormat="1" x14ac:dyDescent="0.35">
      <c r="A9" s="25" t="s">
        <v>6749</v>
      </c>
      <c r="B9" s="35">
        <f t="shared" si="1"/>
        <v>46086</v>
      </c>
      <c r="C9" s="35">
        <f t="shared" si="1"/>
        <v>46092</v>
      </c>
      <c r="D9" s="25">
        <v>3281</v>
      </c>
      <c r="E9" s="34">
        <v>337</v>
      </c>
      <c r="F9" s="69">
        <v>4</v>
      </c>
      <c r="G9" s="25">
        <v>1</v>
      </c>
      <c r="H9" s="25">
        <v>81679</v>
      </c>
      <c r="I9" s="65" t="s">
        <v>17</v>
      </c>
      <c r="J9" s="70">
        <v>61076860</v>
      </c>
      <c r="K9" s="25" t="s">
        <v>6397</v>
      </c>
      <c r="L9" s="71" t="s">
        <v>6400</v>
      </c>
      <c r="M9" s="26">
        <v>99900</v>
      </c>
      <c r="N9" s="34">
        <v>0</v>
      </c>
      <c r="O9" s="36" t="str">
        <f t="shared" si="2"/>
        <v>SHARP PRICE</v>
      </c>
      <c r="P9" s="34" t="s">
        <v>6747</v>
      </c>
    </row>
    <row r="10" spans="1:16" customFormat="1" x14ac:dyDescent="0.35">
      <c r="A10" s="25" t="s">
        <v>6749</v>
      </c>
      <c r="B10" s="35">
        <f t="shared" si="1"/>
        <v>46086</v>
      </c>
      <c r="C10" s="35">
        <f t="shared" si="1"/>
        <v>46092</v>
      </c>
      <c r="D10" s="25">
        <v>3281</v>
      </c>
      <c r="E10" s="34">
        <v>337</v>
      </c>
      <c r="F10" s="69">
        <v>4</v>
      </c>
      <c r="G10" s="25">
        <v>1</v>
      </c>
      <c r="H10" s="25">
        <v>81588</v>
      </c>
      <c r="I10" s="65" t="s">
        <v>17</v>
      </c>
      <c r="J10" s="70">
        <v>61076799</v>
      </c>
      <c r="K10" s="25" t="s">
        <v>6372</v>
      </c>
      <c r="L10" s="71" t="s">
        <v>6374</v>
      </c>
      <c r="M10" s="26">
        <v>99900</v>
      </c>
      <c r="N10" s="34">
        <v>0</v>
      </c>
      <c r="O10" s="36" t="str">
        <f t="shared" si="2"/>
        <v>SHARP PRICE</v>
      </c>
      <c r="P10" s="34" t="s">
        <v>6747</v>
      </c>
    </row>
    <row r="11" spans="1:16" customFormat="1" x14ac:dyDescent="0.35">
      <c r="A11" s="25" t="s">
        <v>6749</v>
      </c>
      <c r="B11" s="35">
        <f t="shared" si="1"/>
        <v>46086</v>
      </c>
      <c r="C11" s="35">
        <f t="shared" si="1"/>
        <v>46092</v>
      </c>
      <c r="D11" s="25">
        <v>3281</v>
      </c>
      <c r="E11" s="34">
        <v>337</v>
      </c>
      <c r="F11" s="69">
        <v>4</v>
      </c>
      <c r="G11" s="25">
        <v>1</v>
      </c>
      <c r="H11" s="25">
        <v>81588</v>
      </c>
      <c r="I11" s="65" t="s">
        <v>17</v>
      </c>
      <c r="J11" s="70">
        <v>61076806</v>
      </c>
      <c r="K11" s="25" t="s">
        <v>6372</v>
      </c>
      <c r="L11" s="71" t="s">
        <v>6373</v>
      </c>
      <c r="M11" s="26">
        <v>99900</v>
      </c>
      <c r="N11" s="34">
        <v>0</v>
      </c>
      <c r="O11" s="36" t="str">
        <f t="shared" si="2"/>
        <v>SHARP PRICE</v>
      </c>
      <c r="P11" s="34" t="s">
        <v>6747</v>
      </c>
    </row>
    <row r="12" spans="1:16" customFormat="1" x14ac:dyDescent="0.35">
      <c r="A12" s="25" t="s">
        <v>6749</v>
      </c>
      <c r="B12" s="35">
        <f t="shared" si="1"/>
        <v>46086</v>
      </c>
      <c r="C12" s="35">
        <f t="shared" si="1"/>
        <v>46092</v>
      </c>
      <c r="D12" s="25">
        <v>3281</v>
      </c>
      <c r="E12" s="34">
        <v>337</v>
      </c>
      <c r="F12" s="69">
        <v>4</v>
      </c>
      <c r="G12" s="25">
        <v>1</v>
      </c>
      <c r="H12" s="25">
        <v>81588</v>
      </c>
      <c r="I12" s="65" t="s">
        <v>17</v>
      </c>
      <c r="J12" s="70">
        <v>61076815</v>
      </c>
      <c r="K12" s="25" t="s">
        <v>6372</v>
      </c>
      <c r="L12" s="71" t="s">
        <v>6376</v>
      </c>
      <c r="M12" s="26">
        <v>99900</v>
      </c>
      <c r="N12" s="34">
        <v>0</v>
      </c>
      <c r="O12" s="36" t="str">
        <f t="shared" si="2"/>
        <v>SHARP PRICE</v>
      </c>
      <c r="P12" s="34" t="s">
        <v>6747</v>
      </c>
    </row>
    <row r="13" spans="1:16" customFormat="1" x14ac:dyDescent="0.35">
      <c r="A13" s="25" t="s">
        <v>6749</v>
      </c>
      <c r="B13" s="35">
        <f t="shared" si="1"/>
        <v>46086</v>
      </c>
      <c r="C13" s="35">
        <f t="shared" si="1"/>
        <v>46092</v>
      </c>
      <c r="D13" s="25">
        <v>3281</v>
      </c>
      <c r="E13" s="34">
        <v>337</v>
      </c>
      <c r="F13" s="69">
        <v>4</v>
      </c>
      <c r="G13" s="25">
        <v>1</v>
      </c>
      <c r="H13" s="25">
        <v>81588</v>
      </c>
      <c r="I13" s="65" t="s">
        <v>17</v>
      </c>
      <c r="J13" s="70">
        <v>61076824</v>
      </c>
      <c r="K13" s="25" t="s">
        <v>6372</v>
      </c>
      <c r="L13" s="71" t="s">
        <v>6375</v>
      </c>
      <c r="M13" s="26">
        <v>99900</v>
      </c>
      <c r="N13" s="34">
        <v>0</v>
      </c>
      <c r="O13" s="36" t="str">
        <f t="shared" si="2"/>
        <v>SHARP PRICE</v>
      </c>
      <c r="P13" s="34" t="s">
        <v>6747</v>
      </c>
    </row>
    <row r="14" spans="1:16" customFormat="1" x14ac:dyDescent="0.35">
      <c r="A14" s="25" t="s">
        <v>6749</v>
      </c>
      <c r="B14" s="35">
        <f t="shared" si="1"/>
        <v>46086</v>
      </c>
      <c r="C14" s="35">
        <f t="shared" si="1"/>
        <v>46092</v>
      </c>
      <c r="D14" s="25">
        <v>3281</v>
      </c>
      <c r="E14" s="34">
        <v>337</v>
      </c>
      <c r="F14" s="69">
        <v>4</v>
      </c>
      <c r="G14" s="25">
        <v>1</v>
      </c>
      <c r="H14" s="25">
        <v>81588</v>
      </c>
      <c r="I14" s="65" t="s">
        <v>17</v>
      </c>
      <c r="J14" s="70">
        <v>61076753</v>
      </c>
      <c r="K14" s="25" t="s">
        <v>6377</v>
      </c>
      <c r="L14" s="71" t="s">
        <v>6379</v>
      </c>
      <c r="M14" s="26">
        <v>99900</v>
      </c>
      <c r="N14" s="34">
        <v>0</v>
      </c>
      <c r="O14" s="36" t="str">
        <f t="shared" si="2"/>
        <v>SHARP PRICE</v>
      </c>
      <c r="P14" s="34" t="s">
        <v>6747</v>
      </c>
    </row>
    <row r="15" spans="1:16" customFormat="1" x14ac:dyDescent="0.35">
      <c r="A15" s="25" t="s">
        <v>6749</v>
      </c>
      <c r="B15" s="35">
        <f t="shared" si="1"/>
        <v>46086</v>
      </c>
      <c r="C15" s="35">
        <f t="shared" si="1"/>
        <v>46092</v>
      </c>
      <c r="D15" s="25">
        <v>3281</v>
      </c>
      <c r="E15" s="34">
        <v>337</v>
      </c>
      <c r="F15" s="69">
        <v>4</v>
      </c>
      <c r="G15" s="25">
        <v>1</v>
      </c>
      <c r="H15" s="25">
        <v>81588</v>
      </c>
      <c r="I15" s="65" t="s">
        <v>17</v>
      </c>
      <c r="J15" s="70">
        <v>61076762</v>
      </c>
      <c r="K15" s="25" t="s">
        <v>6377</v>
      </c>
      <c r="L15" s="71" t="s">
        <v>6378</v>
      </c>
      <c r="M15" s="26">
        <v>99900</v>
      </c>
      <c r="N15" s="34">
        <v>0</v>
      </c>
      <c r="O15" s="36" t="str">
        <f t="shared" si="2"/>
        <v>SHARP PRICE</v>
      </c>
      <c r="P15" s="34" t="s">
        <v>6747</v>
      </c>
    </row>
    <row r="16" spans="1:16" customFormat="1" x14ac:dyDescent="0.35">
      <c r="A16" s="25" t="s">
        <v>6749</v>
      </c>
      <c r="B16" s="35">
        <f t="shared" si="1"/>
        <v>46086</v>
      </c>
      <c r="C16" s="35">
        <f t="shared" si="1"/>
        <v>46092</v>
      </c>
      <c r="D16" s="25">
        <v>3281</v>
      </c>
      <c r="E16" s="34">
        <v>337</v>
      </c>
      <c r="F16" s="69">
        <v>4</v>
      </c>
      <c r="G16" s="25">
        <v>1</v>
      </c>
      <c r="H16" s="25">
        <v>81588</v>
      </c>
      <c r="I16" s="65" t="s">
        <v>17</v>
      </c>
      <c r="J16" s="70">
        <v>61076771</v>
      </c>
      <c r="K16" s="25" t="s">
        <v>6377</v>
      </c>
      <c r="L16" s="71" t="s">
        <v>6381</v>
      </c>
      <c r="M16" s="26">
        <v>99900</v>
      </c>
      <c r="N16" s="34">
        <v>0</v>
      </c>
      <c r="O16" s="36" t="str">
        <f t="shared" si="2"/>
        <v>SHARP PRICE</v>
      </c>
      <c r="P16" s="34" t="s">
        <v>6747</v>
      </c>
    </row>
    <row r="17" spans="1:16" customFormat="1" x14ac:dyDescent="0.35">
      <c r="A17" s="25" t="s">
        <v>6749</v>
      </c>
      <c r="B17" s="35">
        <f t="shared" si="1"/>
        <v>46086</v>
      </c>
      <c r="C17" s="35">
        <f t="shared" si="1"/>
        <v>46092</v>
      </c>
      <c r="D17" s="25">
        <v>3281</v>
      </c>
      <c r="E17" s="34">
        <v>337</v>
      </c>
      <c r="F17" s="69">
        <v>4</v>
      </c>
      <c r="G17" s="25">
        <v>1</v>
      </c>
      <c r="H17" s="25">
        <v>81588</v>
      </c>
      <c r="I17" s="65" t="s">
        <v>17</v>
      </c>
      <c r="J17" s="70">
        <v>61076780</v>
      </c>
      <c r="K17" s="25" t="s">
        <v>6377</v>
      </c>
      <c r="L17" s="71" t="s">
        <v>6380</v>
      </c>
      <c r="M17" s="26">
        <v>99900</v>
      </c>
      <c r="N17" s="34">
        <v>0</v>
      </c>
      <c r="O17" s="36" t="str">
        <f t="shared" si="2"/>
        <v>SHARP PRICE</v>
      </c>
      <c r="P17" s="34" t="s">
        <v>6747</v>
      </c>
    </row>
    <row r="18" spans="1:16" customFormat="1" x14ac:dyDescent="0.35">
      <c r="A18" s="25" t="s">
        <v>6749</v>
      </c>
      <c r="B18" s="35">
        <f t="shared" si="1"/>
        <v>46086</v>
      </c>
      <c r="C18" s="35">
        <f t="shared" si="1"/>
        <v>46092</v>
      </c>
      <c r="D18" s="25">
        <v>3281</v>
      </c>
      <c r="E18" s="34">
        <v>337</v>
      </c>
      <c r="F18" s="69">
        <v>4</v>
      </c>
      <c r="G18" s="25">
        <v>1</v>
      </c>
      <c r="H18" s="25">
        <v>81588</v>
      </c>
      <c r="I18" s="65" t="s">
        <v>17</v>
      </c>
      <c r="J18" s="70">
        <v>61076879</v>
      </c>
      <c r="K18" s="25" t="s">
        <v>6387</v>
      </c>
      <c r="L18" s="71" t="s">
        <v>6390</v>
      </c>
      <c r="M18" s="26">
        <v>99900</v>
      </c>
      <c r="N18" s="34">
        <v>0</v>
      </c>
      <c r="O18" s="36" t="str">
        <f t="shared" si="2"/>
        <v>SHARP PRICE</v>
      </c>
      <c r="P18" s="34" t="s">
        <v>6747</v>
      </c>
    </row>
    <row r="19" spans="1:16" customFormat="1" x14ac:dyDescent="0.35">
      <c r="A19" s="25" t="s">
        <v>6749</v>
      </c>
      <c r="B19" s="35">
        <f t="shared" si="1"/>
        <v>46086</v>
      </c>
      <c r="C19" s="35">
        <f t="shared" si="1"/>
        <v>46092</v>
      </c>
      <c r="D19" s="56">
        <v>3281</v>
      </c>
      <c r="E19" s="20">
        <v>337</v>
      </c>
      <c r="F19" s="74">
        <v>4</v>
      </c>
      <c r="G19" s="25">
        <v>1</v>
      </c>
      <c r="H19" s="25">
        <v>81588</v>
      </c>
      <c r="I19" s="75" t="s">
        <v>17</v>
      </c>
      <c r="J19" s="70">
        <v>61076888</v>
      </c>
      <c r="K19" s="25" t="s">
        <v>6387</v>
      </c>
      <c r="L19" s="71" t="s">
        <v>6388</v>
      </c>
      <c r="M19" s="76">
        <v>99900</v>
      </c>
      <c r="N19" s="34">
        <v>0</v>
      </c>
      <c r="O19" s="36" t="str">
        <f t="shared" si="2"/>
        <v>SHARP PRICE</v>
      </c>
      <c r="P19" s="34" t="s">
        <v>6747</v>
      </c>
    </row>
    <row r="20" spans="1:16" customFormat="1" x14ac:dyDescent="0.35">
      <c r="A20" s="25" t="s">
        <v>6749</v>
      </c>
      <c r="B20" s="35">
        <f t="shared" si="1"/>
        <v>46086</v>
      </c>
      <c r="C20" s="35">
        <f t="shared" si="1"/>
        <v>46092</v>
      </c>
      <c r="D20" s="25">
        <v>3281</v>
      </c>
      <c r="E20" s="34">
        <v>337</v>
      </c>
      <c r="F20" s="69">
        <v>4</v>
      </c>
      <c r="G20" s="25">
        <v>1</v>
      </c>
      <c r="H20" s="25">
        <v>81588</v>
      </c>
      <c r="I20" s="65" t="s">
        <v>17</v>
      </c>
      <c r="J20" s="77">
        <v>61076897</v>
      </c>
      <c r="K20" s="25" t="s">
        <v>6387</v>
      </c>
      <c r="L20" s="64" t="s">
        <v>6389</v>
      </c>
      <c r="M20" s="26">
        <v>99900</v>
      </c>
      <c r="N20" s="34">
        <v>0</v>
      </c>
      <c r="O20" s="36" t="str">
        <f t="shared" si="2"/>
        <v>SHARP PRICE</v>
      </c>
      <c r="P20" s="34" t="s">
        <v>6747</v>
      </c>
    </row>
    <row r="21" spans="1:16" customFormat="1" x14ac:dyDescent="0.35">
      <c r="A21" s="25" t="s">
        <v>6749</v>
      </c>
      <c r="B21" s="35">
        <f t="shared" si="1"/>
        <v>46086</v>
      </c>
      <c r="C21" s="35">
        <f t="shared" si="1"/>
        <v>46092</v>
      </c>
      <c r="D21" s="25">
        <v>3281</v>
      </c>
      <c r="E21" s="34">
        <v>337</v>
      </c>
      <c r="F21" s="69">
        <v>4</v>
      </c>
      <c r="G21" s="25">
        <v>1</v>
      </c>
      <c r="H21" s="25">
        <v>81588</v>
      </c>
      <c r="I21" s="65" t="s">
        <v>17</v>
      </c>
      <c r="J21" s="77">
        <v>61076904</v>
      </c>
      <c r="K21" s="25" t="s">
        <v>6387</v>
      </c>
      <c r="L21" s="64" t="s">
        <v>6391</v>
      </c>
      <c r="M21" s="26">
        <v>99900</v>
      </c>
      <c r="N21" s="34">
        <v>0</v>
      </c>
      <c r="O21" s="36" t="str">
        <f t="shared" si="2"/>
        <v>SHARP PRICE</v>
      </c>
      <c r="P21" s="34" t="s">
        <v>6747</v>
      </c>
    </row>
    <row r="22" spans="1:16" customFormat="1" x14ac:dyDescent="0.35">
      <c r="A22" s="25" t="s">
        <v>6749</v>
      </c>
      <c r="B22" s="35">
        <f t="shared" si="1"/>
        <v>46086</v>
      </c>
      <c r="C22" s="35">
        <f t="shared" si="1"/>
        <v>46092</v>
      </c>
      <c r="D22" s="25">
        <v>3281</v>
      </c>
      <c r="E22" s="34">
        <v>337</v>
      </c>
      <c r="F22" s="69">
        <v>4</v>
      </c>
      <c r="G22" s="25">
        <v>1</v>
      </c>
      <c r="H22" s="25">
        <v>81588</v>
      </c>
      <c r="I22" s="65" t="s">
        <v>17</v>
      </c>
      <c r="J22" s="77">
        <v>61076913</v>
      </c>
      <c r="K22" s="25" t="s">
        <v>6382</v>
      </c>
      <c r="L22" s="64" t="s">
        <v>6384</v>
      </c>
      <c r="M22" s="26">
        <v>99900</v>
      </c>
      <c r="N22" s="34">
        <v>0</v>
      </c>
      <c r="O22" s="36" t="str">
        <f t="shared" si="2"/>
        <v>SHARP PRICE</v>
      </c>
      <c r="P22" s="34" t="s">
        <v>6747</v>
      </c>
    </row>
    <row r="23" spans="1:16" customFormat="1" x14ac:dyDescent="0.35">
      <c r="A23" s="25" t="s">
        <v>6749</v>
      </c>
      <c r="B23" s="35">
        <f t="shared" si="1"/>
        <v>46086</v>
      </c>
      <c r="C23" s="35">
        <f t="shared" si="1"/>
        <v>46092</v>
      </c>
      <c r="D23" s="25">
        <v>3281</v>
      </c>
      <c r="E23" s="34">
        <v>337</v>
      </c>
      <c r="F23" s="69">
        <v>4</v>
      </c>
      <c r="G23" s="25">
        <v>1</v>
      </c>
      <c r="H23" s="25">
        <v>81588</v>
      </c>
      <c r="I23" s="65" t="s">
        <v>17</v>
      </c>
      <c r="J23" s="77">
        <v>61076922</v>
      </c>
      <c r="K23" s="25" t="s">
        <v>6382</v>
      </c>
      <c r="L23" s="64" t="s">
        <v>6383</v>
      </c>
      <c r="M23" s="26">
        <v>99900</v>
      </c>
      <c r="N23" s="34">
        <v>0</v>
      </c>
      <c r="O23" s="36" t="str">
        <f t="shared" si="2"/>
        <v>SHARP PRICE</v>
      </c>
      <c r="P23" s="34" t="s">
        <v>6747</v>
      </c>
    </row>
    <row r="24" spans="1:16" customFormat="1" x14ac:dyDescent="0.35">
      <c r="A24" s="25" t="s">
        <v>6749</v>
      </c>
      <c r="B24" s="78">
        <f t="shared" si="1"/>
        <v>46086</v>
      </c>
      <c r="C24" s="78">
        <f t="shared" si="1"/>
        <v>46092</v>
      </c>
      <c r="D24" s="56">
        <v>3281</v>
      </c>
      <c r="E24" s="20">
        <v>337</v>
      </c>
      <c r="F24" s="74">
        <v>4</v>
      </c>
      <c r="G24" s="56">
        <v>1</v>
      </c>
      <c r="H24" s="56">
        <v>81588</v>
      </c>
      <c r="I24" s="75" t="s">
        <v>17</v>
      </c>
      <c r="J24" s="79">
        <v>61076931</v>
      </c>
      <c r="K24" s="56" t="s">
        <v>6382</v>
      </c>
      <c r="L24" s="80" t="s">
        <v>6386</v>
      </c>
      <c r="M24" s="76">
        <v>99900</v>
      </c>
      <c r="N24" s="34">
        <v>0</v>
      </c>
      <c r="O24" s="36" t="str">
        <f t="shared" si="2"/>
        <v>SHARP PRICE</v>
      </c>
      <c r="P24" s="34" t="s">
        <v>6747</v>
      </c>
    </row>
    <row r="25" spans="1:16" customFormat="1" x14ac:dyDescent="0.35">
      <c r="A25" s="25" t="s">
        <v>6749</v>
      </c>
      <c r="B25" s="35">
        <f t="shared" si="1"/>
        <v>46086</v>
      </c>
      <c r="C25" s="35">
        <f t="shared" si="1"/>
        <v>46092</v>
      </c>
      <c r="D25" s="25">
        <v>3281</v>
      </c>
      <c r="E25" s="34">
        <v>337</v>
      </c>
      <c r="F25" s="34">
        <v>4</v>
      </c>
      <c r="G25" s="25">
        <v>1</v>
      </c>
      <c r="H25" s="25">
        <v>81588</v>
      </c>
      <c r="I25" s="34" t="s">
        <v>17</v>
      </c>
      <c r="J25" s="25">
        <v>61076940</v>
      </c>
      <c r="K25" s="25" t="s">
        <v>6382</v>
      </c>
      <c r="L25" s="24" t="s">
        <v>6385</v>
      </c>
      <c r="M25" s="26">
        <v>99900</v>
      </c>
      <c r="N25" s="34">
        <v>0</v>
      </c>
      <c r="O25" s="36" t="str">
        <f t="shared" si="2"/>
        <v>SHARP PRICE</v>
      </c>
      <c r="P25" s="34" t="s">
        <v>6747</v>
      </c>
    </row>
  </sheetData>
  <phoneticPr fontId="8" type="noConversion"/>
  <conditionalFormatting sqref="J1">
    <cfRule type="duplicateValues" dxfId="14" priority="1"/>
    <cfRule type="duplicateValues" dxfId="13" priority="2"/>
    <cfRule type="duplicateValues" dxfId="12" priority="3"/>
    <cfRule type="duplicateValues" dxfId="11" priority="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9"/>
  <sheetViews>
    <sheetView zoomScale="59" zoomScaleNormal="100" workbookViewId="0">
      <pane ySplit="1" topLeftCell="A2" activePane="bottomLeft" state="frozen"/>
      <selection activeCell="M12" sqref="M12"/>
      <selection pane="bottomLeft" activeCell="L18" sqref="L18"/>
    </sheetView>
  </sheetViews>
  <sheetFormatPr defaultColWidth="8.81640625" defaultRowHeight="14.5" x14ac:dyDescent="0.35"/>
  <cols>
    <col min="1" max="1" width="27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5.90625" style="39" customWidth="1"/>
    <col min="14" max="14" width="8.81640625" style="28" customWidth="1"/>
    <col min="15" max="15" width="17.9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'2025 HILITE D80 - 3321'!B2</f>
        <v>46086</v>
      </c>
      <c r="C2" s="35">
        <f>'2025 HILITE D80 - 3321'!C2</f>
        <v>46092</v>
      </c>
      <c r="D2" s="34">
        <v>3281</v>
      </c>
      <c r="E2" s="34">
        <v>337</v>
      </c>
      <c r="F2" s="34">
        <v>4</v>
      </c>
      <c r="G2" s="25">
        <v>3</v>
      </c>
      <c r="H2" s="25">
        <v>81588</v>
      </c>
      <c r="I2" s="34" t="s">
        <v>17</v>
      </c>
      <c r="J2" s="24">
        <v>54822129</v>
      </c>
      <c r="K2" s="24" t="s">
        <v>6726</v>
      </c>
      <c r="L2" s="24" t="s">
        <v>6727</v>
      </c>
      <c r="M2" s="44">
        <v>229900</v>
      </c>
      <c r="N2" s="22">
        <v>0.3</v>
      </c>
      <c r="O2" s="34">
        <f>M2-((30*M2)/100)</f>
        <v>160930</v>
      </c>
      <c r="P2" s="22" t="s">
        <v>16</v>
      </c>
    </row>
    <row r="3" spans="1:16" x14ac:dyDescent="0.35">
      <c r="A3" s="34" t="s">
        <v>6748</v>
      </c>
      <c r="B3" s="35">
        <f>B2</f>
        <v>46086</v>
      </c>
      <c r="C3" s="35">
        <f>C2</f>
        <v>46092</v>
      </c>
      <c r="D3" s="34">
        <v>3281</v>
      </c>
      <c r="E3" s="34">
        <v>337</v>
      </c>
      <c r="F3" s="34">
        <v>4</v>
      </c>
      <c r="G3" s="25">
        <v>3</v>
      </c>
      <c r="H3" s="25">
        <v>81588</v>
      </c>
      <c r="I3" s="34" t="s">
        <v>17</v>
      </c>
      <c r="J3" s="24">
        <v>54822138</v>
      </c>
      <c r="K3" s="24" t="s">
        <v>6726</v>
      </c>
      <c r="L3" s="24" t="s">
        <v>6728</v>
      </c>
      <c r="M3" s="44">
        <v>229900</v>
      </c>
      <c r="N3" s="22">
        <f>N2</f>
        <v>0.3</v>
      </c>
      <c r="O3" s="34">
        <f>M3-((30*M3)/100)</f>
        <v>160930</v>
      </c>
      <c r="P3" s="22" t="str">
        <f>P2</f>
        <v>PERCENTAGE</v>
      </c>
    </row>
    <row r="4" spans="1:16" x14ac:dyDescent="0.35">
      <c r="A4" s="34" t="s">
        <v>6748</v>
      </c>
      <c r="B4" s="35">
        <f t="shared" ref="B4:C9" si="0">B3</f>
        <v>46086</v>
      </c>
      <c r="C4" s="35">
        <f t="shared" si="0"/>
        <v>46092</v>
      </c>
      <c r="D4" s="34">
        <v>3281</v>
      </c>
      <c r="E4" s="34">
        <v>337</v>
      </c>
      <c r="F4" s="34">
        <v>4</v>
      </c>
      <c r="G4" s="25">
        <v>3</v>
      </c>
      <c r="H4" s="25">
        <v>81588</v>
      </c>
      <c r="I4" s="34" t="s">
        <v>17</v>
      </c>
      <c r="J4" s="24">
        <v>54822147</v>
      </c>
      <c r="K4" s="24" t="s">
        <v>6726</v>
      </c>
      <c r="L4" s="24" t="s">
        <v>6729</v>
      </c>
      <c r="M4" s="44">
        <v>229900</v>
      </c>
      <c r="N4" s="22">
        <f t="shared" ref="N4:N9" si="1">N3</f>
        <v>0.3</v>
      </c>
      <c r="O4" s="34">
        <f t="shared" ref="O4:O9" si="2">M4-((30*M4)/100)</f>
        <v>160930</v>
      </c>
      <c r="P4" s="22" t="str">
        <f t="shared" ref="P4:P9" si="3">P3</f>
        <v>PERCENTAGE</v>
      </c>
    </row>
    <row r="5" spans="1:16" x14ac:dyDescent="0.35">
      <c r="A5" s="34" t="s">
        <v>6748</v>
      </c>
      <c r="B5" s="35">
        <f t="shared" si="0"/>
        <v>46086</v>
      </c>
      <c r="C5" s="35">
        <f t="shared" si="0"/>
        <v>46092</v>
      </c>
      <c r="D5" s="34">
        <v>3281</v>
      </c>
      <c r="E5" s="34">
        <v>337</v>
      </c>
      <c r="F5" s="34">
        <v>4</v>
      </c>
      <c r="G5" s="25">
        <v>3</v>
      </c>
      <c r="H5" s="25">
        <v>81588</v>
      </c>
      <c r="I5" s="34" t="s">
        <v>17</v>
      </c>
      <c r="J5" s="24">
        <v>54822156</v>
      </c>
      <c r="K5" s="24" t="s">
        <v>6726</v>
      </c>
      <c r="L5" s="24" t="s">
        <v>6730</v>
      </c>
      <c r="M5" s="44">
        <v>229900</v>
      </c>
      <c r="N5" s="22">
        <f t="shared" si="1"/>
        <v>0.3</v>
      </c>
      <c r="O5" s="34">
        <f t="shared" si="2"/>
        <v>160930</v>
      </c>
      <c r="P5" s="22" t="str">
        <f t="shared" si="3"/>
        <v>PERCENTAGE</v>
      </c>
    </row>
    <row r="6" spans="1:16" x14ac:dyDescent="0.35">
      <c r="A6" s="34" t="s">
        <v>6748</v>
      </c>
      <c r="B6" s="35">
        <f t="shared" si="0"/>
        <v>46086</v>
      </c>
      <c r="C6" s="35">
        <f t="shared" si="0"/>
        <v>46092</v>
      </c>
      <c r="D6" s="34">
        <v>3281</v>
      </c>
      <c r="E6" s="34">
        <v>337</v>
      </c>
      <c r="F6" s="34">
        <v>4</v>
      </c>
      <c r="G6" s="25">
        <v>4</v>
      </c>
      <c r="H6" s="25">
        <v>81146</v>
      </c>
      <c r="I6" s="34" t="s">
        <v>17</v>
      </c>
      <c r="J6" s="24">
        <v>55620407</v>
      </c>
      <c r="K6" s="24" t="s">
        <v>6634</v>
      </c>
      <c r="L6" s="24" t="s">
        <v>6637</v>
      </c>
      <c r="M6" s="44">
        <v>179900</v>
      </c>
      <c r="N6" s="22">
        <f t="shared" si="1"/>
        <v>0.3</v>
      </c>
      <c r="O6" s="34">
        <f t="shared" si="2"/>
        <v>125930</v>
      </c>
      <c r="P6" s="22" t="str">
        <f t="shared" si="3"/>
        <v>PERCENTAGE</v>
      </c>
    </row>
    <row r="7" spans="1:16" x14ac:dyDescent="0.35">
      <c r="A7" s="34" t="s">
        <v>6748</v>
      </c>
      <c r="B7" s="35">
        <f t="shared" si="0"/>
        <v>46086</v>
      </c>
      <c r="C7" s="35">
        <f t="shared" si="0"/>
        <v>46092</v>
      </c>
      <c r="D7" s="34">
        <v>3281</v>
      </c>
      <c r="E7" s="34">
        <v>337</v>
      </c>
      <c r="F7" s="34">
        <v>4</v>
      </c>
      <c r="G7" s="25">
        <v>4</v>
      </c>
      <c r="H7" s="25">
        <v>81146</v>
      </c>
      <c r="I7" s="34" t="s">
        <v>17</v>
      </c>
      <c r="J7" s="24">
        <v>55620416</v>
      </c>
      <c r="K7" s="24" t="s">
        <v>6634</v>
      </c>
      <c r="L7" s="24" t="s">
        <v>6635</v>
      </c>
      <c r="M7" s="44">
        <v>179900</v>
      </c>
      <c r="N7" s="22">
        <f t="shared" si="1"/>
        <v>0.3</v>
      </c>
      <c r="O7" s="34">
        <f t="shared" si="2"/>
        <v>125930</v>
      </c>
      <c r="P7" s="22" t="str">
        <f t="shared" si="3"/>
        <v>PERCENTAGE</v>
      </c>
    </row>
    <row r="8" spans="1:16" x14ac:dyDescent="0.35">
      <c r="A8" s="34" t="s">
        <v>6748</v>
      </c>
      <c r="B8" s="35">
        <f t="shared" si="0"/>
        <v>46086</v>
      </c>
      <c r="C8" s="35">
        <f t="shared" si="0"/>
        <v>46092</v>
      </c>
      <c r="D8" s="34">
        <v>3281</v>
      </c>
      <c r="E8" s="34">
        <v>337</v>
      </c>
      <c r="F8" s="34">
        <v>4</v>
      </c>
      <c r="G8" s="25">
        <v>4</v>
      </c>
      <c r="H8" s="25">
        <v>81146</v>
      </c>
      <c r="I8" s="34" t="s">
        <v>17</v>
      </c>
      <c r="J8" s="24">
        <v>55620425</v>
      </c>
      <c r="K8" s="24" t="s">
        <v>6634</v>
      </c>
      <c r="L8" s="24" t="s">
        <v>6638</v>
      </c>
      <c r="M8" s="44">
        <v>179900</v>
      </c>
      <c r="N8" s="22">
        <f t="shared" si="1"/>
        <v>0.3</v>
      </c>
      <c r="O8" s="34">
        <f t="shared" si="2"/>
        <v>125930</v>
      </c>
      <c r="P8" s="22" t="str">
        <f t="shared" si="3"/>
        <v>PERCENTAGE</v>
      </c>
    </row>
    <row r="9" spans="1:16" x14ac:dyDescent="0.35">
      <c r="A9" s="34" t="s">
        <v>6748</v>
      </c>
      <c r="B9" s="35">
        <f t="shared" si="0"/>
        <v>46086</v>
      </c>
      <c r="C9" s="35">
        <f t="shared" si="0"/>
        <v>46092</v>
      </c>
      <c r="D9" s="34">
        <v>3281</v>
      </c>
      <c r="E9" s="34">
        <v>337</v>
      </c>
      <c r="F9" s="34">
        <v>4</v>
      </c>
      <c r="G9" s="25">
        <v>4</v>
      </c>
      <c r="H9" s="25">
        <v>81146</v>
      </c>
      <c r="I9" s="34" t="s">
        <v>17</v>
      </c>
      <c r="J9" s="24">
        <v>55620434</v>
      </c>
      <c r="K9" s="24" t="s">
        <v>6634</v>
      </c>
      <c r="L9" s="24" t="s">
        <v>6636</v>
      </c>
      <c r="M9" s="44">
        <v>179900</v>
      </c>
      <c r="N9" s="22">
        <f t="shared" si="1"/>
        <v>0.3</v>
      </c>
      <c r="O9" s="34">
        <f t="shared" si="2"/>
        <v>125930</v>
      </c>
      <c r="P9" s="22" t="str">
        <f t="shared" si="3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0" priority="1"/>
  </conditionalFormatting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8ED-E89B-4817-BEC0-3E734E9DC5E3}">
  <dimension ref="A1:P40"/>
  <sheetViews>
    <sheetView zoomScale="59" zoomScaleNormal="100" workbookViewId="0">
      <pane ySplit="1" topLeftCell="A2" activePane="bottomLeft" state="frozen"/>
      <selection activeCell="M23" sqref="M23"/>
      <selection pane="bottomLeft" activeCell="D16" sqref="D16"/>
    </sheetView>
  </sheetViews>
  <sheetFormatPr defaultColWidth="8.81640625" defaultRowHeight="14.5" x14ac:dyDescent="0.35"/>
  <cols>
    <col min="1" max="1" width="31.089843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6743</v>
      </c>
      <c r="B2" s="35">
        <f>'2025 HILITE D80 - 3321'!B2</f>
        <v>46086</v>
      </c>
      <c r="C2" s="35">
        <f>'2025 HILITE D80 - 3321'!C2</f>
        <v>46092</v>
      </c>
      <c r="D2" s="34">
        <v>3281</v>
      </c>
      <c r="E2" s="34">
        <v>337</v>
      </c>
      <c r="F2" s="34">
        <v>4</v>
      </c>
      <c r="G2" s="25">
        <v>1</v>
      </c>
      <c r="H2" s="25">
        <v>81588</v>
      </c>
      <c r="I2" s="34" t="s">
        <v>17</v>
      </c>
      <c r="J2" s="24">
        <v>55419617</v>
      </c>
      <c r="K2" s="24" t="s">
        <v>6141</v>
      </c>
      <c r="L2" s="24" t="s">
        <v>6143</v>
      </c>
      <c r="M2" s="44">
        <v>99900</v>
      </c>
      <c r="N2" s="36" t="s">
        <v>2569</v>
      </c>
      <c r="O2" s="14" t="s">
        <v>2577</v>
      </c>
      <c r="P2" s="36" t="s">
        <v>2569</v>
      </c>
    </row>
    <row r="3" spans="1:16" x14ac:dyDescent="0.35">
      <c r="A3" s="34" t="str">
        <f>A2</f>
        <v>2025 AUG B1G1 - 3281</v>
      </c>
      <c r="B3" s="35">
        <f>B2</f>
        <v>46086</v>
      </c>
      <c r="C3" s="35">
        <f>C2</f>
        <v>46092</v>
      </c>
      <c r="D3" s="34">
        <v>3281</v>
      </c>
      <c r="E3" s="34">
        <v>337</v>
      </c>
      <c r="F3" s="34">
        <v>4</v>
      </c>
      <c r="G3" s="25">
        <v>1</v>
      </c>
      <c r="H3" s="25">
        <v>81588</v>
      </c>
      <c r="I3" s="34" t="s">
        <v>17</v>
      </c>
      <c r="J3" s="24">
        <v>55419626</v>
      </c>
      <c r="K3" s="24" t="s">
        <v>6141</v>
      </c>
      <c r="L3" s="24" t="s">
        <v>6142</v>
      </c>
      <c r="M3" s="44">
        <v>99900</v>
      </c>
      <c r="N3" s="36" t="s">
        <v>2569</v>
      </c>
      <c r="O3" s="14" t="str">
        <f>O2</f>
        <v>B1G1</v>
      </c>
      <c r="P3" s="36" t="s">
        <v>2569</v>
      </c>
    </row>
    <row r="4" spans="1:16" x14ac:dyDescent="0.35">
      <c r="A4" s="34" t="str">
        <f t="shared" ref="A4:A40" si="0">A3</f>
        <v>2025 AUG B1G1 - 3281</v>
      </c>
      <c r="B4" s="35">
        <f t="shared" ref="B4:B40" si="1">B3</f>
        <v>46086</v>
      </c>
      <c r="C4" s="35">
        <f t="shared" ref="C4:C40" si="2">C3</f>
        <v>46092</v>
      </c>
      <c r="D4" s="34">
        <v>3281</v>
      </c>
      <c r="E4" s="34">
        <v>337</v>
      </c>
      <c r="F4" s="34">
        <v>4</v>
      </c>
      <c r="G4" s="25">
        <v>1</v>
      </c>
      <c r="H4" s="25">
        <v>81588</v>
      </c>
      <c r="I4" s="34" t="s">
        <v>17</v>
      </c>
      <c r="J4" s="24">
        <v>55419635</v>
      </c>
      <c r="K4" s="24" t="s">
        <v>6141</v>
      </c>
      <c r="L4" s="24" t="s">
        <v>6144</v>
      </c>
      <c r="M4" s="44">
        <v>99900</v>
      </c>
      <c r="N4" s="36" t="s">
        <v>2569</v>
      </c>
      <c r="O4" s="14" t="str">
        <f t="shared" ref="O4:O40" si="3">O3</f>
        <v>B1G1</v>
      </c>
      <c r="P4" s="36" t="s">
        <v>2569</v>
      </c>
    </row>
    <row r="5" spans="1:16" x14ac:dyDescent="0.35">
      <c r="A5" s="34" t="str">
        <f t="shared" si="0"/>
        <v>2025 AUG B1G1 - 3281</v>
      </c>
      <c r="B5" s="35">
        <f t="shared" si="1"/>
        <v>46086</v>
      </c>
      <c r="C5" s="35">
        <f t="shared" si="2"/>
        <v>46092</v>
      </c>
      <c r="D5" s="34">
        <v>3281</v>
      </c>
      <c r="E5" s="34">
        <v>337</v>
      </c>
      <c r="F5" s="34">
        <v>4</v>
      </c>
      <c r="G5" s="25">
        <v>1</v>
      </c>
      <c r="H5" s="25">
        <v>81588</v>
      </c>
      <c r="I5" s="34" t="s">
        <v>17</v>
      </c>
      <c r="J5" s="24">
        <v>55419644</v>
      </c>
      <c r="K5" s="24" t="s">
        <v>6141</v>
      </c>
      <c r="L5" s="24" t="s">
        <v>6147</v>
      </c>
      <c r="M5" s="44">
        <v>99900</v>
      </c>
      <c r="N5" s="36" t="s">
        <v>2569</v>
      </c>
      <c r="O5" s="14" t="str">
        <f t="shared" si="3"/>
        <v>B1G1</v>
      </c>
      <c r="P5" s="36" t="s">
        <v>2569</v>
      </c>
    </row>
    <row r="6" spans="1:16" x14ac:dyDescent="0.35">
      <c r="A6" s="34" t="str">
        <f t="shared" si="0"/>
        <v>2025 AUG B1G1 - 3281</v>
      </c>
      <c r="B6" s="35">
        <f t="shared" si="1"/>
        <v>46086</v>
      </c>
      <c r="C6" s="35">
        <f t="shared" si="2"/>
        <v>46092</v>
      </c>
      <c r="D6" s="34">
        <v>3281</v>
      </c>
      <c r="E6" s="34">
        <v>337</v>
      </c>
      <c r="F6" s="34">
        <v>4</v>
      </c>
      <c r="G6" s="25">
        <v>1</v>
      </c>
      <c r="H6" s="25">
        <v>81588</v>
      </c>
      <c r="I6" s="34" t="s">
        <v>17</v>
      </c>
      <c r="J6" s="24">
        <v>55419653</v>
      </c>
      <c r="K6" s="24" t="s">
        <v>6141</v>
      </c>
      <c r="L6" s="24" t="s">
        <v>6145</v>
      </c>
      <c r="M6" s="44">
        <v>99900</v>
      </c>
      <c r="N6" s="36" t="s">
        <v>2569</v>
      </c>
      <c r="O6" s="14" t="str">
        <f t="shared" si="3"/>
        <v>B1G1</v>
      </c>
      <c r="P6" s="36" t="s">
        <v>2569</v>
      </c>
    </row>
    <row r="7" spans="1:16" x14ac:dyDescent="0.35">
      <c r="A7" s="34" t="str">
        <f t="shared" si="0"/>
        <v>2025 AUG B1G1 - 3281</v>
      </c>
      <c r="B7" s="35">
        <f t="shared" si="1"/>
        <v>46086</v>
      </c>
      <c r="C7" s="35">
        <f t="shared" si="2"/>
        <v>46092</v>
      </c>
      <c r="D7" s="34">
        <v>3281</v>
      </c>
      <c r="E7" s="34">
        <v>337</v>
      </c>
      <c r="F7" s="34">
        <v>4</v>
      </c>
      <c r="G7" s="25">
        <v>1</v>
      </c>
      <c r="H7" s="25">
        <v>81588</v>
      </c>
      <c r="I7" s="34" t="s">
        <v>17</v>
      </c>
      <c r="J7" s="24">
        <v>55419662</v>
      </c>
      <c r="K7" s="24" t="s">
        <v>6141</v>
      </c>
      <c r="L7" s="24" t="s">
        <v>6146</v>
      </c>
      <c r="M7" s="44">
        <v>99900</v>
      </c>
      <c r="N7" s="36" t="s">
        <v>2569</v>
      </c>
      <c r="O7" s="14" t="str">
        <f t="shared" si="3"/>
        <v>B1G1</v>
      </c>
      <c r="P7" s="36" t="s">
        <v>2569</v>
      </c>
    </row>
    <row r="8" spans="1:16" x14ac:dyDescent="0.35">
      <c r="A8" s="34" t="str">
        <f t="shared" si="0"/>
        <v>2025 AUG B1G1 - 3281</v>
      </c>
      <c r="B8" s="35">
        <f t="shared" si="1"/>
        <v>46086</v>
      </c>
      <c r="C8" s="35">
        <f t="shared" si="2"/>
        <v>46092</v>
      </c>
      <c r="D8" s="34">
        <v>3281</v>
      </c>
      <c r="E8" s="34">
        <v>337</v>
      </c>
      <c r="F8" s="34">
        <v>4</v>
      </c>
      <c r="G8" s="25">
        <v>1</v>
      </c>
      <c r="H8" s="25">
        <v>81588</v>
      </c>
      <c r="I8" s="34" t="s">
        <v>17</v>
      </c>
      <c r="J8" s="24">
        <v>55419671</v>
      </c>
      <c r="K8" s="24" t="s">
        <v>6124</v>
      </c>
      <c r="L8" s="24" t="s">
        <v>6125</v>
      </c>
      <c r="M8" s="44">
        <v>99900</v>
      </c>
      <c r="N8" s="36" t="s">
        <v>2569</v>
      </c>
      <c r="O8" s="14" t="str">
        <f t="shared" si="3"/>
        <v>B1G1</v>
      </c>
      <c r="P8" s="36" t="s">
        <v>2569</v>
      </c>
    </row>
    <row r="9" spans="1:16" x14ac:dyDescent="0.35">
      <c r="A9" s="34" t="str">
        <f t="shared" si="0"/>
        <v>2025 AUG B1G1 - 3281</v>
      </c>
      <c r="B9" s="35">
        <f t="shared" si="1"/>
        <v>46086</v>
      </c>
      <c r="C9" s="35">
        <f t="shared" si="2"/>
        <v>46092</v>
      </c>
      <c r="D9" s="34">
        <v>3281</v>
      </c>
      <c r="E9" s="34">
        <v>337</v>
      </c>
      <c r="F9" s="34">
        <v>4</v>
      </c>
      <c r="G9" s="25">
        <v>1</v>
      </c>
      <c r="H9" s="25">
        <v>81588</v>
      </c>
      <c r="I9" s="34" t="s">
        <v>17</v>
      </c>
      <c r="J9" s="24">
        <v>55419680</v>
      </c>
      <c r="K9" s="24" t="s">
        <v>6124</v>
      </c>
      <c r="L9" s="24" t="s">
        <v>6126</v>
      </c>
      <c r="M9" s="44">
        <v>99900</v>
      </c>
      <c r="N9" s="36" t="s">
        <v>2569</v>
      </c>
      <c r="O9" s="14" t="str">
        <f t="shared" si="3"/>
        <v>B1G1</v>
      </c>
      <c r="P9" s="36" t="s">
        <v>2569</v>
      </c>
    </row>
    <row r="10" spans="1:16" x14ac:dyDescent="0.35">
      <c r="A10" s="34" t="str">
        <f t="shared" si="0"/>
        <v>2025 AUG B1G1 - 3281</v>
      </c>
      <c r="B10" s="35">
        <f t="shared" si="1"/>
        <v>46086</v>
      </c>
      <c r="C10" s="35">
        <f t="shared" si="2"/>
        <v>46092</v>
      </c>
      <c r="D10" s="34">
        <v>3281</v>
      </c>
      <c r="E10" s="34">
        <v>337</v>
      </c>
      <c r="F10" s="34">
        <v>4</v>
      </c>
      <c r="G10" s="25">
        <v>1</v>
      </c>
      <c r="H10" s="25">
        <v>81588</v>
      </c>
      <c r="I10" s="34" t="s">
        <v>17</v>
      </c>
      <c r="J10" s="24">
        <v>55419699</v>
      </c>
      <c r="K10" s="24" t="s">
        <v>6124</v>
      </c>
      <c r="L10" s="24" t="s">
        <v>6127</v>
      </c>
      <c r="M10" s="44">
        <v>99900</v>
      </c>
      <c r="N10" s="36" t="s">
        <v>2569</v>
      </c>
      <c r="O10" s="14" t="str">
        <f t="shared" si="3"/>
        <v>B1G1</v>
      </c>
      <c r="P10" s="36" t="s">
        <v>2569</v>
      </c>
    </row>
    <row r="11" spans="1:16" x14ac:dyDescent="0.35">
      <c r="A11" s="34" t="str">
        <f t="shared" si="0"/>
        <v>2025 AUG B1G1 - 3281</v>
      </c>
      <c r="B11" s="35">
        <f t="shared" si="1"/>
        <v>46086</v>
      </c>
      <c r="C11" s="35">
        <f t="shared" si="2"/>
        <v>46092</v>
      </c>
      <c r="D11" s="34">
        <v>3281</v>
      </c>
      <c r="E11" s="34">
        <v>337</v>
      </c>
      <c r="F11" s="34">
        <v>4</v>
      </c>
      <c r="G11" s="25">
        <v>1</v>
      </c>
      <c r="H11" s="25">
        <v>81588</v>
      </c>
      <c r="I11" s="34" t="s">
        <v>17</v>
      </c>
      <c r="J11" s="24">
        <v>55419706</v>
      </c>
      <c r="K11" s="24" t="s">
        <v>6124</v>
      </c>
      <c r="L11" s="24" t="s">
        <v>6128</v>
      </c>
      <c r="M11" s="44">
        <v>99900</v>
      </c>
      <c r="N11" s="36" t="s">
        <v>2569</v>
      </c>
      <c r="O11" s="14" t="str">
        <f t="shared" si="3"/>
        <v>B1G1</v>
      </c>
      <c r="P11" s="36" t="s">
        <v>2569</v>
      </c>
    </row>
    <row r="12" spans="1:16" x14ac:dyDescent="0.35">
      <c r="A12" s="34" t="str">
        <f t="shared" si="0"/>
        <v>2025 AUG B1G1 - 3281</v>
      </c>
      <c r="B12" s="35">
        <f t="shared" si="1"/>
        <v>46086</v>
      </c>
      <c r="C12" s="35">
        <f t="shared" si="2"/>
        <v>46092</v>
      </c>
      <c r="D12" s="34">
        <v>3281</v>
      </c>
      <c r="E12" s="34">
        <v>337</v>
      </c>
      <c r="F12" s="34">
        <v>4</v>
      </c>
      <c r="G12" s="25">
        <v>3</v>
      </c>
      <c r="H12" s="25">
        <v>81588</v>
      </c>
      <c r="I12" s="34" t="s">
        <v>17</v>
      </c>
      <c r="J12" s="24">
        <v>55419715</v>
      </c>
      <c r="K12" s="24" t="s">
        <v>6129</v>
      </c>
      <c r="L12" s="24" t="s">
        <v>6134</v>
      </c>
      <c r="M12" s="44">
        <v>199900</v>
      </c>
      <c r="N12" s="36" t="s">
        <v>2569</v>
      </c>
      <c r="O12" s="14" t="str">
        <f t="shared" si="3"/>
        <v>B1G1</v>
      </c>
      <c r="P12" s="36" t="s">
        <v>2569</v>
      </c>
    </row>
    <row r="13" spans="1:16" x14ac:dyDescent="0.35">
      <c r="A13" s="34" t="str">
        <f t="shared" si="0"/>
        <v>2025 AUG B1G1 - 3281</v>
      </c>
      <c r="B13" s="35">
        <f t="shared" si="1"/>
        <v>46086</v>
      </c>
      <c r="C13" s="35">
        <f t="shared" si="2"/>
        <v>46092</v>
      </c>
      <c r="D13" s="34">
        <v>3281</v>
      </c>
      <c r="E13" s="34">
        <v>337</v>
      </c>
      <c r="F13" s="34">
        <v>4</v>
      </c>
      <c r="G13" s="25">
        <v>3</v>
      </c>
      <c r="H13" s="25">
        <v>81588</v>
      </c>
      <c r="I13" s="34" t="s">
        <v>17</v>
      </c>
      <c r="J13" s="24">
        <v>55419724</v>
      </c>
      <c r="K13" s="24" t="s">
        <v>6129</v>
      </c>
      <c r="L13" s="24" t="s">
        <v>6130</v>
      </c>
      <c r="M13" s="44">
        <v>199900</v>
      </c>
      <c r="N13" s="36" t="s">
        <v>2569</v>
      </c>
      <c r="O13" s="14" t="str">
        <f t="shared" si="3"/>
        <v>B1G1</v>
      </c>
      <c r="P13" s="36" t="s">
        <v>2569</v>
      </c>
    </row>
    <row r="14" spans="1:16" x14ac:dyDescent="0.35">
      <c r="A14" s="34" t="str">
        <f t="shared" si="0"/>
        <v>2025 AUG B1G1 - 3281</v>
      </c>
      <c r="B14" s="35">
        <f t="shared" si="1"/>
        <v>46086</v>
      </c>
      <c r="C14" s="35">
        <f t="shared" si="2"/>
        <v>46092</v>
      </c>
      <c r="D14" s="34">
        <v>3281</v>
      </c>
      <c r="E14" s="34">
        <v>337</v>
      </c>
      <c r="F14" s="34">
        <v>4</v>
      </c>
      <c r="G14" s="25">
        <v>3</v>
      </c>
      <c r="H14" s="25">
        <v>81588</v>
      </c>
      <c r="I14" s="34" t="s">
        <v>17</v>
      </c>
      <c r="J14" s="24">
        <v>55419733</v>
      </c>
      <c r="K14" s="24" t="s">
        <v>6129</v>
      </c>
      <c r="L14" s="24" t="s">
        <v>6131</v>
      </c>
      <c r="M14" s="44">
        <v>199900</v>
      </c>
      <c r="N14" s="36" t="s">
        <v>2569</v>
      </c>
      <c r="O14" s="14" t="str">
        <f t="shared" si="3"/>
        <v>B1G1</v>
      </c>
      <c r="P14" s="36" t="s">
        <v>2569</v>
      </c>
    </row>
    <row r="15" spans="1:16" x14ac:dyDescent="0.35">
      <c r="A15" s="34" t="str">
        <f t="shared" si="0"/>
        <v>2025 AUG B1G1 - 3281</v>
      </c>
      <c r="B15" s="35">
        <f t="shared" si="1"/>
        <v>46086</v>
      </c>
      <c r="C15" s="35">
        <f t="shared" si="2"/>
        <v>46092</v>
      </c>
      <c r="D15" s="34">
        <v>3281</v>
      </c>
      <c r="E15" s="34">
        <v>337</v>
      </c>
      <c r="F15" s="34">
        <v>4</v>
      </c>
      <c r="G15" s="25">
        <v>3</v>
      </c>
      <c r="H15" s="25">
        <v>81588</v>
      </c>
      <c r="I15" s="34" t="s">
        <v>17</v>
      </c>
      <c r="J15" s="24">
        <v>55419742</v>
      </c>
      <c r="K15" s="24" t="s">
        <v>6129</v>
      </c>
      <c r="L15" s="24" t="s">
        <v>6132</v>
      </c>
      <c r="M15" s="44">
        <v>199900</v>
      </c>
      <c r="N15" s="36" t="s">
        <v>2569</v>
      </c>
      <c r="O15" s="14" t="str">
        <f t="shared" si="3"/>
        <v>B1G1</v>
      </c>
      <c r="P15" s="36" t="s">
        <v>2569</v>
      </c>
    </row>
    <row r="16" spans="1:16" x14ac:dyDescent="0.35">
      <c r="A16" s="34" t="str">
        <f t="shared" si="0"/>
        <v>2025 AUG B1G1 - 3281</v>
      </c>
      <c r="B16" s="35">
        <f t="shared" si="1"/>
        <v>46086</v>
      </c>
      <c r="C16" s="35">
        <f t="shared" si="2"/>
        <v>46092</v>
      </c>
      <c r="D16" s="34">
        <v>3281</v>
      </c>
      <c r="E16" s="34">
        <v>337</v>
      </c>
      <c r="F16" s="34">
        <v>4</v>
      </c>
      <c r="G16" s="25">
        <v>3</v>
      </c>
      <c r="H16" s="25">
        <v>81588</v>
      </c>
      <c r="I16" s="34" t="s">
        <v>17</v>
      </c>
      <c r="J16" s="24">
        <v>55419751</v>
      </c>
      <c r="K16" s="24" t="s">
        <v>6129</v>
      </c>
      <c r="L16" s="24" t="s">
        <v>6133</v>
      </c>
      <c r="M16" s="44">
        <v>199900</v>
      </c>
      <c r="N16" s="36" t="s">
        <v>2569</v>
      </c>
      <c r="O16" s="14" t="str">
        <f t="shared" si="3"/>
        <v>B1G1</v>
      </c>
      <c r="P16" s="36" t="s">
        <v>2569</v>
      </c>
    </row>
    <row r="17" spans="1:16" x14ac:dyDescent="0.35">
      <c r="A17" s="34" t="str">
        <f t="shared" si="0"/>
        <v>2025 AUG B1G1 - 3281</v>
      </c>
      <c r="B17" s="35">
        <f t="shared" si="1"/>
        <v>46086</v>
      </c>
      <c r="C17" s="35">
        <f t="shared" si="2"/>
        <v>46092</v>
      </c>
      <c r="D17" s="34">
        <v>3281</v>
      </c>
      <c r="E17" s="34">
        <v>337</v>
      </c>
      <c r="F17" s="34">
        <v>4</v>
      </c>
      <c r="G17" s="25">
        <v>3</v>
      </c>
      <c r="H17" s="25">
        <v>81588</v>
      </c>
      <c r="I17" s="34" t="s">
        <v>17</v>
      </c>
      <c r="J17" s="24">
        <v>55419760</v>
      </c>
      <c r="K17" s="24" t="s">
        <v>6129</v>
      </c>
      <c r="L17" s="24" t="s">
        <v>6135</v>
      </c>
      <c r="M17" s="44">
        <v>199900</v>
      </c>
      <c r="N17" s="36" t="s">
        <v>2569</v>
      </c>
      <c r="O17" s="14" t="str">
        <f t="shared" si="3"/>
        <v>B1G1</v>
      </c>
      <c r="P17" s="36" t="s">
        <v>2569</v>
      </c>
    </row>
    <row r="18" spans="1:16" x14ac:dyDescent="0.35">
      <c r="A18" s="34" t="str">
        <f t="shared" si="0"/>
        <v>2025 AUG B1G1 - 3281</v>
      </c>
      <c r="B18" s="35">
        <f t="shared" si="1"/>
        <v>46086</v>
      </c>
      <c r="C18" s="35">
        <f t="shared" si="2"/>
        <v>46092</v>
      </c>
      <c r="D18" s="34">
        <v>3281</v>
      </c>
      <c r="E18" s="34">
        <v>337</v>
      </c>
      <c r="F18" s="34">
        <v>4</v>
      </c>
      <c r="G18" s="25">
        <v>5</v>
      </c>
      <c r="H18" s="25">
        <v>81588</v>
      </c>
      <c r="I18" s="34" t="s">
        <v>17</v>
      </c>
      <c r="J18" s="24">
        <v>55419840</v>
      </c>
      <c r="K18" s="24" t="s">
        <v>6136</v>
      </c>
      <c r="L18" s="24" t="s">
        <v>6140</v>
      </c>
      <c r="M18" s="44">
        <v>149900</v>
      </c>
      <c r="N18" s="36" t="s">
        <v>2569</v>
      </c>
      <c r="O18" s="14" t="str">
        <f t="shared" si="3"/>
        <v>B1G1</v>
      </c>
      <c r="P18" s="36" t="s">
        <v>2569</v>
      </c>
    </row>
    <row r="19" spans="1:16" x14ac:dyDescent="0.35">
      <c r="A19" s="34" t="str">
        <f t="shared" si="0"/>
        <v>2025 AUG B1G1 - 3281</v>
      </c>
      <c r="B19" s="35">
        <f t="shared" si="1"/>
        <v>46086</v>
      </c>
      <c r="C19" s="35">
        <f t="shared" si="2"/>
        <v>46092</v>
      </c>
      <c r="D19" s="34">
        <v>3281</v>
      </c>
      <c r="E19" s="34">
        <v>337</v>
      </c>
      <c r="F19" s="34">
        <v>4</v>
      </c>
      <c r="G19" s="25">
        <v>5</v>
      </c>
      <c r="H19" s="25">
        <v>81588</v>
      </c>
      <c r="I19" s="34" t="s">
        <v>17</v>
      </c>
      <c r="J19" s="24">
        <v>55419859</v>
      </c>
      <c r="K19" s="24" t="s">
        <v>6136</v>
      </c>
      <c r="L19" s="24" t="s">
        <v>6137</v>
      </c>
      <c r="M19" s="44">
        <v>149900</v>
      </c>
      <c r="N19" s="36" t="s">
        <v>2569</v>
      </c>
      <c r="O19" s="14" t="str">
        <f t="shared" si="3"/>
        <v>B1G1</v>
      </c>
      <c r="P19" s="36" t="s">
        <v>2569</v>
      </c>
    </row>
    <row r="20" spans="1:16" x14ac:dyDescent="0.35">
      <c r="A20" s="34" t="str">
        <f t="shared" si="0"/>
        <v>2025 AUG B1G1 - 3281</v>
      </c>
      <c r="B20" s="35">
        <f t="shared" si="1"/>
        <v>46086</v>
      </c>
      <c r="C20" s="35">
        <f t="shared" si="2"/>
        <v>46092</v>
      </c>
      <c r="D20" s="34">
        <v>3281</v>
      </c>
      <c r="E20" s="34">
        <v>337</v>
      </c>
      <c r="F20" s="34">
        <v>4</v>
      </c>
      <c r="G20" s="25">
        <v>5</v>
      </c>
      <c r="H20" s="25">
        <v>81588</v>
      </c>
      <c r="I20" s="34" t="s">
        <v>17</v>
      </c>
      <c r="J20" s="24">
        <v>55419868</v>
      </c>
      <c r="K20" s="24" t="s">
        <v>6136</v>
      </c>
      <c r="L20" s="24" t="s">
        <v>6139</v>
      </c>
      <c r="M20" s="44">
        <v>149900</v>
      </c>
      <c r="N20" s="36" t="s">
        <v>2569</v>
      </c>
      <c r="O20" s="14" t="str">
        <f t="shared" si="3"/>
        <v>B1G1</v>
      </c>
      <c r="P20" s="36" t="s">
        <v>2569</v>
      </c>
    </row>
    <row r="21" spans="1:16" x14ac:dyDescent="0.35">
      <c r="A21" s="34" t="str">
        <f t="shared" si="0"/>
        <v>2025 AUG B1G1 - 3281</v>
      </c>
      <c r="B21" s="35">
        <f t="shared" si="1"/>
        <v>46086</v>
      </c>
      <c r="C21" s="35">
        <f t="shared" si="2"/>
        <v>46092</v>
      </c>
      <c r="D21" s="34">
        <v>3281</v>
      </c>
      <c r="E21" s="34">
        <v>337</v>
      </c>
      <c r="F21" s="34">
        <v>4</v>
      </c>
      <c r="G21" s="25">
        <v>5</v>
      </c>
      <c r="H21" s="25">
        <v>81588</v>
      </c>
      <c r="I21" s="34" t="s">
        <v>17</v>
      </c>
      <c r="J21" s="24">
        <v>55419877</v>
      </c>
      <c r="K21" s="24" t="s">
        <v>6136</v>
      </c>
      <c r="L21" s="24" t="s">
        <v>6138</v>
      </c>
      <c r="M21" s="44">
        <v>149900</v>
      </c>
      <c r="N21" s="36" t="s">
        <v>2569</v>
      </c>
      <c r="O21" s="14" t="str">
        <f t="shared" si="3"/>
        <v>B1G1</v>
      </c>
      <c r="P21" s="36" t="s">
        <v>2569</v>
      </c>
    </row>
    <row r="22" spans="1:16" x14ac:dyDescent="0.35">
      <c r="A22" s="34" t="str">
        <f t="shared" si="0"/>
        <v>2025 AUG B1G1 - 3281</v>
      </c>
      <c r="B22" s="35">
        <f t="shared" si="1"/>
        <v>46086</v>
      </c>
      <c r="C22" s="35">
        <f t="shared" si="2"/>
        <v>46092</v>
      </c>
      <c r="D22" s="34">
        <v>3281</v>
      </c>
      <c r="E22" s="34">
        <v>337</v>
      </c>
      <c r="F22" s="34">
        <v>4</v>
      </c>
      <c r="G22" s="25">
        <v>1</v>
      </c>
      <c r="H22" s="25">
        <v>81146</v>
      </c>
      <c r="I22" s="34" t="s">
        <v>17</v>
      </c>
      <c r="J22" s="24">
        <v>55620363</v>
      </c>
      <c r="K22" s="24" t="s">
        <v>6148</v>
      </c>
      <c r="L22" s="24" t="s">
        <v>6151</v>
      </c>
      <c r="M22" s="44">
        <v>99900</v>
      </c>
      <c r="N22" s="36" t="s">
        <v>2569</v>
      </c>
      <c r="O22" s="14" t="str">
        <f t="shared" si="3"/>
        <v>B1G1</v>
      </c>
      <c r="P22" s="36" t="s">
        <v>2569</v>
      </c>
    </row>
    <row r="23" spans="1:16" x14ac:dyDescent="0.35">
      <c r="A23" s="34" t="str">
        <f t="shared" si="0"/>
        <v>2025 AUG B1G1 - 3281</v>
      </c>
      <c r="B23" s="35">
        <f t="shared" si="1"/>
        <v>46086</v>
      </c>
      <c r="C23" s="35">
        <f t="shared" si="2"/>
        <v>46092</v>
      </c>
      <c r="D23" s="34">
        <v>3281</v>
      </c>
      <c r="E23" s="34">
        <v>337</v>
      </c>
      <c r="F23" s="34">
        <v>4</v>
      </c>
      <c r="G23" s="25">
        <v>1</v>
      </c>
      <c r="H23" s="25">
        <v>81146</v>
      </c>
      <c r="I23" s="34" t="s">
        <v>17</v>
      </c>
      <c r="J23" s="24">
        <v>55620372</v>
      </c>
      <c r="K23" s="24" t="s">
        <v>6148</v>
      </c>
      <c r="L23" s="24" t="s">
        <v>6149</v>
      </c>
      <c r="M23" s="44">
        <v>99900</v>
      </c>
      <c r="N23" s="36" t="s">
        <v>2569</v>
      </c>
      <c r="O23" s="14" t="str">
        <f t="shared" si="3"/>
        <v>B1G1</v>
      </c>
      <c r="P23" s="36" t="s">
        <v>2569</v>
      </c>
    </row>
    <row r="24" spans="1:16" x14ac:dyDescent="0.35">
      <c r="A24" s="34" t="str">
        <f t="shared" si="0"/>
        <v>2025 AUG B1G1 - 3281</v>
      </c>
      <c r="B24" s="35">
        <f t="shared" si="1"/>
        <v>46086</v>
      </c>
      <c r="C24" s="35">
        <f t="shared" si="2"/>
        <v>46092</v>
      </c>
      <c r="D24" s="34">
        <v>3281</v>
      </c>
      <c r="E24" s="34">
        <v>337</v>
      </c>
      <c r="F24" s="34">
        <v>4</v>
      </c>
      <c r="G24" s="25">
        <v>1</v>
      </c>
      <c r="H24" s="25">
        <v>81146</v>
      </c>
      <c r="I24" s="34" t="s">
        <v>17</v>
      </c>
      <c r="J24" s="24">
        <v>55620381</v>
      </c>
      <c r="K24" s="24" t="s">
        <v>6148</v>
      </c>
      <c r="L24" s="24" t="s">
        <v>6152</v>
      </c>
      <c r="M24" s="44">
        <v>99900</v>
      </c>
      <c r="N24" s="36" t="s">
        <v>2569</v>
      </c>
      <c r="O24" s="14" t="str">
        <f t="shared" si="3"/>
        <v>B1G1</v>
      </c>
      <c r="P24" s="36" t="s">
        <v>2569</v>
      </c>
    </row>
    <row r="25" spans="1:16" x14ac:dyDescent="0.35">
      <c r="A25" s="34" t="str">
        <f t="shared" si="0"/>
        <v>2025 AUG B1G1 - 3281</v>
      </c>
      <c r="B25" s="35">
        <f t="shared" si="1"/>
        <v>46086</v>
      </c>
      <c r="C25" s="35">
        <f t="shared" si="2"/>
        <v>46092</v>
      </c>
      <c r="D25" s="34">
        <v>3281</v>
      </c>
      <c r="E25" s="34">
        <v>337</v>
      </c>
      <c r="F25" s="34">
        <v>4</v>
      </c>
      <c r="G25" s="25">
        <v>1</v>
      </c>
      <c r="H25" s="25">
        <v>81146</v>
      </c>
      <c r="I25" s="34" t="s">
        <v>17</v>
      </c>
      <c r="J25" s="24">
        <v>55620390</v>
      </c>
      <c r="K25" s="24" t="s">
        <v>6148</v>
      </c>
      <c r="L25" s="24" t="s">
        <v>6150</v>
      </c>
      <c r="M25" s="44">
        <v>99900</v>
      </c>
      <c r="N25" s="36" t="s">
        <v>2569</v>
      </c>
      <c r="O25" s="14" t="str">
        <f t="shared" si="3"/>
        <v>B1G1</v>
      </c>
      <c r="P25" s="36" t="s">
        <v>2569</v>
      </c>
    </row>
    <row r="26" spans="1:16" x14ac:dyDescent="0.35">
      <c r="A26" s="34" t="str">
        <f t="shared" si="0"/>
        <v>2025 AUG B1G1 - 3281</v>
      </c>
      <c r="B26" s="35">
        <f t="shared" si="1"/>
        <v>46086</v>
      </c>
      <c r="C26" s="35">
        <f t="shared" si="2"/>
        <v>46092</v>
      </c>
      <c r="D26" s="34">
        <v>3281</v>
      </c>
      <c r="E26" s="34">
        <v>337</v>
      </c>
      <c r="F26" s="34">
        <v>4</v>
      </c>
      <c r="G26" s="25">
        <v>1</v>
      </c>
      <c r="H26" s="25">
        <v>81146</v>
      </c>
      <c r="I26" s="34" t="s">
        <v>17</v>
      </c>
      <c r="J26" s="24">
        <v>55620327</v>
      </c>
      <c r="K26" s="24" t="s">
        <v>6153</v>
      </c>
      <c r="L26" s="24" t="s">
        <v>6154</v>
      </c>
      <c r="M26" s="44">
        <v>129900</v>
      </c>
      <c r="N26" s="36" t="s">
        <v>2569</v>
      </c>
      <c r="O26" s="14" t="str">
        <f t="shared" si="3"/>
        <v>B1G1</v>
      </c>
      <c r="P26" s="36" t="s">
        <v>2569</v>
      </c>
    </row>
    <row r="27" spans="1:16" x14ac:dyDescent="0.35">
      <c r="A27" s="34" t="str">
        <f t="shared" si="0"/>
        <v>2025 AUG B1G1 - 3281</v>
      </c>
      <c r="B27" s="35">
        <f t="shared" si="1"/>
        <v>46086</v>
      </c>
      <c r="C27" s="35">
        <f t="shared" si="2"/>
        <v>46092</v>
      </c>
      <c r="D27" s="34">
        <v>3281</v>
      </c>
      <c r="E27" s="34">
        <v>337</v>
      </c>
      <c r="F27" s="34">
        <v>4</v>
      </c>
      <c r="G27" s="25">
        <v>1</v>
      </c>
      <c r="H27" s="25">
        <v>81146</v>
      </c>
      <c r="I27" s="34" t="s">
        <v>17</v>
      </c>
      <c r="J27" s="24">
        <v>55620336</v>
      </c>
      <c r="K27" s="24" t="s">
        <v>6153</v>
      </c>
      <c r="L27" s="24" t="s">
        <v>6155</v>
      </c>
      <c r="M27" s="44">
        <v>129900</v>
      </c>
      <c r="N27" s="36" t="s">
        <v>2569</v>
      </c>
      <c r="O27" s="14" t="str">
        <f t="shared" si="3"/>
        <v>B1G1</v>
      </c>
      <c r="P27" s="36" t="s">
        <v>2569</v>
      </c>
    </row>
    <row r="28" spans="1:16" x14ac:dyDescent="0.35">
      <c r="A28" s="34" t="str">
        <f t="shared" si="0"/>
        <v>2025 AUG B1G1 - 3281</v>
      </c>
      <c r="B28" s="35">
        <f t="shared" si="1"/>
        <v>46086</v>
      </c>
      <c r="C28" s="35">
        <f t="shared" si="2"/>
        <v>46092</v>
      </c>
      <c r="D28" s="34">
        <v>3281</v>
      </c>
      <c r="E28" s="34">
        <v>337</v>
      </c>
      <c r="F28" s="34">
        <v>4</v>
      </c>
      <c r="G28" s="25">
        <v>1</v>
      </c>
      <c r="H28" s="25">
        <v>81146</v>
      </c>
      <c r="I28" s="34" t="s">
        <v>17</v>
      </c>
      <c r="J28" s="24">
        <v>55620345</v>
      </c>
      <c r="K28" s="24" t="s">
        <v>6153</v>
      </c>
      <c r="L28" s="24" t="s">
        <v>6156</v>
      </c>
      <c r="M28" s="44">
        <v>129900</v>
      </c>
      <c r="N28" s="36" t="s">
        <v>2569</v>
      </c>
      <c r="O28" s="14" t="str">
        <f t="shared" si="3"/>
        <v>B1G1</v>
      </c>
      <c r="P28" s="36" t="s">
        <v>2569</v>
      </c>
    </row>
    <row r="29" spans="1:16" x14ac:dyDescent="0.35">
      <c r="A29" s="34" t="str">
        <f t="shared" si="0"/>
        <v>2025 AUG B1G1 - 3281</v>
      </c>
      <c r="B29" s="35">
        <f t="shared" si="1"/>
        <v>46086</v>
      </c>
      <c r="C29" s="35">
        <f t="shared" si="2"/>
        <v>46092</v>
      </c>
      <c r="D29" s="34">
        <v>3281</v>
      </c>
      <c r="E29" s="34">
        <v>337</v>
      </c>
      <c r="F29" s="34">
        <v>4</v>
      </c>
      <c r="G29" s="25">
        <v>1</v>
      </c>
      <c r="H29" s="25">
        <v>81146</v>
      </c>
      <c r="I29" s="34" t="s">
        <v>17</v>
      </c>
      <c r="J29" s="24">
        <v>55620354</v>
      </c>
      <c r="K29" s="24" t="s">
        <v>6153</v>
      </c>
      <c r="L29" s="24" t="s">
        <v>6157</v>
      </c>
      <c r="M29" s="44">
        <v>129900</v>
      </c>
      <c r="N29" s="36" t="s">
        <v>2569</v>
      </c>
      <c r="O29" s="14" t="str">
        <f t="shared" si="3"/>
        <v>B1G1</v>
      </c>
      <c r="P29" s="36" t="s">
        <v>2569</v>
      </c>
    </row>
    <row r="30" spans="1:16" x14ac:dyDescent="0.35">
      <c r="A30" s="34" t="str">
        <f t="shared" si="0"/>
        <v>2025 AUG B1G1 - 3281</v>
      </c>
      <c r="B30" s="35">
        <f t="shared" si="1"/>
        <v>46086</v>
      </c>
      <c r="C30" s="35">
        <f t="shared" si="2"/>
        <v>46092</v>
      </c>
      <c r="D30" s="34">
        <v>3281</v>
      </c>
      <c r="E30" s="34">
        <v>337</v>
      </c>
      <c r="F30" s="34">
        <v>4</v>
      </c>
      <c r="G30" s="25">
        <v>4</v>
      </c>
      <c r="H30" s="25">
        <v>81146</v>
      </c>
      <c r="I30" s="34" t="s">
        <v>17</v>
      </c>
      <c r="J30" s="24">
        <v>55419779</v>
      </c>
      <c r="K30" s="24" t="s">
        <v>6158</v>
      </c>
      <c r="L30" s="24" t="s">
        <v>6164</v>
      </c>
      <c r="M30" s="44">
        <v>149900</v>
      </c>
      <c r="N30" s="36" t="s">
        <v>2569</v>
      </c>
      <c r="O30" s="14" t="str">
        <f t="shared" si="3"/>
        <v>B1G1</v>
      </c>
      <c r="P30" s="36" t="s">
        <v>2569</v>
      </c>
    </row>
    <row r="31" spans="1:16" x14ac:dyDescent="0.35">
      <c r="A31" s="34" t="str">
        <f t="shared" si="0"/>
        <v>2025 AUG B1G1 - 3281</v>
      </c>
      <c r="B31" s="35">
        <f t="shared" si="1"/>
        <v>46086</v>
      </c>
      <c r="C31" s="35">
        <f t="shared" si="2"/>
        <v>46092</v>
      </c>
      <c r="D31" s="34">
        <v>3281</v>
      </c>
      <c r="E31" s="34">
        <v>337</v>
      </c>
      <c r="F31" s="34">
        <v>4</v>
      </c>
      <c r="G31" s="25">
        <v>4</v>
      </c>
      <c r="H31" s="25">
        <v>81146</v>
      </c>
      <c r="I31" s="34" t="s">
        <v>17</v>
      </c>
      <c r="J31" s="24">
        <v>55419788</v>
      </c>
      <c r="K31" s="24" t="s">
        <v>6158</v>
      </c>
      <c r="L31" s="24" t="s">
        <v>6160</v>
      </c>
      <c r="M31" s="44">
        <v>149900</v>
      </c>
      <c r="N31" s="36" t="s">
        <v>2569</v>
      </c>
      <c r="O31" s="14" t="str">
        <f t="shared" si="3"/>
        <v>B1G1</v>
      </c>
      <c r="P31" s="36" t="s">
        <v>2569</v>
      </c>
    </row>
    <row r="32" spans="1:16" x14ac:dyDescent="0.35">
      <c r="A32" s="34" t="str">
        <f t="shared" si="0"/>
        <v>2025 AUG B1G1 - 3281</v>
      </c>
      <c r="B32" s="35">
        <f t="shared" si="1"/>
        <v>46086</v>
      </c>
      <c r="C32" s="35">
        <f t="shared" si="2"/>
        <v>46092</v>
      </c>
      <c r="D32" s="34">
        <v>3281</v>
      </c>
      <c r="E32" s="34">
        <v>337</v>
      </c>
      <c r="F32" s="34">
        <v>4</v>
      </c>
      <c r="G32" s="25">
        <v>4</v>
      </c>
      <c r="H32" s="25">
        <v>81146</v>
      </c>
      <c r="I32" s="34" t="s">
        <v>17</v>
      </c>
      <c r="J32" s="24">
        <v>55419797</v>
      </c>
      <c r="K32" s="24" t="s">
        <v>6158</v>
      </c>
      <c r="L32" s="24" t="s">
        <v>6161</v>
      </c>
      <c r="M32" s="44">
        <v>149900</v>
      </c>
      <c r="N32" s="36" t="s">
        <v>2569</v>
      </c>
      <c r="O32" s="14" t="str">
        <f t="shared" si="3"/>
        <v>B1G1</v>
      </c>
      <c r="P32" s="36" t="s">
        <v>2569</v>
      </c>
    </row>
    <row r="33" spans="1:16" x14ac:dyDescent="0.35">
      <c r="A33" s="34" t="str">
        <f t="shared" si="0"/>
        <v>2025 AUG B1G1 - 3281</v>
      </c>
      <c r="B33" s="35">
        <f t="shared" si="1"/>
        <v>46086</v>
      </c>
      <c r="C33" s="35">
        <f t="shared" si="2"/>
        <v>46092</v>
      </c>
      <c r="D33" s="34">
        <v>3281</v>
      </c>
      <c r="E33" s="34">
        <v>337</v>
      </c>
      <c r="F33" s="34">
        <v>4</v>
      </c>
      <c r="G33" s="25">
        <v>4</v>
      </c>
      <c r="H33" s="25">
        <v>81146</v>
      </c>
      <c r="I33" s="34" t="s">
        <v>17</v>
      </c>
      <c r="J33" s="24">
        <v>55419804</v>
      </c>
      <c r="K33" s="24" t="s">
        <v>6158</v>
      </c>
      <c r="L33" s="24" t="s">
        <v>6163</v>
      </c>
      <c r="M33" s="44">
        <v>149900</v>
      </c>
      <c r="N33" s="36" t="s">
        <v>2569</v>
      </c>
      <c r="O33" s="14" t="str">
        <f t="shared" si="3"/>
        <v>B1G1</v>
      </c>
      <c r="P33" s="36" t="s">
        <v>2569</v>
      </c>
    </row>
    <row r="34" spans="1:16" x14ac:dyDescent="0.35">
      <c r="A34" s="34" t="str">
        <f t="shared" si="0"/>
        <v>2025 AUG B1G1 - 3281</v>
      </c>
      <c r="B34" s="35">
        <f t="shared" si="1"/>
        <v>46086</v>
      </c>
      <c r="C34" s="35">
        <f t="shared" si="2"/>
        <v>46092</v>
      </c>
      <c r="D34" s="34">
        <v>3281</v>
      </c>
      <c r="E34" s="34">
        <v>337</v>
      </c>
      <c r="F34" s="34">
        <v>4</v>
      </c>
      <c r="G34" s="25">
        <v>4</v>
      </c>
      <c r="H34" s="25">
        <v>81146</v>
      </c>
      <c r="I34" s="34" t="s">
        <v>17</v>
      </c>
      <c r="J34" s="24">
        <v>55419813</v>
      </c>
      <c r="K34" s="24" t="s">
        <v>6158</v>
      </c>
      <c r="L34" s="24" t="s">
        <v>6165</v>
      </c>
      <c r="M34" s="44">
        <v>149900</v>
      </c>
      <c r="N34" s="36" t="s">
        <v>2569</v>
      </c>
      <c r="O34" s="14" t="str">
        <f t="shared" si="3"/>
        <v>B1G1</v>
      </c>
      <c r="P34" s="36" t="s">
        <v>2569</v>
      </c>
    </row>
    <row r="35" spans="1:16" x14ac:dyDescent="0.35">
      <c r="A35" s="34" t="str">
        <f t="shared" si="0"/>
        <v>2025 AUG B1G1 - 3281</v>
      </c>
      <c r="B35" s="35">
        <f t="shared" si="1"/>
        <v>46086</v>
      </c>
      <c r="C35" s="35">
        <f t="shared" si="2"/>
        <v>46092</v>
      </c>
      <c r="D35" s="34">
        <v>3281</v>
      </c>
      <c r="E35" s="34">
        <v>337</v>
      </c>
      <c r="F35" s="34">
        <v>4</v>
      </c>
      <c r="G35" s="25">
        <v>4</v>
      </c>
      <c r="H35" s="25">
        <v>81146</v>
      </c>
      <c r="I35" s="34" t="s">
        <v>17</v>
      </c>
      <c r="J35" s="24">
        <v>55419822</v>
      </c>
      <c r="K35" s="24" t="s">
        <v>6158</v>
      </c>
      <c r="L35" s="24" t="s">
        <v>6159</v>
      </c>
      <c r="M35" s="44">
        <v>149900</v>
      </c>
      <c r="N35" s="36" t="s">
        <v>2569</v>
      </c>
      <c r="O35" s="14" t="str">
        <f t="shared" si="3"/>
        <v>B1G1</v>
      </c>
      <c r="P35" s="36" t="s">
        <v>2569</v>
      </c>
    </row>
    <row r="36" spans="1:16" x14ac:dyDescent="0.35">
      <c r="A36" s="34" t="str">
        <f t="shared" si="0"/>
        <v>2025 AUG B1G1 - 3281</v>
      </c>
      <c r="B36" s="35">
        <f t="shared" si="1"/>
        <v>46086</v>
      </c>
      <c r="C36" s="35">
        <f t="shared" si="2"/>
        <v>46092</v>
      </c>
      <c r="D36" s="34">
        <v>3281</v>
      </c>
      <c r="E36" s="34">
        <v>337</v>
      </c>
      <c r="F36" s="34">
        <v>4</v>
      </c>
      <c r="G36" s="25">
        <v>4</v>
      </c>
      <c r="H36" s="25">
        <v>81146</v>
      </c>
      <c r="I36" s="34" t="s">
        <v>17</v>
      </c>
      <c r="J36" s="24">
        <v>55419831</v>
      </c>
      <c r="K36" s="24" t="s">
        <v>6158</v>
      </c>
      <c r="L36" s="24" t="s">
        <v>6162</v>
      </c>
      <c r="M36" s="44">
        <v>149900</v>
      </c>
      <c r="N36" s="36" t="s">
        <v>2569</v>
      </c>
      <c r="O36" s="14" t="str">
        <f t="shared" si="3"/>
        <v>B1G1</v>
      </c>
      <c r="P36" s="36" t="s">
        <v>2569</v>
      </c>
    </row>
    <row r="37" spans="1:16" x14ac:dyDescent="0.35">
      <c r="A37" s="34" t="str">
        <f t="shared" si="0"/>
        <v>2025 AUG B1G1 - 3281</v>
      </c>
      <c r="B37" s="35">
        <f t="shared" si="1"/>
        <v>46086</v>
      </c>
      <c r="C37" s="35">
        <f t="shared" si="2"/>
        <v>46092</v>
      </c>
      <c r="D37" s="34">
        <v>3281</v>
      </c>
      <c r="E37" s="34">
        <v>337</v>
      </c>
      <c r="F37" s="34">
        <v>4</v>
      </c>
      <c r="G37" s="25">
        <v>5</v>
      </c>
      <c r="H37" s="25">
        <v>81146</v>
      </c>
      <c r="I37" s="34" t="s">
        <v>17</v>
      </c>
      <c r="J37" s="24">
        <v>55620443</v>
      </c>
      <c r="K37" s="24" t="s">
        <v>6166</v>
      </c>
      <c r="L37" s="24" t="s">
        <v>6169</v>
      </c>
      <c r="M37" s="44">
        <v>149900</v>
      </c>
      <c r="N37" s="36" t="s">
        <v>2569</v>
      </c>
      <c r="O37" s="14" t="str">
        <f t="shared" si="3"/>
        <v>B1G1</v>
      </c>
      <c r="P37" s="36" t="s">
        <v>2569</v>
      </c>
    </row>
    <row r="38" spans="1:16" x14ac:dyDescent="0.35">
      <c r="A38" s="34" t="str">
        <f t="shared" si="0"/>
        <v>2025 AUG B1G1 - 3281</v>
      </c>
      <c r="B38" s="35">
        <f t="shared" si="1"/>
        <v>46086</v>
      </c>
      <c r="C38" s="35">
        <f t="shared" si="2"/>
        <v>46092</v>
      </c>
      <c r="D38" s="34">
        <v>3281</v>
      </c>
      <c r="E38" s="34">
        <v>337</v>
      </c>
      <c r="F38" s="34">
        <v>4</v>
      </c>
      <c r="G38" s="25">
        <v>5</v>
      </c>
      <c r="H38" s="25">
        <v>81146</v>
      </c>
      <c r="I38" s="34" t="s">
        <v>17</v>
      </c>
      <c r="J38" s="24">
        <v>55620452</v>
      </c>
      <c r="K38" s="24" t="s">
        <v>6166</v>
      </c>
      <c r="L38" s="24" t="s">
        <v>6167</v>
      </c>
      <c r="M38" s="44">
        <v>149900</v>
      </c>
      <c r="N38" s="36" t="s">
        <v>2569</v>
      </c>
      <c r="O38" s="14" t="str">
        <f t="shared" si="3"/>
        <v>B1G1</v>
      </c>
      <c r="P38" s="36" t="s">
        <v>2569</v>
      </c>
    </row>
    <row r="39" spans="1:16" x14ac:dyDescent="0.35">
      <c r="A39" s="34" t="str">
        <f t="shared" si="0"/>
        <v>2025 AUG B1G1 - 3281</v>
      </c>
      <c r="B39" s="35">
        <f t="shared" si="1"/>
        <v>46086</v>
      </c>
      <c r="C39" s="35">
        <f t="shared" si="2"/>
        <v>46092</v>
      </c>
      <c r="D39" s="34">
        <v>3281</v>
      </c>
      <c r="E39" s="34">
        <v>337</v>
      </c>
      <c r="F39" s="34">
        <v>4</v>
      </c>
      <c r="G39" s="25">
        <v>5</v>
      </c>
      <c r="H39" s="25">
        <v>81146</v>
      </c>
      <c r="I39" s="34" t="s">
        <v>17</v>
      </c>
      <c r="J39" s="24">
        <v>55620461</v>
      </c>
      <c r="K39" s="24" t="s">
        <v>6166</v>
      </c>
      <c r="L39" s="24" t="s">
        <v>6170</v>
      </c>
      <c r="M39" s="44">
        <v>149900</v>
      </c>
      <c r="N39" s="36" t="s">
        <v>2569</v>
      </c>
      <c r="O39" s="14" t="str">
        <f t="shared" si="3"/>
        <v>B1G1</v>
      </c>
      <c r="P39" s="36" t="s">
        <v>2569</v>
      </c>
    </row>
    <row r="40" spans="1:16" x14ac:dyDescent="0.35">
      <c r="A40" s="34" t="str">
        <f t="shared" si="0"/>
        <v>2025 AUG B1G1 - 3281</v>
      </c>
      <c r="B40" s="35">
        <f t="shared" si="1"/>
        <v>46086</v>
      </c>
      <c r="C40" s="35">
        <f t="shared" si="2"/>
        <v>46092</v>
      </c>
      <c r="D40" s="34">
        <v>3281</v>
      </c>
      <c r="E40" s="34">
        <v>337</v>
      </c>
      <c r="F40" s="34">
        <v>4</v>
      </c>
      <c r="G40" s="25">
        <v>5</v>
      </c>
      <c r="H40" s="25">
        <v>81146</v>
      </c>
      <c r="I40" s="34" t="s">
        <v>17</v>
      </c>
      <c r="J40" s="24">
        <v>55620470</v>
      </c>
      <c r="K40" s="24" t="s">
        <v>6166</v>
      </c>
      <c r="L40" s="24" t="s">
        <v>6168</v>
      </c>
      <c r="M40" s="44">
        <v>149900</v>
      </c>
      <c r="N40" s="36" t="s">
        <v>2569</v>
      </c>
      <c r="O40" s="14" t="str">
        <f t="shared" si="3"/>
        <v>B1G1</v>
      </c>
      <c r="P40" s="36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F6D-E8F2-4FF6-B065-B3921FE3B0C2}">
  <dimension ref="A1:P25"/>
  <sheetViews>
    <sheetView zoomScale="78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81640625" defaultRowHeight="14.5" x14ac:dyDescent="0.35"/>
  <cols>
    <col min="1" max="1" width="26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6646</v>
      </c>
      <c r="B2" s="35">
        <f>'2023 JUN-DEC D90 - 3321'!B2</f>
        <v>46086</v>
      </c>
      <c r="C2" s="35">
        <f>'2023 JUN-DEC D90 - 3321'!C2</f>
        <v>46092</v>
      </c>
      <c r="D2" s="34">
        <v>3281</v>
      </c>
      <c r="E2" s="34">
        <v>337</v>
      </c>
      <c r="F2" s="34">
        <v>4</v>
      </c>
      <c r="G2" s="34">
        <v>1</v>
      </c>
      <c r="H2" s="34">
        <v>81588</v>
      </c>
      <c r="I2" s="34" t="s">
        <v>17</v>
      </c>
      <c r="J2" s="34">
        <v>54822003</v>
      </c>
      <c r="K2" s="34" t="s">
        <v>6008</v>
      </c>
      <c r="L2" s="41" t="s">
        <v>6010</v>
      </c>
      <c r="M2" s="36">
        <v>99900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6646</v>
      </c>
      <c r="B3" s="35">
        <f t="shared" ref="B3:C13" si="0">B2</f>
        <v>46086</v>
      </c>
      <c r="C3" s="35">
        <f t="shared" si="0"/>
        <v>46092</v>
      </c>
      <c r="D3" s="34">
        <v>3281</v>
      </c>
      <c r="E3" s="34">
        <v>337</v>
      </c>
      <c r="F3" s="34">
        <v>4</v>
      </c>
      <c r="G3" s="34">
        <v>1</v>
      </c>
      <c r="H3" s="34">
        <v>81588</v>
      </c>
      <c r="I3" s="34" t="s">
        <v>17</v>
      </c>
      <c r="J3" s="34">
        <v>54822012</v>
      </c>
      <c r="K3" s="34" t="s">
        <v>6008</v>
      </c>
      <c r="L3" s="41" t="s">
        <v>6014</v>
      </c>
      <c r="M3" s="36">
        <v>99900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6646</v>
      </c>
      <c r="B4" s="35">
        <f t="shared" si="0"/>
        <v>46086</v>
      </c>
      <c r="C4" s="35">
        <f t="shared" si="0"/>
        <v>46092</v>
      </c>
      <c r="D4" s="34">
        <v>3281</v>
      </c>
      <c r="E4" s="34">
        <v>337</v>
      </c>
      <c r="F4" s="34">
        <v>4</v>
      </c>
      <c r="G4" s="34">
        <v>1</v>
      </c>
      <c r="H4" s="34">
        <v>81588</v>
      </c>
      <c r="I4" s="34" t="s">
        <v>17</v>
      </c>
      <c r="J4" s="34">
        <v>54822021</v>
      </c>
      <c r="K4" s="34" t="s">
        <v>6008</v>
      </c>
      <c r="L4" s="41" t="s">
        <v>6009</v>
      </c>
      <c r="M4" s="36">
        <v>99900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6646</v>
      </c>
      <c r="B5" s="35">
        <f t="shared" si="0"/>
        <v>46086</v>
      </c>
      <c r="C5" s="35">
        <f t="shared" si="0"/>
        <v>46092</v>
      </c>
      <c r="D5" s="34">
        <v>3281</v>
      </c>
      <c r="E5" s="34">
        <v>337</v>
      </c>
      <c r="F5" s="34">
        <v>4</v>
      </c>
      <c r="G5" s="34">
        <v>1</v>
      </c>
      <c r="H5" s="34">
        <v>81588</v>
      </c>
      <c r="I5" s="34" t="s">
        <v>17</v>
      </c>
      <c r="J5" s="34">
        <v>54822030</v>
      </c>
      <c r="K5" s="34" t="s">
        <v>6008</v>
      </c>
      <c r="L5" s="41" t="s">
        <v>6012</v>
      </c>
      <c r="M5" s="36">
        <v>99900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6646</v>
      </c>
      <c r="B6" s="35">
        <f t="shared" si="0"/>
        <v>46086</v>
      </c>
      <c r="C6" s="35">
        <f t="shared" si="0"/>
        <v>46092</v>
      </c>
      <c r="D6" s="34">
        <v>3281</v>
      </c>
      <c r="E6" s="34">
        <v>337</v>
      </c>
      <c r="F6" s="34">
        <v>4</v>
      </c>
      <c r="G6" s="34">
        <v>1</v>
      </c>
      <c r="H6" s="34">
        <v>81588</v>
      </c>
      <c r="I6" s="34" t="s">
        <v>17</v>
      </c>
      <c r="J6" s="34">
        <v>54822049</v>
      </c>
      <c r="K6" s="34" t="s">
        <v>6005</v>
      </c>
      <c r="L6" s="41" t="s">
        <v>6013</v>
      </c>
      <c r="M6" s="36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6646</v>
      </c>
      <c r="B7" s="35">
        <f t="shared" si="0"/>
        <v>46086</v>
      </c>
      <c r="C7" s="35">
        <f t="shared" si="0"/>
        <v>46092</v>
      </c>
      <c r="D7" s="34">
        <v>3281</v>
      </c>
      <c r="E7" s="34">
        <v>337</v>
      </c>
      <c r="F7" s="34">
        <v>4</v>
      </c>
      <c r="G7" s="34">
        <v>1</v>
      </c>
      <c r="H7" s="34">
        <v>81588</v>
      </c>
      <c r="I7" s="34" t="s">
        <v>17</v>
      </c>
      <c r="J7" s="34">
        <v>54822058</v>
      </c>
      <c r="K7" s="34" t="s">
        <v>6005</v>
      </c>
      <c r="L7" s="41" t="s">
        <v>6007</v>
      </c>
      <c r="M7" s="36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6646</v>
      </c>
      <c r="B8" s="35">
        <f t="shared" si="0"/>
        <v>46086</v>
      </c>
      <c r="C8" s="35">
        <f t="shared" si="0"/>
        <v>46092</v>
      </c>
      <c r="D8" s="34">
        <v>3281</v>
      </c>
      <c r="E8" s="34">
        <v>337</v>
      </c>
      <c r="F8" s="34">
        <v>4</v>
      </c>
      <c r="G8" s="34">
        <v>1</v>
      </c>
      <c r="H8" s="34">
        <v>81588</v>
      </c>
      <c r="I8" s="34" t="s">
        <v>17</v>
      </c>
      <c r="J8" s="34">
        <v>54822067</v>
      </c>
      <c r="K8" s="34" t="s">
        <v>6005</v>
      </c>
      <c r="L8" s="41" t="s">
        <v>6006</v>
      </c>
      <c r="M8" s="36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6646</v>
      </c>
      <c r="B9" s="35">
        <f t="shared" si="0"/>
        <v>46086</v>
      </c>
      <c r="C9" s="35">
        <f t="shared" si="0"/>
        <v>46092</v>
      </c>
      <c r="D9" s="34">
        <v>3281</v>
      </c>
      <c r="E9" s="34">
        <v>337</v>
      </c>
      <c r="F9" s="34">
        <v>4</v>
      </c>
      <c r="G9" s="34">
        <v>1</v>
      </c>
      <c r="H9" s="34">
        <v>81588</v>
      </c>
      <c r="I9" s="34" t="s">
        <v>17</v>
      </c>
      <c r="J9" s="34">
        <v>54822076</v>
      </c>
      <c r="K9" s="34" t="s">
        <v>6005</v>
      </c>
      <c r="L9" s="41" t="s">
        <v>6011</v>
      </c>
      <c r="M9" s="36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6646</v>
      </c>
      <c r="B10" s="35">
        <f t="shared" si="0"/>
        <v>46086</v>
      </c>
      <c r="C10" s="35">
        <f t="shared" si="0"/>
        <v>46092</v>
      </c>
      <c r="D10" s="34">
        <v>3281</v>
      </c>
      <c r="E10" s="34">
        <v>337</v>
      </c>
      <c r="F10" s="34">
        <v>4</v>
      </c>
      <c r="G10" s="34">
        <v>1</v>
      </c>
      <c r="H10" s="34">
        <v>81588</v>
      </c>
      <c r="I10" s="34" t="s">
        <v>17</v>
      </c>
      <c r="J10" s="34">
        <v>54822085</v>
      </c>
      <c r="K10" s="34" t="s">
        <v>6114</v>
      </c>
      <c r="L10" s="41" t="s">
        <v>6116</v>
      </c>
      <c r="M10" s="36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6646</v>
      </c>
      <c r="B11" s="35">
        <f t="shared" si="0"/>
        <v>46086</v>
      </c>
      <c r="C11" s="35">
        <f t="shared" si="0"/>
        <v>46092</v>
      </c>
      <c r="D11" s="34">
        <v>3281</v>
      </c>
      <c r="E11" s="34">
        <v>337</v>
      </c>
      <c r="F11" s="34">
        <v>4</v>
      </c>
      <c r="G11" s="34">
        <v>1</v>
      </c>
      <c r="H11" s="34">
        <v>81588</v>
      </c>
      <c r="I11" s="34" t="s">
        <v>17</v>
      </c>
      <c r="J11" s="34">
        <v>54822094</v>
      </c>
      <c r="K11" s="34" t="s">
        <v>6114</v>
      </c>
      <c r="L11" s="41" t="s">
        <v>6117</v>
      </c>
      <c r="M11" s="36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6646</v>
      </c>
      <c r="B12" s="35">
        <f t="shared" si="0"/>
        <v>46086</v>
      </c>
      <c r="C12" s="35">
        <f t="shared" si="0"/>
        <v>46092</v>
      </c>
      <c r="D12" s="34">
        <v>3281</v>
      </c>
      <c r="E12" s="34">
        <v>337</v>
      </c>
      <c r="F12" s="34">
        <v>4</v>
      </c>
      <c r="G12" s="34">
        <v>1</v>
      </c>
      <c r="H12" s="34">
        <v>81588</v>
      </c>
      <c r="I12" s="34" t="s">
        <v>17</v>
      </c>
      <c r="J12" s="34">
        <v>54822101</v>
      </c>
      <c r="K12" s="34" t="s">
        <v>6114</v>
      </c>
      <c r="L12" s="41" t="s">
        <v>6115</v>
      </c>
      <c r="M12" s="36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6646</v>
      </c>
      <c r="B13" s="35">
        <f t="shared" si="0"/>
        <v>46086</v>
      </c>
      <c r="C13" s="35">
        <f t="shared" si="0"/>
        <v>46092</v>
      </c>
      <c r="D13" s="34">
        <v>3281</v>
      </c>
      <c r="E13" s="34">
        <v>337</v>
      </c>
      <c r="F13" s="34">
        <v>4</v>
      </c>
      <c r="G13" s="34">
        <v>1</v>
      </c>
      <c r="H13" s="34">
        <v>81588</v>
      </c>
      <c r="I13" s="34" t="s">
        <v>17</v>
      </c>
      <c r="J13" s="34">
        <v>54822110</v>
      </c>
      <c r="K13" s="34" t="s">
        <v>6114</v>
      </c>
      <c r="L13" s="41" t="s">
        <v>6118</v>
      </c>
      <c r="M13" s="36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6646</v>
      </c>
      <c r="B14" s="35">
        <f t="shared" ref="B14:C14" si="1">B13</f>
        <v>46086</v>
      </c>
      <c r="C14" s="35">
        <f t="shared" si="1"/>
        <v>46092</v>
      </c>
      <c r="D14" s="34">
        <v>3281</v>
      </c>
      <c r="E14" s="34">
        <v>337</v>
      </c>
      <c r="F14" s="34">
        <v>4</v>
      </c>
      <c r="G14" s="34">
        <v>1</v>
      </c>
      <c r="H14" s="25">
        <v>81588</v>
      </c>
      <c r="I14" s="34" t="s">
        <v>17</v>
      </c>
      <c r="J14" s="25">
        <v>54822227</v>
      </c>
      <c r="K14" s="25" t="s">
        <v>6015</v>
      </c>
      <c r="L14" s="24" t="s">
        <v>6016</v>
      </c>
      <c r="M14" s="26">
        <v>149900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6646</v>
      </c>
      <c r="B15" s="35">
        <f t="shared" ref="B15:C15" si="2">B14</f>
        <v>46086</v>
      </c>
      <c r="C15" s="35">
        <f t="shared" si="2"/>
        <v>46092</v>
      </c>
      <c r="D15" s="34">
        <v>3281</v>
      </c>
      <c r="E15" s="34">
        <v>337</v>
      </c>
      <c r="F15" s="34">
        <v>4</v>
      </c>
      <c r="G15" s="34">
        <v>1</v>
      </c>
      <c r="H15" s="25">
        <v>81588</v>
      </c>
      <c r="I15" s="34" t="s">
        <v>17</v>
      </c>
      <c r="J15" s="25">
        <v>54822236</v>
      </c>
      <c r="K15" s="25" t="s">
        <v>6015</v>
      </c>
      <c r="L15" s="24" t="s">
        <v>6017</v>
      </c>
      <c r="M15" s="26">
        <v>149900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6646</v>
      </c>
      <c r="B16" s="35">
        <f t="shared" ref="B16:C16" si="3">B15</f>
        <v>46086</v>
      </c>
      <c r="C16" s="35">
        <f t="shared" si="3"/>
        <v>46092</v>
      </c>
      <c r="D16" s="34">
        <v>3281</v>
      </c>
      <c r="E16" s="34">
        <v>337</v>
      </c>
      <c r="F16" s="34">
        <v>4</v>
      </c>
      <c r="G16" s="34">
        <v>1</v>
      </c>
      <c r="H16" s="25">
        <v>81588</v>
      </c>
      <c r="I16" s="34" t="s">
        <v>17</v>
      </c>
      <c r="J16" s="25">
        <v>54822218</v>
      </c>
      <c r="K16" s="25" t="s">
        <v>6015</v>
      </c>
      <c r="L16" s="24" t="s">
        <v>6018</v>
      </c>
      <c r="M16" s="26">
        <v>149900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6646</v>
      </c>
      <c r="B17" s="35">
        <f t="shared" ref="B17:C17" si="4">B16</f>
        <v>46086</v>
      </c>
      <c r="C17" s="35">
        <f t="shared" si="4"/>
        <v>46092</v>
      </c>
      <c r="D17" s="34">
        <v>3281</v>
      </c>
      <c r="E17" s="34">
        <v>337</v>
      </c>
      <c r="F17" s="34">
        <v>4</v>
      </c>
      <c r="G17" s="34">
        <v>1</v>
      </c>
      <c r="H17" s="25">
        <v>81588</v>
      </c>
      <c r="I17" s="34" t="s">
        <v>17</v>
      </c>
      <c r="J17" s="25">
        <v>54822209</v>
      </c>
      <c r="K17" s="25" t="s">
        <v>6015</v>
      </c>
      <c r="L17" s="24" t="s">
        <v>6019</v>
      </c>
      <c r="M17" s="26">
        <v>149900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6646</v>
      </c>
      <c r="B18" s="35">
        <f t="shared" ref="B18:C18" si="5">B17</f>
        <v>46086</v>
      </c>
      <c r="C18" s="35">
        <f t="shared" si="5"/>
        <v>46092</v>
      </c>
      <c r="D18" s="51">
        <v>3281</v>
      </c>
      <c r="E18" s="51">
        <v>337</v>
      </c>
      <c r="F18" s="51">
        <v>4</v>
      </c>
      <c r="G18" s="34">
        <v>1</v>
      </c>
      <c r="H18" s="25">
        <v>81588</v>
      </c>
      <c r="I18" s="34" t="s">
        <v>17</v>
      </c>
      <c r="J18" s="24">
        <v>54821960</v>
      </c>
      <c r="K18" s="25" t="s">
        <v>6109</v>
      </c>
      <c r="L18" s="24" t="s">
        <v>6110</v>
      </c>
      <c r="M18" s="26">
        <v>129900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6646</v>
      </c>
      <c r="B19" s="35">
        <f t="shared" ref="B19:C19" si="6">B18</f>
        <v>46086</v>
      </c>
      <c r="C19" s="35">
        <f t="shared" si="6"/>
        <v>46092</v>
      </c>
      <c r="D19" s="51">
        <v>3281</v>
      </c>
      <c r="E19" s="51">
        <v>337</v>
      </c>
      <c r="F19" s="51">
        <v>4</v>
      </c>
      <c r="G19" s="34">
        <v>1</v>
      </c>
      <c r="H19" s="25">
        <v>81588</v>
      </c>
      <c r="I19" s="34" t="s">
        <v>17</v>
      </c>
      <c r="J19" s="24">
        <v>54821979</v>
      </c>
      <c r="K19" s="25" t="s">
        <v>6109</v>
      </c>
      <c r="L19" s="24" t="s">
        <v>6111</v>
      </c>
      <c r="M19" s="26">
        <v>129900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6646</v>
      </c>
      <c r="B20" s="35">
        <f t="shared" ref="B20:C20" si="7">B19</f>
        <v>46086</v>
      </c>
      <c r="C20" s="35">
        <f t="shared" si="7"/>
        <v>46092</v>
      </c>
      <c r="D20" s="51">
        <v>3281</v>
      </c>
      <c r="E20" s="51">
        <v>337</v>
      </c>
      <c r="F20" s="51">
        <v>4</v>
      </c>
      <c r="G20" s="34">
        <v>1</v>
      </c>
      <c r="H20" s="25">
        <v>81588</v>
      </c>
      <c r="I20" s="34" t="s">
        <v>17</v>
      </c>
      <c r="J20" s="24">
        <v>54821988</v>
      </c>
      <c r="K20" s="25" t="s">
        <v>6109</v>
      </c>
      <c r="L20" s="24" t="s">
        <v>6113</v>
      </c>
      <c r="M20" s="26">
        <v>129900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6646</v>
      </c>
      <c r="B21" s="35">
        <f t="shared" ref="B21:C21" si="8">B20</f>
        <v>46086</v>
      </c>
      <c r="C21" s="35">
        <f t="shared" si="8"/>
        <v>46092</v>
      </c>
      <c r="D21" s="51">
        <v>3281</v>
      </c>
      <c r="E21" s="51">
        <v>337</v>
      </c>
      <c r="F21" s="51">
        <v>4</v>
      </c>
      <c r="G21" s="34">
        <v>1</v>
      </c>
      <c r="H21" s="25">
        <v>81588</v>
      </c>
      <c r="I21" s="34" t="s">
        <v>17</v>
      </c>
      <c r="J21" s="24">
        <v>54821997</v>
      </c>
      <c r="K21" s="25" t="s">
        <v>6109</v>
      </c>
      <c r="L21" s="24" t="s">
        <v>6112</v>
      </c>
      <c r="M21" s="26">
        <v>129900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6646</v>
      </c>
      <c r="B22" s="35">
        <f t="shared" ref="B22:C22" si="9">B21</f>
        <v>46086</v>
      </c>
      <c r="C22" s="35">
        <f t="shared" si="9"/>
        <v>46092</v>
      </c>
      <c r="D22" s="34">
        <v>3281</v>
      </c>
      <c r="E22" s="34">
        <v>337</v>
      </c>
      <c r="F22" s="34">
        <v>4</v>
      </c>
      <c r="G22" s="25">
        <v>3</v>
      </c>
      <c r="H22" s="25">
        <v>81588</v>
      </c>
      <c r="I22" s="34" t="s">
        <v>17</v>
      </c>
      <c r="J22" s="24">
        <v>54822165</v>
      </c>
      <c r="K22" s="25" t="s">
        <v>6119</v>
      </c>
      <c r="L22" s="24" t="s">
        <v>6120</v>
      </c>
      <c r="M22" s="26">
        <v>179900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34" t="s">
        <v>6646</v>
      </c>
      <c r="B23" s="35">
        <f t="shared" ref="B23:C23" si="10">B22</f>
        <v>46086</v>
      </c>
      <c r="C23" s="35">
        <f t="shared" si="10"/>
        <v>46092</v>
      </c>
      <c r="D23" s="34">
        <v>3281</v>
      </c>
      <c r="E23" s="34">
        <v>337</v>
      </c>
      <c r="F23" s="34">
        <v>4</v>
      </c>
      <c r="G23" s="25">
        <v>3</v>
      </c>
      <c r="H23" s="25">
        <v>81588</v>
      </c>
      <c r="I23" s="34" t="s">
        <v>17</v>
      </c>
      <c r="J23" s="24">
        <v>54822174</v>
      </c>
      <c r="K23" s="25" t="s">
        <v>6119</v>
      </c>
      <c r="L23" s="24" t="s">
        <v>6121</v>
      </c>
      <c r="M23" s="26">
        <v>179900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34" t="s">
        <v>6646</v>
      </c>
      <c r="B24" s="35">
        <f t="shared" ref="B24:C24" si="11">B23</f>
        <v>46086</v>
      </c>
      <c r="C24" s="35">
        <f t="shared" si="11"/>
        <v>46092</v>
      </c>
      <c r="D24" s="34">
        <v>3281</v>
      </c>
      <c r="E24" s="34">
        <v>337</v>
      </c>
      <c r="F24" s="34">
        <v>4</v>
      </c>
      <c r="G24" s="25">
        <v>3</v>
      </c>
      <c r="H24" s="25">
        <v>81588</v>
      </c>
      <c r="I24" s="34" t="s">
        <v>17</v>
      </c>
      <c r="J24" s="24">
        <v>54822183</v>
      </c>
      <c r="K24" s="25" t="s">
        <v>6119</v>
      </c>
      <c r="L24" s="24" t="s">
        <v>6123</v>
      </c>
      <c r="M24" s="26">
        <v>179900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34" t="s">
        <v>6646</v>
      </c>
      <c r="B25" s="35">
        <f t="shared" ref="B25:C25" si="12">B24</f>
        <v>46086</v>
      </c>
      <c r="C25" s="35">
        <f t="shared" si="12"/>
        <v>46092</v>
      </c>
      <c r="D25" s="34">
        <v>3281</v>
      </c>
      <c r="E25" s="34">
        <v>337</v>
      </c>
      <c r="F25" s="34">
        <v>4</v>
      </c>
      <c r="G25" s="25">
        <v>3</v>
      </c>
      <c r="H25" s="25">
        <v>81588</v>
      </c>
      <c r="I25" s="34" t="s">
        <v>17</v>
      </c>
      <c r="J25" s="24">
        <v>54822192</v>
      </c>
      <c r="K25" s="25" t="s">
        <v>6119</v>
      </c>
      <c r="L25" s="24" t="s">
        <v>6122</v>
      </c>
      <c r="M25" s="26">
        <v>179900</v>
      </c>
      <c r="N25" s="63" t="s">
        <v>2569</v>
      </c>
      <c r="O25" s="15" t="s">
        <v>2577</v>
      </c>
      <c r="P25" s="63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3 J26:J1048576">
    <cfRule type="duplicateValues" dxfId="8" priority="2"/>
  </conditionalFormatting>
  <conditionalFormatting sqref="J18:J21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2" activePane="bottomLeft" state="frozen"/>
      <selection activeCell="M23" sqref="M23"/>
      <selection pane="bottomLeft" activeCell="D14" sqref="D14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7">
        <f>'2025 HILITE D80 - 3321'!B2</f>
        <v>46086</v>
      </c>
      <c r="C2" s="7">
        <f>'2025 HILITE D80 - 3321'!C2</f>
        <v>46092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4665</v>
      </c>
      <c r="L2" s="17" t="s">
        <v>4666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4" t="s">
        <v>6371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4665</v>
      </c>
      <c r="L3" s="17" t="s">
        <v>4667</v>
      </c>
      <c r="M3" s="8">
        <v>339900</v>
      </c>
      <c r="N3" s="37">
        <v>0.8</v>
      </c>
      <c r="O3" s="36">
        <f t="shared" ref="O3:O33" si="0">M3-((80*M3)/100)</f>
        <v>67980</v>
      </c>
      <c r="P3" s="6" t="s">
        <v>16</v>
      </c>
    </row>
    <row r="4" spans="1:16" x14ac:dyDescent="0.35">
      <c r="A4" s="34" t="s">
        <v>6371</v>
      </c>
      <c r="B4" s="7">
        <f t="shared" ref="B4:B33" si="1">B3</f>
        <v>46086</v>
      </c>
      <c r="C4" s="7">
        <f t="shared" ref="C4:C33" si="2">C3</f>
        <v>46092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4665</v>
      </c>
      <c r="L4" s="17" t="s">
        <v>4668</v>
      </c>
      <c r="M4" s="8">
        <v>339900</v>
      </c>
      <c r="N4" s="37">
        <v>0.8</v>
      </c>
      <c r="O4" s="36">
        <f t="shared" si="0"/>
        <v>67980</v>
      </c>
      <c r="P4" s="6" t="s">
        <v>16</v>
      </c>
    </row>
    <row r="5" spans="1:16" x14ac:dyDescent="0.35">
      <c r="A5" s="34" t="s">
        <v>6371</v>
      </c>
      <c r="B5" s="7">
        <f t="shared" si="1"/>
        <v>46086</v>
      </c>
      <c r="C5" s="7">
        <f t="shared" si="2"/>
        <v>46092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4665</v>
      </c>
      <c r="L5" s="17" t="s">
        <v>4669</v>
      </c>
      <c r="M5" s="8">
        <v>339900</v>
      </c>
      <c r="N5" s="37">
        <v>0.8</v>
      </c>
      <c r="O5" s="36">
        <f t="shared" si="0"/>
        <v>67980</v>
      </c>
      <c r="P5" s="6" t="s">
        <v>16</v>
      </c>
    </row>
    <row r="6" spans="1:16" x14ac:dyDescent="0.35">
      <c r="A6" s="34" t="s">
        <v>6371</v>
      </c>
      <c r="B6" s="7">
        <f t="shared" si="1"/>
        <v>46086</v>
      </c>
      <c r="C6" s="7">
        <f t="shared" si="2"/>
        <v>46092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4660</v>
      </c>
      <c r="L6" s="17" t="s">
        <v>4661</v>
      </c>
      <c r="M6" s="8">
        <v>319900</v>
      </c>
      <c r="N6" s="37">
        <v>0.8</v>
      </c>
      <c r="O6" s="36">
        <f t="shared" si="0"/>
        <v>63980</v>
      </c>
      <c r="P6" s="6" t="s">
        <v>16</v>
      </c>
    </row>
    <row r="7" spans="1:16" x14ac:dyDescent="0.35">
      <c r="A7" s="34" t="s">
        <v>6371</v>
      </c>
      <c r="B7" s="7">
        <f t="shared" si="1"/>
        <v>46086</v>
      </c>
      <c r="C7" s="7">
        <f t="shared" si="2"/>
        <v>46092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4660</v>
      </c>
      <c r="L7" s="17" t="s">
        <v>4662</v>
      </c>
      <c r="M7" s="8">
        <v>319900</v>
      </c>
      <c r="N7" s="37">
        <v>0.8</v>
      </c>
      <c r="O7" s="36">
        <f t="shared" si="0"/>
        <v>63980</v>
      </c>
      <c r="P7" s="6" t="s">
        <v>16</v>
      </c>
    </row>
    <row r="8" spans="1:16" x14ac:dyDescent="0.35">
      <c r="A8" s="34" t="s">
        <v>6371</v>
      </c>
      <c r="B8" s="7">
        <f t="shared" si="1"/>
        <v>46086</v>
      </c>
      <c r="C8" s="7">
        <f t="shared" si="2"/>
        <v>46092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4660</v>
      </c>
      <c r="L8" s="17" t="s">
        <v>4663</v>
      </c>
      <c r="M8" s="8">
        <v>319900</v>
      </c>
      <c r="N8" s="37">
        <v>0.8</v>
      </c>
      <c r="O8" s="36">
        <f t="shared" si="0"/>
        <v>63980</v>
      </c>
      <c r="P8" s="6" t="s">
        <v>16</v>
      </c>
    </row>
    <row r="9" spans="1:16" x14ac:dyDescent="0.35">
      <c r="A9" s="34" t="s">
        <v>6371</v>
      </c>
      <c r="B9" s="7">
        <f t="shared" si="1"/>
        <v>46086</v>
      </c>
      <c r="C9" s="7">
        <f t="shared" si="2"/>
        <v>46092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4660</v>
      </c>
      <c r="L9" s="17" t="s">
        <v>4664</v>
      </c>
      <c r="M9" s="8">
        <v>319900</v>
      </c>
      <c r="N9" s="37">
        <v>0.8</v>
      </c>
      <c r="O9" s="36">
        <f t="shared" si="0"/>
        <v>63980</v>
      </c>
      <c r="P9" s="6" t="s">
        <v>16</v>
      </c>
    </row>
    <row r="10" spans="1:16" x14ac:dyDescent="0.35">
      <c r="A10" s="34" t="s">
        <v>6371</v>
      </c>
      <c r="B10" s="7">
        <f t="shared" si="1"/>
        <v>46086</v>
      </c>
      <c r="C10" s="7">
        <f t="shared" si="2"/>
        <v>46092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4839</v>
      </c>
      <c r="L10" s="17" t="s">
        <v>4840</v>
      </c>
      <c r="M10" s="8">
        <v>339900</v>
      </c>
      <c r="N10" s="37">
        <v>0.8</v>
      </c>
      <c r="O10" s="36">
        <f t="shared" si="0"/>
        <v>67980</v>
      </c>
      <c r="P10" s="6" t="s">
        <v>16</v>
      </c>
    </row>
    <row r="11" spans="1:16" x14ac:dyDescent="0.35">
      <c r="A11" s="34" t="s">
        <v>6371</v>
      </c>
      <c r="B11" s="35">
        <f t="shared" si="1"/>
        <v>46086</v>
      </c>
      <c r="C11" s="7">
        <f t="shared" si="2"/>
        <v>46092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4839</v>
      </c>
      <c r="L11" s="17" t="s">
        <v>4841</v>
      </c>
      <c r="M11" s="8">
        <v>339900</v>
      </c>
      <c r="N11" s="37">
        <v>0.8</v>
      </c>
      <c r="O11" s="36">
        <f t="shared" si="0"/>
        <v>67980</v>
      </c>
      <c r="P11" s="6" t="s">
        <v>16</v>
      </c>
    </row>
    <row r="12" spans="1:16" x14ac:dyDescent="0.35">
      <c r="A12" s="34" t="s">
        <v>6371</v>
      </c>
      <c r="B12" s="35">
        <f t="shared" si="1"/>
        <v>46086</v>
      </c>
      <c r="C12" s="7">
        <f t="shared" si="2"/>
        <v>46092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4839</v>
      </c>
      <c r="L12" s="17" t="s">
        <v>4842</v>
      </c>
      <c r="M12" s="8">
        <v>339900</v>
      </c>
      <c r="N12" s="37">
        <v>0.8</v>
      </c>
      <c r="O12" s="36">
        <f t="shared" si="0"/>
        <v>67980</v>
      </c>
      <c r="P12" s="6" t="s">
        <v>16</v>
      </c>
    </row>
    <row r="13" spans="1:16" x14ac:dyDescent="0.35">
      <c r="A13" s="34" t="s">
        <v>6371</v>
      </c>
      <c r="B13" s="35">
        <f t="shared" si="1"/>
        <v>46086</v>
      </c>
      <c r="C13" s="7">
        <f t="shared" si="2"/>
        <v>46092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4839</v>
      </c>
      <c r="L13" s="17" t="s">
        <v>4843</v>
      </c>
      <c r="M13" s="8">
        <v>339900</v>
      </c>
      <c r="N13" s="37">
        <v>0.8</v>
      </c>
      <c r="O13" s="36">
        <f t="shared" si="0"/>
        <v>67980</v>
      </c>
      <c r="P13" s="6" t="s">
        <v>16</v>
      </c>
    </row>
    <row r="14" spans="1:16" x14ac:dyDescent="0.35">
      <c r="A14" s="34" t="s">
        <v>6371</v>
      </c>
      <c r="B14" s="35">
        <f t="shared" si="1"/>
        <v>46086</v>
      </c>
      <c r="C14" s="7">
        <f t="shared" si="2"/>
        <v>46092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4595</v>
      </c>
      <c r="L14" s="17" t="s">
        <v>4596</v>
      </c>
      <c r="M14" s="8">
        <v>279900</v>
      </c>
      <c r="N14" s="37">
        <v>0.8</v>
      </c>
      <c r="O14" s="36">
        <f t="shared" si="0"/>
        <v>55980</v>
      </c>
      <c r="P14" s="6" t="s">
        <v>16</v>
      </c>
    </row>
    <row r="15" spans="1:16" x14ac:dyDescent="0.35">
      <c r="A15" s="34" t="s">
        <v>6371</v>
      </c>
      <c r="B15" s="35">
        <f t="shared" si="1"/>
        <v>46086</v>
      </c>
      <c r="C15" s="7">
        <f t="shared" si="2"/>
        <v>46092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4595</v>
      </c>
      <c r="L15" s="17" t="s">
        <v>4597</v>
      </c>
      <c r="M15" s="8">
        <v>279900</v>
      </c>
      <c r="N15" s="37">
        <v>0.8</v>
      </c>
      <c r="O15" s="36">
        <f t="shared" si="0"/>
        <v>55980</v>
      </c>
      <c r="P15" s="6" t="s">
        <v>16</v>
      </c>
    </row>
    <row r="16" spans="1:16" x14ac:dyDescent="0.35">
      <c r="A16" s="34" t="s">
        <v>6371</v>
      </c>
      <c r="B16" s="35">
        <f t="shared" si="1"/>
        <v>46086</v>
      </c>
      <c r="C16" s="7">
        <f t="shared" si="2"/>
        <v>46092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4595</v>
      </c>
      <c r="L16" s="17" t="s">
        <v>4598</v>
      </c>
      <c r="M16" s="8">
        <v>279900</v>
      </c>
      <c r="N16" s="37">
        <v>0.8</v>
      </c>
      <c r="O16" s="36">
        <f t="shared" si="0"/>
        <v>55980</v>
      </c>
      <c r="P16" s="6" t="s">
        <v>16</v>
      </c>
    </row>
    <row r="17" spans="1:16" x14ac:dyDescent="0.35">
      <c r="A17" s="34" t="s">
        <v>6371</v>
      </c>
      <c r="B17" s="35">
        <f t="shared" si="1"/>
        <v>46086</v>
      </c>
      <c r="C17" s="7">
        <f t="shared" si="2"/>
        <v>46092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4595</v>
      </c>
      <c r="L17" s="17" t="s">
        <v>4599</v>
      </c>
      <c r="M17" s="8">
        <v>279900</v>
      </c>
      <c r="N17" s="37">
        <v>0.8</v>
      </c>
      <c r="O17" s="36">
        <f t="shared" si="0"/>
        <v>55980</v>
      </c>
      <c r="P17" s="6" t="s">
        <v>16</v>
      </c>
    </row>
    <row r="18" spans="1:16" x14ac:dyDescent="0.35">
      <c r="A18" s="34" t="s">
        <v>6371</v>
      </c>
      <c r="B18" s="35">
        <f t="shared" si="1"/>
        <v>46086</v>
      </c>
      <c r="C18" s="7">
        <f t="shared" si="2"/>
        <v>46092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4635</v>
      </c>
      <c r="L18" s="17" t="s">
        <v>4636</v>
      </c>
      <c r="M18" s="8">
        <v>279900</v>
      </c>
      <c r="N18" s="37">
        <v>0.8</v>
      </c>
      <c r="O18" s="36">
        <f t="shared" si="0"/>
        <v>55980</v>
      </c>
      <c r="P18" s="6" t="s">
        <v>16</v>
      </c>
    </row>
    <row r="19" spans="1:16" x14ac:dyDescent="0.35">
      <c r="A19" s="34" t="s">
        <v>6371</v>
      </c>
      <c r="B19" s="35">
        <f t="shared" si="1"/>
        <v>46086</v>
      </c>
      <c r="C19" s="7">
        <f t="shared" si="2"/>
        <v>46092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4635</v>
      </c>
      <c r="L19" s="17" t="s">
        <v>4637</v>
      </c>
      <c r="M19" s="8">
        <v>279900</v>
      </c>
      <c r="N19" s="37">
        <v>0.8</v>
      </c>
      <c r="O19" s="36">
        <f t="shared" si="0"/>
        <v>55980</v>
      </c>
      <c r="P19" s="6" t="s">
        <v>16</v>
      </c>
    </row>
    <row r="20" spans="1:16" x14ac:dyDescent="0.35">
      <c r="A20" s="34" t="s">
        <v>6371</v>
      </c>
      <c r="B20" s="35">
        <f t="shared" si="1"/>
        <v>46086</v>
      </c>
      <c r="C20" s="7">
        <f t="shared" si="2"/>
        <v>46092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4635</v>
      </c>
      <c r="L20" s="17" t="s">
        <v>4638</v>
      </c>
      <c r="M20" s="8">
        <v>279900</v>
      </c>
      <c r="N20" s="37">
        <v>0.8</v>
      </c>
      <c r="O20" s="36">
        <f t="shared" si="0"/>
        <v>55980</v>
      </c>
      <c r="P20" s="6" t="s">
        <v>16</v>
      </c>
    </row>
    <row r="21" spans="1:16" x14ac:dyDescent="0.35">
      <c r="A21" s="34" t="s">
        <v>6371</v>
      </c>
      <c r="B21" s="35">
        <f t="shared" si="1"/>
        <v>46086</v>
      </c>
      <c r="C21" s="7">
        <f t="shared" si="2"/>
        <v>46092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4635</v>
      </c>
      <c r="L21" s="17" t="s">
        <v>4639</v>
      </c>
      <c r="M21" s="8">
        <v>279900</v>
      </c>
      <c r="N21" s="37">
        <v>0.8</v>
      </c>
      <c r="O21" s="36">
        <f t="shared" si="0"/>
        <v>55980</v>
      </c>
      <c r="P21" s="6" t="s">
        <v>16</v>
      </c>
    </row>
    <row r="22" spans="1:16" x14ac:dyDescent="0.35">
      <c r="A22" s="34" t="s">
        <v>6371</v>
      </c>
      <c r="B22" s="35">
        <f t="shared" si="1"/>
        <v>46086</v>
      </c>
      <c r="C22" s="7">
        <f t="shared" si="2"/>
        <v>46092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4824</v>
      </c>
      <c r="L22" s="17" t="s">
        <v>4825</v>
      </c>
      <c r="M22" s="8">
        <v>279900</v>
      </c>
      <c r="N22" s="37">
        <v>0.8</v>
      </c>
      <c r="O22" s="36">
        <f t="shared" si="0"/>
        <v>55980</v>
      </c>
      <c r="P22" s="6" t="s">
        <v>16</v>
      </c>
    </row>
    <row r="23" spans="1:16" x14ac:dyDescent="0.35">
      <c r="A23" s="34" t="s">
        <v>6371</v>
      </c>
      <c r="B23" s="35">
        <f t="shared" si="1"/>
        <v>46086</v>
      </c>
      <c r="C23" s="7">
        <f t="shared" si="2"/>
        <v>46092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4824</v>
      </c>
      <c r="L23" s="17" t="s">
        <v>4826</v>
      </c>
      <c r="M23" s="8">
        <v>279900</v>
      </c>
      <c r="N23" s="37">
        <v>0.8</v>
      </c>
      <c r="O23" s="36">
        <f t="shared" si="0"/>
        <v>55980</v>
      </c>
      <c r="P23" s="6" t="s">
        <v>16</v>
      </c>
    </row>
    <row r="24" spans="1:16" x14ac:dyDescent="0.35">
      <c r="A24" s="34" t="s">
        <v>6371</v>
      </c>
      <c r="B24" s="35">
        <f t="shared" si="1"/>
        <v>46086</v>
      </c>
      <c r="C24" s="7">
        <f t="shared" si="2"/>
        <v>46092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4824</v>
      </c>
      <c r="L24" s="17" t="s">
        <v>4827</v>
      </c>
      <c r="M24" s="8">
        <v>279900</v>
      </c>
      <c r="N24" s="37">
        <v>0.8</v>
      </c>
      <c r="O24" s="36">
        <f t="shared" si="0"/>
        <v>55980</v>
      </c>
      <c r="P24" s="6" t="s">
        <v>16</v>
      </c>
    </row>
    <row r="25" spans="1:16" x14ac:dyDescent="0.35">
      <c r="A25" s="34" t="s">
        <v>6371</v>
      </c>
      <c r="B25" s="35">
        <f t="shared" si="1"/>
        <v>46086</v>
      </c>
      <c r="C25" s="7">
        <f t="shared" si="2"/>
        <v>46092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4824</v>
      </c>
      <c r="L25" s="17" t="s">
        <v>4828</v>
      </c>
      <c r="M25" s="8">
        <v>279900</v>
      </c>
      <c r="N25" s="37">
        <v>0.8</v>
      </c>
      <c r="O25" s="36">
        <f t="shared" si="0"/>
        <v>55980</v>
      </c>
      <c r="P25" s="6" t="s">
        <v>16</v>
      </c>
    </row>
    <row r="26" spans="1:16" x14ac:dyDescent="0.35">
      <c r="A26" s="34" t="s">
        <v>6371</v>
      </c>
      <c r="B26" s="35">
        <f t="shared" si="1"/>
        <v>46086</v>
      </c>
      <c r="C26" s="7">
        <f t="shared" si="2"/>
        <v>46092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5475</v>
      </c>
      <c r="L26" s="17" t="s">
        <v>5476</v>
      </c>
      <c r="M26" s="8">
        <v>279900</v>
      </c>
      <c r="N26" s="37">
        <v>0.8</v>
      </c>
      <c r="O26" s="36">
        <f t="shared" si="0"/>
        <v>55980</v>
      </c>
      <c r="P26" s="6" t="s">
        <v>16</v>
      </c>
    </row>
    <row r="27" spans="1:16" x14ac:dyDescent="0.35">
      <c r="A27" s="34" t="s">
        <v>6371</v>
      </c>
      <c r="B27" s="35">
        <f t="shared" si="1"/>
        <v>46086</v>
      </c>
      <c r="C27" s="7">
        <f t="shared" si="2"/>
        <v>46092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5475</v>
      </c>
      <c r="L27" s="17" t="s">
        <v>5477</v>
      </c>
      <c r="M27" s="8">
        <v>279900</v>
      </c>
      <c r="N27" s="37">
        <v>0.8</v>
      </c>
      <c r="O27" s="36">
        <f t="shared" si="0"/>
        <v>55980</v>
      </c>
      <c r="P27" s="6" t="s">
        <v>16</v>
      </c>
    </row>
    <row r="28" spans="1:16" x14ac:dyDescent="0.35">
      <c r="A28" s="34" t="s">
        <v>6371</v>
      </c>
      <c r="B28" s="35">
        <f t="shared" si="1"/>
        <v>46086</v>
      </c>
      <c r="C28" s="7">
        <f t="shared" si="2"/>
        <v>46092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5475</v>
      </c>
      <c r="L28" s="17" t="s">
        <v>5478</v>
      </c>
      <c r="M28" s="8">
        <v>279900</v>
      </c>
      <c r="N28" s="37">
        <v>0.8</v>
      </c>
      <c r="O28" s="36">
        <f t="shared" si="0"/>
        <v>55980</v>
      </c>
      <c r="P28" s="6" t="s">
        <v>16</v>
      </c>
    </row>
    <row r="29" spans="1:16" x14ac:dyDescent="0.35">
      <c r="A29" s="34" t="s">
        <v>6371</v>
      </c>
      <c r="B29" s="35">
        <f t="shared" si="1"/>
        <v>46086</v>
      </c>
      <c r="C29" s="7">
        <f t="shared" si="2"/>
        <v>46092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5475</v>
      </c>
      <c r="L29" s="17" t="s">
        <v>5479</v>
      </c>
      <c r="M29" s="8">
        <v>279900</v>
      </c>
      <c r="N29" s="37">
        <v>0.8</v>
      </c>
      <c r="O29" s="36">
        <f t="shared" si="0"/>
        <v>55980</v>
      </c>
      <c r="P29" s="6" t="s">
        <v>16</v>
      </c>
    </row>
    <row r="30" spans="1:16" x14ac:dyDescent="0.35">
      <c r="A30" s="34" t="s">
        <v>6371</v>
      </c>
      <c r="B30" s="35">
        <f t="shared" si="1"/>
        <v>46086</v>
      </c>
      <c r="C30" s="7">
        <f t="shared" si="2"/>
        <v>46092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4615</v>
      </c>
      <c r="L30" s="17" t="s">
        <v>4616</v>
      </c>
      <c r="M30" s="8">
        <v>279900</v>
      </c>
      <c r="N30" s="37">
        <v>0.8</v>
      </c>
      <c r="O30" s="36">
        <f t="shared" si="0"/>
        <v>55980</v>
      </c>
      <c r="P30" s="6" t="s">
        <v>16</v>
      </c>
    </row>
    <row r="31" spans="1:16" x14ac:dyDescent="0.35">
      <c r="A31" s="34" t="s">
        <v>6371</v>
      </c>
      <c r="B31" s="35">
        <f t="shared" si="1"/>
        <v>46086</v>
      </c>
      <c r="C31" s="7">
        <f t="shared" si="2"/>
        <v>46092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4615</v>
      </c>
      <c r="L31" s="17" t="s">
        <v>4617</v>
      </c>
      <c r="M31" s="8">
        <v>279900</v>
      </c>
      <c r="N31" s="37">
        <v>0.8</v>
      </c>
      <c r="O31" s="36">
        <f t="shared" si="0"/>
        <v>55980</v>
      </c>
      <c r="P31" s="6" t="s">
        <v>16</v>
      </c>
    </row>
    <row r="32" spans="1:16" x14ac:dyDescent="0.35">
      <c r="A32" s="34" t="s">
        <v>6371</v>
      </c>
      <c r="B32" s="35">
        <f t="shared" si="1"/>
        <v>46086</v>
      </c>
      <c r="C32" s="7">
        <f t="shared" si="2"/>
        <v>46092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4615</v>
      </c>
      <c r="L32" s="17" t="s">
        <v>4618</v>
      </c>
      <c r="M32" s="8">
        <v>279900</v>
      </c>
      <c r="N32" s="37">
        <v>0.8</v>
      </c>
      <c r="O32" s="36">
        <f t="shared" si="0"/>
        <v>55980</v>
      </c>
      <c r="P32" s="6" t="s">
        <v>16</v>
      </c>
    </row>
    <row r="33" spans="1:16" x14ac:dyDescent="0.35">
      <c r="A33" s="34" t="s">
        <v>6371</v>
      </c>
      <c r="B33" s="35">
        <f t="shared" si="1"/>
        <v>46086</v>
      </c>
      <c r="C33" s="7">
        <f t="shared" si="2"/>
        <v>46092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4615</v>
      </c>
      <c r="L33" s="17" t="s">
        <v>4619</v>
      </c>
      <c r="M33" s="8">
        <v>279900</v>
      </c>
      <c r="N33" s="37">
        <v>0.8</v>
      </c>
      <c r="O33" s="36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5"/>
  <sheetViews>
    <sheetView zoomScale="73" zoomScaleNormal="100" workbookViewId="0">
      <pane ySplit="1" topLeftCell="A53" activePane="bottomLeft" state="frozen"/>
      <selection activeCell="M23" sqref="M23"/>
      <selection pane="bottomLeft" activeCell="B53" sqref="B53:C53"/>
    </sheetView>
  </sheetViews>
  <sheetFormatPr defaultColWidth="8.6328125" defaultRowHeight="14.5" x14ac:dyDescent="0.35"/>
  <cols>
    <col min="1" max="1" width="23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45.632812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6512</v>
      </c>
      <c r="B2" s="7">
        <f>'2023 JUN-DEC D90 - 3321'!B2</f>
        <v>46086</v>
      </c>
      <c r="C2" s="7">
        <f>'2023 JUN-DEC D90 - 3321'!C2</f>
        <v>46092</v>
      </c>
      <c r="D2" s="6">
        <v>3281</v>
      </c>
      <c r="E2" s="6">
        <v>337</v>
      </c>
      <c r="F2" s="6">
        <v>4</v>
      </c>
      <c r="G2" s="6">
        <v>5</v>
      </c>
      <c r="H2" s="6">
        <v>81146</v>
      </c>
      <c r="I2" s="6" t="s">
        <v>17</v>
      </c>
      <c r="J2" s="6">
        <v>51721314</v>
      </c>
      <c r="K2" s="6" t="s">
        <v>4600</v>
      </c>
      <c r="L2" s="17" t="s">
        <v>4601</v>
      </c>
      <c r="M2" s="8">
        <v>319900</v>
      </c>
      <c r="N2" s="22" t="s">
        <v>2569</v>
      </c>
      <c r="O2" s="22" t="s">
        <v>2586</v>
      </c>
      <c r="P2" s="22" t="s">
        <v>2569</v>
      </c>
    </row>
    <row r="3" spans="1:16" x14ac:dyDescent="0.35">
      <c r="A3" s="14" t="s">
        <v>6512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6">
        <v>5</v>
      </c>
      <c r="H3" s="6">
        <v>81146</v>
      </c>
      <c r="I3" s="6" t="s">
        <v>17</v>
      </c>
      <c r="J3" s="6">
        <v>51721341</v>
      </c>
      <c r="K3" s="6" t="s">
        <v>4600</v>
      </c>
      <c r="L3" s="17" t="s">
        <v>4602</v>
      </c>
      <c r="M3" s="8">
        <v>319900</v>
      </c>
      <c r="N3" s="22" t="s">
        <v>2569</v>
      </c>
      <c r="O3" s="22" t="s">
        <v>2586</v>
      </c>
      <c r="P3" s="22" t="s">
        <v>2569</v>
      </c>
    </row>
    <row r="4" spans="1:16" x14ac:dyDescent="0.35">
      <c r="A4" s="14" t="s">
        <v>6512</v>
      </c>
      <c r="B4" s="7">
        <f t="shared" ref="B4:B57" si="0">B3</f>
        <v>46086</v>
      </c>
      <c r="C4" s="7">
        <f t="shared" ref="C4:C57" si="1">C3</f>
        <v>46092</v>
      </c>
      <c r="D4" s="6">
        <v>3281</v>
      </c>
      <c r="E4" s="6">
        <v>337</v>
      </c>
      <c r="F4" s="6">
        <v>4</v>
      </c>
      <c r="G4" s="6">
        <v>5</v>
      </c>
      <c r="H4" s="6">
        <v>81146</v>
      </c>
      <c r="I4" s="6" t="s">
        <v>17</v>
      </c>
      <c r="J4" s="6">
        <v>51721332</v>
      </c>
      <c r="K4" s="6" t="s">
        <v>4600</v>
      </c>
      <c r="L4" s="17" t="s">
        <v>4603</v>
      </c>
      <c r="M4" s="8">
        <v>319900</v>
      </c>
      <c r="N4" s="22" t="s">
        <v>2569</v>
      </c>
      <c r="O4" s="22" t="s">
        <v>2586</v>
      </c>
      <c r="P4" s="22" t="s">
        <v>2569</v>
      </c>
    </row>
    <row r="5" spans="1:16" x14ac:dyDescent="0.35">
      <c r="A5" s="14" t="s">
        <v>6512</v>
      </c>
      <c r="B5" s="7">
        <f t="shared" si="0"/>
        <v>46086</v>
      </c>
      <c r="C5" s="7">
        <f t="shared" si="1"/>
        <v>46092</v>
      </c>
      <c r="D5" s="6">
        <v>3281</v>
      </c>
      <c r="E5" s="6">
        <v>337</v>
      </c>
      <c r="F5" s="6">
        <v>4</v>
      </c>
      <c r="G5" s="6">
        <v>5</v>
      </c>
      <c r="H5" s="6">
        <v>81146</v>
      </c>
      <c r="I5" s="6" t="s">
        <v>17</v>
      </c>
      <c r="J5" s="6">
        <v>51721323</v>
      </c>
      <c r="K5" s="6" t="s">
        <v>4600</v>
      </c>
      <c r="L5" s="17" t="s">
        <v>4604</v>
      </c>
      <c r="M5" s="8">
        <v>319900</v>
      </c>
      <c r="N5" s="22" t="s">
        <v>2569</v>
      </c>
      <c r="O5" s="22" t="s">
        <v>2586</v>
      </c>
      <c r="P5" s="22" t="s">
        <v>2569</v>
      </c>
    </row>
    <row r="6" spans="1:16" x14ac:dyDescent="0.35">
      <c r="A6" s="14" t="s">
        <v>6512</v>
      </c>
      <c r="B6" s="7">
        <f t="shared" si="0"/>
        <v>46086</v>
      </c>
      <c r="C6" s="7">
        <f t="shared" si="1"/>
        <v>46092</v>
      </c>
      <c r="D6" s="6">
        <v>3281</v>
      </c>
      <c r="E6" s="6">
        <v>337</v>
      </c>
      <c r="F6" s="6">
        <v>4</v>
      </c>
      <c r="G6" s="6">
        <v>5</v>
      </c>
      <c r="H6" s="6">
        <v>81146</v>
      </c>
      <c r="I6" s="6" t="s">
        <v>17</v>
      </c>
      <c r="J6" s="6">
        <v>51361918</v>
      </c>
      <c r="K6" s="6" t="s">
        <v>4605</v>
      </c>
      <c r="L6" s="17" t="s">
        <v>4606</v>
      </c>
      <c r="M6" s="8">
        <v>339900</v>
      </c>
      <c r="N6" s="22" t="s">
        <v>2569</v>
      </c>
      <c r="O6" s="22" t="s">
        <v>2586</v>
      </c>
      <c r="P6" s="22" t="s">
        <v>2569</v>
      </c>
    </row>
    <row r="7" spans="1:16" x14ac:dyDescent="0.35">
      <c r="A7" s="14" t="s">
        <v>6512</v>
      </c>
      <c r="B7" s="7">
        <f t="shared" si="0"/>
        <v>46086</v>
      </c>
      <c r="C7" s="7">
        <f t="shared" si="1"/>
        <v>46092</v>
      </c>
      <c r="D7" s="6">
        <v>3281</v>
      </c>
      <c r="E7" s="6">
        <v>337</v>
      </c>
      <c r="F7" s="6">
        <v>4</v>
      </c>
      <c r="G7" s="6">
        <v>5</v>
      </c>
      <c r="H7" s="6">
        <v>81146</v>
      </c>
      <c r="I7" s="6" t="s">
        <v>17</v>
      </c>
      <c r="J7" s="6">
        <v>51361909</v>
      </c>
      <c r="K7" s="6" t="s">
        <v>4605</v>
      </c>
      <c r="L7" s="17" t="s">
        <v>4607</v>
      </c>
      <c r="M7" s="8">
        <v>339900</v>
      </c>
      <c r="N7" s="22" t="s">
        <v>2569</v>
      </c>
      <c r="O7" s="22" t="s">
        <v>2586</v>
      </c>
      <c r="P7" s="22" t="s">
        <v>2569</v>
      </c>
    </row>
    <row r="8" spans="1:16" x14ac:dyDescent="0.35">
      <c r="A8" s="14" t="s">
        <v>6512</v>
      </c>
      <c r="B8" s="7">
        <f t="shared" si="0"/>
        <v>46086</v>
      </c>
      <c r="C8" s="7">
        <f t="shared" si="1"/>
        <v>46092</v>
      </c>
      <c r="D8" s="6">
        <v>3281</v>
      </c>
      <c r="E8" s="6">
        <v>337</v>
      </c>
      <c r="F8" s="6">
        <v>4</v>
      </c>
      <c r="G8" s="6">
        <v>5</v>
      </c>
      <c r="H8" s="6">
        <v>81146</v>
      </c>
      <c r="I8" s="6" t="s">
        <v>17</v>
      </c>
      <c r="J8" s="6">
        <v>51361936</v>
      </c>
      <c r="K8" s="6" t="s">
        <v>4605</v>
      </c>
      <c r="L8" s="17" t="s">
        <v>4608</v>
      </c>
      <c r="M8" s="8">
        <v>339900</v>
      </c>
      <c r="N8" s="22" t="s">
        <v>2569</v>
      </c>
      <c r="O8" s="22" t="s">
        <v>2586</v>
      </c>
      <c r="P8" s="22" t="s">
        <v>2569</v>
      </c>
    </row>
    <row r="9" spans="1:16" x14ac:dyDescent="0.35">
      <c r="A9" s="14" t="s">
        <v>6512</v>
      </c>
      <c r="B9" s="7">
        <f t="shared" si="0"/>
        <v>46086</v>
      </c>
      <c r="C9" s="7">
        <f t="shared" si="1"/>
        <v>46092</v>
      </c>
      <c r="D9" s="6">
        <v>3281</v>
      </c>
      <c r="E9" s="6">
        <v>337</v>
      </c>
      <c r="F9" s="6">
        <v>4</v>
      </c>
      <c r="G9" s="6">
        <v>5</v>
      </c>
      <c r="H9" s="6">
        <v>81146</v>
      </c>
      <c r="I9" s="6" t="s">
        <v>17</v>
      </c>
      <c r="J9" s="6">
        <v>51361927</v>
      </c>
      <c r="K9" s="6" t="s">
        <v>4605</v>
      </c>
      <c r="L9" s="17" t="s">
        <v>4609</v>
      </c>
      <c r="M9" s="8">
        <v>339900</v>
      </c>
      <c r="N9" s="22" t="s">
        <v>2569</v>
      </c>
      <c r="O9" s="22" t="s">
        <v>2586</v>
      </c>
      <c r="P9" s="22" t="s">
        <v>2569</v>
      </c>
    </row>
    <row r="10" spans="1:16" x14ac:dyDescent="0.35">
      <c r="A10" s="14" t="s">
        <v>6512</v>
      </c>
      <c r="B10" s="7">
        <f t="shared" si="0"/>
        <v>46086</v>
      </c>
      <c r="C10" s="7">
        <f t="shared" si="1"/>
        <v>46092</v>
      </c>
      <c r="D10" s="6">
        <v>3281</v>
      </c>
      <c r="E10" s="6">
        <v>337</v>
      </c>
      <c r="F10" s="6">
        <v>4</v>
      </c>
      <c r="G10" s="6">
        <v>1</v>
      </c>
      <c r="H10" s="6">
        <v>81462</v>
      </c>
      <c r="I10" s="6" t="s">
        <v>17</v>
      </c>
      <c r="J10" s="6">
        <v>51361614</v>
      </c>
      <c r="K10" s="6" t="s">
        <v>4610</v>
      </c>
      <c r="L10" s="17" t="s">
        <v>4611</v>
      </c>
      <c r="M10" s="8">
        <v>149900</v>
      </c>
      <c r="N10" s="22" t="s">
        <v>2569</v>
      </c>
      <c r="O10" s="22" t="s">
        <v>2586</v>
      </c>
      <c r="P10" s="22" t="s">
        <v>2569</v>
      </c>
    </row>
    <row r="11" spans="1:16" x14ac:dyDescent="0.35">
      <c r="A11" s="14" t="s">
        <v>6512</v>
      </c>
      <c r="B11" s="7">
        <f t="shared" si="0"/>
        <v>46086</v>
      </c>
      <c r="C11" s="7">
        <f t="shared" si="1"/>
        <v>46092</v>
      </c>
      <c r="D11" s="6">
        <v>3281</v>
      </c>
      <c r="E11" s="6">
        <v>337</v>
      </c>
      <c r="F11" s="6">
        <v>4</v>
      </c>
      <c r="G11" s="6">
        <v>1</v>
      </c>
      <c r="H11" s="6">
        <v>81462</v>
      </c>
      <c r="I11" s="6" t="s">
        <v>17</v>
      </c>
      <c r="J11" s="6">
        <v>51361589</v>
      </c>
      <c r="K11" s="6" t="s">
        <v>4610</v>
      </c>
      <c r="L11" s="17" t="s">
        <v>4612</v>
      </c>
      <c r="M11" s="8">
        <v>149900</v>
      </c>
      <c r="N11" s="22" t="s">
        <v>2569</v>
      </c>
      <c r="O11" s="22" t="s">
        <v>2586</v>
      </c>
      <c r="P11" s="22" t="s">
        <v>2569</v>
      </c>
    </row>
    <row r="12" spans="1:16" x14ac:dyDescent="0.35">
      <c r="A12" s="14" t="s">
        <v>6512</v>
      </c>
      <c r="B12" s="7">
        <f t="shared" si="0"/>
        <v>46086</v>
      </c>
      <c r="C12" s="7">
        <f t="shared" si="1"/>
        <v>46092</v>
      </c>
      <c r="D12" s="6">
        <v>3281</v>
      </c>
      <c r="E12" s="6">
        <v>337</v>
      </c>
      <c r="F12" s="6">
        <v>4</v>
      </c>
      <c r="G12" s="6">
        <v>1</v>
      </c>
      <c r="H12" s="6">
        <v>81462</v>
      </c>
      <c r="I12" s="6" t="s">
        <v>17</v>
      </c>
      <c r="J12" s="6">
        <v>51361605</v>
      </c>
      <c r="K12" s="6" t="s">
        <v>4610</v>
      </c>
      <c r="L12" s="17" t="s">
        <v>4613</v>
      </c>
      <c r="M12" s="8">
        <v>149900</v>
      </c>
      <c r="N12" s="22" t="s">
        <v>2569</v>
      </c>
      <c r="O12" s="22" t="s">
        <v>2586</v>
      </c>
      <c r="P12" s="22" t="s">
        <v>2569</v>
      </c>
    </row>
    <row r="13" spans="1:16" x14ac:dyDescent="0.35">
      <c r="A13" s="14" t="s">
        <v>6512</v>
      </c>
      <c r="B13" s="7">
        <f t="shared" si="0"/>
        <v>46086</v>
      </c>
      <c r="C13" s="7">
        <f t="shared" si="1"/>
        <v>46092</v>
      </c>
      <c r="D13" s="6">
        <v>3281</v>
      </c>
      <c r="E13" s="6">
        <v>337</v>
      </c>
      <c r="F13" s="6">
        <v>4</v>
      </c>
      <c r="G13" s="6">
        <v>1</v>
      </c>
      <c r="H13" s="6">
        <v>81462</v>
      </c>
      <c r="I13" s="6" t="s">
        <v>17</v>
      </c>
      <c r="J13" s="6">
        <v>51361598</v>
      </c>
      <c r="K13" s="6" t="s">
        <v>4610</v>
      </c>
      <c r="L13" s="17" t="s">
        <v>4614</v>
      </c>
      <c r="M13" s="8">
        <v>149900</v>
      </c>
      <c r="N13" s="22" t="s">
        <v>2569</v>
      </c>
      <c r="O13" s="22" t="s">
        <v>2586</v>
      </c>
      <c r="P13" s="22" t="s">
        <v>2569</v>
      </c>
    </row>
    <row r="14" spans="1:16" x14ac:dyDescent="0.35">
      <c r="A14" s="14" t="s">
        <v>6512</v>
      </c>
      <c r="B14" s="7">
        <f t="shared" si="0"/>
        <v>46086</v>
      </c>
      <c r="C14" s="7">
        <f t="shared" si="1"/>
        <v>46092</v>
      </c>
      <c r="D14" s="6">
        <v>3281</v>
      </c>
      <c r="E14" s="6">
        <v>337</v>
      </c>
      <c r="F14" s="6">
        <v>4</v>
      </c>
      <c r="G14" s="6">
        <v>3</v>
      </c>
      <c r="H14" s="6">
        <v>81506</v>
      </c>
      <c r="I14" s="6" t="s">
        <v>17</v>
      </c>
      <c r="J14" s="6">
        <v>51721529</v>
      </c>
      <c r="K14" s="6" t="s">
        <v>4620</v>
      </c>
      <c r="L14" s="17" t="s">
        <v>4621</v>
      </c>
      <c r="M14" s="8">
        <v>229900</v>
      </c>
      <c r="N14" s="22" t="s">
        <v>2569</v>
      </c>
      <c r="O14" s="22" t="s">
        <v>2586</v>
      </c>
      <c r="P14" s="22" t="s">
        <v>2569</v>
      </c>
    </row>
    <row r="15" spans="1:16" x14ac:dyDescent="0.35">
      <c r="A15" s="14" t="s">
        <v>6512</v>
      </c>
      <c r="B15" s="7">
        <f t="shared" si="0"/>
        <v>46086</v>
      </c>
      <c r="C15" s="7">
        <f t="shared" si="1"/>
        <v>46092</v>
      </c>
      <c r="D15" s="6">
        <v>3281</v>
      </c>
      <c r="E15" s="6">
        <v>337</v>
      </c>
      <c r="F15" s="6">
        <v>4</v>
      </c>
      <c r="G15" s="6">
        <v>3</v>
      </c>
      <c r="H15" s="6">
        <v>81506</v>
      </c>
      <c r="I15" s="6" t="s">
        <v>17</v>
      </c>
      <c r="J15" s="6">
        <v>51721547</v>
      </c>
      <c r="K15" s="6" t="s">
        <v>4620</v>
      </c>
      <c r="L15" s="17" t="s">
        <v>4622</v>
      </c>
      <c r="M15" s="8">
        <v>229900</v>
      </c>
      <c r="N15" s="22" t="s">
        <v>2569</v>
      </c>
      <c r="O15" s="22" t="s">
        <v>2586</v>
      </c>
      <c r="P15" s="22" t="s">
        <v>2569</v>
      </c>
    </row>
    <row r="16" spans="1:16" x14ac:dyDescent="0.35">
      <c r="A16" s="14" t="s">
        <v>6512</v>
      </c>
      <c r="B16" s="7">
        <f t="shared" si="0"/>
        <v>46086</v>
      </c>
      <c r="C16" s="7">
        <f t="shared" si="1"/>
        <v>46092</v>
      </c>
      <c r="D16" s="6">
        <v>3281</v>
      </c>
      <c r="E16" s="6">
        <v>337</v>
      </c>
      <c r="F16" s="6">
        <v>4</v>
      </c>
      <c r="G16" s="6">
        <v>3</v>
      </c>
      <c r="H16" s="6">
        <v>81506</v>
      </c>
      <c r="I16" s="6" t="s">
        <v>17</v>
      </c>
      <c r="J16" s="6">
        <v>51721510</v>
      </c>
      <c r="K16" s="6" t="s">
        <v>4620</v>
      </c>
      <c r="L16" s="17" t="s">
        <v>4623</v>
      </c>
      <c r="M16" s="8">
        <v>229900</v>
      </c>
      <c r="N16" s="22" t="s">
        <v>2569</v>
      </c>
      <c r="O16" s="22" t="s">
        <v>2586</v>
      </c>
      <c r="P16" s="22" t="s">
        <v>2569</v>
      </c>
    </row>
    <row r="17" spans="1:16" x14ac:dyDescent="0.35">
      <c r="A17" s="14" t="s">
        <v>6512</v>
      </c>
      <c r="B17" s="7">
        <f t="shared" si="0"/>
        <v>46086</v>
      </c>
      <c r="C17" s="7">
        <f t="shared" si="1"/>
        <v>46092</v>
      </c>
      <c r="D17" s="6">
        <v>3281</v>
      </c>
      <c r="E17" s="6">
        <v>337</v>
      </c>
      <c r="F17" s="6">
        <v>4</v>
      </c>
      <c r="G17" s="6">
        <v>3</v>
      </c>
      <c r="H17" s="6">
        <v>81506</v>
      </c>
      <c r="I17" s="6" t="s">
        <v>17</v>
      </c>
      <c r="J17" s="6">
        <v>51721538</v>
      </c>
      <c r="K17" s="6" t="s">
        <v>4620</v>
      </c>
      <c r="L17" s="17" t="s">
        <v>4624</v>
      </c>
      <c r="M17" s="8">
        <v>229900</v>
      </c>
      <c r="N17" s="22" t="s">
        <v>2569</v>
      </c>
      <c r="O17" s="22" t="s">
        <v>2586</v>
      </c>
      <c r="P17" s="22" t="s">
        <v>2569</v>
      </c>
    </row>
    <row r="18" spans="1:16" x14ac:dyDescent="0.35">
      <c r="A18" s="14" t="s">
        <v>6512</v>
      </c>
      <c r="B18" s="7">
        <f t="shared" si="0"/>
        <v>46086</v>
      </c>
      <c r="C18" s="7">
        <f t="shared" si="1"/>
        <v>46092</v>
      </c>
      <c r="D18" s="6">
        <v>3281</v>
      </c>
      <c r="E18" s="6">
        <v>337</v>
      </c>
      <c r="F18" s="6">
        <v>4</v>
      </c>
      <c r="G18" s="6">
        <v>1</v>
      </c>
      <c r="H18" s="6">
        <v>81506</v>
      </c>
      <c r="I18" s="6" t="s">
        <v>17</v>
      </c>
      <c r="J18" s="6">
        <v>51721458</v>
      </c>
      <c r="K18" s="6" t="s">
        <v>4625</v>
      </c>
      <c r="L18" s="17" t="s">
        <v>4626</v>
      </c>
      <c r="M18" s="8">
        <v>149900</v>
      </c>
      <c r="N18" s="22" t="s">
        <v>2569</v>
      </c>
      <c r="O18" s="22" t="s">
        <v>2586</v>
      </c>
      <c r="P18" s="22" t="s">
        <v>2569</v>
      </c>
    </row>
    <row r="19" spans="1:16" x14ac:dyDescent="0.35">
      <c r="A19" s="14" t="s">
        <v>6512</v>
      </c>
      <c r="B19" s="7">
        <f t="shared" si="0"/>
        <v>46086</v>
      </c>
      <c r="C19" s="7">
        <f t="shared" si="1"/>
        <v>46092</v>
      </c>
      <c r="D19" s="6">
        <v>3281</v>
      </c>
      <c r="E19" s="6">
        <v>337</v>
      </c>
      <c r="F19" s="6">
        <v>4</v>
      </c>
      <c r="G19" s="6">
        <v>1</v>
      </c>
      <c r="H19" s="6">
        <v>81506</v>
      </c>
      <c r="I19" s="6" t="s">
        <v>17</v>
      </c>
      <c r="J19" s="6">
        <v>51721412</v>
      </c>
      <c r="K19" s="6" t="s">
        <v>4630</v>
      </c>
      <c r="L19" s="17" t="s">
        <v>4631</v>
      </c>
      <c r="M19" s="8">
        <v>179900</v>
      </c>
      <c r="N19" s="22" t="s">
        <v>2569</v>
      </c>
      <c r="O19" s="22" t="s">
        <v>2586</v>
      </c>
      <c r="P19" s="22" t="s">
        <v>2569</v>
      </c>
    </row>
    <row r="20" spans="1:16" x14ac:dyDescent="0.35">
      <c r="A20" s="14" t="s">
        <v>6512</v>
      </c>
      <c r="B20" s="7">
        <f t="shared" si="0"/>
        <v>46086</v>
      </c>
      <c r="C20" s="7">
        <f t="shared" si="1"/>
        <v>46092</v>
      </c>
      <c r="D20" s="6">
        <v>3281</v>
      </c>
      <c r="E20" s="6">
        <v>337</v>
      </c>
      <c r="F20" s="6">
        <v>4</v>
      </c>
      <c r="G20" s="6">
        <v>1</v>
      </c>
      <c r="H20" s="6">
        <v>81506</v>
      </c>
      <c r="I20" s="6" t="s">
        <v>17</v>
      </c>
      <c r="J20" s="6">
        <v>51721403</v>
      </c>
      <c r="K20" s="6" t="s">
        <v>4630</v>
      </c>
      <c r="L20" s="17" t="s">
        <v>4632</v>
      </c>
      <c r="M20" s="8">
        <v>179900</v>
      </c>
      <c r="N20" s="22" t="s">
        <v>2569</v>
      </c>
      <c r="O20" s="22" t="s">
        <v>2586</v>
      </c>
      <c r="P20" s="22" t="s">
        <v>2569</v>
      </c>
    </row>
    <row r="21" spans="1:16" x14ac:dyDescent="0.35">
      <c r="A21" s="14" t="s">
        <v>6512</v>
      </c>
      <c r="B21" s="7">
        <f t="shared" si="0"/>
        <v>46086</v>
      </c>
      <c r="C21" s="7">
        <f t="shared" si="1"/>
        <v>46092</v>
      </c>
      <c r="D21" s="6">
        <v>3281</v>
      </c>
      <c r="E21" s="6">
        <v>337</v>
      </c>
      <c r="F21" s="6">
        <v>4</v>
      </c>
      <c r="G21" s="6">
        <v>1</v>
      </c>
      <c r="H21" s="6">
        <v>81506</v>
      </c>
      <c r="I21" s="6" t="s">
        <v>17</v>
      </c>
      <c r="J21" s="6">
        <v>51721430</v>
      </c>
      <c r="K21" s="6" t="s">
        <v>4625</v>
      </c>
      <c r="L21" s="17" t="s">
        <v>4627</v>
      </c>
      <c r="M21" s="8">
        <v>149900</v>
      </c>
      <c r="N21" s="22" t="s">
        <v>2569</v>
      </c>
      <c r="O21" s="22" t="s">
        <v>2586</v>
      </c>
      <c r="P21" s="22" t="s">
        <v>2569</v>
      </c>
    </row>
    <row r="22" spans="1:16" x14ac:dyDescent="0.35">
      <c r="A22" s="14" t="s">
        <v>6512</v>
      </c>
      <c r="B22" s="7">
        <f t="shared" si="0"/>
        <v>46086</v>
      </c>
      <c r="C22" s="7">
        <f t="shared" si="1"/>
        <v>46092</v>
      </c>
      <c r="D22" s="6">
        <v>3281</v>
      </c>
      <c r="E22" s="6">
        <v>337</v>
      </c>
      <c r="F22" s="6">
        <v>4</v>
      </c>
      <c r="G22" s="6">
        <v>1</v>
      </c>
      <c r="H22" s="6">
        <v>81506</v>
      </c>
      <c r="I22" s="6" t="s">
        <v>17</v>
      </c>
      <c r="J22" s="6">
        <v>51721421</v>
      </c>
      <c r="K22" s="6" t="s">
        <v>4630</v>
      </c>
      <c r="L22" s="17" t="s">
        <v>4633</v>
      </c>
      <c r="M22" s="8">
        <v>179900</v>
      </c>
      <c r="N22" s="22" t="s">
        <v>2569</v>
      </c>
      <c r="O22" s="22" t="s">
        <v>2586</v>
      </c>
      <c r="P22" s="22" t="s">
        <v>2569</v>
      </c>
    </row>
    <row r="23" spans="1:16" x14ac:dyDescent="0.35">
      <c r="A23" s="14" t="s">
        <v>6512</v>
      </c>
      <c r="B23" s="7">
        <f t="shared" si="0"/>
        <v>46086</v>
      </c>
      <c r="C23" s="7">
        <f t="shared" si="1"/>
        <v>46092</v>
      </c>
      <c r="D23" s="6">
        <v>3281</v>
      </c>
      <c r="E23" s="6">
        <v>337</v>
      </c>
      <c r="F23" s="6">
        <v>4</v>
      </c>
      <c r="G23" s="6">
        <v>1</v>
      </c>
      <c r="H23" s="6">
        <v>81506</v>
      </c>
      <c r="I23" s="6" t="s">
        <v>17</v>
      </c>
      <c r="J23" s="6">
        <v>51721449</v>
      </c>
      <c r="K23" s="6" t="s">
        <v>4625</v>
      </c>
      <c r="L23" s="17" t="s">
        <v>4628</v>
      </c>
      <c r="M23" s="8">
        <v>149900</v>
      </c>
      <c r="N23" s="22" t="s">
        <v>2569</v>
      </c>
      <c r="O23" s="22" t="s">
        <v>2586</v>
      </c>
      <c r="P23" s="22" t="s">
        <v>2569</v>
      </c>
    </row>
    <row r="24" spans="1:16" x14ac:dyDescent="0.35">
      <c r="A24" s="14" t="s">
        <v>6512</v>
      </c>
      <c r="B24" s="7">
        <f t="shared" si="0"/>
        <v>46086</v>
      </c>
      <c r="C24" s="7">
        <f t="shared" si="1"/>
        <v>46092</v>
      </c>
      <c r="D24" s="6">
        <v>3281</v>
      </c>
      <c r="E24" s="6">
        <v>337</v>
      </c>
      <c r="F24" s="6">
        <v>4</v>
      </c>
      <c r="G24" s="6">
        <v>1</v>
      </c>
      <c r="H24" s="6">
        <v>81506</v>
      </c>
      <c r="I24" s="6" t="s">
        <v>17</v>
      </c>
      <c r="J24" s="6">
        <v>51721396</v>
      </c>
      <c r="K24" s="6" t="s">
        <v>4630</v>
      </c>
      <c r="L24" s="17" t="s">
        <v>4634</v>
      </c>
      <c r="M24" s="8">
        <v>179900</v>
      </c>
      <c r="N24" s="22" t="s">
        <v>2569</v>
      </c>
      <c r="O24" s="22" t="s">
        <v>2586</v>
      </c>
      <c r="P24" s="22" t="s">
        <v>2569</v>
      </c>
    </row>
    <row r="25" spans="1:16" x14ac:dyDescent="0.35">
      <c r="A25" s="14" t="s">
        <v>6512</v>
      </c>
      <c r="B25" s="7">
        <f t="shared" si="0"/>
        <v>46086</v>
      </c>
      <c r="C25" s="7">
        <f t="shared" si="1"/>
        <v>46092</v>
      </c>
      <c r="D25" s="6">
        <v>3281</v>
      </c>
      <c r="E25" s="6">
        <v>337</v>
      </c>
      <c r="F25" s="6">
        <v>4</v>
      </c>
      <c r="G25" s="6">
        <v>1</v>
      </c>
      <c r="H25" s="6">
        <v>81506</v>
      </c>
      <c r="I25" s="6" t="s">
        <v>17</v>
      </c>
      <c r="J25" s="6">
        <v>51721467</v>
      </c>
      <c r="K25" s="6" t="s">
        <v>4625</v>
      </c>
      <c r="L25" s="17" t="s">
        <v>4629</v>
      </c>
      <c r="M25" s="8">
        <v>149900</v>
      </c>
      <c r="N25" s="22" t="s">
        <v>2569</v>
      </c>
      <c r="O25" s="22" t="s">
        <v>2586</v>
      </c>
      <c r="P25" s="22" t="s">
        <v>2569</v>
      </c>
    </row>
    <row r="26" spans="1:16" x14ac:dyDescent="0.35">
      <c r="A26" s="14" t="s">
        <v>6512</v>
      </c>
      <c r="B26" s="7">
        <f t="shared" si="0"/>
        <v>46086</v>
      </c>
      <c r="C26" s="7">
        <f t="shared" si="1"/>
        <v>46092</v>
      </c>
      <c r="D26" s="6">
        <v>3281</v>
      </c>
      <c r="E26" s="6">
        <v>337</v>
      </c>
      <c r="F26" s="6">
        <v>4</v>
      </c>
      <c r="G26" s="6">
        <v>1</v>
      </c>
      <c r="H26" s="6">
        <v>81506</v>
      </c>
      <c r="I26" s="6" t="s">
        <v>17</v>
      </c>
      <c r="J26" s="6">
        <v>51721485</v>
      </c>
      <c r="K26" s="6" t="s">
        <v>4819</v>
      </c>
      <c r="L26" s="17" t="s">
        <v>4820</v>
      </c>
      <c r="M26" s="8">
        <v>179900</v>
      </c>
      <c r="N26" s="22" t="s">
        <v>2569</v>
      </c>
      <c r="O26" s="22" t="s">
        <v>2586</v>
      </c>
      <c r="P26" s="22" t="s">
        <v>2569</v>
      </c>
    </row>
    <row r="27" spans="1:16" x14ac:dyDescent="0.35">
      <c r="A27" s="14" t="s">
        <v>6512</v>
      </c>
      <c r="B27" s="7">
        <f t="shared" si="0"/>
        <v>46086</v>
      </c>
      <c r="C27" s="7">
        <f t="shared" si="1"/>
        <v>46092</v>
      </c>
      <c r="D27" s="6">
        <v>3281</v>
      </c>
      <c r="E27" s="6">
        <v>337</v>
      </c>
      <c r="F27" s="6">
        <v>4</v>
      </c>
      <c r="G27" s="6">
        <v>1</v>
      </c>
      <c r="H27" s="6">
        <v>81506</v>
      </c>
      <c r="I27" s="6" t="s">
        <v>17</v>
      </c>
      <c r="J27" s="6">
        <v>51721501</v>
      </c>
      <c r="K27" s="6" t="s">
        <v>4819</v>
      </c>
      <c r="L27" s="17" t="s">
        <v>4821</v>
      </c>
      <c r="M27" s="8">
        <v>179900</v>
      </c>
      <c r="N27" s="22" t="s">
        <v>2569</v>
      </c>
      <c r="O27" s="22" t="s">
        <v>2586</v>
      </c>
      <c r="P27" s="22" t="s">
        <v>2569</v>
      </c>
    </row>
    <row r="28" spans="1:16" x14ac:dyDescent="0.35">
      <c r="A28" s="14" t="s">
        <v>6512</v>
      </c>
      <c r="B28" s="7">
        <f t="shared" si="0"/>
        <v>46086</v>
      </c>
      <c r="C28" s="7">
        <f t="shared" si="1"/>
        <v>46092</v>
      </c>
      <c r="D28" s="6">
        <v>3281</v>
      </c>
      <c r="E28" s="6">
        <v>337</v>
      </c>
      <c r="F28" s="6">
        <v>4</v>
      </c>
      <c r="G28" s="6">
        <v>1</v>
      </c>
      <c r="H28" s="6">
        <v>81506</v>
      </c>
      <c r="I28" s="6" t="s">
        <v>17</v>
      </c>
      <c r="J28" s="6">
        <v>51721476</v>
      </c>
      <c r="K28" s="6" t="s">
        <v>4819</v>
      </c>
      <c r="L28" s="17" t="s">
        <v>4822</v>
      </c>
      <c r="M28" s="8">
        <v>179900</v>
      </c>
      <c r="N28" s="22" t="s">
        <v>2569</v>
      </c>
      <c r="O28" s="22" t="s">
        <v>2586</v>
      </c>
      <c r="P28" s="22" t="s">
        <v>2569</v>
      </c>
    </row>
    <row r="29" spans="1:16" x14ac:dyDescent="0.35">
      <c r="A29" s="14" t="s">
        <v>6512</v>
      </c>
      <c r="B29" s="7">
        <f t="shared" si="0"/>
        <v>46086</v>
      </c>
      <c r="C29" s="7">
        <f t="shared" si="1"/>
        <v>46092</v>
      </c>
      <c r="D29" s="6">
        <v>3281</v>
      </c>
      <c r="E29" s="6">
        <v>337</v>
      </c>
      <c r="F29" s="6">
        <v>4</v>
      </c>
      <c r="G29" s="6">
        <v>1</v>
      </c>
      <c r="H29" s="6">
        <v>81506</v>
      </c>
      <c r="I29" s="6" t="s">
        <v>17</v>
      </c>
      <c r="J29" s="6">
        <v>51721494</v>
      </c>
      <c r="K29" s="6" t="s">
        <v>4819</v>
      </c>
      <c r="L29" s="17" t="s">
        <v>4823</v>
      </c>
      <c r="M29" s="8">
        <v>179900</v>
      </c>
      <c r="N29" s="22" t="s">
        <v>2569</v>
      </c>
      <c r="O29" s="22" t="s">
        <v>2586</v>
      </c>
      <c r="P29" s="22" t="s">
        <v>2569</v>
      </c>
    </row>
    <row r="30" spans="1:16" x14ac:dyDescent="0.35">
      <c r="A30" s="14" t="s">
        <v>6512</v>
      </c>
      <c r="B30" s="7">
        <f t="shared" si="0"/>
        <v>46086</v>
      </c>
      <c r="C30" s="7">
        <f t="shared" si="1"/>
        <v>46092</v>
      </c>
      <c r="D30" s="6">
        <v>3281</v>
      </c>
      <c r="E30" s="6">
        <v>337</v>
      </c>
      <c r="F30" s="6">
        <v>4</v>
      </c>
      <c r="G30" s="6">
        <v>1</v>
      </c>
      <c r="H30" s="6">
        <v>81146</v>
      </c>
      <c r="I30" s="6" t="s">
        <v>17</v>
      </c>
      <c r="J30" s="6">
        <v>51867033</v>
      </c>
      <c r="K30" s="6" t="s">
        <v>4640</v>
      </c>
      <c r="L30" s="17" t="s">
        <v>4641</v>
      </c>
      <c r="M30" s="8">
        <v>189900</v>
      </c>
      <c r="N30" s="22" t="s">
        <v>2569</v>
      </c>
      <c r="O30" s="22" t="s">
        <v>2586</v>
      </c>
      <c r="P30" s="22" t="s">
        <v>2569</v>
      </c>
    </row>
    <row r="31" spans="1:16" x14ac:dyDescent="0.35">
      <c r="A31" s="14" t="s">
        <v>6512</v>
      </c>
      <c r="B31" s="7">
        <f t="shared" si="0"/>
        <v>46086</v>
      </c>
      <c r="C31" s="7">
        <f t="shared" si="1"/>
        <v>46092</v>
      </c>
      <c r="D31" s="6">
        <v>3281</v>
      </c>
      <c r="E31" s="6">
        <v>337</v>
      </c>
      <c r="F31" s="6">
        <v>4</v>
      </c>
      <c r="G31" s="6">
        <v>1</v>
      </c>
      <c r="H31" s="6">
        <v>81146</v>
      </c>
      <c r="I31" s="6" t="s">
        <v>17</v>
      </c>
      <c r="J31" s="6">
        <v>51867015</v>
      </c>
      <c r="K31" s="6" t="s">
        <v>4640</v>
      </c>
      <c r="L31" s="17" t="s">
        <v>4642</v>
      </c>
      <c r="M31" s="8">
        <v>189900</v>
      </c>
      <c r="N31" s="22" t="s">
        <v>2569</v>
      </c>
      <c r="O31" s="22" t="s">
        <v>2586</v>
      </c>
      <c r="P31" s="22" t="s">
        <v>2569</v>
      </c>
    </row>
    <row r="32" spans="1:16" x14ac:dyDescent="0.35">
      <c r="A32" s="14" t="s">
        <v>6512</v>
      </c>
      <c r="B32" s="7">
        <f t="shared" si="0"/>
        <v>46086</v>
      </c>
      <c r="C32" s="7">
        <f t="shared" si="1"/>
        <v>46092</v>
      </c>
      <c r="D32" s="6">
        <v>3281</v>
      </c>
      <c r="E32" s="6">
        <v>337</v>
      </c>
      <c r="F32" s="6">
        <v>4</v>
      </c>
      <c r="G32" s="6">
        <v>1</v>
      </c>
      <c r="H32" s="6">
        <v>81146</v>
      </c>
      <c r="I32" s="6" t="s">
        <v>17</v>
      </c>
      <c r="J32" s="6">
        <v>51867006</v>
      </c>
      <c r="K32" s="6" t="s">
        <v>4640</v>
      </c>
      <c r="L32" s="17" t="s">
        <v>4643</v>
      </c>
      <c r="M32" s="8">
        <v>189900</v>
      </c>
      <c r="N32" s="22" t="s">
        <v>2569</v>
      </c>
      <c r="O32" s="22" t="s">
        <v>2586</v>
      </c>
      <c r="P32" s="22" t="s">
        <v>2569</v>
      </c>
    </row>
    <row r="33" spans="1:16" x14ac:dyDescent="0.35">
      <c r="A33" s="14" t="s">
        <v>6512</v>
      </c>
      <c r="B33" s="7">
        <f t="shared" si="0"/>
        <v>46086</v>
      </c>
      <c r="C33" s="7">
        <f t="shared" si="1"/>
        <v>46092</v>
      </c>
      <c r="D33" s="6">
        <v>3281</v>
      </c>
      <c r="E33" s="6">
        <v>337</v>
      </c>
      <c r="F33" s="6">
        <v>4</v>
      </c>
      <c r="G33" s="6">
        <v>1</v>
      </c>
      <c r="H33" s="6">
        <v>81146</v>
      </c>
      <c r="I33" s="6" t="s">
        <v>17</v>
      </c>
      <c r="J33" s="6">
        <v>51867024</v>
      </c>
      <c r="K33" s="6" t="s">
        <v>4640</v>
      </c>
      <c r="L33" s="17" t="s">
        <v>4644</v>
      </c>
      <c r="M33" s="8">
        <v>189900</v>
      </c>
      <c r="N33" s="22" t="s">
        <v>2569</v>
      </c>
      <c r="O33" s="22" t="s">
        <v>2586</v>
      </c>
      <c r="P33" s="22" t="s">
        <v>2569</v>
      </c>
    </row>
    <row r="34" spans="1:16" x14ac:dyDescent="0.35">
      <c r="A34" s="14" t="s">
        <v>6512</v>
      </c>
      <c r="B34" s="7">
        <f t="shared" si="0"/>
        <v>46086</v>
      </c>
      <c r="C34" s="7">
        <f t="shared" si="1"/>
        <v>46092</v>
      </c>
      <c r="D34" s="6">
        <v>3281</v>
      </c>
      <c r="E34" s="6">
        <v>337</v>
      </c>
      <c r="F34" s="6">
        <v>4</v>
      </c>
      <c r="G34" s="6">
        <v>3</v>
      </c>
      <c r="H34" s="6">
        <v>81506</v>
      </c>
      <c r="I34" s="6" t="s">
        <v>17</v>
      </c>
      <c r="J34" s="6">
        <v>51866918</v>
      </c>
      <c r="K34" s="6" t="s">
        <v>4829</v>
      </c>
      <c r="L34" s="17" t="s">
        <v>4830</v>
      </c>
      <c r="M34" s="8">
        <v>229900</v>
      </c>
      <c r="N34" s="22" t="s">
        <v>2569</v>
      </c>
      <c r="O34" s="22" t="s">
        <v>2586</v>
      </c>
      <c r="P34" s="22" t="s">
        <v>2569</v>
      </c>
    </row>
    <row r="35" spans="1:16" x14ac:dyDescent="0.35">
      <c r="A35" s="14" t="s">
        <v>6512</v>
      </c>
      <c r="B35" s="7">
        <f t="shared" si="0"/>
        <v>46086</v>
      </c>
      <c r="C35" s="7">
        <f t="shared" si="1"/>
        <v>46092</v>
      </c>
      <c r="D35" s="6">
        <v>3281</v>
      </c>
      <c r="E35" s="6">
        <v>337</v>
      </c>
      <c r="F35" s="6">
        <v>4</v>
      </c>
      <c r="G35" s="6">
        <v>3</v>
      </c>
      <c r="H35" s="6">
        <v>81506</v>
      </c>
      <c r="I35" s="6" t="s">
        <v>17</v>
      </c>
      <c r="J35" s="6">
        <v>51866892</v>
      </c>
      <c r="K35" s="6" t="s">
        <v>4829</v>
      </c>
      <c r="L35" s="17" t="s">
        <v>4831</v>
      </c>
      <c r="M35" s="8">
        <v>229900</v>
      </c>
      <c r="N35" s="22" t="s">
        <v>2569</v>
      </c>
      <c r="O35" s="22" t="s">
        <v>2586</v>
      </c>
      <c r="P35" s="22" t="s">
        <v>2569</v>
      </c>
    </row>
    <row r="36" spans="1:16" x14ac:dyDescent="0.35">
      <c r="A36" s="14" t="s">
        <v>6512</v>
      </c>
      <c r="B36" s="7">
        <f t="shared" si="0"/>
        <v>46086</v>
      </c>
      <c r="C36" s="7">
        <f t="shared" si="1"/>
        <v>46092</v>
      </c>
      <c r="D36" s="6">
        <v>3281</v>
      </c>
      <c r="E36" s="6">
        <v>337</v>
      </c>
      <c r="F36" s="6">
        <v>4</v>
      </c>
      <c r="G36" s="6">
        <v>3</v>
      </c>
      <c r="H36" s="6">
        <v>81506</v>
      </c>
      <c r="I36" s="6" t="s">
        <v>17</v>
      </c>
      <c r="J36" s="6">
        <v>51866909</v>
      </c>
      <c r="K36" s="6" t="s">
        <v>4829</v>
      </c>
      <c r="L36" s="17" t="s">
        <v>4832</v>
      </c>
      <c r="M36" s="8">
        <v>229900</v>
      </c>
      <c r="N36" s="22" t="s">
        <v>2569</v>
      </c>
      <c r="O36" s="22" t="s">
        <v>2586</v>
      </c>
      <c r="P36" s="22" t="s">
        <v>2569</v>
      </c>
    </row>
    <row r="37" spans="1:16" x14ac:dyDescent="0.35">
      <c r="A37" s="14" t="s">
        <v>6512</v>
      </c>
      <c r="B37" s="7">
        <f t="shared" si="0"/>
        <v>46086</v>
      </c>
      <c r="C37" s="7">
        <f t="shared" si="1"/>
        <v>46092</v>
      </c>
      <c r="D37" s="6">
        <v>3281</v>
      </c>
      <c r="E37" s="6">
        <v>337</v>
      </c>
      <c r="F37" s="6">
        <v>4</v>
      </c>
      <c r="G37" s="6">
        <v>3</v>
      </c>
      <c r="H37" s="6">
        <v>81506</v>
      </c>
      <c r="I37" s="6" t="s">
        <v>17</v>
      </c>
      <c r="J37" s="6">
        <v>51866883</v>
      </c>
      <c r="K37" s="6" t="s">
        <v>4829</v>
      </c>
      <c r="L37" s="17" t="s">
        <v>4833</v>
      </c>
      <c r="M37" s="8">
        <v>229900</v>
      </c>
      <c r="N37" s="22" t="s">
        <v>2569</v>
      </c>
      <c r="O37" s="22" t="s">
        <v>2586</v>
      </c>
      <c r="P37" s="22" t="s">
        <v>2569</v>
      </c>
    </row>
    <row r="38" spans="1:16" x14ac:dyDescent="0.35">
      <c r="A38" s="14" t="s">
        <v>6512</v>
      </c>
      <c r="B38" s="7">
        <f t="shared" si="0"/>
        <v>46086</v>
      </c>
      <c r="C38" s="7">
        <f t="shared" si="1"/>
        <v>46092</v>
      </c>
      <c r="D38" s="6">
        <v>3281</v>
      </c>
      <c r="E38" s="6">
        <v>337</v>
      </c>
      <c r="F38" s="6">
        <v>4</v>
      </c>
      <c r="G38" s="6">
        <v>3</v>
      </c>
      <c r="H38" s="6">
        <v>81146</v>
      </c>
      <c r="I38" s="6" t="s">
        <v>17</v>
      </c>
      <c r="J38" s="6">
        <v>51721378</v>
      </c>
      <c r="K38" s="6" t="s">
        <v>4645</v>
      </c>
      <c r="L38" s="17" t="s">
        <v>4646</v>
      </c>
      <c r="M38" s="8">
        <v>229900</v>
      </c>
      <c r="N38" s="22" t="s">
        <v>2569</v>
      </c>
      <c r="O38" s="22" t="s">
        <v>2586</v>
      </c>
      <c r="P38" s="22" t="s">
        <v>2569</v>
      </c>
    </row>
    <row r="39" spans="1:16" x14ac:dyDescent="0.35">
      <c r="A39" s="14" t="s">
        <v>6512</v>
      </c>
      <c r="B39" s="7">
        <f t="shared" si="0"/>
        <v>46086</v>
      </c>
      <c r="C39" s="7">
        <f t="shared" si="1"/>
        <v>46092</v>
      </c>
      <c r="D39" s="6">
        <v>3281</v>
      </c>
      <c r="E39" s="6">
        <v>337</v>
      </c>
      <c r="F39" s="6">
        <v>4</v>
      </c>
      <c r="G39" s="6">
        <v>3</v>
      </c>
      <c r="H39" s="6">
        <v>81146</v>
      </c>
      <c r="I39" s="6" t="s">
        <v>17</v>
      </c>
      <c r="J39" s="6">
        <v>51721350</v>
      </c>
      <c r="K39" s="6" t="s">
        <v>4645</v>
      </c>
      <c r="L39" s="17" t="s">
        <v>4647</v>
      </c>
      <c r="M39" s="8">
        <v>229900</v>
      </c>
      <c r="N39" s="22" t="s">
        <v>2569</v>
      </c>
      <c r="O39" s="22" t="s">
        <v>2586</v>
      </c>
      <c r="P39" s="22" t="s">
        <v>2569</v>
      </c>
    </row>
    <row r="40" spans="1:16" x14ac:dyDescent="0.35">
      <c r="A40" s="14" t="s">
        <v>6512</v>
      </c>
      <c r="B40" s="7">
        <f t="shared" si="0"/>
        <v>46086</v>
      </c>
      <c r="C40" s="7">
        <f t="shared" si="1"/>
        <v>46092</v>
      </c>
      <c r="D40" s="6">
        <v>3281</v>
      </c>
      <c r="E40" s="6">
        <v>337</v>
      </c>
      <c r="F40" s="6">
        <v>4</v>
      </c>
      <c r="G40" s="6">
        <v>3</v>
      </c>
      <c r="H40" s="6">
        <v>81146</v>
      </c>
      <c r="I40" s="6" t="s">
        <v>17</v>
      </c>
      <c r="J40" s="6">
        <v>51721369</v>
      </c>
      <c r="K40" s="6" t="s">
        <v>4645</v>
      </c>
      <c r="L40" s="17" t="s">
        <v>4648</v>
      </c>
      <c r="M40" s="8">
        <v>229900</v>
      </c>
      <c r="N40" s="22" t="s">
        <v>2569</v>
      </c>
      <c r="O40" s="22" t="s">
        <v>2586</v>
      </c>
      <c r="P40" s="22" t="s">
        <v>2569</v>
      </c>
    </row>
    <row r="41" spans="1:16" x14ac:dyDescent="0.35">
      <c r="A41" s="14" t="s">
        <v>6512</v>
      </c>
      <c r="B41" s="7">
        <f t="shared" si="0"/>
        <v>46086</v>
      </c>
      <c r="C41" s="7">
        <f t="shared" si="1"/>
        <v>46092</v>
      </c>
      <c r="D41" s="6">
        <v>3281</v>
      </c>
      <c r="E41" s="6">
        <v>337</v>
      </c>
      <c r="F41" s="6">
        <v>4</v>
      </c>
      <c r="G41" s="6">
        <v>3</v>
      </c>
      <c r="H41" s="6">
        <v>81146</v>
      </c>
      <c r="I41" s="6" t="s">
        <v>17</v>
      </c>
      <c r="J41" s="6">
        <v>51721387</v>
      </c>
      <c r="K41" s="6" t="s">
        <v>4645</v>
      </c>
      <c r="L41" s="17" t="s">
        <v>4649</v>
      </c>
      <c r="M41" s="8">
        <v>229900</v>
      </c>
      <c r="N41" s="22" t="s">
        <v>2569</v>
      </c>
      <c r="O41" s="22" t="s">
        <v>2586</v>
      </c>
      <c r="P41" s="22" t="s">
        <v>2569</v>
      </c>
    </row>
    <row r="42" spans="1:16" x14ac:dyDescent="0.35">
      <c r="A42" s="14" t="s">
        <v>6512</v>
      </c>
      <c r="B42" s="7">
        <f t="shared" si="0"/>
        <v>46086</v>
      </c>
      <c r="C42" s="7">
        <f t="shared" si="1"/>
        <v>46092</v>
      </c>
      <c r="D42" s="6">
        <v>3281</v>
      </c>
      <c r="E42" s="6">
        <v>337</v>
      </c>
      <c r="F42" s="6">
        <v>4</v>
      </c>
      <c r="G42" s="6">
        <v>3</v>
      </c>
      <c r="H42" s="6">
        <v>81462</v>
      </c>
      <c r="I42" s="6" t="s">
        <v>17</v>
      </c>
      <c r="J42" s="6">
        <v>51866990</v>
      </c>
      <c r="K42" s="6" t="s">
        <v>4834</v>
      </c>
      <c r="L42" s="17" t="s">
        <v>4835</v>
      </c>
      <c r="M42" s="8">
        <v>229900</v>
      </c>
      <c r="N42" s="22" t="s">
        <v>2569</v>
      </c>
      <c r="O42" s="22" t="s">
        <v>2586</v>
      </c>
      <c r="P42" s="22" t="s">
        <v>2569</v>
      </c>
    </row>
    <row r="43" spans="1:16" x14ac:dyDescent="0.35">
      <c r="A43" s="14" t="s">
        <v>6512</v>
      </c>
      <c r="B43" s="7">
        <f t="shared" si="0"/>
        <v>46086</v>
      </c>
      <c r="C43" s="7">
        <f t="shared" si="1"/>
        <v>46092</v>
      </c>
      <c r="D43" s="6">
        <v>3281</v>
      </c>
      <c r="E43" s="6">
        <v>337</v>
      </c>
      <c r="F43" s="6">
        <v>4</v>
      </c>
      <c r="G43" s="6">
        <v>3</v>
      </c>
      <c r="H43" s="6">
        <v>81462</v>
      </c>
      <c r="I43" s="6" t="s">
        <v>17</v>
      </c>
      <c r="J43" s="6">
        <v>51866981</v>
      </c>
      <c r="K43" s="6" t="s">
        <v>4834</v>
      </c>
      <c r="L43" s="17" t="s">
        <v>4836</v>
      </c>
      <c r="M43" s="8">
        <v>229900</v>
      </c>
      <c r="N43" s="22" t="s">
        <v>2569</v>
      </c>
      <c r="O43" s="22" t="s">
        <v>2586</v>
      </c>
      <c r="P43" s="22" t="s">
        <v>2569</v>
      </c>
    </row>
    <row r="44" spans="1:16" x14ac:dyDescent="0.35">
      <c r="A44" s="14" t="s">
        <v>6512</v>
      </c>
      <c r="B44" s="7">
        <f t="shared" si="0"/>
        <v>46086</v>
      </c>
      <c r="C44" s="7">
        <f t="shared" si="1"/>
        <v>46092</v>
      </c>
      <c r="D44" s="6">
        <v>3281</v>
      </c>
      <c r="E44" s="6">
        <v>337</v>
      </c>
      <c r="F44" s="6">
        <v>4</v>
      </c>
      <c r="G44" s="6">
        <v>3</v>
      </c>
      <c r="H44" s="6">
        <v>81462</v>
      </c>
      <c r="I44" s="6" t="s">
        <v>17</v>
      </c>
      <c r="J44" s="6">
        <v>51866972</v>
      </c>
      <c r="K44" s="6" t="s">
        <v>4834</v>
      </c>
      <c r="L44" s="17" t="s">
        <v>4837</v>
      </c>
      <c r="M44" s="8">
        <v>229900</v>
      </c>
      <c r="N44" s="22" t="s">
        <v>2569</v>
      </c>
      <c r="O44" s="22" t="s">
        <v>2586</v>
      </c>
      <c r="P44" s="22" t="s">
        <v>2569</v>
      </c>
    </row>
    <row r="45" spans="1:16" x14ac:dyDescent="0.35">
      <c r="A45" s="14" t="s">
        <v>6512</v>
      </c>
      <c r="B45" s="7">
        <f t="shared" si="0"/>
        <v>46086</v>
      </c>
      <c r="C45" s="7">
        <f t="shared" si="1"/>
        <v>46092</v>
      </c>
      <c r="D45" s="6">
        <v>3281</v>
      </c>
      <c r="E45" s="6">
        <v>337</v>
      </c>
      <c r="F45" s="6">
        <v>4</v>
      </c>
      <c r="G45" s="6">
        <v>3</v>
      </c>
      <c r="H45" s="6">
        <v>81462</v>
      </c>
      <c r="I45" s="6" t="s">
        <v>17</v>
      </c>
      <c r="J45" s="6">
        <v>51866963</v>
      </c>
      <c r="K45" s="6" t="s">
        <v>4834</v>
      </c>
      <c r="L45" s="17" t="s">
        <v>4838</v>
      </c>
      <c r="M45" s="8">
        <v>229900</v>
      </c>
      <c r="N45" s="22" t="s">
        <v>2569</v>
      </c>
      <c r="O45" s="22" t="s">
        <v>2586</v>
      </c>
      <c r="P45" s="22" t="s">
        <v>2569</v>
      </c>
    </row>
    <row r="46" spans="1:16" x14ac:dyDescent="0.35">
      <c r="A46" s="14" t="s">
        <v>6512</v>
      </c>
      <c r="B46" s="7">
        <f t="shared" si="0"/>
        <v>46086</v>
      </c>
      <c r="C46" s="7">
        <f t="shared" si="1"/>
        <v>46092</v>
      </c>
      <c r="D46" s="6">
        <v>3281</v>
      </c>
      <c r="E46" s="6">
        <v>337</v>
      </c>
      <c r="F46" s="6">
        <v>4</v>
      </c>
      <c r="G46" s="6">
        <v>5</v>
      </c>
      <c r="H46" s="6">
        <v>81506</v>
      </c>
      <c r="I46" s="6" t="s">
        <v>17</v>
      </c>
      <c r="J46" s="6">
        <v>51362015</v>
      </c>
      <c r="K46" s="6" t="s">
        <v>4650</v>
      </c>
      <c r="L46" s="17" t="s">
        <v>4651</v>
      </c>
      <c r="M46" s="8">
        <v>279900</v>
      </c>
      <c r="N46" s="22" t="s">
        <v>2569</v>
      </c>
      <c r="O46" s="22" t="s">
        <v>2586</v>
      </c>
      <c r="P46" s="22" t="s">
        <v>2569</v>
      </c>
    </row>
    <row r="47" spans="1:16" x14ac:dyDescent="0.35">
      <c r="A47" s="14" t="s">
        <v>6512</v>
      </c>
      <c r="B47" s="7">
        <f t="shared" si="0"/>
        <v>46086</v>
      </c>
      <c r="C47" s="7">
        <f t="shared" si="1"/>
        <v>46092</v>
      </c>
      <c r="D47" s="6">
        <v>3281</v>
      </c>
      <c r="E47" s="6">
        <v>337</v>
      </c>
      <c r="F47" s="6">
        <v>4</v>
      </c>
      <c r="G47" s="6">
        <v>5</v>
      </c>
      <c r="H47" s="6">
        <v>81506</v>
      </c>
      <c r="I47" s="6" t="s">
        <v>17</v>
      </c>
      <c r="J47" s="6">
        <v>51362051</v>
      </c>
      <c r="K47" s="6" t="s">
        <v>4655</v>
      </c>
      <c r="L47" s="17" t="s">
        <v>4656</v>
      </c>
      <c r="M47" s="8">
        <v>279900</v>
      </c>
      <c r="N47" s="22" t="s">
        <v>2569</v>
      </c>
      <c r="O47" s="22" t="s">
        <v>2586</v>
      </c>
      <c r="P47" s="22" t="s">
        <v>2569</v>
      </c>
    </row>
    <row r="48" spans="1:16" x14ac:dyDescent="0.35">
      <c r="A48" s="14" t="s">
        <v>6512</v>
      </c>
      <c r="B48" s="7">
        <f t="shared" si="0"/>
        <v>46086</v>
      </c>
      <c r="C48" s="7">
        <f t="shared" si="1"/>
        <v>46092</v>
      </c>
      <c r="D48" s="6">
        <v>3281</v>
      </c>
      <c r="E48" s="6">
        <v>337</v>
      </c>
      <c r="F48" s="6">
        <v>4</v>
      </c>
      <c r="G48" s="6">
        <v>5</v>
      </c>
      <c r="H48" s="6">
        <v>81506</v>
      </c>
      <c r="I48" s="6" t="s">
        <v>17</v>
      </c>
      <c r="J48" s="6">
        <v>51362024</v>
      </c>
      <c r="K48" s="6" t="s">
        <v>4655</v>
      </c>
      <c r="L48" s="17" t="s">
        <v>4657</v>
      </c>
      <c r="M48" s="8">
        <v>279900</v>
      </c>
      <c r="N48" s="22" t="s">
        <v>2569</v>
      </c>
      <c r="O48" s="22" t="s">
        <v>2586</v>
      </c>
      <c r="P48" s="22" t="s">
        <v>2569</v>
      </c>
    </row>
    <row r="49" spans="1:16" x14ac:dyDescent="0.35">
      <c r="A49" s="14" t="s">
        <v>6512</v>
      </c>
      <c r="B49" s="7">
        <f t="shared" si="0"/>
        <v>46086</v>
      </c>
      <c r="C49" s="7">
        <f t="shared" si="1"/>
        <v>46092</v>
      </c>
      <c r="D49" s="6">
        <v>3281</v>
      </c>
      <c r="E49" s="6">
        <v>337</v>
      </c>
      <c r="F49" s="6">
        <v>4</v>
      </c>
      <c r="G49" s="6">
        <v>5</v>
      </c>
      <c r="H49" s="6">
        <v>81506</v>
      </c>
      <c r="I49" s="6" t="s">
        <v>17</v>
      </c>
      <c r="J49" s="6">
        <v>51361990</v>
      </c>
      <c r="K49" s="6" t="s">
        <v>4650</v>
      </c>
      <c r="L49" s="17" t="s">
        <v>4652</v>
      </c>
      <c r="M49" s="8">
        <v>279900</v>
      </c>
      <c r="N49" s="22" t="s">
        <v>2569</v>
      </c>
      <c r="O49" s="22" t="s">
        <v>2586</v>
      </c>
      <c r="P49" s="22" t="s">
        <v>2569</v>
      </c>
    </row>
    <row r="50" spans="1:16" x14ac:dyDescent="0.35">
      <c r="A50" s="14" t="s">
        <v>6512</v>
      </c>
      <c r="B50" s="7">
        <f t="shared" si="0"/>
        <v>46086</v>
      </c>
      <c r="C50" s="7">
        <f t="shared" si="1"/>
        <v>46092</v>
      </c>
      <c r="D50" s="6">
        <v>3281</v>
      </c>
      <c r="E50" s="6">
        <v>337</v>
      </c>
      <c r="F50" s="6">
        <v>4</v>
      </c>
      <c r="G50" s="6">
        <v>5</v>
      </c>
      <c r="H50" s="6">
        <v>81506</v>
      </c>
      <c r="I50" s="6" t="s">
        <v>17</v>
      </c>
      <c r="J50" s="6">
        <v>51361981</v>
      </c>
      <c r="K50" s="6" t="s">
        <v>4650</v>
      </c>
      <c r="L50" s="17" t="s">
        <v>4653</v>
      </c>
      <c r="M50" s="8">
        <v>279900</v>
      </c>
      <c r="N50" s="22" t="s">
        <v>2569</v>
      </c>
      <c r="O50" s="22" t="s">
        <v>2586</v>
      </c>
      <c r="P50" s="22" t="s">
        <v>2569</v>
      </c>
    </row>
    <row r="51" spans="1:16" x14ac:dyDescent="0.35">
      <c r="A51" s="14" t="s">
        <v>6512</v>
      </c>
      <c r="B51" s="7">
        <f t="shared" si="0"/>
        <v>46086</v>
      </c>
      <c r="C51" s="7">
        <f t="shared" si="1"/>
        <v>46092</v>
      </c>
      <c r="D51" s="6">
        <v>3281</v>
      </c>
      <c r="E51" s="6">
        <v>337</v>
      </c>
      <c r="F51" s="6">
        <v>4</v>
      </c>
      <c r="G51" s="6">
        <v>5</v>
      </c>
      <c r="H51" s="6">
        <v>81506</v>
      </c>
      <c r="I51" s="6" t="s">
        <v>17</v>
      </c>
      <c r="J51" s="6">
        <v>51362042</v>
      </c>
      <c r="K51" s="6" t="s">
        <v>4655</v>
      </c>
      <c r="L51" s="17" t="s">
        <v>4658</v>
      </c>
      <c r="M51" s="8">
        <v>279900</v>
      </c>
      <c r="N51" s="22" t="s">
        <v>2569</v>
      </c>
      <c r="O51" s="22" t="s">
        <v>2586</v>
      </c>
      <c r="P51" s="22" t="s">
        <v>2569</v>
      </c>
    </row>
    <row r="52" spans="1:16" x14ac:dyDescent="0.35">
      <c r="A52" s="14" t="s">
        <v>6512</v>
      </c>
      <c r="B52" s="7">
        <f t="shared" si="0"/>
        <v>46086</v>
      </c>
      <c r="C52" s="7">
        <f t="shared" si="1"/>
        <v>46092</v>
      </c>
      <c r="D52" s="6">
        <v>3281</v>
      </c>
      <c r="E52" s="6">
        <v>337</v>
      </c>
      <c r="F52" s="6">
        <v>4</v>
      </c>
      <c r="G52" s="6">
        <v>5</v>
      </c>
      <c r="H52" s="6">
        <v>81506</v>
      </c>
      <c r="I52" s="6" t="s">
        <v>17</v>
      </c>
      <c r="J52" s="6">
        <v>51362033</v>
      </c>
      <c r="K52" s="6" t="s">
        <v>4655</v>
      </c>
      <c r="L52" s="17" t="s">
        <v>4659</v>
      </c>
      <c r="M52" s="8">
        <v>279900</v>
      </c>
      <c r="N52" s="22" t="s">
        <v>2569</v>
      </c>
      <c r="O52" s="22" t="s">
        <v>2586</v>
      </c>
      <c r="P52" s="22" t="s">
        <v>2569</v>
      </c>
    </row>
    <row r="53" spans="1:16" x14ac:dyDescent="0.35">
      <c r="A53" s="14" t="s">
        <v>6512</v>
      </c>
      <c r="B53" s="7">
        <f t="shared" si="0"/>
        <v>46086</v>
      </c>
      <c r="C53" s="7">
        <f t="shared" si="1"/>
        <v>46092</v>
      </c>
      <c r="D53" s="6">
        <v>3281</v>
      </c>
      <c r="E53" s="6">
        <v>337</v>
      </c>
      <c r="F53" s="6">
        <v>4</v>
      </c>
      <c r="G53" s="6">
        <v>5</v>
      </c>
      <c r="H53" s="6">
        <v>81506</v>
      </c>
      <c r="I53" s="6" t="s">
        <v>17</v>
      </c>
      <c r="J53" s="6">
        <v>51362006</v>
      </c>
      <c r="K53" s="6" t="s">
        <v>4650</v>
      </c>
      <c r="L53" s="17" t="s">
        <v>4654</v>
      </c>
      <c r="M53" s="8">
        <v>279900</v>
      </c>
      <c r="N53" s="22" t="s">
        <v>2569</v>
      </c>
      <c r="O53" s="22" t="s">
        <v>2586</v>
      </c>
      <c r="P53" s="22" t="s">
        <v>2569</v>
      </c>
    </row>
    <row r="54" spans="1:16" x14ac:dyDescent="0.35">
      <c r="A54" s="14" t="s">
        <v>6512</v>
      </c>
      <c r="B54" s="7">
        <f t="shared" si="0"/>
        <v>46086</v>
      </c>
      <c r="C54" s="7">
        <f t="shared" si="1"/>
        <v>46092</v>
      </c>
      <c r="D54" s="6">
        <v>3281</v>
      </c>
      <c r="E54" s="6">
        <v>337</v>
      </c>
      <c r="F54" s="6">
        <v>4</v>
      </c>
      <c r="G54" s="6">
        <v>5</v>
      </c>
      <c r="H54" s="6">
        <v>81506</v>
      </c>
      <c r="I54" s="6" t="s">
        <v>17</v>
      </c>
      <c r="J54" s="6">
        <v>51361874</v>
      </c>
      <c r="K54" s="6" t="s">
        <v>4670</v>
      </c>
      <c r="L54" s="17" t="s">
        <v>4671</v>
      </c>
      <c r="M54" s="8">
        <v>319900</v>
      </c>
      <c r="N54" s="22" t="s">
        <v>2569</v>
      </c>
      <c r="O54" s="22" t="s">
        <v>2586</v>
      </c>
      <c r="P54" s="22" t="s">
        <v>2569</v>
      </c>
    </row>
    <row r="55" spans="1:16" x14ac:dyDescent="0.35">
      <c r="A55" s="14" t="s">
        <v>6512</v>
      </c>
      <c r="B55" s="7">
        <f t="shared" si="0"/>
        <v>46086</v>
      </c>
      <c r="C55" s="7">
        <f t="shared" si="1"/>
        <v>46092</v>
      </c>
      <c r="D55" s="6">
        <v>3281</v>
      </c>
      <c r="E55" s="6">
        <v>337</v>
      </c>
      <c r="F55" s="6">
        <v>4</v>
      </c>
      <c r="G55" s="6">
        <v>5</v>
      </c>
      <c r="H55" s="6">
        <v>81506</v>
      </c>
      <c r="I55" s="6" t="s">
        <v>17</v>
      </c>
      <c r="J55" s="6">
        <v>51361892</v>
      </c>
      <c r="K55" s="6" t="s">
        <v>4670</v>
      </c>
      <c r="L55" s="17" t="s">
        <v>4672</v>
      </c>
      <c r="M55" s="8">
        <v>319900</v>
      </c>
      <c r="N55" s="22" t="s">
        <v>2569</v>
      </c>
      <c r="O55" s="22" t="s">
        <v>2586</v>
      </c>
      <c r="P55" s="22" t="s">
        <v>2569</v>
      </c>
    </row>
    <row r="56" spans="1:16" x14ac:dyDescent="0.35">
      <c r="A56" s="14" t="s">
        <v>6512</v>
      </c>
      <c r="B56" s="7">
        <f t="shared" si="0"/>
        <v>46086</v>
      </c>
      <c r="C56" s="7">
        <f t="shared" si="1"/>
        <v>46092</v>
      </c>
      <c r="D56" s="6">
        <v>3281</v>
      </c>
      <c r="E56" s="6">
        <v>337</v>
      </c>
      <c r="F56" s="6">
        <v>4</v>
      </c>
      <c r="G56" s="6">
        <v>5</v>
      </c>
      <c r="H56" s="6">
        <v>81506</v>
      </c>
      <c r="I56" s="6" t="s">
        <v>17</v>
      </c>
      <c r="J56" s="6">
        <v>51361883</v>
      </c>
      <c r="K56" s="6" t="s">
        <v>4670</v>
      </c>
      <c r="L56" s="17" t="s">
        <v>4673</v>
      </c>
      <c r="M56" s="8">
        <v>319900</v>
      </c>
      <c r="N56" s="22" t="s">
        <v>2569</v>
      </c>
      <c r="O56" s="22" t="s">
        <v>2586</v>
      </c>
      <c r="P56" s="22" t="s">
        <v>2569</v>
      </c>
    </row>
    <row r="57" spans="1:16" x14ac:dyDescent="0.35">
      <c r="A57" s="14" t="s">
        <v>6512</v>
      </c>
      <c r="B57" s="7">
        <f t="shared" si="0"/>
        <v>46086</v>
      </c>
      <c r="C57" s="7">
        <f t="shared" si="1"/>
        <v>46092</v>
      </c>
      <c r="D57" s="6">
        <v>3281</v>
      </c>
      <c r="E57" s="6">
        <v>337</v>
      </c>
      <c r="F57" s="6">
        <v>4</v>
      </c>
      <c r="G57" s="6">
        <v>5</v>
      </c>
      <c r="H57" s="6">
        <v>81506</v>
      </c>
      <c r="I57" s="6" t="s">
        <v>17</v>
      </c>
      <c r="J57" s="6">
        <v>51361865</v>
      </c>
      <c r="K57" s="6" t="s">
        <v>4670</v>
      </c>
      <c r="L57" s="17" t="s">
        <v>4674</v>
      </c>
      <c r="M57" s="8">
        <v>319900</v>
      </c>
      <c r="N57" s="22" t="s">
        <v>2569</v>
      </c>
      <c r="O57" s="22" t="s">
        <v>2586</v>
      </c>
      <c r="P57" s="22" t="s">
        <v>2569</v>
      </c>
    </row>
    <row r="58" spans="1:16" s="33" customFormat="1" x14ac:dyDescent="0.35">
      <c r="A58" s="14" t="s">
        <v>6512</v>
      </c>
      <c r="B58" s="35">
        <f>B57</f>
        <v>46086</v>
      </c>
      <c r="C58" s="35">
        <f>C57</f>
        <v>46092</v>
      </c>
      <c r="D58" s="34">
        <v>3281</v>
      </c>
      <c r="E58" s="34">
        <v>337</v>
      </c>
      <c r="F58" s="34">
        <v>4</v>
      </c>
      <c r="G58" s="34">
        <v>3</v>
      </c>
      <c r="H58" s="34">
        <v>81462</v>
      </c>
      <c r="I58" s="34" t="s">
        <v>17</v>
      </c>
      <c r="J58" s="34">
        <v>51866936</v>
      </c>
      <c r="K58" s="34" t="s">
        <v>4844</v>
      </c>
      <c r="L58" s="40" t="s">
        <v>4845</v>
      </c>
      <c r="M58" s="36">
        <v>249900</v>
      </c>
      <c r="N58" s="22" t="s">
        <v>2569</v>
      </c>
      <c r="O58" s="22" t="s">
        <v>2586</v>
      </c>
      <c r="P58" s="22" t="s">
        <v>2569</v>
      </c>
    </row>
    <row r="59" spans="1:16" s="33" customFormat="1" x14ac:dyDescent="0.35">
      <c r="A59" s="14" t="s">
        <v>6512</v>
      </c>
      <c r="B59" s="35">
        <f t="shared" ref="B59:C74" si="2">B58</f>
        <v>46086</v>
      </c>
      <c r="C59" s="35">
        <f t="shared" si="2"/>
        <v>46092</v>
      </c>
      <c r="D59" s="34">
        <v>3281</v>
      </c>
      <c r="E59" s="34">
        <v>337</v>
      </c>
      <c r="F59" s="34">
        <v>4</v>
      </c>
      <c r="G59" s="34">
        <v>3</v>
      </c>
      <c r="H59" s="34">
        <v>81462</v>
      </c>
      <c r="I59" s="34" t="s">
        <v>17</v>
      </c>
      <c r="J59" s="34">
        <v>51866927</v>
      </c>
      <c r="K59" s="34" t="s">
        <v>4844</v>
      </c>
      <c r="L59" s="40" t="s">
        <v>4846</v>
      </c>
      <c r="M59" s="36">
        <v>249900</v>
      </c>
      <c r="N59" s="22" t="s">
        <v>2569</v>
      </c>
      <c r="O59" s="22" t="s">
        <v>2586</v>
      </c>
      <c r="P59" s="22" t="s">
        <v>2569</v>
      </c>
    </row>
    <row r="60" spans="1:16" s="33" customFormat="1" x14ac:dyDescent="0.35">
      <c r="A60" s="14" t="s">
        <v>6512</v>
      </c>
      <c r="B60" s="35">
        <f t="shared" si="2"/>
        <v>46086</v>
      </c>
      <c r="C60" s="35">
        <f t="shared" si="2"/>
        <v>46092</v>
      </c>
      <c r="D60" s="34">
        <v>3281</v>
      </c>
      <c r="E60" s="34">
        <v>337</v>
      </c>
      <c r="F60" s="34">
        <v>4</v>
      </c>
      <c r="G60" s="34">
        <v>3</v>
      </c>
      <c r="H60" s="34">
        <v>81462</v>
      </c>
      <c r="I60" s="34" t="s">
        <v>17</v>
      </c>
      <c r="J60" s="34">
        <v>51866945</v>
      </c>
      <c r="K60" s="34" t="s">
        <v>4844</v>
      </c>
      <c r="L60" s="40" t="s">
        <v>4847</v>
      </c>
      <c r="M60" s="36">
        <v>249900</v>
      </c>
      <c r="N60" s="22" t="s">
        <v>2569</v>
      </c>
      <c r="O60" s="22" t="s">
        <v>2586</v>
      </c>
      <c r="P60" s="22" t="s">
        <v>2569</v>
      </c>
    </row>
    <row r="61" spans="1:16" s="33" customFormat="1" x14ac:dyDescent="0.35">
      <c r="A61" s="14" t="s">
        <v>6512</v>
      </c>
      <c r="B61" s="35">
        <f t="shared" si="2"/>
        <v>46086</v>
      </c>
      <c r="C61" s="35">
        <f t="shared" si="2"/>
        <v>46092</v>
      </c>
      <c r="D61" s="34">
        <v>3281</v>
      </c>
      <c r="E61" s="34">
        <v>337</v>
      </c>
      <c r="F61" s="34">
        <v>4</v>
      </c>
      <c r="G61" s="34">
        <v>3</v>
      </c>
      <c r="H61" s="34">
        <v>81462</v>
      </c>
      <c r="I61" s="34" t="s">
        <v>17</v>
      </c>
      <c r="J61" s="34">
        <v>51866954</v>
      </c>
      <c r="K61" s="34" t="s">
        <v>4844</v>
      </c>
      <c r="L61" s="40" t="s">
        <v>4848</v>
      </c>
      <c r="M61" s="36">
        <v>249900</v>
      </c>
      <c r="N61" s="22" t="s">
        <v>2569</v>
      </c>
      <c r="O61" s="22" t="s">
        <v>2586</v>
      </c>
      <c r="P61" s="22" t="s">
        <v>2569</v>
      </c>
    </row>
    <row r="62" spans="1:16" s="33" customFormat="1" x14ac:dyDescent="0.35">
      <c r="A62" s="14" t="s">
        <v>6512</v>
      </c>
      <c r="B62" s="35">
        <f t="shared" si="2"/>
        <v>46086</v>
      </c>
      <c r="C62" s="35">
        <f t="shared" si="2"/>
        <v>46092</v>
      </c>
      <c r="D62" s="34">
        <v>3281</v>
      </c>
      <c r="E62" s="34">
        <v>337</v>
      </c>
      <c r="F62" s="34">
        <v>4</v>
      </c>
      <c r="G62" s="34">
        <v>1</v>
      </c>
      <c r="H62" s="34">
        <v>81462</v>
      </c>
      <c r="I62" s="34" t="s">
        <v>17</v>
      </c>
      <c r="J62" s="34">
        <v>51867051</v>
      </c>
      <c r="K62" s="34" t="s">
        <v>5470</v>
      </c>
      <c r="L62" s="40" t="s">
        <v>5471</v>
      </c>
      <c r="M62" s="36">
        <v>149900</v>
      </c>
      <c r="N62" s="22" t="s">
        <v>2569</v>
      </c>
      <c r="O62" s="22" t="s">
        <v>2586</v>
      </c>
      <c r="P62" s="22" t="s">
        <v>2569</v>
      </c>
    </row>
    <row r="63" spans="1:16" s="33" customFormat="1" x14ac:dyDescent="0.35">
      <c r="A63" s="14" t="s">
        <v>6512</v>
      </c>
      <c r="B63" s="35">
        <f t="shared" si="2"/>
        <v>46086</v>
      </c>
      <c r="C63" s="35">
        <f t="shared" si="2"/>
        <v>46092</v>
      </c>
      <c r="D63" s="34">
        <v>3281</v>
      </c>
      <c r="E63" s="34">
        <v>337</v>
      </c>
      <c r="F63" s="34">
        <v>4</v>
      </c>
      <c r="G63" s="34">
        <v>1</v>
      </c>
      <c r="H63" s="34">
        <v>81462</v>
      </c>
      <c r="I63" s="34" t="s">
        <v>17</v>
      </c>
      <c r="J63" s="34">
        <v>51867079</v>
      </c>
      <c r="K63" s="34" t="s">
        <v>5470</v>
      </c>
      <c r="L63" s="40" t="s">
        <v>5472</v>
      </c>
      <c r="M63" s="36">
        <v>149900</v>
      </c>
      <c r="N63" s="22" t="s">
        <v>2569</v>
      </c>
      <c r="O63" s="22" t="s">
        <v>2586</v>
      </c>
      <c r="P63" s="22" t="s">
        <v>2569</v>
      </c>
    </row>
    <row r="64" spans="1:16" s="33" customFormat="1" x14ac:dyDescent="0.35">
      <c r="A64" s="14" t="s">
        <v>6512</v>
      </c>
      <c r="B64" s="35">
        <f t="shared" si="2"/>
        <v>46086</v>
      </c>
      <c r="C64" s="35">
        <f t="shared" si="2"/>
        <v>46092</v>
      </c>
      <c r="D64" s="34">
        <v>3281</v>
      </c>
      <c r="E64" s="34">
        <v>337</v>
      </c>
      <c r="F64" s="34">
        <v>4</v>
      </c>
      <c r="G64" s="34">
        <v>1</v>
      </c>
      <c r="H64" s="34">
        <v>81462</v>
      </c>
      <c r="I64" s="34" t="s">
        <v>17</v>
      </c>
      <c r="J64" s="34">
        <v>51867042</v>
      </c>
      <c r="K64" s="34" t="s">
        <v>5470</v>
      </c>
      <c r="L64" s="40" t="s">
        <v>5473</v>
      </c>
      <c r="M64" s="36">
        <v>149900</v>
      </c>
      <c r="N64" s="22" t="s">
        <v>2569</v>
      </c>
      <c r="O64" s="22" t="s">
        <v>2586</v>
      </c>
      <c r="P64" s="22" t="s">
        <v>2569</v>
      </c>
    </row>
    <row r="65" spans="1:16" s="33" customFormat="1" x14ac:dyDescent="0.35">
      <c r="A65" s="14" t="s">
        <v>6512</v>
      </c>
      <c r="B65" s="35">
        <f t="shared" si="2"/>
        <v>46086</v>
      </c>
      <c r="C65" s="35">
        <f t="shared" si="2"/>
        <v>46092</v>
      </c>
      <c r="D65" s="34">
        <v>3281</v>
      </c>
      <c r="E65" s="34">
        <v>337</v>
      </c>
      <c r="F65" s="34">
        <v>4</v>
      </c>
      <c r="G65" s="34">
        <v>1</v>
      </c>
      <c r="H65" s="34">
        <v>81462</v>
      </c>
      <c r="I65" s="34" t="s">
        <v>17</v>
      </c>
      <c r="J65" s="34">
        <v>51867060</v>
      </c>
      <c r="K65" s="34" t="s">
        <v>5470</v>
      </c>
      <c r="L65" s="40" t="s">
        <v>5474</v>
      </c>
      <c r="M65" s="36">
        <v>149900</v>
      </c>
      <c r="N65" s="22" t="s">
        <v>2569</v>
      </c>
      <c r="O65" s="22" t="s">
        <v>2586</v>
      </c>
      <c r="P65" s="22" t="s">
        <v>2569</v>
      </c>
    </row>
    <row r="66" spans="1:16" s="33" customFormat="1" x14ac:dyDescent="0.35">
      <c r="A66" s="14" t="s">
        <v>6512</v>
      </c>
      <c r="B66" s="35">
        <f t="shared" si="2"/>
        <v>46086</v>
      </c>
      <c r="C66" s="35">
        <f t="shared" si="2"/>
        <v>46092</v>
      </c>
      <c r="D66" s="34">
        <v>3281</v>
      </c>
      <c r="E66" s="34">
        <v>337</v>
      </c>
      <c r="F66" s="34">
        <v>4</v>
      </c>
      <c r="G66" s="34">
        <v>5</v>
      </c>
      <c r="H66" s="34">
        <v>81146</v>
      </c>
      <c r="I66" s="34" t="s">
        <v>17</v>
      </c>
      <c r="J66" s="34">
        <v>51867159</v>
      </c>
      <c r="K66" s="34" t="s">
        <v>4849</v>
      </c>
      <c r="L66" s="40" t="s">
        <v>4850</v>
      </c>
      <c r="M66" s="36">
        <v>279900</v>
      </c>
      <c r="N66" s="22" t="s">
        <v>2569</v>
      </c>
      <c r="O66" s="22" t="s">
        <v>2586</v>
      </c>
      <c r="P66" s="22" t="s">
        <v>2569</v>
      </c>
    </row>
    <row r="67" spans="1:16" s="33" customFormat="1" x14ac:dyDescent="0.35">
      <c r="A67" s="14" t="s">
        <v>6512</v>
      </c>
      <c r="B67" s="35">
        <f t="shared" si="2"/>
        <v>46086</v>
      </c>
      <c r="C67" s="35">
        <f t="shared" si="2"/>
        <v>46092</v>
      </c>
      <c r="D67" s="34">
        <v>3281</v>
      </c>
      <c r="E67" s="34">
        <v>337</v>
      </c>
      <c r="F67" s="34">
        <v>4</v>
      </c>
      <c r="G67" s="34">
        <v>5</v>
      </c>
      <c r="H67" s="34">
        <v>81146</v>
      </c>
      <c r="I67" s="34" t="s">
        <v>17</v>
      </c>
      <c r="J67" s="34">
        <v>51867122</v>
      </c>
      <c r="K67" s="34" t="s">
        <v>4849</v>
      </c>
      <c r="L67" s="40" t="s">
        <v>4851</v>
      </c>
      <c r="M67" s="36">
        <v>279900</v>
      </c>
      <c r="N67" s="22" t="s">
        <v>2569</v>
      </c>
      <c r="O67" s="22" t="s">
        <v>2586</v>
      </c>
      <c r="P67" s="22" t="s">
        <v>2569</v>
      </c>
    </row>
    <row r="68" spans="1:16" s="33" customFormat="1" x14ac:dyDescent="0.35">
      <c r="A68" s="14" t="s">
        <v>6512</v>
      </c>
      <c r="B68" s="35">
        <f t="shared" si="2"/>
        <v>46086</v>
      </c>
      <c r="C68" s="35">
        <f t="shared" si="2"/>
        <v>46092</v>
      </c>
      <c r="D68" s="34">
        <v>3281</v>
      </c>
      <c r="E68" s="34">
        <v>337</v>
      </c>
      <c r="F68" s="34">
        <v>4</v>
      </c>
      <c r="G68" s="34">
        <v>5</v>
      </c>
      <c r="H68" s="34">
        <v>81146</v>
      </c>
      <c r="I68" s="34" t="s">
        <v>17</v>
      </c>
      <c r="J68" s="34">
        <v>51867131</v>
      </c>
      <c r="K68" s="34" t="s">
        <v>4849</v>
      </c>
      <c r="L68" s="40" t="s">
        <v>4852</v>
      </c>
      <c r="M68" s="36">
        <v>279900</v>
      </c>
      <c r="N68" s="22" t="s">
        <v>2569</v>
      </c>
      <c r="O68" s="22" t="s">
        <v>2586</v>
      </c>
      <c r="P68" s="22" t="s">
        <v>2569</v>
      </c>
    </row>
    <row r="69" spans="1:16" s="33" customFormat="1" x14ac:dyDescent="0.35">
      <c r="A69" s="14" t="s">
        <v>6512</v>
      </c>
      <c r="B69" s="35">
        <f t="shared" si="2"/>
        <v>46086</v>
      </c>
      <c r="C69" s="35">
        <f t="shared" si="2"/>
        <v>46092</v>
      </c>
      <c r="D69" s="34">
        <v>3281</v>
      </c>
      <c r="E69" s="34">
        <v>337</v>
      </c>
      <c r="F69" s="34">
        <v>4</v>
      </c>
      <c r="G69" s="34">
        <v>5</v>
      </c>
      <c r="H69" s="34">
        <v>81146</v>
      </c>
      <c r="I69" s="34" t="s">
        <v>17</v>
      </c>
      <c r="J69" s="34">
        <v>51867140</v>
      </c>
      <c r="K69" s="34" t="s">
        <v>4849</v>
      </c>
      <c r="L69" s="40" t="s">
        <v>4853</v>
      </c>
      <c r="M69" s="36">
        <v>279900</v>
      </c>
      <c r="N69" s="22" t="s">
        <v>2569</v>
      </c>
      <c r="O69" s="22" t="s">
        <v>2586</v>
      </c>
      <c r="P69" s="22" t="s">
        <v>2569</v>
      </c>
    </row>
    <row r="70" spans="1:16" s="33" customFormat="1" x14ac:dyDescent="0.35">
      <c r="A70" s="14" t="s">
        <v>6512</v>
      </c>
      <c r="B70" s="35">
        <f t="shared" si="2"/>
        <v>46086</v>
      </c>
      <c r="C70" s="35">
        <f t="shared" si="2"/>
        <v>46092</v>
      </c>
      <c r="D70" s="34">
        <v>3281</v>
      </c>
      <c r="E70" s="34">
        <v>337</v>
      </c>
      <c r="F70" s="34">
        <v>4</v>
      </c>
      <c r="G70" s="34">
        <v>3</v>
      </c>
      <c r="H70" s="34">
        <v>81506</v>
      </c>
      <c r="I70" s="34" t="s">
        <v>17</v>
      </c>
      <c r="J70" s="34">
        <v>52525874</v>
      </c>
      <c r="K70" s="34" t="s">
        <v>5480</v>
      </c>
      <c r="L70" s="40" t="s">
        <v>5481</v>
      </c>
      <c r="M70" s="36">
        <v>229900</v>
      </c>
      <c r="N70" s="22" t="s">
        <v>2569</v>
      </c>
      <c r="O70" s="22" t="s">
        <v>2586</v>
      </c>
      <c r="P70" s="22" t="s">
        <v>2569</v>
      </c>
    </row>
    <row r="71" spans="1:16" s="33" customFormat="1" x14ac:dyDescent="0.35">
      <c r="A71" s="14" t="s">
        <v>6512</v>
      </c>
      <c r="B71" s="35">
        <f t="shared" si="2"/>
        <v>46086</v>
      </c>
      <c r="C71" s="35">
        <f t="shared" si="2"/>
        <v>46092</v>
      </c>
      <c r="D71" s="34">
        <v>3281</v>
      </c>
      <c r="E71" s="34">
        <v>337</v>
      </c>
      <c r="F71" s="34">
        <v>4</v>
      </c>
      <c r="G71" s="34">
        <v>3</v>
      </c>
      <c r="H71" s="34">
        <v>81506</v>
      </c>
      <c r="I71" s="34" t="s">
        <v>17</v>
      </c>
      <c r="J71" s="34">
        <v>52525856</v>
      </c>
      <c r="K71" s="34" t="s">
        <v>5480</v>
      </c>
      <c r="L71" s="40" t="s">
        <v>5482</v>
      </c>
      <c r="M71" s="36">
        <v>229900</v>
      </c>
      <c r="N71" s="22" t="s">
        <v>2569</v>
      </c>
      <c r="O71" s="22" t="s">
        <v>2586</v>
      </c>
      <c r="P71" s="22" t="s">
        <v>2569</v>
      </c>
    </row>
    <row r="72" spans="1:16" s="33" customFormat="1" x14ac:dyDescent="0.35">
      <c r="A72" s="14" t="s">
        <v>6512</v>
      </c>
      <c r="B72" s="35">
        <f t="shared" si="2"/>
        <v>46086</v>
      </c>
      <c r="C72" s="35">
        <f t="shared" si="2"/>
        <v>46092</v>
      </c>
      <c r="D72" s="34">
        <v>3281</v>
      </c>
      <c r="E72" s="34">
        <v>337</v>
      </c>
      <c r="F72" s="34">
        <v>4</v>
      </c>
      <c r="G72" s="34">
        <v>3</v>
      </c>
      <c r="H72" s="34">
        <v>81506</v>
      </c>
      <c r="I72" s="34" t="s">
        <v>17</v>
      </c>
      <c r="J72" s="34">
        <v>52525883</v>
      </c>
      <c r="K72" s="34" t="s">
        <v>5480</v>
      </c>
      <c r="L72" s="40" t="s">
        <v>5483</v>
      </c>
      <c r="M72" s="36">
        <v>229900</v>
      </c>
      <c r="N72" s="22" t="s">
        <v>2569</v>
      </c>
      <c r="O72" s="22" t="s">
        <v>2586</v>
      </c>
      <c r="P72" s="22" t="s">
        <v>2569</v>
      </c>
    </row>
    <row r="73" spans="1:16" s="33" customFormat="1" x14ac:dyDescent="0.35">
      <c r="A73" s="14" t="s">
        <v>6512</v>
      </c>
      <c r="B73" s="35">
        <f t="shared" si="2"/>
        <v>46086</v>
      </c>
      <c r="C73" s="35">
        <f t="shared" si="2"/>
        <v>46092</v>
      </c>
      <c r="D73" s="34">
        <v>3281</v>
      </c>
      <c r="E73" s="34">
        <v>337</v>
      </c>
      <c r="F73" s="34">
        <v>4</v>
      </c>
      <c r="G73" s="34">
        <v>3</v>
      </c>
      <c r="H73" s="34">
        <v>81506</v>
      </c>
      <c r="I73" s="34" t="s">
        <v>17</v>
      </c>
      <c r="J73" s="34">
        <v>52525865</v>
      </c>
      <c r="K73" s="34" t="s">
        <v>5480</v>
      </c>
      <c r="L73" s="40" t="s">
        <v>5484</v>
      </c>
      <c r="M73" s="36">
        <v>229900</v>
      </c>
      <c r="N73" s="22" t="s">
        <v>2569</v>
      </c>
      <c r="O73" s="22" t="s">
        <v>2586</v>
      </c>
      <c r="P73" s="22" t="s">
        <v>2569</v>
      </c>
    </row>
    <row r="74" spans="1:16" s="33" customFormat="1" x14ac:dyDescent="0.35">
      <c r="A74" s="14" t="s">
        <v>6512</v>
      </c>
      <c r="B74" s="35">
        <f t="shared" si="2"/>
        <v>46086</v>
      </c>
      <c r="C74" s="35">
        <f t="shared" si="2"/>
        <v>46092</v>
      </c>
      <c r="D74" s="34">
        <v>3281</v>
      </c>
      <c r="E74" s="34">
        <v>337</v>
      </c>
      <c r="F74" s="34">
        <v>4</v>
      </c>
      <c r="G74" s="34">
        <v>3</v>
      </c>
      <c r="H74" s="34">
        <v>81588</v>
      </c>
      <c r="I74" s="34" t="s">
        <v>17</v>
      </c>
      <c r="J74" s="34">
        <v>52525829</v>
      </c>
      <c r="K74" s="34" t="s">
        <v>5485</v>
      </c>
      <c r="L74" s="40" t="s">
        <v>5486</v>
      </c>
      <c r="M74" s="36">
        <v>299900</v>
      </c>
      <c r="N74" s="22" t="s">
        <v>2569</v>
      </c>
      <c r="O74" s="22" t="s">
        <v>2586</v>
      </c>
      <c r="P74" s="22" t="s">
        <v>2569</v>
      </c>
    </row>
    <row r="75" spans="1:16" s="33" customFormat="1" x14ac:dyDescent="0.35">
      <c r="A75" s="14" t="s">
        <v>6512</v>
      </c>
      <c r="B75" s="35">
        <f t="shared" ref="B75:C89" si="3">B74</f>
        <v>46086</v>
      </c>
      <c r="C75" s="35">
        <f t="shared" si="3"/>
        <v>46092</v>
      </c>
      <c r="D75" s="34">
        <v>3281</v>
      </c>
      <c r="E75" s="34">
        <v>337</v>
      </c>
      <c r="F75" s="34">
        <v>4</v>
      </c>
      <c r="G75" s="34">
        <v>3</v>
      </c>
      <c r="H75" s="34">
        <v>81588</v>
      </c>
      <c r="I75" s="34" t="s">
        <v>17</v>
      </c>
      <c r="J75" s="34">
        <v>52525810</v>
      </c>
      <c r="K75" s="34" t="s">
        <v>5485</v>
      </c>
      <c r="L75" s="40" t="s">
        <v>5487</v>
      </c>
      <c r="M75" s="36">
        <v>299900</v>
      </c>
      <c r="N75" s="22" t="s">
        <v>2569</v>
      </c>
      <c r="O75" s="22" t="s">
        <v>2586</v>
      </c>
      <c r="P75" s="22" t="s">
        <v>2569</v>
      </c>
    </row>
    <row r="76" spans="1:16" s="33" customFormat="1" x14ac:dyDescent="0.35">
      <c r="A76" s="14" t="s">
        <v>6512</v>
      </c>
      <c r="B76" s="35">
        <f t="shared" si="3"/>
        <v>46086</v>
      </c>
      <c r="C76" s="35">
        <f t="shared" si="3"/>
        <v>46092</v>
      </c>
      <c r="D76" s="34">
        <v>3281</v>
      </c>
      <c r="E76" s="34">
        <v>337</v>
      </c>
      <c r="F76" s="34">
        <v>4</v>
      </c>
      <c r="G76" s="34">
        <v>3</v>
      </c>
      <c r="H76" s="34">
        <v>81588</v>
      </c>
      <c r="I76" s="34" t="s">
        <v>17</v>
      </c>
      <c r="J76" s="34">
        <v>52525838</v>
      </c>
      <c r="K76" s="34" t="s">
        <v>5485</v>
      </c>
      <c r="L76" s="40" t="s">
        <v>5488</v>
      </c>
      <c r="M76" s="36">
        <v>299900</v>
      </c>
      <c r="N76" s="22" t="s">
        <v>2569</v>
      </c>
      <c r="O76" s="22" t="s">
        <v>2586</v>
      </c>
      <c r="P76" s="22" t="s">
        <v>2569</v>
      </c>
    </row>
    <row r="77" spans="1:16" s="33" customFormat="1" x14ac:dyDescent="0.35">
      <c r="A77" s="14" t="s">
        <v>6512</v>
      </c>
      <c r="B77" s="35">
        <f t="shared" si="3"/>
        <v>46086</v>
      </c>
      <c r="C77" s="35">
        <f t="shared" si="3"/>
        <v>46092</v>
      </c>
      <c r="D77" s="34">
        <v>3281</v>
      </c>
      <c r="E77" s="34">
        <v>337</v>
      </c>
      <c r="F77" s="34">
        <v>4</v>
      </c>
      <c r="G77" s="34">
        <v>3</v>
      </c>
      <c r="H77" s="34">
        <v>81588</v>
      </c>
      <c r="I77" s="34" t="s">
        <v>17</v>
      </c>
      <c r="J77" s="34">
        <v>52525847</v>
      </c>
      <c r="K77" s="34" t="s">
        <v>5485</v>
      </c>
      <c r="L77" s="40" t="s">
        <v>5489</v>
      </c>
      <c r="M77" s="36">
        <v>299900</v>
      </c>
      <c r="N77" s="22" t="s">
        <v>2569</v>
      </c>
      <c r="O77" s="22" t="s">
        <v>2586</v>
      </c>
      <c r="P77" s="22" t="s">
        <v>2569</v>
      </c>
    </row>
    <row r="78" spans="1:16" s="33" customFormat="1" x14ac:dyDescent="0.35">
      <c r="A78" s="14" t="s">
        <v>6512</v>
      </c>
      <c r="B78" s="35">
        <f t="shared" si="3"/>
        <v>46086</v>
      </c>
      <c r="C78" s="35">
        <f t="shared" si="3"/>
        <v>46092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52525918</v>
      </c>
      <c r="K78" s="34" t="s">
        <v>5490</v>
      </c>
      <c r="L78" s="40" t="s">
        <v>5491</v>
      </c>
      <c r="M78" s="36">
        <v>299900</v>
      </c>
      <c r="N78" s="22" t="s">
        <v>2569</v>
      </c>
      <c r="O78" s="22" t="s">
        <v>2586</v>
      </c>
      <c r="P78" s="22" t="s">
        <v>2569</v>
      </c>
    </row>
    <row r="79" spans="1:16" s="33" customFormat="1" x14ac:dyDescent="0.35">
      <c r="A79" s="14" t="s">
        <v>6512</v>
      </c>
      <c r="B79" s="35">
        <f t="shared" si="3"/>
        <v>46086</v>
      </c>
      <c r="C79" s="35">
        <f t="shared" si="3"/>
        <v>46092</v>
      </c>
      <c r="D79" s="34">
        <v>3281</v>
      </c>
      <c r="E79" s="34">
        <v>337</v>
      </c>
      <c r="F79" s="34">
        <v>4</v>
      </c>
      <c r="G79" s="34">
        <v>5</v>
      </c>
      <c r="H79" s="34">
        <v>81506</v>
      </c>
      <c r="I79" s="34" t="s">
        <v>17</v>
      </c>
      <c r="J79" s="34">
        <v>52525927</v>
      </c>
      <c r="K79" s="34" t="s">
        <v>5490</v>
      </c>
      <c r="L79" s="40" t="s">
        <v>5492</v>
      </c>
      <c r="M79" s="36">
        <v>299900</v>
      </c>
      <c r="N79" s="22" t="s">
        <v>2569</v>
      </c>
      <c r="O79" s="22" t="s">
        <v>2586</v>
      </c>
      <c r="P79" s="22" t="s">
        <v>2569</v>
      </c>
    </row>
    <row r="80" spans="1:16" s="33" customFormat="1" x14ac:dyDescent="0.35">
      <c r="A80" s="14" t="s">
        <v>6512</v>
      </c>
      <c r="B80" s="35">
        <f t="shared" si="3"/>
        <v>46086</v>
      </c>
      <c r="C80" s="35">
        <f t="shared" si="3"/>
        <v>46092</v>
      </c>
      <c r="D80" s="34">
        <v>3281</v>
      </c>
      <c r="E80" s="34">
        <v>337</v>
      </c>
      <c r="F80" s="34">
        <v>4</v>
      </c>
      <c r="G80" s="34">
        <v>5</v>
      </c>
      <c r="H80" s="34">
        <v>81506</v>
      </c>
      <c r="I80" s="34" t="s">
        <v>17</v>
      </c>
      <c r="J80" s="34">
        <v>52525892</v>
      </c>
      <c r="K80" s="34" t="s">
        <v>5490</v>
      </c>
      <c r="L80" s="40" t="s">
        <v>5493</v>
      </c>
      <c r="M80" s="36">
        <v>299900</v>
      </c>
      <c r="N80" s="22" t="s">
        <v>2569</v>
      </c>
      <c r="O80" s="22" t="s">
        <v>2586</v>
      </c>
      <c r="P80" s="22" t="s">
        <v>2569</v>
      </c>
    </row>
    <row r="81" spans="1:16" s="33" customFormat="1" x14ac:dyDescent="0.35">
      <c r="A81" s="14" t="s">
        <v>6512</v>
      </c>
      <c r="B81" s="35">
        <f t="shared" si="3"/>
        <v>46086</v>
      </c>
      <c r="C81" s="35">
        <f t="shared" si="3"/>
        <v>46092</v>
      </c>
      <c r="D81" s="34">
        <v>3281</v>
      </c>
      <c r="E81" s="34">
        <v>337</v>
      </c>
      <c r="F81" s="34">
        <v>4</v>
      </c>
      <c r="G81" s="34">
        <v>5</v>
      </c>
      <c r="H81" s="34">
        <v>81506</v>
      </c>
      <c r="I81" s="34" t="s">
        <v>17</v>
      </c>
      <c r="J81" s="34">
        <v>52525909</v>
      </c>
      <c r="K81" s="34" t="s">
        <v>5490</v>
      </c>
      <c r="L81" s="40" t="s">
        <v>5494</v>
      </c>
      <c r="M81" s="36">
        <v>299900</v>
      </c>
      <c r="N81" s="22" t="s">
        <v>2569</v>
      </c>
      <c r="O81" s="22" t="s">
        <v>2586</v>
      </c>
      <c r="P81" s="22" t="s">
        <v>2569</v>
      </c>
    </row>
    <row r="82" spans="1:16" s="33" customFormat="1" x14ac:dyDescent="0.35">
      <c r="A82" s="14" t="s">
        <v>6512</v>
      </c>
      <c r="B82" s="35">
        <f t="shared" si="3"/>
        <v>46086</v>
      </c>
      <c r="C82" s="35">
        <f t="shared" si="3"/>
        <v>46092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52763223</v>
      </c>
      <c r="K82" s="34" t="s">
        <v>5495</v>
      </c>
      <c r="L82" s="40" t="s">
        <v>5496</v>
      </c>
      <c r="M82" s="36">
        <v>279900</v>
      </c>
      <c r="N82" s="22" t="s">
        <v>2569</v>
      </c>
      <c r="O82" s="22" t="s">
        <v>2586</v>
      </c>
      <c r="P82" s="22" t="s">
        <v>2569</v>
      </c>
    </row>
    <row r="83" spans="1:16" s="33" customFormat="1" x14ac:dyDescent="0.35">
      <c r="A83" s="14" t="s">
        <v>6512</v>
      </c>
      <c r="B83" s="35">
        <f t="shared" si="3"/>
        <v>46086</v>
      </c>
      <c r="C83" s="35">
        <f t="shared" si="3"/>
        <v>46092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52763205</v>
      </c>
      <c r="K83" s="34" t="s">
        <v>5495</v>
      </c>
      <c r="L83" s="40" t="s">
        <v>5499</v>
      </c>
      <c r="M83" s="36">
        <v>279900</v>
      </c>
      <c r="N83" s="22" t="s">
        <v>2569</v>
      </c>
      <c r="O83" s="22" t="s">
        <v>2586</v>
      </c>
      <c r="P83" s="22" t="s">
        <v>2569</v>
      </c>
    </row>
    <row r="84" spans="1:16" s="33" customFormat="1" x14ac:dyDescent="0.35">
      <c r="A84" s="14" t="s">
        <v>6512</v>
      </c>
      <c r="B84" s="35">
        <f t="shared" si="3"/>
        <v>46086</v>
      </c>
      <c r="C84" s="35">
        <f t="shared" si="3"/>
        <v>46092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52763214</v>
      </c>
      <c r="K84" s="34" t="s">
        <v>5495</v>
      </c>
      <c r="L84" s="40" t="s">
        <v>5500</v>
      </c>
      <c r="M84" s="36">
        <v>279900</v>
      </c>
      <c r="N84" s="22" t="s">
        <v>2569</v>
      </c>
      <c r="O84" s="22" t="s">
        <v>2586</v>
      </c>
      <c r="P84" s="22" t="s">
        <v>2569</v>
      </c>
    </row>
    <row r="85" spans="1:16" s="33" customFormat="1" x14ac:dyDescent="0.35">
      <c r="A85" s="14" t="s">
        <v>6512</v>
      </c>
      <c r="B85" s="35">
        <f t="shared" si="3"/>
        <v>46086</v>
      </c>
      <c r="C85" s="35">
        <f t="shared" si="3"/>
        <v>46092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52763198</v>
      </c>
      <c r="K85" s="34" t="s">
        <v>5495</v>
      </c>
      <c r="L85" s="40" t="s">
        <v>5501</v>
      </c>
      <c r="M85" s="36">
        <v>279900</v>
      </c>
      <c r="N85" s="22" t="s">
        <v>2569</v>
      </c>
      <c r="O85" s="22" t="s">
        <v>2586</v>
      </c>
      <c r="P85" s="22" t="s">
        <v>2569</v>
      </c>
    </row>
    <row r="86" spans="1:16" s="33" customFormat="1" x14ac:dyDescent="0.35">
      <c r="A86" s="14" t="s">
        <v>6512</v>
      </c>
      <c r="B86" s="35">
        <f t="shared" si="3"/>
        <v>46086</v>
      </c>
      <c r="C86" s="35">
        <f t="shared" si="3"/>
        <v>46092</v>
      </c>
      <c r="D86" s="34">
        <v>3281</v>
      </c>
      <c r="E86" s="34">
        <v>337</v>
      </c>
      <c r="F86" s="34">
        <v>4</v>
      </c>
      <c r="G86" s="34">
        <v>5</v>
      </c>
      <c r="H86" s="34">
        <v>81506</v>
      </c>
      <c r="I86" s="34" t="s">
        <v>17</v>
      </c>
      <c r="J86" s="14">
        <v>52525963</v>
      </c>
      <c r="K86" s="14" t="s">
        <v>5497</v>
      </c>
      <c r="L86" s="40" t="s">
        <v>5498</v>
      </c>
      <c r="M86" s="36">
        <v>279900</v>
      </c>
      <c r="N86" s="22" t="s">
        <v>2569</v>
      </c>
      <c r="O86" s="22" t="s">
        <v>2586</v>
      </c>
      <c r="P86" s="22" t="s">
        <v>2569</v>
      </c>
    </row>
    <row r="87" spans="1:16" s="33" customFormat="1" x14ac:dyDescent="0.35">
      <c r="A87" s="14" t="s">
        <v>6512</v>
      </c>
      <c r="B87" s="35">
        <f t="shared" si="3"/>
        <v>46086</v>
      </c>
      <c r="C87" s="35">
        <f t="shared" si="3"/>
        <v>46092</v>
      </c>
      <c r="D87" s="34">
        <v>3281</v>
      </c>
      <c r="E87" s="34">
        <v>337</v>
      </c>
      <c r="F87" s="34">
        <v>4</v>
      </c>
      <c r="G87" s="34">
        <v>5</v>
      </c>
      <c r="H87" s="34">
        <v>81506</v>
      </c>
      <c r="I87" s="34" t="s">
        <v>17</v>
      </c>
      <c r="J87" s="14">
        <v>52525936</v>
      </c>
      <c r="K87" s="14" t="s">
        <v>5497</v>
      </c>
      <c r="L87" s="40" t="s">
        <v>5502</v>
      </c>
      <c r="M87" s="36">
        <v>279900</v>
      </c>
      <c r="N87" s="22" t="s">
        <v>2569</v>
      </c>
      <c r="O87" s="22" t="s">
        <v>2586</v>
      </c>
      <c r="P87" s="22" t="s">
        <v>2569</v>
      </c>
    </row>
    <row r="88" spans="1:16" s="33" customFormat="1" x14ac:dyDescent="0.35">
      <c r="A88" s="14" t="s">
        <v>6512</v>
      </c>
      <c r="B88" s="35">
        <f t="shared" si="3"/>
        <v>46086</v>
      </c>
      <c r="C88" s="35">
        <f t="shared" si="3"/>
        <v>46092</v>
      </c>
      <c r="D88" s="34">
        <v>3281</v>
      </c>
      <c r="E88" s="34">
        <v>337</v>
      </c>
      <c r="F88" s="34">
        <v>4</v>
      </c>
      <c r="G88" s="34">
        <v>5</v>
      </c>
      <c r="H88" s="34">
        <v>81506</v>
      </c>
      <c r="I88" s="34" t="s">
        <v>17</v>
      </c>
      <c r="J88" s="14">
        <v>52525954</v>
      </c>
      <c r="K88" s="14" t="s">
        <v>5497</v>
      </c>
      <c r="L88" s="40" t="s">
        <v>5503</v>
      </c>
      <c r="M88" s="36">
        <v>279900</v>
      </c>
      <c r="N88" s="22" t="s">
        <v>2569</v>
      </c>
      <c r="O88" s="22" t="s">
        <v>2586</v>
      </c>
      <c r="P88" s="22" t="s">
        <v>2569</v>
      </c>
    </row>
    <row r="89" spans="1:16" s="33" customFormat="1" x14ac:dyDescent="0.35">
      <c r="A89" s="14" t="s">
        <v>6512</v>
      </c>
      <c r="B89" s="35">
        <f t="shared" si="3"/>
        <v>46086</v>
      </c>
      <c r="C89" s="35">
        <f t="shared" si="3"/>
        <v>46092</v>
      </c>
      <c r="D89" s="34">
        <v>3281</v>
      </c>
      <c r="E89" s="34">
        <v>337</v>
      </c>
      <c r="F89" s="34">
        <v>4</v>
      </c>
      <c r="G89" s="34">
        <v>5</v>
      </c>
      <c r="H89" s="34">
        <v>81506</v>
      </c>
      <c r="I89" s="34" t="s">
        <v>17</v>
      </c>
      <c r="J89" s="14">
        <v>52525945</v>
      </c>
      <c r="K89" s="14" t="s">
        <v>5497</v>
      </c>
      <c r="L89" s="40" t="s">
        <v>5504</v>
      </c>
      <c r="M89" s="36">
        <v>279900</v>
      </c>
      <c r="N89" s="22" t="s">
        <v>2569</v>
      </c>
      <c r="O89" s="22" t="s">
        <v>2586</v>
      </c>
      <c r="P89" s="22" t="s">
        <v>2569</v>
      </c>
    </row>
    <row r="90" spans="1:16" ht="13.75" customHeight="1" x14ac:dyDescent="0.35">
      <c r="A90" s="14" t="s">
        <v>6512</v>
      </c>
      <c r="B90" s="35">
        <f t="shared" ref="B90:B115" si="4">B89</f>
        <v>46086</v>
      </c>
      <c r="C90" s="35">
        <f t="shared" ref="C90:C115" si="5">C89</f>
        <v>46092</v>
      </c>
      <c r="D90" s="6">
        <v>3281</v>
      </c>
      <c r="E90" s="6">
        <v>337</v>
      </c>
      <c r="F90" s="6">
        <v>4</v>
      </c>
      <c r="G90" s="6">
        <v>5</v>
      </c>
      <c r="H90" s="6">
        <v>81506</v>
      </c>
      <c r="I90" s="6" t="s">
        <v>17</v>
      </c>
      <c r="J90" s="6">
        <v>51362079</v>
      </c>
      <c r="K90" s="6" t="s">
        <v>5509</v>
      </c>
      <c r="L90" s="17" t="s">
        <v>5510</v>
      </c>
      <c r="M90" s="8">
        <v>299900</v>
      </c>
      <c r="N90" s="22" t="s">
        <v>2569</v>
      </c>
      <c r="O90" s="22" t="s">
        <v>2586</v>
      </c>
      <c r="P90" s="22" t="s">
        <v>2569</v>
      </c>
    </row>
    <row r="91" spans="1:16" ht="13.75" customHeight="1" x14ac:dyDescent="0.35">
      <c r="A91" s="14" t="s">
        <v>6512</v>
      </c>
      <c r="B91" s="35">
        <f t="shared" si="4"/>
        <v>46086</v>
      </c>
      <c r="C91" s="35">
        <f t="shared" si="5"/>
        <v>46092</v>
      </c>
      <c r="D91" s="6">
        <v>3281</v>
      </c>
      <c r="E91" s="6">
        <v>337</v>
      </c>
      <c r="F91" s="6">
        <v>4</v>
      </c>
      <c r="G91" s="6">
        <v>5</v>
      </c>
      <c r="H91" s="6">
        <v>81506</v>
      </c>
      <c r="I91" s="6" t="s">
        <v>17</v>
      </c>
      <c r="J91" s="6">
        <v>51367485</v>
      </c>
      <c r="K91" s="6" t="s">
        <v>5509</v>
      </c>
      <c r="L91" s="17" t="s">
        <v>5511</v>
      </c>
      <c r="M91" s="8">
        <v>299900</v>
      </c>
      <c r="N91" s="22" t="s">
        <v>2569</v>
      </c>
      <c r="O91" s="22" t="s">
        <v>2586</v>
      </c>
      <c r="P91" s="22" t="s">
        <v>2569</v>
      </c>
    </row>
    <row r="92" spans="1:16" x14ac:dyDescent="0.35">
      <c r="A92" s="14" t="s">
        <v>6512</v>
      </c>
      <c r="B92" s="35">
        <f t="shared" si="4"/>
        <v>46086</v>
      </c>
      <c r="C92" s="35">
        <f t="shared" si="5"/>
        <v>46092</v>
      </c>
      <c r="D92" s="6">
        <v>3281</v>
      </c>
      <c r="E92" s="6">
        <v>337</v>
      </c>
      <c r="F92" s="6">
        <v>4</v>
      </c>
      <c r="G92" s="6">
        <v>5</v>
      </c>
      <c r="H92" s="6">
        <v>81506</v>
      </c>
      <c r="I92" s="6" t="s">
        <v>17</v>
      </c>
      <c r="J92" s="6">
        <v>51362088</v>
      </c>
      <c r="K92" s="6" t="s">
        <v>5509</v>
      </c>
      <c r="L92" s="17" t="s">
        <v>5514</v>
      </c>
      <c r="M92" s="8">
        <v>299900</v>
      </c>
      <c r="N92" s="22" t="s">
        <v>2569</v>
      </c>
      <c r="O92" s="22" t="s">
        <v>2586</v>
      </c>
      <c r="P92" s="22" t="s">
        <v>2569</v>
      </c>
    </row>
    <row r="93" spans="1:16" x14ac:dyDescent="0.35">
      <c r="A93" s="14" t="s">
        <v>6512</v>
      </c>
      <c r="B93" s="35">
        <f t="shared" si="4"/>
        <v>46086</v>
      </c>
      <c r="C93" s="35">
        <f t="shared" si="5"/>
        <v>46092</v>
      </c>
      <c r="D93" s="6">
        <v>3281</v>
      </c>
      <c r="E93" s="6">
        <v>337</v>
      </c>
      <c r="F93" s="6">
        <v>4</v>
      </c>
      <c r="G93" s="6">
        <v>5</v>
      </c>
      <c r="H93" s="6">
        <v>81506</v>
      </c>
      <c r="I93" s="6" t="s">
        <v>17</v>
      </c>
      <c r="J93" s="6">
        <v>51362060</v>
      </c>
      <c r="K93" s="6" t="s">
        <v>5509</v>
      </c>
      <c r="L93" s="17" t="s">
        <v>5515</v>
      </c>
      <c r="M93" s="8">
        <v>299900</v>
      </c>
      <c r="N93" s="22" t="s">
        <v>2569</v>
      </c>
      <c r="O93" s="22" t="s">
        <v>2586</v>
      </c>
      <c r="P93" s="22" t="s">
        <v>2569</v>
      </c>
    </row>
    <row r="94" spans="1:16" x14ac:dyDescent="0.35">
      <c r="A94" s="14" t="s">
        <v>6512</v>
      </c>
      <c r="B94" s="35">
        <f t="shared" si="4"/>
        <v>46086</v>
      </c>
      <c r="C94" s="35">
        <f t="shared" si="5"/>
        <v>46092</v>
      </c>
      <c r="D94" s="6">
        <v>3281</v>
      </c>
      <c r="E94" s="6">
        <v>337</v>
      </c>
      <c r="F94" s="6">
        <v>4</v>
      </c>
      <c r="G94" s="6">
        <v>1</v>
      </c>
      <c r="H94" s="6">
        <v>81588</v>
      </c>
      <c r="I94" s="6" t="s">
        <v>17</v>
      </c>
      <c r="J94" s="6">
        <v>52763303</v>
      </c>
      <c r="K94" s="6" t="s">
        <v>5517</v>
      </c>
      <c r="L94" s="17" t="s">
        <v>5518</v>
      </c>
      <c r="M94" s="8">
        <v>169900</v>
      </c>
      <c r="N94" s="22" t="s">
        <v>2569</v>
      </c>
      <c r="O94" s="22" t="s">
        <v>2586</v>
      </c>
      <c r="P94" s="22" t="s">
        <v>2569</v>
      </c>
    </row>
    <row r="95" spans="1:16" x14ac:dyDescent="0.35">
      <c r="A95" s="14" t="s">
        <v>6512</v>
      </c>
      <c r="B95" s="35">
        <f t="shared" si="4"/>
        <v>46086</v>
      </c>
      <c r="C95" s="35">
        <f t="shared" si="5"/>
        <v>46092</v>
      </c>
      <c r="D95" s="6">
        <v>3281</v>
      </c>
      <c r="E95" s="6">
        <v>337</v>
      </c>
      <c r="F95" s="6">
        <v>4</v>
      </c>
      <c r="G95" s="6">
        <v>1</v>
      </c>
      <c r="H95" s="6">
        <v>81588</v>
      </c>
      <c r="I95" s="6" t="s">
        <v>17</v>
      </c>
      <c r="J95" s="6">
        <v>52763287</v>
      </c>
      <c r="K95" s="6" t="s">
        <v>5517</v>
      </c>
      <c r="L95" s="17" t="s">
        <v>5519</v>
      </c>
      <c r="M95" s="8">
        <v>169900</v>
      </c>
      <c r="N95" s="22" t="s">
        <v>2569</v>
      </c>
      <c r="O95" s="22" t="s">
        <v>2586</v>
      </c>
      <c r="P95" s="22" t="s">
        <v>2569</v>
      </c>
    </row>
    <row r="96" spans="1:16" x14ac:dyDescent="0.35">
      <c r="A96" s="14" t="s">
        <v>6512</v>
      </c>
      <c r="B96" s="35">
        <f t="shared" si="4"/>
        <v>46086</v>
      </c>
      <c r="C96" s="35">
        <f t="shared" si="5"/>
        <v>46092</v>
      </c>
      <c r="D96" s="6">
        <v>3281</v>
      </c>
      <c r="E96" s="6">
        <v>337</v>
      </c>
      <c r="F96" s="6">
        <v>4</v>
      </c>
      <c r="G96" s="6">
        <v>1</v>
      </c>
      <c r="H96" s="6">
        <v>81588</v>
      </c>
      <c r="I96" s="6" t="s">
        <v>17</v>
      </c>
      <c r="J96" s="6">
        <v>52763278</v>
      </c>
      <c r="K96" s="6" t="s">
        <v>5517</v>
      </c>
      <c r="L96" s="17" t="s">
        <v>5520</v>
      </c>
      <c r="M96" s="8">
        <v>169900</v>
      </c>
      <c r="N96" s="22" t="s">
        <v>2569</v>
      </c>
      <c r="O96" s="22" t="s">
        <v>2586</v>
      </c>
      <c r="P96" s="22" t="s">
        <v>2569</v>
      </c>
    </row>
    <row r="97" spans="1:16" x14ac:dyDescent="0.35">
      <c r="A97" s="14" t="s">
        <v>6512</v>
      </c>
      <c r="B97" s="35">
        <f t="shared" si="4"/>
        <v>46086</v>
      </c>
      <c r="C97" s="35">
        <f t="shared" si="5"/>
        <v>46092</v>
      </c>
      <c r="D97" s="6">
        <v>3281</v>
      </c>
      <c r="E97" s="6">
        <v>337</v>
      </c>
      <c r="F97" s="6">
        <v>4</v>
      </c>
      <c r="G97" s="6">
        <v>1</v>
      </c>
      <c r="H97" s="6">
        <v>81588</v>
      </c>
      <c r="I97" s="6" t="s">
        <v>17</v>
      </c>
      <c r="J97" s="6">
        <v>52763296</v>
      </c>
      <c r="K97" s="6" t="s">
        <v>5517</v>
      </c>
      <c r="L97" s="17" t="s">
        <v>5521</v>
      </c>
      <c r="M97" s="8">
        <v>169900</v>
      </c>
      <c r="N97" s="22" t="s">
        <v>2569</v>
      </c>
      <c r="O97" s="22" t="s">
        <v>2586</v>
      </c>
      <c r="P97" s="22" t="s">
        <v>2569</v>
      </c>
    </row>
    <row r="98" spans="1:16" x14ac:dyDescent="0.35">
      <c r="A98" s="14" t="s">
        <v>6512</v>
      </c>
      <c r="B98" s="35">
        <f t="shared" si="4"/>
        <v>46086</v>
      </c>
      <c r="C98" s="35">
        <f t="shared" si="5"/>
        <v>46092</v>
      </c>
      <c r="D98" s="6">
        <v>3281</v>
      </c>
      <c r="E98" s="6">
        <v>337</v>
      </c>
      <c r="F98" s="6">
        <v>4</v>
      </c>
      <c r="G98" s="6">
        <v>3</v>
      </c>
      <c r="H98" s="6">
        <v>81588</v>
      </c>
      <c r="I98" s="6" t="s">
        <v>17</v>
      </c>
      <c r="J98" s="6">
        <v>52763321</v>
      </c>
      <c r="K98" s="6" t="s">
        <v>5522</v>
      </c>
      <c r="L98" s="17" t="s">
        <v>5523</v>
      </c>
      <c r="M98" s="8">
        <v>299900</v>
      </c>
      <c r="N98" s="22" t="s">
        <v>2569</v>
      </c>
      <c r="O98" s="22" t="s">
        <v>2586</v>
      </c>
      <c r="P98" s="22" t="s">
        <v>2569</v>
      </c>
    </row>
    <row r="99" spans="1:16" x14ac:dyDescent="0.35">
      <c r="A99" s="14" t="s">
        <v>6512</v>
      </c>
      <c r="B99" s="35">
        <f t="shared" si="4"/>
        <v>46086</v>
      </c>
      <c r="C99" s="35">
        <f t="shared" si="5"/>
        <v>46092</v>
      </c>
      <c r="D99" s="6">
        <v>3281</v>
      </c>
      <c r="E99" s="6">
        <v>337</v>
      </c>
      <c r="F99" s="6">
        <v>4</v>
      </c>
      <c r="G99" s="6">
        <v>3</v>
      </c>
      <c r="H99" s="6">
        <v>81588</v>
      </c>
      <c r="I99" s="6" t="s">
        <v>17</v>
      </c>
      <c r="J99" s="6">
        <v>52763330</v>
      </c>
      <c r="K99" s="6" t="s">
        <v>5522</v>
      </c>
      <c r="L99" s="17" t="s">
        <v>5524</v>
      </c>
      <c r="M99" s="8">
        <v>299900</v>
      </c>
      <c r="N99" s="22" t="s">
        <v>2569</v>
      </c>
      <c r="O99" s="22" t="s">
        <v>2586</v>
      </c>
      <c r="P99" s="22" t="s">
        <v>2569</v>
      </c>
    </row>
    <row r="100" spans="1:16" x14ac:dyDescent="0.35">
      <c r="A100" s="14" t="s">
        <v>6512</v>
      </c>
      <c r="B100" s="35">
        <f t="shared" si="4"/>
        <v>46086</v>
      </c>
      <c r="C100" s="35">
        <f t="shared" si="5"/>
        <v>46092</v>
      </c>
      <c r="D100" s="6">
        <v>3281</v>
      </c>
      <c r="E100" s="6">
        <v>337</v>
      </c>
      <c r="F100" s="6">
        <v>4</v>
      </c>
      <c r="G100" s="6">
        <v>3</v>
      </c>
      <c r="H100" s="6">
        <v>81588</v>
      </c>
      <c r="I100" s="6" t="s">
        <v>17</v>
      </c>
      <c r="J100" s="6">
        <v>52763349</v>
      </c>
      <c r="K100" s="6" t="s">
        <v>5522</v>
      </c>
      <c r="L100" s="17" t="s">
        <v>5525</v>
      </c>
      <c r="M100" s="8">
        <v>299900</v>
      </c>
      <c r="N100" s="22" t="s">
        <v>2569</v>
      </c>
      <c r="O100" s="22" t="s">
        <v>2586</v>
      </c>
      <c r="P100" s="22" t="s">
        <v>2569</v>
      </c>
    </row>
    <row r="101" spans="1:16" x14ac:dyDescent="0.35">
      <c r="A101" s="14" t="s">
        <v>6512</v>
      </c>
      <c r="B101" s="35">
        <f t="shared" si="4"/>
        <v>46086</v>
      </c>
      <c r="C101" s="35">
        <f t="shared" si="5"/>
        <v>46092</v>
      </c>
      <c r="D101" s="6">
        <v>3281</v>
      </c>
      <c r="E101" s="6">
        <v>337</v>
      </c>
      <c r="F101" s="6">
        <v>4</v>
      </c>
      <c r="G101" s="6">
        <v>3</v>
      </c>
      <c r="H101" s="6">
        <v>81588</v>
      </c>
      <c r="I101" s="6" t="s">
        <v>17</v>
      </c>
      <c r="J101" s="6">
        <v>52763312</v>
      </c>
      <c r="K101" s="6" t="s">
        <v>5522</v>
      </c>
      <c r="L101" s="17" t="s">
        <v>5526</v>
      </c>
      <c r="M101" s="8">
        <v>299900</v>
      </c>
      <c r="N101" s="22" t="s">
        <v>2569</v>
      </c>
      <c r="O101" s="22" t="s">
        <v>2586</v>
      </c>
      <c r="P101" s="22" t="s">
        <v>2569</v>
      </c>
    </row>
    <row r="102" spans="1:16" x14ac:dyDescent="0.35">
      <c r="A102" s="14" t="s">
        <v>6512</v>
      </c>
      <c r="B102" s="35">
        <f t="shared" si="4"/>
        <v>46086</v>
      </c>
      <c r="C102" s="35">
        <f t="shared" si="5"/>
        <v>46092</v>
      </c>
      <c r="D102" s="6">
        <v>3281</v>
      </c>
      <c r="E102" s="6">
        <v>337</v>
      </c>
      <c r="F102" s="6">
        <v>4</v>
      </c>
      <c r="G102" s="6">
        <v>5</v>
      </c>
      <c r="H102" s="6">
        <v>81506</v>
      </c>
      <c r="I102" s="6" t="s">
        <v>17</v>
      </c>
      <c r="J102" s="6">
        <v>52525972</v>
      </c>
      <c r="K102" s="6" t="s">
        <v>5505</v>
      </c>
      <c r="L102" s="17" t="s">
        <v>5506</v>
      </c>
      <c r="M102" s="8">
        <v>299900</v>
      </c>
      <c r="N102" s="22" t="s">
        <v>2569</v>
      </c>
      <c r="O102" s="22" t="s">
        <v>2586</v>
      </c>
      <c r="P102" s="22" t="s">
        <v>2569</v>
      </c>
    </row>
    <row r="103" spans="1:16" x14ac:dyDescent="0.35">
      <c r="A103" s="14" t="s">
        <v>6512</v>
      </c>
      <c r="B103" s="35">
        <f t="shared" si="4"/>
        <v>46086</v>
      </c>
      <c r="C103" s="35">
        <f t="shared" si="5"/>
        <v>46092</v>
      </c>
      <c r="D103" s="6">
        <v>3281</v>
      </c>
      <c r="E103" s="6">
        <v>337</v>
      </c>
      <c r="F103" s="6">
        <v>4</v>
      </c>
      <c r="G103" s="6">
        <v>5</v>
      </c>
      <c r="H103" s="6">
        <v>81506</v>
      </c>
      <c r="I103" s="6" t="s">
        <v>17</v>
      </c>
      <c r="J103" s="6">
        <v>52526024</v>
      </c>
      <c r="K103" s="6" t="s">
        <v>5505</v>
      </c>
      <c r="L103" s="17" t="s">
        <v>5507</v>
      </c>
      <c r="M103" s="8">
        <v>299900</v>
      </c>
      <c r="N103" s="22" t="s">
        <v>2569</v>
      </c>
      <c r="O103" s="22" t="s">
        <v>2586</v>
      </c>
      <c r="P103" s="22" t="s">
        <v>2569</v>
      </c>
    </row>
    <row r="104" spans="1:16" x14ac:dyDescent="0.35">
      <c r="A104" s="14" t="s">
        <v>6512</v>
      </c>
      <c r="B104" s="35">
        <f t="shared" si="4"/>
        <v>46086</v>
      </c>
      <c r="C104" s="35">
        <f t="shared" si="5"/>
        <v>46092</v>
      </c>
      <c r="D104" s="6">
        <v>3281</v>
      </c>
      <c r="E104" s="6">
        <v>337</v>
      </c>
      <c r="F104" s="6">
        <v>4</v>
      </c>
      <c r="G104" s="6">
        <v>5</v>
      </c>
      <c r="H104" s="6">
        <v>81506</v>
      </c>
      <c r="I104" s="6" t="s">
        <v>17</v>
      </c>
      <c r="J104" s="6">
        <v>52526006</v>
      </c>
      <c r="K104" s="6" t="s">
        <v>5505</v>
      </c>
      <c r="L104" s="17" t="s">
        <v>5508</v>
      </c>
      <c r="M104" s="8">
        <v>299900</v>
      </c>
      <c r="N104" s="22" t="s">
        <v>2569</v>
      </c>
      <c r="O104" s="22" t="s">
        <v>2586</v>
      </c>
      <c r="P104" s="22" t="s">
        <v>2569</v>
      </c>
    </row>
    <row r="105" spans="1:16" x14ac:dyDescent="0.35">
      <c r="A105" s="14" t="s">
        <v>6512</v>
      </c>
      <c r="B105" s="35">
        <f t="shared" si="4"/>
        <v>46086</v>
      </c>
      <c r="C105" s="35">
        <f t="shared" si="5"/>
        <v>46092</v>
      </c>
      <c r="D105" s="6">
        <v>3281</v>
      </c>
      <c r="E105" s="6">
        <v>337</v>
      </c>
      <c r="F105" s="6">
        <v>4</v>
      </c>
      <c r="G105" s="6">
        <v>5</v>
      </c>
      <c r="H105" s="6">
        <v>81506</v>
      </c>
      <c r="I105" s="6" t="s">
        <v>17</v>
      </c>
      <c r="J105" s="6">
        <v>52525981</v>
      </c>
      <c r="K105" s="6" t="s">
        <v>5505</v>
      </c>
      <c r="L105" s="17" t="s">
        <v>5512</v>
      </c>
      <c r="M105" s="8">
        <v>299900</v>
      </c>
      <c r="N105" s="22" t="s">
        <v>2569</v>
      </c>
      <c r="O105" s="22" t="s">
        <v>2586</v>
      </c>
      <c r="P105" s="22" t="s">
        <v>2569</v>
      </c>
    </row>
    <row r="106" spans="1:16" x14ac:dyDescent="0.35">
      <c r="A106" s="14" t="s">
        <v>6512</v>
      </c>
      <c r="B106" s="35">
        <f t="shared" si="4"/>
        <v>46086</v>
      </c>
      <c r="C106" s="35">
        <f t="shared" si="5"/>
        <v>46092</v>
      </c>
      <c r="D106" s="6">
        <v>3281</v>
      </c>
      <c r="E106" s="6">
        <v>337</v>
      </c>
      <c r="F106" s="6">
        <v>4</v>
      </c>
      <c r="G106" s="6">
        <v>5</v>
      </c>
      <c r="H106" s="6">
        <v>81506</v>
      </c>
      <c r="I106" s="6" t="s">
        <v>17</v>
      </c>
      <c r="J106" s="6">
        <v>52525990</v>
      </c>
      <c r="K106" s="6" t="s">
        <v>5505</v>
      </c>
      <c r="L106" s="17" t="s">
        <v>5513</v>
      </c>
      <c r="M106" s="8">
        <v>299900</v>
      </c>
      <c r="N106" s="22" t="s">
        <v>2569</v>
      </c>
      <c r="O106" s="22" t="s">
        <v>2586</v>
      </c>
      <c r="P106" s="22" t="s">
        <v>2569</v>
      </c>
    </row>
    <row r="107" spans="1:16" x14ac:dyDescent="0.35">
      <c r="A107" s="14" t="s">
        <v>6512</v>
      </c>
      <c r="B107" s="35">
        <f t="shared" si="4"/>
        <v>46086</v>
      </c>
      <c r="C107" s="35">
        <f t="shared" si="5"/>
        <v>46092</v>
      </c>
      <c r="D107" s="6">
        <v>3281</v>
      </c>
      <c r="E107" s="6">
        <v>337</v>
      </c>
      <c r="F107" s="6">
        <v>4</v>
      </c>
      <c r="G107" s="6">
        <v>5</v>
      </c>
      <c r="H107" s="6">
        <v>81506</v>
      </c>
      <c r="I107" s="6" t="s">
        <v>17</v>
      </c>
      <c r="J107" s="6">
        <v>52526015</v>
      </c>
      <c r="K107" s="6" t="s">
        <v>5505</v>
      </c>
      <c r="L107" s="17" t="s">
        <v>5516</v>
      </c>
      <c r="M107" s="8">
        <v>299900</v>
      </c>
      <c r="N107" s="22" t="s">
        <v>2569</v>
      </c>
      <c r="O107" s="22" t="s">
        <v>2586</v>
      </c>
      <c r="P107" s="22" t="s">
        <v>2569</v>
      </c>
    </row>
    <row r="108" spans="1:16" x14ac:dyDescent="0.35">
      <c r="A108" s="14" t="s">
        <v>6512</v>
      </c>
      <c r="B108" s="35">
        <f t="shared" si="4"/>
        <v>46086</v>
      </c>
      <c r="C108" s="35">
        <f t="shared" si="5"/>
        <v>46092</v>
      </c>
      <c r="D108" s="6">
        <v>3281</v>
      </c>
      <c r="E108" s="6">
        <v>337</v>
      </c>
      <c r="F108" s="6">
        <v>4</v>
      </c>
      <c r="G108" s="6">
        <v>5</v>
      </c>
      <c r="H108" s="6">
        <v>81146</v>
      </c>
      <c r="I108" s="6" t="s">
        <v>17</v>
      </c>
      <c r="J108" s="6">
        <v>52526060</v>
      </c>
      <c r="K108" s="6" t="s">
        <v>5527</v>
      </c>
      <c r="L108" s="17" t="s">
        <v>5528</v>
      </c>
      <c r="M108" s="8">
        <v>279900</v>
      </c>
      <c r="N108" s="22" t="s">
        <v>2569</v>
      </c>
      <c r="O108" s="22" t="s">
        <v>2586</v>
      </c>
      <c r="P108" s="22" t="s">
        <v>2569</v>
      </c>
    </row>
    <row r="109" spans="1:16" x14ac:dyDescent="0.35">
      <c r="A109" s="14" t="s">
        <v>6512</v>
      </c>
      <c r="B109" s="35">
        <f t="shared" si="4"/>
        <v>46086</v>
      </c>
      <c r="C109" s="35">
        <f t="shared" si="5"/>
        <v>46092</v>
      </c>
      <c r="D109" s="6">
        <v>3281</v>
      </c>
      <c r="E109" s="6">
        <v>337</v>
      </c>
      <c r="F109" s="6">
        <v>4</v>
      </c>
      <c r="G109" s="6">
        <v>5</v>
      </c>
      <c r="H109" s="6">
        <v>81146</v>
      </c>
      <c r="I109" s="6" t="s">
        <v>17</v>
      </c>
      <c r="J109" s="6">
        <v>52526042</v>
      </c>
      <c r="K109" s="6" t="s">
        <v>5527</v>
      </c>
      <c r="L109" s="17" t="s">
        <v>5529</v>
      </c>
      <c r="M109" s="8">
        <v>279900</v>
      </c>
      <c r="N109" s="22" t="s">
        <v>2569</v>
      </c>
      <c r="O109" s="22" t="s">
        <v>2586</v>
      </c>
      <c r="P109" s="22" t="s">
        <v>2569</v>
      </c>
    </row>
    <row r="110" spans="1:16" x14ac:dyDescent="0.35">
      <c r="A110" s="14" t="s">
        <v>6512</v>
      </c>
      <c r="B110" s="35">
        <f t="shared" si="4"/>
        <v>46086</v>
      </c>
      <c r="C110" s="35">
        <f t="shared" si="5"/>
        <v>46092</v>
      </c>
      <c r="D110" s="6">
        <v>3281</v>
      </c>
      <c r="E110" s="6">
        <v>337</v>
      </c>
      <c r="F110" s="6">
        <v>4</v>
      </c>
      <c r="G110" s="6">
        <v>5</v>
      </c>
      <c r="H110" s="6">
        <v>81146</v>
      </c>
      <c r="I110" s="6" t="s">
        <v>17</v>
      </c>
      <c r="J110" s="6">
        <v>52526051</v>
      </c>
      <c r="K110" s="6" t="s">
        <v>5527</v>
      </c>
      <c r="L110" s="17" t="s">
        <v>5530</v>
      </c>
      <c r="M110" s="8">
        <v>279900</v>
      </c>
      <c r="N110" s="22" t="s">
        <v>2569</v>
      </c>
      <c r="O110" s="22" t="s">
        <v>2586</v>
      </c>
      <c r="P110" s="22" t="s">
        <v>2569</v>
      </c>
    </row>
    <row r="111" spans="1:16" x14ac:dyDescent="0.35">
      <c r="A111" s="14" t="s">
        <v>6512</v>
      </c>
      <c r="B111" s="35">
        <f t="shared" si="4"/>
        <v>46086</v>
      </c>
      <c r="C111" s="35">
        <f t="shared" si="5"/>
        <v>46092</v>
      </c>
      <c r="D111" s="6">
        <v>3281</v>
      </c>
      <c r="E111" s="6">
        <v>337</v>
      </c>
      <c r="F111" s="6">
        <v>4</v>
      </c>
      <c r="G111" s="6">
        <v>5</v>
      </c>
      <c r="H111" s="6">
        <v>81146</v>
      </c>
      <c r="I111" s="6" t="s">
        <v>17</v>
      </c>
      <c r="J111" s="6">
        <v>52526033</v>
      </c>
      <c r="K111" s="6" t="s">
        <v>5527</v>
      </c>
      <c r="L111" s="17" t="s">
        <v>5531</v>
      </c>
      <c r="M111" s="8">
        <v>279900</v>
      </c>
      <c r="N111" s="22" t="s">
        <v>2569</v>
      </c>
      <c r="O111" s="22" t="s">
        <v>2586</v>
      </c>
      <c r="P111" s="22" t="s">
        <v>2569</v>
      </c>
    </row>
    <row r="112" spans="1:16" x14ac:dyDescent="0.35">
      <c r="A112" s="14" t="s">
        <v>6512</v>
      </c>
      <c r="B112" s="35">
        <f t="shared" si="4"/>
        <v>46086</v>
      </c>
      <c r="C112" s="35">
        <f t="shared" si="5"/>
        <v>46092</v>
      </c>
      <c r="D112" s="6">
        <v>3281</v>
      </c>
      <c r="E112" s="6">
        <v>337</v>
      </c>
      <c r="F112" s="6">
        <v>4</v>
      </c>
      <c r="G112" s="6">
        <v>1</v>
      </c>
      <c r="H112" s="6">
        <v>81588</v>
      </c>
      <c r="I112" s="6" t="s">
        <v>17</v>
      </c>
      <c r="J112" s="6">
        <v>52763232</v>
      </c>
      <c r="K112" s="6" t="s">
        <v>5532</v>
      </c>
      <c r="L112" s="17" t="s">
        <v>5533</v>
      </c>
      <c r="M112" s="8">
        <v>149900</v>
      </c>
      <c r="N112" s="22" t="s">
        <v>2569</v>
      </c>
      <c r="O112" s="22" t="s">
        <v>2586</v>
      </c>
      <c r="P112" s="22" t="s">
        <v>2569</v>
      </c>
    </row>
    <row r="113" spans="1:16" x14ac:dyDescent="0.35">
      <c r="A113" s="14" t="s">
        <v>6512</v>
      </c>
      <c r="B113" s="35">
        <f t="shared" si="4"/>
        <v>46086</v>
      </c>
      <c r="C113" s="35">
        <f t="shared" si="5"/>
        <v>46092</v>
      </c>
      <c r="D113" s="6">
        <v>3281</v>
      </c>
      <c r="E113" s="6">
        <v>337</v>
      </c>
      <c r="F113" s="6">
        <v>4</v>
      </c>
      <c r="G113" s="6">
        <v>1</v>
      </c>
      <c r="H113" s="6">
        <v>81588</v>
      </c>
      <c r="I113" s="6" t="s">
        <v>17</v>
      </c>
      <c r="J113" s="6">
        <v>52763269</v>
      </c>
      <c r="K113" s="6" t="s">
        <v>5532</v>
      </c>
      <c r="L113" s="17" t="s">
        <v>5534</v>
      </c>
      <c r="M113" s="8">
        <v>149900</v>
      </c>
      <c r="N113" s="22" t="s">
        <v>2569</v>
      </c>
      <c r="O113" s="22" t="s">
        <v>2586</v>
      </c>
      <c r="P113" s="22" t="s">
        <v>2569</v>
      </c>
    </row>
    <row r="114" spans="1:16" x14ac:dyDescent="0.35">
      <c r="A114" s="14" t="s">
        <v>6512</v>
      </c>
      <c r="B114" s="35">
        <f t="shared" si="4"/>
        <v>46086</v>
      </c>
      <c r="C114" s="35">
        <f t="shared" si="5"/>
        <v>46092</v>
      </c>
      <c r="D114" s="6">
        <v>3281</v>
      </c>
      <c r="E114" s="6">
        <v>337</v>
      </c>
      <c r="F114" s="6">
        <v>4</v>
      </c>
      <c r="G114" s="6">
        <v>1</v>
      </c>
      <c r="H114" s="6">
        <v>81588</v>
      </c>
      <c r="I114" s="6" t="s">
        <v>17</v>
      </c>
      <c r="J114" s="6">
        <v>52763250</v>
      </c>
      <c r="K114" s="6" t="s">
        <v>5532</v>
      </c>
      <c r="L114" s="17" t="s">
        <v>5535</v>
      </c>
      <c r="M114" s="8">
        <v>149900</v>
      </c>
      <c r="N114" s="22" t="s">
        <v>2569</v>
      </c>
      <c r="O114" s="22" t="s">
        <v>2586</v>
      </c>
      <c r="P114" s="22" t="s">
        <v>2569</v>
      </c>
    </row>
    <row r="115" spans="1:16" x14ac:dyDescent="0.35">
      <c r="A115" s="14" t="s">
        <v>6512</v>
      </c>
      <c r="B115" s="35">
        <f t="shared" si="4"/>
        <v>46086</v>
      </c>
      <c r="C115" s="35">
        <f t="shared" si="5"/>
        <v>46092</v>
      </c>
      <c r="D115" s="6">
        <v>3281</v>
      </c>
      <c r="E115" s="6">
        <v>337</v>
      </c>
      <c r="F115" s="6">
        <v>4</v>
      </c>
      <c r="G115" s="6">
        <v>1</v>
      </c>
      <c r="H115" s="6">
        <v>81588</v>
      </c>
      <c r="I115" s="6" t="s">
        <v>17</v>
      </c>
      <c r="J115" s="6">
        <v>52763241</v>
      </c>
      <c r="K115" s="6" t="s">
        <v>5532</v>
      </c>
      <c r="L115" s="17" t="s">
        <v>5536</v>
      </c>
      <c r="M115" s="8">
        <v>149900</v>
      </c>
      <c r="N115" s="22" t="s">
        <v>2569</v>
      </c>
      <c r="O115" s="22" t="s">
        <v>2586</v>
      </c>
      <c r="P115" s="22" t="s">
        <v>2569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129"/>
  <sheetViews>
    <sheetView zoomScale="78"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6.9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71.54296875" style="19" customWidth="1"/>
    <col min="13" max="13" width="17.54296875" style="39" customWidth="1"/>
    <col min="14" max="14" width="17.453125" style="5" customWidth="1"/>
    <col min="15" max="15" width="19.81640625" style="39" bestFit="1" customWidth="1"/>
    <col min="16" max="16" width="19.81640625" style="33" bestFit="1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7312</v>
      </c>
      <c r="B2" s="35">
        <f>'2023 JUN-DEC D90 - 3321'!B2</f>
        <v>46086</v>
      </c>
      <c r="C2" s="35">
        <f>'2023 JUN-DEC D90 - 3321'!C2</f>
        <v>46092</v>
      </c>
      <c r="D2" s="34">
        <v>3281</v>
      </c>
      <c r="E2" s="34">
        <v>337</v>
      </c>
      <c r="F2" s="34">
        <v>4</v>
      </c>
      <c r="G2" s="34">
        <v>3</v>
      </c>
      <c r="H2" s="34">
        <v>81146</v>
      </c>
      <c r="I2" s="34" t="s">
        <v>17</v>
      </c>
      <c r="J2" s="34">
        <v>18767525</v>
      </c>
      <c r="K2" s="34" t="s">
        <v>3595</v>
      </c>
      <c r="L2" s="40" t="s">
        <v>3596</v>
      </c>
      <c r="M2" s="36">
        <v>239900</v>
      </c>
      <c r="N2" s="36" t="s">
        <v>2569</v>
      </c>
      <c r="O2" s="36" t="s">
        <v>2586</v>
      </c>
      <c r="P2" s="36" t="s">
        <v>2569</v>
      </c>
    </row>
    <row r="3" spans="1:16" x14ac:dyDescent="0.35">
      <c r="A3" s="34" t="str">
        <f>A2</f>
        <v>2024 JULY-SEP B1G2</v>
      </c>
      <c r="B3" s="35">
        <f>B2</f>
        <v>46086</v>
      </c>
      <c r="C3" s="35">
        <f>C2</f>
        <v>46092</v>
      </c>
      <c r="D3" s="34">
        <v>3281</v>
      </c>
      <c r="E3" s="34">
        <v>337</v>
      </c>
      <c r="F3" s="34">
        <v>4</v>
      </c>
      <c r="G3" s="34">
        <v>3</v>
      </c>
      <c r="H3" s="34">
        <v>81146</v>
      </c>
      <c r="I3" s="34" t="s">
        <v>17</v>
      </c>
      <c r="J3" s="34">
        <v>18767534</v>
      </c>
      <c r="K3" s="34" t="s">
        <v>3595</v>
      </c>
      <c r="L3" s="40" t="s">
        <v>3597</v>
      </c>
      <c r="M3" s="36">
        <v>239900</v>
      </c>
      <c r="N3" s="36" t="s">
        <v>2569</v>
      </c>
      <c r="O3" s="36" t="str">
        <f>O2</f>
        <v>B1G2</v>
      </c>
      <c r="P3" s="36" t="s">
        <v>2569</v>
      </c>
    </row>
    <row r="4" spans="1:16" x14ac:dyDescent="0.35">
      <c r="A4" s="34" t="str">
        <f t="shared" ref="A4:C30" si="0">A3</f>
        <v>2024 JULY-SEP B1G2</v>
      </c>
      <c r="B4" s="35">
        <f t="shared" si="0"/>
        <v>46086</v>
      </c>
      <c r="C4" s="35">
        <f t="shared" si="0"/>
        <v>46092</v>
      </c>
      <c r="D4" s="34">
        <v>3281</v>
      </c>
      <c r="E4" s="34">
        <v>337</v>
      </c>
      <c r="F4" s="34">
        <v>4</v>
      </c>
      <c r="G4" s="34">
        <v>3</v>
      </c>
      <c r="H4" s="34">
        <v>81146</v>
      </c>
      <c r="I4" s="34" t="s">
        <v>17</v>
      </c>
      <c r="J4" s="34">
        <v>18767552</v>
      </c>
      <c r="K4" s="34" t="s">
        <v>3595</v>
      </c>
      <c r="L4" s="40" t="s">
        <v>3598</v>
      </c>
      <c r="M4" s="36">
        <v>239900</v>
      </c>
      <c r="N4" s="36" t="s">
        <v>2569</v>
      </c>
      <c r="O4" s="36" t="str">
        <f t="shared" ref="O4:O29" si="1">O3</f>
        <v>B1G2</v>
      </c>
      <c r="P4" s="36" t="s">
        <v>2569</v>
      </c>
    </row>
    <row r="5" spans="1:16" x14ac:dyDescent="0.35">
      <c r="A5" s="34" t="str">
        <f t="shared" si="0"/>
        <v>2024 JULY-SEP B1G2</v>
      </c>
      <c r="B5" s="35">
        <f t="shared" si="0"/>
        <v>46086</v>
      </c>
      <c r="C5" s="35">
        <f t="shared" si="0"/>
        <v>46092</v>
      </c>
      <c r="D5" s="34">
        <v>3281</v>
      </c>
      <c r="E5" s="34">
        <v>337</v>
      </c>
      <c r="F5" s="34">
        <v>4</v>
      </c>
      <c r="G5" s="34">
        <v>3</v>
      </c>
      <c r="H5" s="34">
        <v>81146</v>
      </c>
      <c r="I5" s="34" t="s">
        <v>17</v>
      </c>
      <c r="J5" s="34">
        <v>18767598</v>
      </c>
      <c r="K5" s="34" t="s">
        <v>3595</v>
      </c>
      <c r="L5" s="40" t="s">
        <v>3599</v>
      </c>
      <c r="M5" s="36">
        <v>239900</v>
      </c>
      <c r="N5" s="36" t="s">
        <v>2569</v>
      </c>
      <c r="O5" s="36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JULY-SEP B1G2</v>
      </c>
      <c r="B6" s="35">
        <f t="shared" si="0"/>
        <v>46086</v>
      </c>
      <c r="C6" s="35">
        <f t="shared" si="0"/>
        <v>46092</v>
      </c>
      <c r="D6" s="34">
        <v>3281</v>
      </c>
      <c r="E6" s="34">
        <v>337</v>
      </c>
      <c r="F6" s="34">
        <v>4</v>
      </c>
      <c r="G6" s="34">
        <v>5</v>
      </c>
      <c r="H6" s="34">
        <v>81146</v>
      </c>
      <c r="I6" s="34" t="s">
        <v>17</v>
      </c>
      <c r="J6" s="34">
        <v>18767669</v>
      </c>
      <c r="K6" s="34" t="s">
        <v>3615</v>
      </c>
      <c r="L6" s="40" t="s">
        <v>3616</v>
      </c>
      <c r="M6" s="36">
        <v>259900</v>
      </c>
      <c r="N6" s="36" t="s">
        <v>2569</v>
      </c>
      <c r="O6" s="36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JULY-SEP B1G2</v>
      </c>
      <c r="B7" s="35">
        <f t="shared" si="0"/>
        <v>46086</v>
      </c>
      <c r="C7" s="35">
        <f t="shared" si="0"/>
        <v>46092</v>
      </c>
      <c r="D7" s="34">
        <v>3281</v>
      </c>
      <c r="E7" s="34">
        <v>337</v>
      </c>
      <c r="F7" s="34">
        <v>4</v>
      </c>
      <c r="G7" s="34">
        <v>5</v>
      </c>
      <c r="H7" s="34">
        <v>81146</v>
      </c>
      <c r="I7" s="34" t="s">
        <v>17</v>
      </c>
      <c r="J7" s="34">
        <v>18767678</v>
      </c>
      <c r="K7" s="34" t="s">
        <v>3615</v>
      </c>
      <c r="L7" s="40" t="s">
        <v>3617</v>
      </c>
      <c r="M7" s="36">
        <v>259900</v>
      </c>
      <c r="N7" s="36" t="s">
        <v>2569</v>
      </c>
      <c r="O7" s="36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JULY-SEP B1G2</v>
      </c>
      <c r="B8" s="35">
        <f t="shared" si="0"/>
        <v>46086</v>
      </c>
      <c r="C8" s="35">
        <f t="shared" si="0"/>
        <v>46092</v>
      </c>
      <c r="D8" s="34">
        <v>3281</v>
      </c>
      <c r="E8" s="34">
        <v>337</v>
      </c>
      <c r="F8" s="34">
        <v>4</v>
      </c>
      <c r="G8" s="34">
        <v>5</v>
      </c>
      <c r="H8" s="34">
        <v>81146</v>
      </c>
      <c r="I8" s="34" t="s">
        <v>17</v>
      </c>
      <c r="J8" s="34">
        <v>18767687</v>
      </c>
      <c r="K8" s="34" t="s">
        <v>3615</v>
      </c>
      <c r="L8" s="40" t="s">
        <v>3618</v>
      </c>
      <c r="M8" s="36">
        <v>259900</v>
      </c>
      <c r="N8" s="36" t="s">
        <v>2569</v>
      </c>
      <c r="O8" s="36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JULY-SEP B1G2</v>
      </c>
      <c r="B9" s="35">
        <f t="shared" si="0"/>
        <v>46086</v>
      </c>
      <c r="C9" s="35">
        <f t="shared" si="0"/>
        <v>46092</v>
      </c>
      <c r="D9" s="34">
        <v>3281</v>
      </c>
      <c r="E9" s="34">
        <v>337</v>
      </c>
      <c r="F9" s="34">
        <v>4</v>
      </c>
      <c r="G9" s="34">
        <v>5</v>
      </c>
      <c r="H9" s="34">
        <v>81146</v>
      </c>
      <c r="I9" s="34" t="s">
        <v>17</v>
      </c>
      <c r="J9" s="34">
        <v>18767696</v>
      </c>
      <c r="K9" s="34" t="s">
        <v>3615</v>
      </c>
      <c r="L9" s="40" t="s">
        <v>3619</v>
      </c>
      <c r="M9" s="36">
        <v>259900</v>
      </c>
      <c r="N9" s="36" t="s">
        <v>2569</v>
      </c>
      <c r="O9" s="36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JULY-SEP B1G2</v>
      </c>
      <c r="B10" s="35">
        <f t="shared" si="0"/>
        <v>46086</v>
      </c>
      <c r="C10" s="35">
        <f t="shared" si="0"/>
        <v>46092</v>
      </c>
      <c r="D10" s="34">
        <v>3281</v>
      </c>
      <c r="E10" s="34">
        <v>337</v>
      </c>
      <c r="F10" s="34">
        <v>4</v>
      </c>
      <c r="G10" s="34">
        <v>1</v>
      </c>
      <c r="H10" s="34">
        <v>81676</v>
      </c>
      <c r="I10" s="34" t="s">
        <v>17</v>
      </c>
      <c r="J10" s="34">
        <v>19754877</v>
      </c>
      <c r="K10" s="34" t="s">
        <v>3580</v>
      </c>
      <c r="L10" s="40" t="s">
        <v>3581</v>
      </c>
      <c r="M10" s="36">
        <v>139900</v>
      </c>
      <c r="N10" s="36" t="s">
        <v>2569</v>
      </c>
      <c r="O10" s="36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JULY-SEP B1G2</v>
      </c>
      <c r="B11" s="35">
        <f t="shared" si="0"/>
        <v>46086</v>
      </c>
      <c r="C11" s="35">
        <f t="shared" si="0"/>
        <v>46092</v>
      </c>
      <c r="D11" s="34">
        <v>3281</v>
      </c>
      <c r="E11" s="34">
        <v>337</v>
      </c>
      <c r="F11" s="34">
        <v>4</v>
      </c>
      <c r="G11" s="34">
        <v>1</v>
      </c>
      <c r="H11" s="34">
        <v>81676</v>
      </c>
      <c r="I11" s="34" t="s">
        <v>17</v>
      </c>
      <c r="J11" s="34">
        <v>19754886</v>
      </c>
      <c r="K11" s="34" t="s">
        <v>3580</v>
      </c>
      <c r="L11" s="40" t="s">
        <v>3582</v>
      </c>
      <c r="M11" s="36">
        <v>139900</v>
      </c>
      <c r="N11" s="36" t="s">
        <v>2569</v>
      </c>
      <c r="O11" s="36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JULY-SEP B1G2</v>
      </c>
      <c r="B12" s="35">
        <f t="shared" si="0"/>
        <v>46086</v>
      </c>
      <c r="C12" s="35">
        <f t="shared" si="0"/>
        <v>46092</v>
      </c>
      <c r="D12" s="34">
        <v>3281</v>
      </c>
      <c r="E12" s="34">
        <v>337</v>
      </c>
      <c r="F12" s="34">
        <v>4</v>
      </c>
      <c r="G12" s="34">
        <v>1</v>
      </c>
      <c r="H12" s="34">
        <v>81676</v>
      </c>
      <c r="I12" s="34" t="s">
        <v>17</v>
      </c>
      <c r="J12" s="34">
        <v>19754895</v>
      </c>
      <c r="K12" s="34" t="s">
        <v>3580</v>
      </c>
      <c r="L12" s="40" t="s">
        <v>3583</v>
      </c>
      <c r="M12" s="36">
        <v>139900</v>
      </c>
      <c r="N12" s="36" t="s">
        <v>2569</v>
      </c>
      <c r="O12" s="36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JULY-SEP B1G2</v>
      </c>
      <c r="B13" s="35">
        <f t="shared" si="0"/>
        <v>46086</v>
      </c>
      <c r="C13" s="35">
        <f t="shared" si="0"/>
        <v>46092</v>
      </c>
      <c r="D13" s="34">
        <v>3281</v>
      </c>
      <c r="E13" s="34">
        <v>337</v>
      </c>
      <c r="F13" s="34">
        <v>4</v>
      </c>
      <c r="G13" s="34">
        <v>1</v>
      </c>
      <c r="H13" s="34">
        <v>81676</v>
      </c>
      <c r="I13" s="34" t="s">
        <v>17</v>
      </c>
      <c r="J13" s="34">
        <v>19754911</v>
      </c>
      <c r="K13" s="34" t="s">
        <v>3580</v>
      </c>
      <c r="L13" s="40" t="s">
        <v>3584</v>
      </c>
      <c r="M13" s="36">
        <v>139900</v>
      </c>
      <c r="N13" s="36" t="s">
        <v>2569</v>
      </c>
      <c r="O13" s="36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JULY-SEP B1G2</v>
      </c>
      <c r="B14" s="35">
        <f t="shared" si="0"/>
        <v>46086</v>
      </c>
      <c r="C14" s="35">
        <f t="shared" si="0"/>
        <v>46092</v>
      </c>
      <c r="D14" s="34">
        <v>3281</v>
      </c>
      <c r="E14" s="34">
        <v>337</v>
      </c>
      <c r="F14" s="34">
        <v>4</v>
      </c>
      <c r="G14" s="34">
        <v>1</v>
      </c>
      <c r="H14" s="34">
        <v>81676</v>
      </c>
      <c r="I14" s="34" t="s">
        <v>17</v>
      </c>
      <c r="J14" s="34">
        <v>20562223</v>
      </c>
      <c r="K14" s="34" t="s">
        <v>3585</v>
      </c>
      <c r="L14" s="40" t="s">
        <v>3586</v>
      </c>
      <c r="M14" s="36">
        <v>129900</v>
      </c>
      <c r="N14" s="36" t="s">
        <v>2569</v>
      </c>
      <c r="O14" s="36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JULY-SEP B1G2</v>
      </c>
      <c r="B15" s="35">
        <f t="shared" si="0"/>
        <v>46086</v>
      </c>
      <c r="C15" s="35">
        <f t="shared" si="0"/>
        <v>46092</v>
      </c>
      <c r="D15" s="34">
        <v>3281</v>
      </c>
      <c r="E15" s="34">
        <v>337</v>
      </c>
      <c r="F15" s="34">
        <v>4</v>
      </c>
      <c r="G15" s="34">
        <v>1</v>
      </c>
      <c r="H15" s="34">
        <v>81676</v>
      </c>
      <c r="I15" s="34" t="s">
        <v>17</v>
      </c>
      <c r="J15" s="34">
        <v>20562232</v>
      </c>
      <c r="K15" s="34" t="s">
        <v>3585</v>
      </c>
      <c r="L15" s="40" t="s">
        <v>3587</v>
      </c>
      <c r="M15" s="36">
        <v>129900</v>
      </c>
      <c r="N15" s="36" t="s">
        <v>2569</v>
      </c>
      <c r="O15" s="36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JULY-SEP B1G2</v>
      </c>
      <c r="B16" s="35">
        <f t="shared" si="0"/>
        <v>46086</v>
      </c>
      <c r="C16" s="35">
        <f t="shared" si="0"/>
        <v>46092</v>
      </c>
      <c r="D16" s="34">
        <v>3281</v>
      </c>
      <c r="E16" s="34">
        <v>337</v>
      </c>
      <c r="F16" s="34">
        <v>4</v>
      </c>
      <c r="G16" s="34">
        <v>1</v>
      </c>
      <c r="H16" s="34">
        <v>81676</v>
      </c>
      <c r="I16" s="34" t="s">
        <v>17</v>
      </c>
      <c r="J16" s="34">
        <v>20562269</v>
      </c>
      <c r="K16" s="34" t="s">
        <v>3585</v>
      </c>
      <c r="L16" s="40" t="s">
        <v>3588</v>
      </c>
      <c r="M16" s="36">
        <v>129900</v>
      </c>
      <c r="N16" s="36" t="s">
        <v>2569</v>
      </c>
      <c r="O16" s="36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JULY-SEP B1G2</v>
      </c>
      <c r="B17" s="35">
        <f t="shared" si="0"/>
        <v>46086</v>
      </c>
      <c r="C17" s="35">
        <f t="shared" si="0"/>
        <v>46092</v>
      </c>
      <c r="D17" s="34">
        <v>3281</v>
      </c>
      <c r="E17" s="34">
        <v>337</v>
      </c>
      <c r="F17" s="34">
        <v>4</v>
      </c>
      <c r="G17" s="34">
        <v>1</v>
      </c>
      <c r="H17" s="34">
        <v>81676</v>
      </c>
      <c r="I17" s="34" t="s">
        <v>17</v>
      </c>
      <c r="J17" s="34">
        <v>20562321</v>
      </c>
      <c r="K17" s="34" t="s">
        <v>3585</v>
      </c>
      <c r="L17" s="40" t="s">
        <v>3589</v>
      </c>
      <c r="M17" s="36">
        <v>129900</v>
      </c>
      <c r="N17" s="36" t="s">
        <v>2569</v>
      </c>
      <c r="O17" s="36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JULY-SEP B1G2</v>
      </c>
      <c r="B18" s="35">
        <f t="shared" si="0"/>
        <v>46086</v>
      </c>
      <c r="C18" s="35">
        <f t="shared" si="0"/>
        <v>46092</v>
      </c>
      <c r="D18" s="34">
        <v>3281</v>
      </c>
      <c r="E18" s="34">
        <v>337</v>
      </c>
      <c r="F18" s="34">
        <v>4</v>
      </c>
      <c r="G18" s="34">
        <v>5</v>
      </c>
      <c r="H18" s="34">
        <v>81421</v>
      </c>
      <c r="I18" s="34" t="s">
        <v>17</v>
      </c>
      <c r="J18" s="34">
        <v>19755072</v>
      </c>
      <c r="K18" s="34" t="s">
        <v>3857</v>
      </c>
      <c r="L18" s="40" t="s">
        <v>3858</v>
      </c>
      <c r="M18" s="36">
        <v>259900</v>
      </c>
      <c r="N18" s="22" t="s">
        <v>2569</v>
      </c>
      <c r="O18" s="36" t="str">
        <f t="shared" si="1"/>
        <v>B1G2</v>
      </c>
      <c r="P18" s="22" t="s">
        <v>2569</v>
      </c>
    </row>
    <row r="19" spans="1:16" x14ac:dyDescent="0.35">
      <c r="A19" s="34" t="str">
        <f t="shared" si="0"/>
        <v>2024 JULY-SEP B1G2</v>
      </c>
      <c r="B19" s="35">
        <f t="shared" si="0"/>
        <v>46086</v>
      </c>
      <c r="C19" s="35">
        <f t="shared" si="0"/>
        <v>46092</v>
      </c>
      <c r="D19" s="34">
        <v>3281</v>
      </c>
      <c r="E19" s="34">
        <v>337</v>
      </c>
      <c r="F19" s="34">
        <v>4</v>
      </c>
      <c r="G19" s="34">
        <v>5</v>
      </c>
      <c r="H19" s="34">
        <v>81421</v>
      </c>
      <c r="I19" s="34" t="s">
        <v>17</v>
      </c>
      <c r="J19" s="34">
        <v>19755081</v>
      </c>
      <c r="K19" s="34" t="s">
        <v>3857</v>
      </c>
      <c r="L19" s="40" t="s">
        <v>3859</v>
      </c>
      <c r="M19" s="36">
        <v>259900</v>
      </c>
      <c r="N19" s="22" t="s">
        <v>2569</v>
      </c>
      <c r="O19" s="36" t="str">
        <f t="shared" si="1"/>
        <v>B1G2</v>
      </c>
      <c r="P19" s="22" t="s">
        <v>2569</v>
      </c>
    </row>
    <row r="20" spans="1:16" x14ac:dyDescent="0.35">
      <c r="A20" s="34" t="str">
        <f t="shared" si="0"/>
        <v>2024 JULY-SEP B1G2</v>
      </c>
      <c r="B20" s="35">
        <f t="shared" si="0"/>
        <v>46086</v>
      </c>
      <c r="C20" s="35">
        <f t="shared" si="0"/>
        <v>46092</v>
      </c>
      <c r="D20" s="34">
        <v>3281</v>
      </c>
      <c r="E20" s="34">
        <v>337</v>
      </c>
      <c r="F20" s="34">
        <v>4</v>
      </c>
      <c r="G20" s="34">
        <v>5</v>
      </c>
      <c r="H20" s="34">
        <v>81421</v>
      </c>
      <c r="I20" s="34" t="s">
        <v>17</v>
      </c>
      <c r="J20" s="34">
        <v>19755090</v>
      </c>
      <c r="K20" s="34" t="s">
        <v>3857</v>
      </c>
      <c r="L20" s="40" t="s">
        <v>3860</v>
      </c>
      <c r="M20" s="36">
        <v>259900</v>
      </c>
      <c r="N20" s="22" t="s">
        <v>2569</v>
      </c>
      <c r="O20" s="36" t="str">
        <f t="shared" si="1"/>
        <v>B1G2</v>
      </c>
      <c r="P20" s="22" t="s">
        <v>2569</v>
      </c>
    </row>
    <row r="21" spans="1:16" x14ac:dyDescent="0.35">
      <c r="A21" s="34" t="str">
        <f t="shared" si="0"/>
        <v>2024 JULY-SEP B1G2</v>
      </c>
      <c r="B21" s="35">
        <f t="shared" si="0"/>
        <v>46086</v>
      </c>
      <c r="C21" s="35">
        <f t="shared" si="0"/>
        <v>46092</v>
      </c>
      <c r="D21" s="34">
        <v>3281</v>
      </c>
      <c r="E21" s="34">
        <v>337</v>
      </c>
      <c r="F21" s="34">
        <v>4</v>
      </c>
      <c r="G21" s="34">
        <v>5</v>
      </c>
      <c r="H21" s="34">
        <v>81421</v>
      </c>
      <c r="I21" s="34" t="s">
        <v>17</v>
      </c>
      <c r="J21" s="34">
        <v>19755107</v>
      </c>
      <c r="K21" s="34" t="s">
        <v>3857</v>
      </c>
      <c r="L21" s="40" t="s">
        <v>3861</v>
      </c>
      <c r="M21" s="36">
        <v>259900</v>
      </c>
      <c r="N21" s="22" t="s">
        <v>2569</v>
      </c>
      <c r="O21" s="36" t="str">
        <f t="shared" si="1"/>
        <v>B1G2</v>
      </c>
      <c r="P21" s="22" t="s">
        <v>2569</v>
      </c>
    </row>
    <row r="22" spans="1:16" x14ac:dyDescent="0.35">
      <c r="A22" s="34" t="str">
        <f t="shared" si="0"/>
        <v>2024 JULY-SEP B1G2</v>
      </c>
      <c r="B22" s="35">
        <f t="shared" si="0"/>
        <v>46086</v>
      </c>
      <c r="C22" s="35">
        <f t="shared" si="0"/>
        <v>46092</v>
      </c>
      <c r="D22" s="34">
        <v>3281</v>
      </c>
      <c r="E22" s="34">
        <v>337</v>
      </c>
      <c r="F22" s="34">
        <v>4</v>
      </c>
      <c r="G22" s="34">
        <v>5</v>
      </c>
      <c r="H22" s="34">
        <v>81421</v>
      </c>
      <c r="I22" s="34" t="s">
        <v>17</v>
      </c>
      <c r="J22" s="34">
        <v>19755036</v>
      </c>
      <c r="K22" s="34" t="s">
        <v>3862</v>
      </c>
      <c r="L22" s="40" t="s">
        <v>3863</v>
      </c>
      <c r="M22" s="36">
        <v>259900</v>
      </c>
      <c r="N22" s="22" t="s">
        <v>2569</v>
      </c>
      <c r="O22" s="36" t="str">
        <f t="shared" si="1"/>
        <v>B1G2</v>
      </c>
      <c r="P22" s="22" t="s">
        <v>2569</v>
      </c>
    </row>
    <row r="23" spans="1:16" x14ac:dyDescent="0.35">
      <c r="A23" s="34" t="str">
        <f t="shared" si="0"/>
        <v>2024 JULY-SEP B1G2</v>
      </c>
      <c r="B23" s="35">
        <f t="shared" si="0"/>
        <v>46086</v>
      </c>
      <c r="C23" s="35">
        <f t="shared" si="0"/>
        <v>46092</v>
      </c>
      <c r="D23" s="34">
        <v>3281</v>
      </c>
      <c r="E23" s="34">
        <v>337</v>
      </c>
      <c r="F23" s="34">
        <v>4</v>
      </c>
      <c r="G23" s="34">
        <v>5</v>
      </c>
      <c r="H23" s="34">
        <v>81421</v>
      </c>
      <c r="I23" s="34" t="s">
        <v>17</v>
      </c>
      <c r="J23" s="34">
        <v>19755045</v>
      </c>
      <c r="K23" s="34" t="s">
        <v>3862</v>
      </c>
      <c r="L23" s="40" t="s">
        <v>3864</v>
      </c>
      <c r="M23" s="36">
        <v>259900</v>
      </c>
      <c r="N23" s="22" t="s">
        <v>2569</v>
      </c>
      <c r="O23" s="36" t="str">
        <f t="shared" si="1"/>
        <v>B1G2</v>
      </c>
      <c r="P23" s="22" t="s">
        <v>2569</v>
      </c>
    </row>
    <row r="24" spans="1:16" x14ac:dyDescent="0.35">
      <c r="A24" s="34" t="str">
        <f t="shared" si="0"/>
        <v>2024 JULY-SEP B1G2</v>
      </c>
      <c r="B24" s="35">
        <f t="shared" si="0"/>
        <v>46086</v>
      </c>
      <c r="C24" s="35">
        <f t="shared" si="0"/>
        <v>46092</v>
      </c>
      <c r="D24" s="34">
        <v>3281</v>
      </c>
      <c r="E24" s="34">
        <v>337</v>
      </c>
      <c r="F24" s="34">
        <v>4</v>
      </c>
      <c r="G24" s="34">
        <v>5</v>
      </c>
      <c r="H24" s="34">
        <v>81421</v>
      </c>
      <c r="I24" s="34" t="s">
        <v>17</v>
      </c>
      <c r="J24" s="34">
        <v>19755054</v>
      </c>
      <c r="K24" s="34" t="s">
        <v>3862</v>
      </c>
      <c r="L24" s="40" t="s">
        <v>3865</v>
      </c>
      <c r="M24" s="36">
        <v>259900</v>
      </c>
      <c r="N24" s="22" t="s">
        <v>2569</v>
      </c>
      <c r="O24" s="36" t="str">
        <f t="shared" si="1"/>
        <v>B1G2</v>
      </c>
      <c r="P24" s="22" t="s">
        <v>2569</v>
      </c>
    </row>
    <row r="25" spans="1:16" x14ac:dyDescent="0.35">
      <c r="A25" s="34" t="str">
        <f t="shared" si="0"/>
        <v>2024 JULY-SEP B1G2</v>
      </c>
      <c r="B25" s="35">
        <f t="shared" si="0"/>
        <v>46086</v>
      </c>
      <c r="C25" s="35">
        <f t="shared" si="0"/>
        <v>46092</v>
      </c>
      <c r="D25" s="34">
        <v>3281</v>
      </c>
      <c r="E25" s="34">
        <v>337</v>
      </c>
      <c r="F25" s="34">
        <v>4</v>
      </c>
      <c r="G25" s="34">
        <v>5</v>
      </c>
      <c r="H25" s="34">
        <v>81421</v>
      </c>
      <c r="I25" s="34" t="s">
        <v>17</v>
      </c>
      <c r="J25" s="34">
        <v>19755063</v>
      </c>
      <c r="K25" s="34" t="s">
        <v>3862</v>
      </c>
      <c r="L25" s="40" t="s">
        <v>3866</v>
      </c>
      <c r="M25" s="36">
        <v>259900</v>
      </c>
      <c r="N25" s="22" t="s">
        <v>2569</v>
      </c>
      <c r="O25" s="36" t="str">
        <f t="shared" si="1"/>
        <v>B1G2</v>
      </c>
      <c r="P25" s="22" t="s">
        <v>2569</v>
      </c>
    </row>
    <row r="26" spans="1:16" x14ac:dyDescent="0.35">
      <c r="A26" s="34" t="str">
        <f t="shared" si="0"/>
        <v>2024 JULY-SEP B1G2</v>
      </c>
      <c r="B26" s="35">
        <f t="shared" si="0"/>
        <v>46086</v>
      </c>
      <c r="C26" s="35">
        <f t="shared" si="0"/>
        <v>46092</v>
      </c>
      <c r="D26" s="34">
        <v>3281</v>
      </c>
      <c r="E26" s="34">
        <v>337</v>
      </c>
      <c r="F26" s="34">
        <v>4</v>
      </c>
      <c r="G26" s="34">
        <v>5</v>
      </c>
      <c r="H26" s="34">
        <v>81506</v>
      </c>
      <c r="I26" s="34" t="s">
        <v>17</v>
      </c>
      <c r="J26" s="34">
        <v>26742723</v>
      </c>
      <c r="K26" s="34" t="s">
        <v>3927</v>
      </c>
      <c r="L26" s="40" t="s">
        <v>3928</v>
      </c>
      <c r="M26" s="36">
        <v>279900</v>
      </c>
      <c r="N26" s="22" t="s">
        <v>2569</v>
      </c>
      <c r="O26" s="36" t="str">
        <f t="shared" si="1"/>
        <v>B1G2</v>
      </c>
      <c r="P26" s="22" t="s">
        <v>2569</v>
      </c>
    </row>
    <row r="27" spans="1:16" x14ac:dyDescent="0.35">
      <c r="A27" s="34" t="str">
        <f t="shared" si="0"/>
        <v>2024 JULY-SEP B1G2</v>
      </c>
      <c r="B27" s="35">
        <f t="shared" si="0"/>
        <v>46086</v>
      </c>
      <c r="C27" s="35">
        <f t="shared" si="0"/>
        <v>46092</v>
      </c>
      <c r="D27" s="34">
        <v>3281</v>
      </c>
      <c r="E27" s="34">
        <v>337</v>
      </c>
      <c r="F27" s="34">
        <v>4</v>
      </c>
      <c r="G27" s="34">
        <v>5</v>
      </c>
      <c r="H27" s="34">
        <v>81506</v>
      </c>
      <c r="I27" s="34" t="s">
        <v>17</v>
      </c>
      <c r="J27" s="34">
        <v>26742732</v>
      </c>
      <c r="K27" s="34" t="s">
        <v>3927</v>
      </c>
      <c r="L27" s="40" t="s">
        <v>3929</v>
      </c>
      <c r="M27" s="36">
        <v>279900</v>
      </c>
      <c r="N27" s="22" t="s">
        <v>2569</v>
      </c>
      <c r="O27" s="36" t="str">
        <f t="shared" si="1"/>
        <v>B1G2</v>
      </c>
      <c r="P27" s="22" t="s">
        <v>2569</v>
      </c>
    </row>
    <row r="28" spans="1:16" x14ac:dyDescent="0.35">
      <c r="A28" s="34" t="str">
        <f t="shared" si="0"/>
        <v>2024 JULY-SEP B1G2</v>
      </c>
      <c r="B28" s="35">
        <f t="shared" si="0"/>
        <v>46086</v>
      </c>
      <c r="C28" s="35">
        <f t="shared" si="0"/>
        <v>46092</v>
      </c>
      <c r="D28" s="34">
        <v>3281</v>
      </c>
      <c r="E28" s="34">
        <v>337</v>
      </c>
      <c r="F28" s="34">
        <v>4</v>
      </c>
      <c r="G28" s="34">
        <v>5</v>
      </c>
      <c r="H28" s="34">
        <v>81506</v>
      </c>
      <c r="I28" s="34" t="s">
        <v>17</v>
      </c>
      <c r="J28" s="34">
        <v>26742741</v>
      </c>
      <c r="K28" s="34" t="s">
        <v>3927</v>
      </c>
      <c r="L28" s="40" t="s">
        <v>3930</v>
      </c>
      <c r="M28" s="36">
        <v>279900</v>
      </c>
      <c r="N28" s="22" t="s">
        <v>2569</v>
      </c>
      <c r="O28" s="36" t="str">
        <f t="shared" si="1"/>
        <v>B1G2</v>
      </c>
      <c r="P28" s="22" t="s">
        <v>2569</v>
      </c>
    </row>
    <row r="29" spans="1:16" x14ac:dyDescent="0.35">
      <c r="A29" s="34" t="str">
        <f t="shared" si="0"/>
        <v>2024 JULY-SEP B1G2</v>
      </c>
      <c r="B29" s="35">
        <f t="shared" si="0"/>
        <v>46086</v>
      </c>
      <c r="C29" s="35">
        <f t="shared" si="0"/>
        <v>46092</v>
      </c>
      <c r="D29" s="34">
        <v>3281</v>
      </c>
      <c r="E29" s="34">
        <v>337</v>
      </c>
      <c r="F29" s="34">
        <v>4</v>
      </c>
      <c r="G29" s="34">
        <v>5</v>
      </c>
      <c r="H29" s="34">
        <v>81506</v>
      </c>
      <c r="I29" s="34" t="s">
        <v>17</v>
      </c>
      <c r="J29" s="34">
        <v>26742750</v>
      </c>
      <c r="K29" s="34" t="s">
        <v>3927</v>
      </c>
      <c r="L29" s="40" t="s">
        <v>3931</v>
      </c>
      <c r="M29" s="36">
        <v>279900</v>
      </c>
      <c r="N29" s="22" t="s">
        <v>2569</v>
      </c>
      <c r="O29" s="36" t="str">
        <f t="shared" si="1"/>
        <v>B1G2</v>
      </c>
      <c r="P29" s="22" t="s">
        <v>2569</v>
      </c>
    </row>
    <row r="30" spans="1:16" x14ac:dyDescent="0.35">
      <c r="A30" s="34" t="str">
        <f t="shared" si="0"/>
        <v>2024 JULY-SEP B1G2</v>
      </c>
      <c r="B30" s="35">
        <f t="shared" si="0"/>
        <v>46086</v>
      </c>
      <c r="C30" s="35">
        <f t="shared" si="0"/>
        <v>46092</v>
      </c>
      <c r="D30" s="34">
        <v>3281</v>
      </c>
      <c r="E30" s="34">
        <v>337</v>
      </c>
      <c r="F30" s="34">
        <v>4</v>
      </c>
      <c r="G30" s="34">
        <v>1</v>
      </c>
      <c r="H30" s="34">
        <v>81146</v>
      </c>
      <c r="I30" s="34" t="s">
        <v>17</v>
      </c>
      <c r="J30" s="34">
        <v>45511777</v>
      </c>
      <c r="K30" s="34" t="s">
        <v>4113</v>
      </c>
      <c r="L30" s="40" t="s">
        <v>4114</v>
      </c>
      <c r="M30" s="36">
        <v>159900</v>
      </c>
      <c r="N30" s="36" t="s">
        <v>2569</v>
      </c>
      <c r="O30" s="34" t="s">
        <v>2586</v>
      </c>
      <c r="P30" s="36" t="s">
        <v>2569</v>
      </c>
    </row>
    <row r="31" spans="1:16" x14ac:dyDescent="0.35">
      <c r="A31" s="34" t="str">
        <f t="shared" ref="A31:C94" si="2">A30</f>
        <v>2024 JULY-SEP B1G2</v>
      </c>
      <c r="B31" s="35">
        <f t="shared" si="2"/>
        <v>46086</v>
      </c>
      <c r="C31" s="35">
        <f t="shared" si="2"/>
        <v>46092</v>
      </c>
      <c r="D31" s="34">
        <v>3281</v>
      </c>
      <c r="E31" s="34">
        <v>337</v>
      </c>
      <c r="F31" s="34">
        <v>4</v>
      </c>
      <c r="G31" s="34">
        <v>1</v>
      </c>
      <c r="H31" s="34">
        <v>81146</v>
      </c>
      <c r="I31" s="34" t="s">
        <v>17</v>
      </c>
      <c r="J31" s="34">
        <v>45511786</v>
      </c>
      <c r="K31" s="34" t="s">
        <v>4113</v>
      </c>
      <c r="L31" s="40" t="s">
        <v>4115</v>
      </c>
      <c r="M31" s="36">
        <v>159900</v>
      </c>
      <c r="N31" s="36" t="s">
        <v>2569</v>
      </c>
      <c r="O31" s="34" t="str">
        <f t="shared" ref="O31:O62" si="3">O30</f>
        <v>B1G2</v>
      </c>
      <c r="P31" s="36" t="s">
        <v>2569</v>
      </c>
    </row>
    <row r="32" spans="1:16" x14ac:dyDescent="0.35">
      <c r="A32" s="34" t="str">
        <f t="shared" si="2"/>
        <v>2024 JULY-SEP B1G2</v>
      </c>
      <c r="B32" s="35">
        <f t="shared" si="2"/>
        <v>46086</v>
      </c>
      <c r="C32" s="35">
        <f t="shared" si="2"/>
        <v>46092</v>
      </c>
      <c r="D32" s="34">
        <v>3281</v>
      </c>
      <c r="E32" s="34">
        <v>337</v>
      </c>
      <c r="F32" s="34">
        <v>4</v>
      </c>
      <c r="G32" s="34">
        <v>1</v>
      </c>
      <c r="H32" s="34">
        <v>81146</v>
      </c>
      <c r="I32" s="34" t="s">
        <v>17</v>
      </c>
      <c r="J32" s="34">
        <v>45511795</v>
      </c>
      <c r="K32" s="34" t="s">
        <v>4113</v>
      </c>
      <c r="L32" s="40" t="s">
        <v>4116</v>
      </c>
      <c r="M32" s="36">
        <v>159900</v>
      </c>
      <c r="N32" s="36" t="s">
        <v>2569</v>
      </c>
      <c r="O32" s="34" t="str">
        <f t="shared" si="3"/>
        <v>B1G2</v>
      </c>
      <c r="P32" s="36" t="s">
        <v>2569</v>
      </c>
    </row>
    <row r="33" spans="1:16" x14ac:dyDescent="0.35">
      <c r="A33" s="34" t="str">
        <f t="shared" si="2"/>
        <v>2024 JULY-SEP B1G2</v>
      </c>
      <c r="B33" s="35">
        <f t="shared" si="2"/>
        <v>46086</v>
      </c>
      <c r="C33" s="35">
        <f t="shared" si="2"/>
        <v>46092</v>
      </c>
      <c r="D33" s="34">
        <v>3281</v>
      </c>
      <c r="E33" s="34">
        <v>337</v>
      </c>
      <c r="F33" s="34">
        <v>4</v>
      </c>
      <c r="G33" s="34">
        <v>1</v>
      </c>
      <c r="H33" s="34">
        <v>81146</v>
      </c>
      <c r="I33" s="34" t="s">
        <v>17</v>
      </c>
      <c r="J33" s="34">
        <v>45511802</v>
      </c>
      <c r="K33" s="34" t="s">
        <v>4113</v>
      </c>
      <c r="L33" s="40" t="s">
        <v>4117</v>
      </c>
      <c r="M33" s="36">
        <v>159900</v>
      </c>
      <c r="N33" s="36" t="s">
        <v>2569</v>
      </c>
      <c r="O33" s="34" t="str">
        <f t="shared" si="3"/>
        <v>B1G2</v>
      </c>
      <c r="P33" s="36" t="s">
        <v>2569</v>
      </c>
    </row>
    <row r="34" spans="1:16" x14ac:dyDescent="0.35">
      <c r="A34" s="34" t="str">
        <f t="shared" si="2"/>
        <v>2024 JULY-SEP B1G2</v>
      </c>
      <c r="B34" s="35">
        <f t="shared" si="2"/>
        <v>46086</v>
      </c>
      <c r="C34" s="35">
        <f t="shared" si="2"/>
        <v>46092</v>
      </c>
      <c r="D34" s="34">
        <v>3281</v>
      </c>
      <c r="E34" s="34">
        <v>337</v>
      </c>
      <c r="F34" s="34">
        <v>4</v>
      </c>
      <c r="G34" s="34">
        <v>3</v>
      </c>
      <c r="H34" s="34">
        <v>81506</v>
      </c>
      <c r="I34" s="34" t="s">
        <v>17</v>
      </c>
      <c r="J34" s="34">
        <v>45223132</v>
      </c>
      <c r="K34" s="34" t="s">
        <v>4118</v>
      </c>
      <c r="L34" s="40" t="s">
        <v>4119</v>
      </c>
      <c r="M34" s="36">
        <v>229900</v>
      </c>
      <c r="N34" s="36" t="s">
        <v>2569</v>
      </c>
      <c r="O34" s="34" t="str">
        <f t="shared" si="3"/>
        <v>B1G2</v>
      </c>
      <c r="P34" s="36" t="s">
        <v>2569</v>
      </c>
    </row>
    <row r="35" spans="1:16" x14ac:dyDescent="0.35">
      <c r="A35" s="34" t="str">
        <f t="shared" si="2"/>
        <v>2024 JULY-SEP B1G2</v>
      </c>
      <c r="B35" s="35">
        <f t="shared" si="2"/>
        <v>46086</v>
      </c>
      <c r="C35" s="35">
        <f t="shared" si="2"/>
        <v>46092</v>
      </c>
      <c r="D35" s="34">
        <v>3281</v>
      </c>
      <c r="E35" s="34">
        <v>337</v>
      </c>
      <c r="F35" s="34">
        <v>4</v>
      </c>
      <c r="G35" s="34">
        <v>3</v>
      </c>
      <c r="H35" s="34">
        <v>81506</v>
      </c>
      <c r="I35" s="34" t="s">
        <v>17</v>
      </c>
      <c r="J35" s="34">
        <v>45223141</v>
      </c>
      <c r="K35" s="34" t="s">
        <v>4118</v>
      </c>
      <c r="L35" s="40" t="s">
        <v>4120</v>
      </c>
      <c r="M35" s="36">
        <v>229900</v>
      </c>
      <c r="N35" s="36" t="s">
        <v>2569</v>
      </c>
      <c r="O35" s="34" t="str">
        <f t="shared" si="3"/>
        <v>B1G2</v>
      </c>
      <c r="P35" s="36" t="s">
        <v>2569</v>
      </c>
    </row>
    <row r="36" spans="1:16" x14ac:dyDescent="0.35">
      <c r="A36" s="34" t="str">
        <f t="shared" si="2"/>
        <v>2024 JULY-SEP B1G2</v>
      </c>
      <c r="B36" s="35">
        <f t="shared" si="2"/>
        <v>46086</v>
      </c>
      <c r="C36" s="35">
        <f t="shared" si="2"/>
        <v>46092</v>
      </c>
      <c r="D36" s="34">
        <v>3281</v>
      </c>
      <c r="E36" s="34">
        <v>337</v>
      </c>
      <c r="F36" s="34">
        <v>4</v>
      </c>
      <c r="G36" s="34">
        <v>3</v>
      </c>
      <c r="H36" s="34">
        <v>81506</v>
      </c>
      <c r="I36" s="34" t="s">
        <v>17</v>
      </c>
      <c r="J36" s="34">
        <v>45223150</v>
      </c>
      <c r="K36" s="34" t="s">
        <v>4118</v>
      </c>
      <c r="L36" s="40" t="s">
        <v>4121</v>
      </c>
      <c r="M36" s="36">
        <v>229900</v>
      </c>
      <c r="N36" s="36" t="s">
        <v>2569</v>
      </c>
      <c r="O36" s="34" t="str">
        <f t="shared" si="3"/>
        <v>B1G2</v>
      </c>
      <c r="P36" s="36" t="s">
        <v>2569</v>
      </c>
    </row>
    <row r="37" spans="1:16" x14ac:dyDescent="0.35">
      <c r="A37" s="34" t="str">
        <f t="shared" si="2"/>
        <v>2024 JULY-SEP B1G2</v>
      </c>
      <c r="B37" s="35">
        <f t="shared" si="2"/>
        <v>46086</v>
      </c>
      <c r="C37" s="35">
        <f t="shared" si="2"/>
        <v>46092</v>
      </c>
      <c r="D37" s="34">
        <v>3281</v>
      </c>
      <c r="E37" s="34">
        <v>337</v>
      </c>
      <c r="F37" s="34">
        <v>4</v>
      </c>
      <c r="G37" s="34">
        <v>3</v>
      </c>
      <c r="H37" s="34">
        <v>81506</v>
      </c>
      <c r="I37" s="34" t="s">
        <v>17</v>
      </c>
      <c r="J37" s="34">
        <v>45223169</v>
      </c>
      <c r="K37" s="34" t="s">
        <v>4118</v>
      </c>
      <c r="L37" s="40" t="s">
        <v>4122</v>
      </c>
      <c r="M37" s="36">
        <v>229900</v>
      </c>
      <c r="N37" s="36" t="s">
        <v>2569</v>
      </c>
      <c r="O37" s="34" t="str">
        <f t="shared" si="3"/>
        <v>B1G2</v>
      </c>
      <c r="P37" s="36" t="s">
        <v>2569</v>
      </c>
    </row>
    <row r="38" spans="1:16" x14ac:dyDescent="0.35">
      <c r="A38" s="34" t="str">
        <f t="shared" si="2"/>
        <v>2024 JULY-SEP B1G2</v>
      </c>
      <c r="B38" s="35">
        <f t="shared" si="2"/>
        <v>46086</v>
      </c>
      <c r="C38" s="35">
        <f t="shared" si="2"/>
        <v>46092</v>
      </c>
      <c r="D38" s="34">
        <v>3281</v>
      </c>
      <c r="E38" s="34">
        <v>337</v>
      </c>
      <c r="F38" s="34">
        <v>4</v>
      </c>
      <c r="G38" s="34">
        <v>5</v>
      </c>
      <c r="H38" s="34">
        <v>81506</v>
      </c>
      <c r="I38" s="34" t="s">
        <v>17</v>
      </c>
      <c r="J38" s="34">
        <v>45223212</v>
      </c>
      <c r="K38" s="34" t="s">
        <v>4123</v>
      </c>
      <c r="L38" s="40" t="s">
        <v>4124</v>
      </c>
      <c r="M38" s="36">
        <v>299900</v>
      </c>
      <c r="N38" s="36" t="s">
        <v>2569</v>
      </c>
      <c r="O38" s="34" t="str">
        <f t="shared" si="3"/>
        <v>B1G2</v>
      </c>
      <c r="P38" s="36" t="s">
        <v>2569</v>
      </c>
    </row>
    <row r="39" spans="1:16" x14ac:dyDescent="0.35">
      <c r="A39" s="34" t="str">
        <f t="shared" si="2"/>
        <v>2024 JULY-SEP B1G2</v>
      </c>
      <c r="B39" s="35">
        <f t="shared" si="2"/>
        <v>46086</v>
      </c>
      <c r="C39" s="35">
        <f t="shared" si="2"/>
        <v>46092</v>
      </c>
      <c r="D39" s="34">
        <v>3281</v>
      </c>
      <c r="E39" s="34">
        <v>337</v>
      </c>
      <c r="F39" s="34">
        <v>4</v>
      </c>
      <c r="G39" s="34">
        <v>5</v>
      </c>
      <c r="H39" s="34">
        <v>81506</v>
      </c>
      <c r="I39" s="34" t="s">
        <v>17</v>
      </c>
      <c r="J39" s="34">
        <v>45223221</v>
      </c>
      <c r="K39" s="34" t="s">
        <v>4123</v>
      </c>
      <c r="L39" s="40" t="s">
        <v>4125</v>
      </c>
      <c r="M39" s="36">
        <v>299900</v>
      </c>
      <c r="N39" s="36" t="s">
        <v>2569</v>
      </c>
      <c r="O39" s="34" t="str">
        <f t="shared" si="3"/>
        <v>B1G2</v>
      </c>
      <c r="P39" s="36" t="s">
        <v>2569</v>
      </c>
    </row>
    <row r="40" spans="1:16" x14ac:dyDescent="0.35">
      <c r="A40" s="34" t="str">
        <f t="shared" si="2"/>
        <v>2024 JULY-SEP B1G2</v>
      </c>
      <c r="B40" s="35">
        <f t="shared" si="2"/>
        <v>46086</v>
      </c>
      <c r="C40" s="35">
        <f t="shared" si="2"/>
        <v>46092</v>
      </c>
      <c r="D40" s="34">
        <v>3281</v>
      </c>
      <c r="E40" s="34">
        <v>337</v>
      </c>
      <c r="F40" s="34">
        <v>4</v>
      </c>
      <c r="G40" s="34">
        <v>5</v>
      </c>
      <c r="H40" s="34">
        <v>81506</v>
      </c>
      <c r="I40" s="34" t="s">
        <v>17</v>
      </c>
      <c r="J40" s="34">
        <v>45223230</v>
      </c>
      <c r="K40" s="34" t="s">
        <v>4123</v>
      </c>
      <c r="L40" s="40" t="s">
        <v>4126</v>
      </c>
      <c r="M40" s="36">
        <v>299900</v>
      </c>
      <c r="N40" s="36" t="s">
        <v>2569</v>
      </c>
      <c r="O40" s="34" t="str">
        <f t="shared" si="3"/>
        <v>B1G2</v>
      </c>
      <c r="P40" s="36" t="s">
        <v>2569</v>
      </c>
    </row>
    <row r="41" spans="1:16" x14ac:dyDescent="0.35">
      <c r="A41" s="34" t="str">
        <f t="shared" si="2"/>
        <v>2024 JULY-SEP B1G2</v>
      </c>
      <c r="B41" s="35">
        <f t="shared" si="2"/>
        <v>46086</v>
      </c>
      <c r="C41" s="35">
        <f t="shared" si="2"/>
        <v>46092</v>
      </c>
      <c r="D41" s="34">
        <v>3281</v>
      </c>
      <c r="E41" s="34">
        <v>337</v>
      </c>
      <c r="F41" s="34">
        <v>4</v>
      </c>
      <c r="G41" s="34">
        <v>5</v>
      </c>
      <c r="H41" s="34">
        <v>81506</v>
      </c>
      <c r="I41" s="34" t="s">
        <v>17</v>
      </c>
      <c r="J41" s="34">
        <v>45223249</v>
      </c>
      <c r="K41" s="34" t="s">
        <v>4123</v>
      </c>
      <c r="L41" s="40" t="s">
        <v>4127</v>
      </c>
      <c r="M41" s="36">
        <v>299900</v>
      </c>
      <c r="N41" s="36" t="s">
        <v>2569</v>
      </c>
      <c r="O41" s="34" t="str">
        <f t="shared" si="3"/>
        <v>B1G2</v>
      </c>
      <c r="P41" s="36" t="s">
        <v>2569</v>
      </c>
    </row>
    <row r="42" spans="1:16" x14ac:dyDescent="0.35">
      <c r="A42" s="34" t="str">
        <f t="shared" si="2"/>
        <v>2024 JULY-SEP B1G2</v>
      </c>
      <c r="B42" s="35">
        <f t="shared" si="2"/>
        <v>46086</v>
      </c>
      <c r="C42" s="35">
        <f t="shared" si="2"/>
        <v>46092</v>
      </c>
      <c r="D42" s="34">
        <v>3281</v>
      </c>
      <c r="E42" s="34">
        <v>337</v>
      </c>
      <c r="F42" s="34">
        <v>4</v>
      </c>
      <c r="G42" s="34">
        <v>4</v>
      </c>
      <c r="H42" s="34">
        <v>81574</v>
      </c>
      <c r="I42" s="34" t="s">
        <v>17</v>
      </c>
      <c r="J42" s="34">
        <v>45223258</v>
      </c>
      <c r="K42" s="34" t="s">
        <v>4128</v>
      </c>
      <c r="L42" s="40" t="s">
        <v>4129</v>
      </c>
      <c r="M42" s="36">
        <v>319900</v>
      </c>
      <c r="N42" s="36" t="s">
        <v>2569</v>
      </c>
      <c r="O42" s="34" t="str">
        <f t="shared" si="3"/>
        <v>B1G2</v>
      </c>
      <c r="P42" s="36" t="s">
        <v>2569</v>
      </c>
    </row>
    <row r="43" spans="1:16" x14ac:dyDescent="0.35">
      <c r="A43" s="34" t="str">
        <f t="shared" si="2"/>
        <v>2024 JULY-SEP B1G2</v>
      </c>
      <c r="B43" s="35">
        <f t="shared" si="2"/>
        <v>46086</v>
      </c>
      <c r="C43" s="35">
        <f t="shared" si="2"/>
        <v>46092</v>
      </c>
      <c r="D43" s="34">
        <v>3281</v>
      </c>
      <c r="E43" s="34">
        <v>337</v>
      </c>
      <c r="F43" s="34">
        <v>4</v>
      </c>
      <c r="G43" s="34">
        <v>4</v>
      </c>
      <c r="H43" s="34">
        <v>81574</v>
      </c>
      <c r="I43" s="34" t="s">
        <v>17</v>
      </c>
      <c r="J43" s="34">
        <v>45223267</v>
      </c>
      <c r="K43" s="34" t="s">
        <v>4128</v>
      </c>
      <c r="L43" s="40" t="s">
        <v>4130</v>
      </c>
      <c r="M43" s="36">
        <v>319900</v>
      </c>
      <c r="N43" s="36" t="s">
        <v>2569</v>
      </c>
      <c r="O43" s="34" t="str">
        <f t="shared" si="3"/>
        <v>B1G2</v>
      </c>
      <c r="P43" s="36" t="s">
        <v>2569</v>
      </c>
    </row>
    <row r="44" spans="1:16" x14ac:dyDescent="0.35">
      <c r="A44" s="34" t="str">
        <f t="shared" si="2"/>
        <v>2024 JULY-SEP B1G2</v>
      </c>
      <c r="B44" s="35">
        <f t="shared" si="2"/>
        <v>46086</v>
      </c>
      <c r="C44" s="35">
        <f t="shared" si="2"/>
        <v>46092</v>
      </c>
      <c r="D44" s="34">
        <v>3281</v>
      </c>
      <c r="E44" s="34">
        <v>337</v>
      </c>
      <c r="F44" s="34">
        <v>4</v>
      </c>
      <c r="G44" s="34">
        <v>4</v>
      </c>
      <c r="H44" s="34">
        <v>81574</v>
      </c>
      <c r="I44" s="34" t="s">
        <v>17</v>
      </c>
      <c r="J44" s="34">
        <v>45223276</v>
      </c>
      <c r="K44" s="34" t="s">
        <v>4128</v>
      </c>
      <c r="L44" s="40" t="s">
        <v>4131</v>
      </c>
      <c r="M44" s="36">
        <v>319900</v>
      </c>
      <c r="N44" s="36" t="s">
        <v>2569</v>
      </c>
      <c r="O44" s="34" t="str">
        <f t="shared" si="3"/>
        <v>B1G2</v>
      </c>
      <c r="P44" s="36" t="s">
        <v>2569</v>
      </c>
    </row>
    <row r="45" spans="1:16" x14ac:dyDescent="0.35">
      <c r="A45" s="34" t="str">
        <f t="shared" si="2"/>
        <v>2024 JULY-SEP B1G2</v>
      </c>
      <c r="B45" s="35">
        <f t="shared" si="2"/>
        <v>46086</v>
      </c>
      <c r="C45" s="35">
        <f t="shared" si="2"/>
        <v>46092</v>
      </c>
      <c r="D45" s="34">
        <v>3281</v>
      </c>
      <c r="E45" s="34">
        <v>337</v>
      </c>
      <c r="F45" s="34">
        <v>4</v>
      </c>
      <c r="G45" s="34">
        <v>4</v>
      </c>
      <c r="H45" s="34">
        <v>81574</v>
      </c>
      <c r="I45" s="34" t="s">
        <v>17</v>
      </c>
      <c r="J45" s="34">
        <v>45223285</v>
      </c>
      <c r="K45" s="34" t="s">
        <v>4128</v>
      </c>
      <c r="L45" s="40" t="s">
        <v>4132</v>
      </c>
      <c r="M45" s="36">
        <v>319900</v>
      </c>
      <c r="N45" s="36" t="s">
        <v>2569</v>
      </c>
      <c r="O45" s="34" t="str">
        <f t="shared" si="3"/>
        <v>B1G2</v>
      </c>
      <c r="P45" s="36" t="s">
        <v>2569</v>
      </c>
    </row>
    <row r="46" spans="1:16" x14ac:dyDescent="0.35">
      <c r="A46" s="34" t="str">
        <f t="shared" si="2"/>
        <v>2024 JULY-SEP B1G2</v>
      </c>
      <c r="B46" s="35">
        <f t="shared" si="2"/>
        <v>46086</v>
      </c>
      <c r="C46" s="35">
        <f t="shared" si="2"/>
        <v>46092</v>
      </c>
      <c r="D46" s="34">
        <v>3281</v>
      </c>
      <c r="E46" s="34">
        <v>337</v>
      </c>
      <c r="F46" s="34">
        <v>4</v>
      </c>
      <c r="G46" s="34">
        <v>5</v>
      </c>
      <c r="H46" s="34">
        <v>81506</v>
      </c>
      <c r="I46" s="34" t="s">
        <v>17</v>
      </c>
      <c r="J46" s="34">
        <v>45223294</v>
      </c>
      <c r="K46" s="34" t="s">
        <v>4133</v>
      </c>
      <c r="L46" s="40" t="s">
        <v>4134</v>
      </c>
      <c r="M46" s="36">
        <v>279900</v>
      </c>
      <c r="N46" s="36" t="s">
        <v>2569</v>
      </c>
      <c r="O46" s="34" t="str">
        <f t="shared" si="3"/>
        <v>B1G2</v>
      </c>
      <c r="P46" s="36" t="s">
        <v>2569</v>
      </c>
    </row>
    <row r="47" spans="1:16" x14ac:dyDescent="0.35">
      <c r="A47" s="34" t="str">
        <f t="shared" si="2"/>
        <v>2024 JULY-SEP B1G2</v>
      </c>
      <c r="B47" s="35">
        <f t="shared" si="2"/>
        <v>46086</v>
      </c>
      <c r="C47" s="35">
        <f t="shared" si="2"/>
        <v>46092</v>
      </c>
      <c r="D47" s="34">
        <v>3281</v>
      </c>
      <c r="E47" s="34">
        <v>337</v>
      </c>
      <c r="F47" s="34">
        <v>4</v>
      </c>
      <c r="G47" s="34">
        <v>5</v>
      </c>
      <c r="H47" s="34">
        <v>81506</v>
      </c>
      <c r="I47" s="34" t="s">
        <v>17</v>
      </c>
      <c r="J47" s="34">
        <v>45223301</v>
      </c>
      <c r="K47" s="34" t="s">
        <v>4133</v>
      </c>
      <c r="L47" s="40" t="s">
        <v>4135</v>
      </c>
      <c r="M47" s="36">
        <v>279900</v>
      </c>
      <c r="N47" s="36" t="s">
        <v>2569</v>
      </c>
      <c r="O47" s="34" t="str">
        <f t="shared" si="3"/>
        <v>B1G2</v>
      </c>
      <c r="P47" s="36" t="s">
        <v>2569</v>
      </c>
    </row>
    <row r="48" spans="1:16" x14ac:dyDescent="0.35">
      <c r="A48" s="34" t="str">
        <f t="shared" si="2"/>
        <v>2024 JULY-SEP B1G2</v>
      </c>
      <c r="B48" s="35">
        <f t="shared" si="2"/>
        <v>46086</v>
      </c>
      <c r="C48" s="35">
        <f t="shared" si="2"/>
        <v>46092</v>
      </c>
      <c r="D48" s="34">
        <v>3281</v>
      </c>
      <c r="E48" s="34">
        <v>337</v>
      </c>
      <c r="F48" s="34">
        <v>4</v>
      </c>
      <c r="G48" s="34">
        <v>5</v>
      </c>
      <c r="H48" s="34">
        <v>81506</v>
      </c>
      <c r="I48" s="34" t="s">
        <v>17</v>
      </c>
      <c r="J48" s="34">
        <v>45223310</v>
      </c>
      <c r="K48" s="34" t="s">
        <v>4133</v>
      </c>
      <c r="L48" s="40" t="s">
        <v>4136</v>
      </c>
      <c r="M48" s="36">
        <v>279900</v>
      </c>
      <c r="N48" s="36" t="s">
        <v>2569</v>
      </c>
      <c r="O48" s="34" t="str">
        <f t="shared" si="3"/>
        <v>B1G2</v>
      </c>
      <c r="P48" s="36" t="s">
        <v>2569</v>
      </c>
    </row>
    <row r="49" spans="1:16" x14ac:dyDescent="0.35">
      <c r="A49" s="34" t="str">
        <f t="shared" si="2"/>
        <v>2024 JULY-SEP B1G2</v>
      </c>
      <c r="B49" s="35">
        <f t="shared" si="2"/>
        <v>46086</v>
      </c>
      <c r="C49" s="35">
        <f t="shared" si="2"/>
        <v>46092</v>
      </c>
      <c r="D49" s="34">
        <v>3281</v>
      </c>
      <c r="E49" s="34">
        <v>337</v>
      </c>
      <c r="F49" s="34">
        <v>4</v>
      </c>
      <c r="G49" s="34">
        <v>5</v>
      </c>
      <c r="H49" s="34">
        <v>81506</v>
      </c>
      <c r="I49" s="34" t="s">
        <v>17</v>
      </c>
      <c r="J49" s="34">
        <v>45223329</v>
      </c>
      <c r="K49" s="34" t="s">
        <v>4133</v>
      </c>
      <c r="L49" s="40" t="s">
        <v>4137</v>
      </c>
      <c r="M49" s="36">
        <v>279900</v>
      </c>
      <c r="N49" s="36" t="s">
        <v>2569</v>
      </c>
      <c r="O49" s="34" t="str">
        <f t="shared" si="3"/>
        <v>B1G2</v>
      </c>
      <c r="P49" s="36" t="s">
        <v>2569</v>
      </c>
    </row>
    <row r="50" spans="1:16" x14ac:dyDescent="0.35">
      <c r="A50" s="34" t="str">
        <f t="shared" si="2"/>
        <v>2024 JULY-SEP B1G2</v>
      </c>
      <c r="B50" s="35">
        <f t="shared" si="2"/>
        <v>46086</v>
      </c>
      <c r="C50" s="35">
        <f t="shared" si="2"/>
        <v>46092</v>
      </c>
      <c r="D50" s="34">
        <v>3281</v>
      </c>
      <c r="E50" s="34">
        <v>337</v>
      </c>
      <c r="F50" s="34">
        <v>4</v>
      </c>
      <c r="G50" s="34">
        <v>5</v>
      </c>
      <c r="H50" s="34">
        <v>81506</v>
      </c>
      <c r="I50" s="34" t="s">
        <v>17</v>
      </c>
      <c r="J50" s="34">
        <v>45223178</v>
      </c>
      <c r="K50" s="34" t="s">
        <v>4138</v>
      </c>
      <c r="L50" s="40" t="s">
        <v>4139</v>
      </c>
      <c r="M50" s="36">
        <v>299900</v>
      </c>
      <c r="N50" s="36" t="s">
        <v>2569</v>
      </c>
      <c r="O50" s="34" t="str">
        <f t="shared" si="3"/>
        <v>B1G2</v>
      </c>
      <c r="P50" s="36" t="s">
        <v>2569</v>
      </c>
    </row>
    <row r="51" spans="1:16" x14ac:dyDescent="0.35">
      <c r="A51" s="34" t="str">
        <f t="shared" si="2"/>
        <v>2024 JULY-SEP B1G2</v>
      </c>
      <c r="B51" s="35">
        <f t="shared" si="2"/>
        <v>46086</v>
      </c>
      <c r="C51" s="35">
        <f t="shared" si="2"/>
        <v>46092</v>
      </c>
      <c r="D51" s="34">
        <v>3281</v>
      </c>
      <c r="E51" s="34">
        <v>337</v>
      </c>
      <c r="F51" s="34">
        <v>4</v>
      </c>
      <c r="G51" s="34">
        <v>5</v>
      </c>
      <c r="H51" s="34">
        <v>81506</v>
      </c>
      <c r="I51" s="34" t="s">
        <v>17</v>
      </c>
      <c r="J51" s="34">
        <v>45223187</v>
      </c>
      <c r="K51" s="34" t="s">
        <v>4138</v>
      </c>
      <c r="L51" s="40" t="s">
        <v>4140</v>
      </c>
      <c r="M51" s="36">
        <v>299900</v>
      </c>
      <c r="N51" s="36" t="s">
        <v>2569</v>
      </c>
      <c r="O51" s="34" t="str">
        <f t="shared" si="3"/>
        <v>B1G2</v>
      </c>
      <c r="P51" s="36" t="s">
        <v>2569</v>
      </c>
    </row>
    <row r="52" spans="1:16" x14ac:dyDescent="0.35">
      <c r="A52" s="34" t="str">
        <f t="shared" si="2"/>
        <v>2024 JULY-SEP B1G2</v>
      </c>
      <c r="B52" s="35">
        <f t="shared" si="2"/>
        <v>46086</v>
      </c>
      <c r="C52" s="35">
        <f t="shared" si="2"/>
        <v>46092</v>
      </c>
      <c r="D52" s="34">
        <v>3281</v>
      </c>
      <c r="E52" s="34">
        <v>337</v>
      </c>
      <c r="F52" s="34">
        <v>4</v>
      </c>
      <c r="G52" s="34">
        <v>5</v>
      </c>
      <c r="H52" s="34">
        <v>81506</v>
      </c>
      <c r="I52" s="34" t="s">
        <v>17</v>
      </c>
      <c r="J52" s="34">
        <v>45223196</v>
      </c>
      <c r="K52" s="34" t="s">
        <v>4138</v>
      </c>
      <c r="L52" s="40" t="s">
        <v>4141</v>
      </c>
      <c r="M52" s="36">
        <v>299900</v>
      </c>
      <c r="N52" s="36" t="s">
        <v>2569</v>
      </c>
      <c r="O52" s="34" t="str">
        <f t="shared" si="3"/>
        <v>B1G2</v>
      </c>
      <c r="P52" s="36" t="s">
        <v>2569</v>
      </c>
    </row>
    <row r="53" spans="1:16" x14ac:dyDescent="0.35">
      <c r="A53" s="34" t="str">
        <f t="shared" si="2"/>
        <v>2024 JULY-SEP B1G2</v>
      </c>
      <c r="B53" s="35">
        <f t="shared" si="2"/>
        <v>46086</v>
      </c>
      <c r="C53" s="35">
        <f t="shared" si="2"/>
        <v>46092</v>
      </c>
      <c r="D53" s="34">
        <v>3281</v>
      </c>
      <c r="E53" s="34">
        <v>337</v>
      </c>
      <c r="F53" s="34">
        <v>4</v>
      </c>
      <c r="G53" s="34">
        <v>5</v>
      </c>
      <c r="H53" s="34">
        <v>81506</v>
      </c>
      <c r="I53" s="34" t="s">
        <v>17</v>
      </c>
      <c r="J53" s="34">
        <v>45223203</v>
      </c>
      <c r="K53" s="34" t="s">
        <v>4138</v>
      </c>
      <c r="L53" s="40" t="s">
        <v>4142</v>
      </c>
      <c r="M53" s="36">
        <v>299900</v>
      </c>
      <c r="N53" s="36" t="s">
        <v>2569</v>
      </c>
      <c r="O53" s="34" t="str">
        <f t="shared" si="3"/>
        <v>B1G2</v>
      </c>
      <c r="P53" s="36" t="s">
        <v>2569</v>
      </c>
    </row>
    <row r="54" spans="1:16" x14ac:dyDescent="0.35">
      <c r="A54" s="34" t="str">
        <f t="shared" si="2"/>
        <v>2024 JULY-SEP B1G2</v>
      </c>
      <c r="B54" s="35">
        <f t="shared" si="2"/>
        <v>46086</v>
      </c>
      <c r="C54" s="35">
        <f t="shared" si="2"/>
        <v>46092</v>
      </c>
      <c r="D54" s="34">
        <v>3281</v>
      </c>
      <c r="E54" s="34">
        <v>337</v>
      </c>
      <c r="F54" s="34">
        <v>4</v>
      </c>
      <c r="G54" s="34">
        <v>5</v>
      </c>
      <c r="H54" s="34">
        <v>81506</v>
      </c>
      <c r="I54" s="34" t="s">
        <v>17</v>
      </c>
      <c r="J54" s="34">
        <v>45223338</v>
      </c>
      <c r="K54" s="34" t="s">
        <v>4143</v>
      </c>
      <c r="L54" s="40" t="s">
        <v>4144</v>
      </c>
      <c r="M54" s="36">
        <v>299900</v>
      </c>
      <c r="N54" s="36" t="s">
        <v>2569</v>
      </c>
      <c r="O54" s="34" t="str">
        <f t="shared" si="3"/>
        <v>B1G2</v>
      </c>
      <c r="P54" s="36" t="s">
        <v>2569</v>
      </c>
    </row>
    <row r="55" spans="1:16" x14ac:dyDescent="0.35">
      <c r="A55" s="34" t="str">
        <f t="shared" si="2"/>
        <v>2024 JULY-SEP B1G2</v>
      </c>
      <c r="B55" s="35">
        <f t="shared" si="2"/>
        <v>46086</v>
      </c>
      <c r="C55" s="35">
        <f t="shared" si="2"/>
        <v>46092</v>
      </c>
      <c r="D55" s="34">
        <v>3281</v>
      </c>
      <c r="E55" s="34">
        <v>337</v>
      </c>
      <c r="F55" s="34">
        <v>4</v>
      </c>
      <c r="G55" s="34">
        <v>5</v>
      </c>
      <c r="H55" s="34">
        <v>81506</v>
      </c>
      <c r="I55" s="34" t="s">
        <v>17</v>
      </c>
      <c r="J55" s="34">
        <v>45223347</v>
      </c>
      <c r="K55" s="34" t="s">
        <v>4143</v>
      </c>
      <c r="L55" s="40" t="s">
        <v>4145</v>
      </c>
      <c r="M55" s="36">
        <v>299900</v>
      </c>
      <c r="N55" s="36" t="s">
        <v>2569</v>
      </c>
      <c r="O55" s="34" t="str">
        <f t="shared" si="3"/>
        <v>B1G2</v>
      </c>
      <c r="P55" s="36" t="s">
        <v>2569</v>
      </c>
    </row>
    <row r="56" spans="1:16" x14ac:dyDescent="0.35">
      <c r="A56" s="34" t="str">
        <f t="shared" si="2"/>
        <v>2024 JULY-SEP B1G2</v>
      </c>
      <c r="B56" s="35">
        <f t="shared" si="2"/>
        <v>46086</v>
      </c>
      <c r="C56" s="35">
        <f t="shared" si="2"/>
        <v>46092</v>
      </c>
      <c r="D56" s="34">
        <v>3281</v>
      </c>
      <c r="E56" s="34">
        <v>337</v>
      </c>
      <c r="F56" s="34">
        <v>4</v>
      </c>
      <c r="G56" s="34">
        <v>5</v>
      </c>
      <c r="H56" s="34">
        <v>81506</v>
      </c>
      <c r="I56" s="34" t="s">
        <v>17</v>
      </c>
      <c r="J56" s="34">
        <v>45223356</v>
      </c>
      <c r="K56" s="34" t="s">
        <v>4143</v>
      </c>
      <c r="L56" s="40" t="s">
        <v>4146</v>
      </c>
      <c r="M56" s="36">
        <v>299900</v>
      </c>
      <c r="N56" s="36" t="s">
        <v>2569</v>
      </c>
      <c r="O56" s="34" t="str">
        <f t="shared" si="3"/>
        <v>B1G2</v>
      </c>
      <c r="P56" s="36" t="s">
        <v>2569</v>
      </c>
    </row>
    <row r="57" spans="1:16" x14ac:dyDescent="0.35">
      <c r="A57" s="34" t="str">
        <f t="shared" si="2"/>
        <v>2024 JULY-SEP B1G2</v>
      </c>
      <c r="B57" s="35">
        <f t="shared" si="2"/>
        <v>46086</v>
      </c>
      <c r="C57" s="35">
        <f t="shared" si="2"/>
        <v>46092</v>
      </c>
      <c r="D57" s="34">
        <v>3281</v>
      </c>
      <c r="E57" s="34">
        <v>337</v>
      </c>
      <c r="F57" s="34">
        <v>4</v>
      </c>
      <c r="G57" s="34">
        <v>5</v>
      </c>
      <c r="H57" s="34">
        <v>81506</v>
      </c>
      <c r="I57" s="34" t="s">
        <v>17</v>
      </c>
      <c r="J57" s="34">
        <v>45223365</v>
      </c>
      <c r="K57" s="34" t="s">
        <v>4143</v>
      </c>
      <c r="L57" s="40" t="s">
        <v>4147</v>
      </c>
      <c r="M57" s="36">
        <v>299900</v>
      </c>
      <c r="N57" s="36" t="s">
        <v>2569</v>
      </c>
      <c r="O57" s="34" t="str">
        <f t="shared" si="3"/>
        <v>B1G2</v>
      </c>
      <c r="P57" s="36" t="s">
        <v>2569</v>
      </c>
    </row>
    <row r="58" spans="1:16" x14ac:dyDescent="0.35">
      <c r="A58" s="34" t="str">
        <f t="shared" si="2"/>
        <v>2024 JULY-SEP B1G2</v>
      </c>
      <c r="B58" s="35">
        <f t="shared" si="2"/>
        <v>46086</v>
      </c>
      <c r="C58" s="35">
        <f t="shared" si="2"/>
        <v>46092</v>
      </c>
      <c r="D58" s="34">
        <v>3281</v>
      </c>
      <c r="E58" s="34">
        <v>337</v>
      </c>
      <c r="F58" s="34">
        <v>4</v>
      </c>
      <c r="G58" s="34">
        <v>5</v>
      </c>
      <c r="H58" s="34">
        <v>81506</v>
      </c>
      <c r="I58" s="34" t="s">
        <v>17</v>
      </c>
      <c r="J58" s="34">
        <v>45228557</v>
      </c>
      <c r="K58" s="34" t="s">
        <v>4148</v>
      </c>
      <c r="L58" s="40" t="s">
        <v>4149</v>
      </c>
      <c r="M58" s="36">
        <v>259900</v>
      </c>
      <c r="N58" s="36" t="s">
        <v>2569</v>
      </c>
      <c r="O58" s="34" t="str">
        <f t="shared" si="3"/>
        <v>B1G2</v>
      </c>
      <c r="P58" s="36" t="s">
        <v>2569</v>
      </c>
    </row>
    <row r="59" spans="1:16" x14ac:dyDescent="0.35">
      <c r="A59" s="34" t="str">
        <f t="shared" si="2"/>
        <v>2024 JULY-SEP B1G2</v>
      </c>
      <c r="B59" s="35">
        <f t="shared" si="2"/>
        <v>46086</v>
      </c>
      <c r="C59" s="35">
        <f t="shared" si="2"/>
        <v>46092</v>
      </c>
      <c r="D59" s="34">
        <v>3281</v>
      </c>
      <c r="E59" s="34">
        <v>337</v>
      </c>
      <c r="F59" s="34">
        <v>4</v>
      </c>
      <c r="G59" s="34">
        <v>5</v>
      </c>
      <c r="H59" s="34">
        <v>81506</v>
      </c>
      <c r="I59" s="34" t="s">
        <v>17</v>
      </c>
      <c r="J59" s="34">
        <v>45228566</v>
      </c>
      <c r="K59" s="34" t="s">
        <v>4148</v>
      </c>
      <c r="L59" s="40" t="s">
        <v>4150</v>
      </c>
      <c r="M59" s="36">
        <v>259900</v>
      </c>
      <c r="N59" s="36" t="s">
        <v>2569</v>
      </c>
      <c r="O59" s="34" t="str">
        <f t="shared" si="3"/>
        <v>B1G2</v>
      </c>
      <c r="P59" s="36" t="s">
        <v>2569</v>
      </c>
    </row>
    <row r="60" spans="1:16" x14ac:dyDescent="0.35">
      <c r="A60" s="34" t="str">
        <f t="shared" si="2"/>
        <v>2024 JULY-SEP B1G2</v>
      </c>
      <c r="B60" s="35">
        <f t="shared" si="2"/>
        <v>46086</v>
      </c>
      <c r="C60" s="35">
        <f t="shared" si="2"/>
        <v>46092</v>
      </c>
      <c r="D60" s="34">
        <v>3281</v>
      </c>
      <c r="E60" s="34">
        <v>337</v>
      </c>
      <c r="F60" s="34">
        <v>4</v>
      </c>
      <c r="G60" s="34">
        <v>5</v>
      </c>
      <c r="H60" s="34">
        <v>81506</v>
      </c>
      <c r="I60" s="34" t="s">
        <v>17</v>
      </c>
      <c r="J60" s="34">
        <v>45228575</v>
      </c>
      <c r="K60" s="34" t="s">
        <v>4148</v>
      </c>
      <c r="L60" s="40" t="s">
        <v>4151</v>
      </c>
      <c r="M60" s="36">
        <v>259900</v>
      </c>
      <c r="N60" s="36" t="s">
        <v>2569</v>
      </c>
      <c r="O60" s="34" t="str">
        <f t="shared" si="3"/>
        <v>B1G2</v>
      </c>
      <c r="P60" s="36" t="s">
        <v>2569</v>
      </c>
    </row>
    <row r="61" spans="1:16" x14ac:dyDescent="0.35">
      <c r="A61" s="34" t="str">
        <f t="shared" si="2"/>
        <v>2024 JULY-SEP B1G2</v>
      </c>
      <c r="B61" s="35">
        <f t="shared" si="2"/>
        <v>46086</v>
      </c>
      <c r="C61" s="35">
        <f t="shared" si="2"/>
        <v>46092</v>
      </c>
      <c r="D61" s="34">
        <v>3281</v>
      </c>
      <c r="E61" s="34">
        <v>337</v>
      </c>
      <c r="F61" s="34">
        <v>4</v>
      </c>
      <c r="G61" s="34">
        <v>5</v>
      </c>
      <c r="H61" s="34">
        <v>81506</v>
      </c>
      <c r="I61" s="34" t="s">
        <v>17</v>
      </c>
      <c r="J61" s="34">
        <v>45228584</v>
      </c>
      <c r="K61" s="34" t="s">
        <v>4148</v>
      </c>
      <c r="L61" s="40" t="s">
        <v>4152</v>
      </c>
      <c r="M61" s="36">
        <v>259900</v>
      </c>
      <c r="N61" s="36" t="s">
        <v>2569</v>
      </c>
      <c r="O61" s="34" t="str">
        <f t="shared" si="3"/>
        <v>B1G2</v>
      </c>
      <c r="P61" s="36" t="s">
        <v>2569</v>
      </c>
    </row>
    <row r="62" spans="1:16" x14ac:dyDescent="0.35">
      <c r="A62" s="34" t="str">
        <f t="shared" si="2"/>
        <v>2024 JULY-SEP B1G2</v>
      </c>
      <c r="B62" s="35">
        <f t="shared" si="2"/>
        <v>46086</v>
      </c>
      <c r="C62" s="35">
        <f t="shared" si="2"/>
        <v>46092</v>
      </c>
      <c r="D62" s="34">
        <v>3281</v>
      </c>
      <c r="E62" s="34">
        <v>337</v>
      </c>
      <c r="F62" s="34">
        <v>4</v>
      </c>
      <c r="G62" s="34">
        <v>5</v>
      </c>
      <c r="H62" s="34">
        <v>81146</v>
      </c>
      <c r="I62" s="34" t="s">
        <v>17</v>
      </c>
      <c r="J62" s="34">
        <v>45223374</v>
      </c>
      <c r="K62" s="34" t="s">
        <v>4286</v>
      </c>
      <c r="L62" s="40" t="s">
        <v>4287</v>
      </c>
      <c r="M62" s="36">
        <v>299900</v>
      </c>
      <c r="N62" s="36" t="s">
        <v>2569</v>
      </c>
      <c r="O62" s="34" t="str">
        <f t="shared" si="3"/>
        <v>B1G2</v>
      </c>
      <c r="P62" s="36" t="s">
        <v>2569</v>
      </c>
    </row>
    <row r="63" spans="1:16" x14ac:dyDescent="0.35">
      <c r="A63" s="34" t="str">
        <f t="shared" si="2"/>
        <v>2024 JULY-SEP B1G2</v>
      </c>
      <c r="B63" s="35">
        <f t="shared" si="2"/>
        <v>46086</v>
      </c>
      <c r="C63" s="35">
        <f t="shared" si="2"/>
        <v>46092</v>
      </c>
      <c r="D63" s="34">
        <v>3281</v>
      </c>
      <c r="E63" s="34">
        <v>337</v>
      </c>
      <c r="F63" s="34">
        <v>4</v>
      </c>
      <c r="G63" s="34">
        <v>5</v>
      </c>
      <c r="H63" s="34">
        <v>81146</v>
      </c>
      <c r="I63" s="34" t="s">
        <v>17</v>
      </c>
      <c r="J63" s="34">
        <v>45223383</v>
      </c>
      <c r="K63" s="34" t="s">
        <v>4286</v>
      </c>
      <c r="L63" s="40" t="s">
        <v>4288</v>
      </c>
      <c r="M63" s="36">
        <v>299900</v>
      </c>
      <c r="N63" s="36" t="s">
        <v>2569</v>
      </c>
      <c r="O63" s="34" t="str">
        <f t="shared" ref="O63:O94" si="4">O62</f>
        <v>B1G2</v>
      </c>
      <c r="P63" s="36" t="s">
        <v>2569</v>
      </c>
    </row>
    <row r="64" spans="1:16" x14ac:dyDescent="0.35">
      <c r="A64" s="34" t="str">
        <f t="shared" si="2"/>
        <v>2024 JULY-SEP B1G2</v>
      </c>
      <c r="B64" s="35">
        <f t="shared" si="2"/>
        <v>46086</v>
      </c>
      <c r="C64" s="35">
        <f t="shared" si="2"/>
        <v>46092</v>
      </c>
      <c r="D64" s="34">
        <v>3281</v>
      </c>
      <c r="E64" s="34">
        <v>337</v>
      </c>
      <c r="F64" s="34">
        <v>4</v>
      </c>
      <c r="G64" s="34">
        <v>5</v>
      </c>
      <c r="H64" s="34">
        <v>81146</v>
      </c>
      <c r="I64" s="34" t="s">
        <v>17</v>
      </c>
      <c r="J64" s="34">
        <v>45223392</v>
      </c>
      <c r="K64" s="34" t="s">
        <v>4286</v>
      </c>
      <c r="L64" s="40" t="s">
        <v>4289</v>
      </c>
      <c r="M64" s="36">
        <v>299900</v>
      </c>
      <c r="N64" s="36" t="s">
        <v>2569</v>
      </c>
      <c r="O64" s="34" t="str">
        <f t="shared" si="4"/>
        <v>B1G2</v>
      </c>
      <c r="P64" s="36" t="s">
        <v>2569</v>
      </c>
    </row>
    <row r="65" spans="1:16" x14ac:dyDescent="0.35">
      <c r="A65" s="34" t="str">
        <f t="shared" si="2"/>
        <v>2024 JULY-SEP B1G2</v>
      </c>
      <c r="B65" s="35">
        <f t="shared" si="2"/>
        <v>46086</v>
      </c>
      <c r="C65" s="35">
        <f t="shared" si="2"/>
        <v>46092</v>
      </c>
      <c r="D65" s="34">
        <v>3281</v>
      </c>
      <c r="E65" s="34">
        <v>337</v>
      </c>
      <c r="F65" s="34">
        <v>4</v>
      </c>
      <c r="G65" s="34">
        <v>5</v>
      </c>
      <c r="H65" s="34">
        <v>81146</v>
      </c>
      <c r="I65" s="34" t="s">
        <v>17</v>
      </c>
      <c r="J65" s="34">
        <v>45223409</v>
      </c>
      <c r="K65" s="34" t="s">
        <v>4286</v>
      </c>
      <c r="L65" s="40" t="s">
        <v>4290</v>
      </c>
      <c r="M65" s="36">
        <v>299900</v>
      </c>
      <c r="N65" s="36" t="s">
        <v>2569</v>
      </c>
      <c r="O65" s="34" t="str">
        <f t="shared" si="4"/>
        <v>B1G2</v>
      </c>
      <c r="P65" s="36" t="s">
        <v>2569</v>
      </c>
    </row>
    <row r="66" spans="1:16" x14ac:dyDescent="0.35">
      <c r="A66" s="34" t="str">
        <f t="shared" si="2"/>
        <v>2024 JULY-SEP B1G2</v>
      </c>
      <c r="B66" s="35">
        <f t="shared" si="2"/>
        <v>46086</v>
      </c>
      <c r="C66" s="35">
        <f t="shared" si="2"/>
        <v>46092</v>
      </c>
      <c r="D66" s="34">
        <v>3281</v>
      </c>
      <c r="E66" s="34">
        <v>337</v>
      </c>
      <c r="F66" s="34">
        <v>4</v>
      </c>
      <c r="G66" s="34">
        <v>1</v>
      </c>
      <c r="H66" s="34">
        <v>81421</v>
      </c>
      <c r="I66" s="34" t="s">
        <v>17</v>
      </c>
      <c r="J66" s="34">
        <v>45223043</v>
      </c>
      <c r="K66" s="34" t="s">
        <v>4291</v>
      </c>
      <c r="L66" s="40" t="s">
        <v>4293</v>
      </c>
      <c r="M66" s="36">
        <v>169900</v>
      </c>
      <c r="N66" s="36" t="s">
        <v>2569</v>
      </c>
      <c r="O66" s="34" t="str">
        <f t="shared" si="4"/>
        <v>B1G2</v>
      </c>
      <c r="P66" s="36" t="s">
        <v>2569</v>
      </c>
    </row>
    <row r="67" spans="1:16" x14ac:dyDescent="0.35">
      <c r="A67" s="34" t="str">
        <f t="shared" si="2"/>
        <v>2024 JULY-SEP B1G2</v>
      </c>
      <c r="B67" s="35">
        <f t="shared" si="2"/>
        <v>46086</v>
      </c>
      <c r="C67" s="35">
        <f t="shared" si="2"/>
        <v>46092</v>
      </c>
      <c r="D67" s="34">
        <v>3281</v>
      </c>
      <c r="E67" s="34">
        <v>337</v>
      </c>
      <c r="F67" s="34">
        <v>4</v>
      </c>
      <c r="G67" s="34">
        <v>1</v>
      </c>
      <c r="H67" s="34">
        <v>81421</v>
      </c>
      <c r="I67" s="34" t="s">
        <v>17</v>
      </c>
      <c r="J67" s="34">
        <v>45223016</v>
      </c>
      <c r="K67" s="34" t="s">
        <v>4291</v>
      </c>
      <c r="L67" s="40" t="s">
        <v>4294</v>
      </c>
      <c r="M67" s="36">
        <v>169900</v>
      </c>
      <c r="N67" s="36" t="s">
        <v>2569</v>
      </c>
      <c r="O67" s="34" t="str">
        <f t="shared" si="4"/>
        <v>B1G2</v>
      </c>
      <c r="P67" s="36" t="s">
        <v>2569</v>
      </c>
    </row>
    <row r="68" spans="1:16" x14ac:dyDescent="0.35">
      <c r="A68" s="34" t="str">
        <f t="shared" si="2"/>
        <v>2024 JULY-SEP B1G2</v>
      </c>
      <c r="B68" s="35">
        <f t="shared" si="2"/>
        <v>46086</v>
      </c>
      <c r="C68" s="35">
        <f t="shared" si="2"/>
        <v>46092</v>
      </c>
      <c r="D68" s="34">
        <v>3281</v>
      </c>
      <c r="E68" s="34">
        <v>337</v>
      </c>
      <c r="F68" s="34">
        <v>4</v>
      </c>
      <c r="G68" s="34">
        <v>1</v>
      </c>
      <c r="H68" s="34">
        <v>81421</v>
      </c>
      <c r="I68" s="34" t="s">
        <v>17</v>
      </c>
      <c r="J68" s="34">
        <v>45223025</v>
      </c>
      <c r="K68" s="34" t="s">
        <v>4291</v>
      </c>
      <c r="L68" s="40" t="s">
        <v>4295</v>
      </c>
      <c r="M68" s="36">
        <v>169900</v>
      </c>
      <c r="N68" s="36" t="s">
        <v>2569</v>
      </c>
      <c r="O68" s="34" t="str">
        <f t="shared" si="4"/>
        <v>B1G2</v>
      </c>
      <c r="P68" s="36" t="s">
        <v>2569</v>
      </c>
    </row>
    <row r="69" spans="1:16" x14ac:dyDescent="0.35">
      <c r="A69" s="34" t="str">
        <f t="shared" si="2"/>
        <v>2024 JULY-SEP B1G2</v>
      </c>
      <c r="B69" s="35">
        <f t="shared" si="2"/>
        <v>46086</v>
      </c>
      <c r="C69" s="35">
        <f t="shared" si="2"/>
        <v>46092</v>
      </c>
      <c r="D69" s="34">
        <v>3281</v>
      </c>
      <c r="E69" s="34">
        <v>337</v>
      </c>
      <c r="F69" s="34">
        <v>4</v>
      </c>
      <c r="G69" s="34">
        <v>1</v>
      </c>
      <c r="H69" s="34">
        <v>81421</v>
      </c>
      <c r="I69" s="34" t="s">
        <v>17</v>
      </c>
      <c r="J69" s="34">
        <v>45223052</v>
      </c>
      <c r="K69" s="34" t="s">
        <v>4296</v>
      </c>
      <c r="L69" s="40" t="s">
        <v>4297</v>
      </c>
      <c r="M69" s="36">
        <v>169900</v>
      </c>
      <c r="N69" s="36" t="s">
        <v>2569</v>
      </c>
      <c r="O69" s="34" t="str">
        <f t="shared" si="4"/>
        <v>B1G2</v>
      </c>
      <c r="P69" s="36" t="s">
        <v>2569</v>
      </c>
    </row>
    <row r="70" spans="1:16" x14ac:dyDescent="0.35">
      <c r="A70" s="34" t="str">
        <f t="shared" si="2"/>
        <v>2024 JULY-SEP B1G2</v>
      </c>
      <c r="B70" s="35">
        <f t="shared" si="2"/>
        <v>46086</v>
      </c>
      <c r="C70" s="35">
        <f t="shared" si="2"/>
        <v>46092</v>
      </c>
      <c r="D70" s="34">
        <v>3281</v>
      </c>
      <c r="E70" s="34">
        <v>337</v>
      </c>
      <c r="F70" s="34">
        <v>4</v>
      </c>
      <c r="G70" s="34">
        <v>1</v>
      </c>
      <c r="H70" s="34">
        <v>81421</v>
      </c>
      <c r="I70" s="34" t="s">
        <v>17</v>
      </c>
      <c r="J70" s="34">
        <v>45223061</v>
      </c>
      <c r="K70" s="34" t="s">
        <v>4296</v>
      </c>
      <c r="L70" s="40" t="s">
        <v>4298</v>
      </c>
      <c r="M70" s="36">
        <v>169900</v>
      </c>
      <c r="N70" s="36" t="s">
        <v>2569</v>
      </c>
      <c r="O70" s="34" t="str">
        <f t="shared" si="4"/>
        <v>B1G2</v>
      </c>
      <c r="P70" s="36" t="s">
        <v>2569</v>
      </c>
    </row>
    <row r="71" spans="1:16" x14ac:dyDescent="0.35">
      <c r="A71" s="34" t="str">
        <f t="shared" si="2"/>
        <v>2024 JULY-SEP B1G2</v>
      </c>
      <c r="B71" s="35">
        <f t="shared" si="2"/>
        <v>46086</v>
      </c>
      <c r="C71" s="35">
        <f t="shared" si="2"/>
        <v>46092</v>
      </c>
      <c r="D71" s="34">
        <v>3281</v>
      </c>
      <c r="E71" s="34">
        <v>337</v>
      </c>
      <c r="F71" s="34">
        <v>4</v>
      </c>
      <c r="G71" s="34">
        <v>1</v>
      </c>
      <c r="H71" s="34">
        <v>81421</v>
      </c>
      <c r="I71" s="34" t="s">
        <v>17</v>
      </c>
      <c r="J71" s="34">
        <v>45223070</v>
      </c>
      <c r="K71" s="34" t="s">
        <v>4296</v>
      </c>
      <c r="L71" s="40" t="s">
        <v>4299</v>
      </c>
      <c r="M71" s="36">
        <v>169900</v>
      </c>
      <c r="N71" s="36" t="s">
        <v>2569</v>
      </c>
      <c r="O71" s="34" t="str">
        <f t="shared" si="4"/>
        <v>B1G2</v>
      </c>
      <c r="P71" s="36" t="s">
        <v>2569</v>
      </c>
    </row>
    <row r="72" spans="1:16" x14ac:dyDescent="0.35">
      <c r="A72" s="34" t="str">
        <f t="shared" si="2"/>
        <v>2024 JULY-SEP B1G2</v>
      </c>
      <c r="B72" s="35">
        <f t="shared" si="2"/>
        <v>46086</v>
      </c>
      <c r="C72" s="35">
        <f t="shared" si="2"/>
        <v>46092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45223418</v>
      </c>
      <c r="K72" s="34" t="s">
        <v>4301</v>
      </c>
      <c r="L72" s="40" t="s">
        <v>4302</v>
      </c>
      <c r="M72" s="36">
        <v>299900</v>
      </c>
      <c r="N72" s="36" t="s">
        <v>2569</v>
      </c>
      <c r="O72" s="34" t="str">
        <f t="shared" si="4"/>
        <v>B1G2</v>
      </c>
      <c r="P72" s="36" t="s">
        <v>2569</v>
      </c>
    </row>
    <row r="73" spans="1:16" x14ac:dyDescent="0.35">
      <c r="A73" s="34" t="str">
        <f t="shared" si="2"/>
        <v>2024 JULY-SEP B1G2</v>
      </c>
      <c r="B73" s="35">
        <f t="shared" si="2"/>
        <v>46086</v>
      </c>
      <c r="C73" s="35">
        <f t="shared" si="2"/>
        <v>46092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45223427</v>
      </c>
      <c r="K73" s="34" t="s">
        <v>4301</v>
      </c>
      <c r="L73" s="40" t="s">
        <v>4303</v>
      </c>
      <c r="M73" s="36">
        <v>299900</v>
      </c>
      <c r="N73" s="36" t="s">
        <v>2569</v>
      </c>
      <c r="O73" s="34" t="str">
        <f t="shared" si="4"/>
        <v>B1G2</v>
      </c>
      <c r="P73" s="36" t="s">
        <v>2569</v>
      </c>
    </row>
    <row r="74" spans="1:16" x14ac:dyDescent="0.35">
      <c r="A74" s="34" t="str">
        <f t="shared" si="2"/>
        <v>2024 JULY-SEP B1G2</v>
      </c>
      <c r="B74" s="35">
        <f t="shared" si="2"/>
        <v>46086</v>
      </c>
      <c r="C74" s="35">
        <f t="shared" si="2"/>
        <v>46092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45223436</v>
      </c>
      <c r="K74" s="34" t="s">
        <v>4301</v>
      </c>
      <c r="L74" s="40" t="s">
        <v>4304</v>
      </c>
      <c r="M74" s="36">
        <v>299900</v>
      </c>
      <c r="N74" s="36" t="s">
        <v>2569</v>
      </c>
      <c r="O74" s="34" t="str">
        <f t="shared" si="4"/>
        <v>B1G2</v>
      </c>
      <c r="P74" s="36" t="s">
        <v>2569</v>
      </c>
    </row>
    <row r="75" spans="1:16" x14ac:dyDescent="0.35">
      <c r="A75" s="34" t="str">
        <f t="shared" si="2"/>
        <v>2024 JULY-SEP B1G2</v>
      </c>
      <c r="B75" s="35">
        <f t="shared" si="2"/>
        <v>46086</v>
      </c>
      <c r="C75" s="35">
        <f t="shared" si="2"/>
        <v>46092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45223445</v>
      </c>
      <c r="K75" s="34" t="s">
        <v>4301</v>
      </c>
      <c r="L75" s="40" t="s">
        <v>4305</v>
      </c>
      <c r="M75" s="36">
        <v>299900</v>
      </c>
      <c r="N75" s="36" t="s">
        <v>2569</v>
      </c>
      <c r="O75" s="34" t="str">
        <f t="shared" si="4"/>
        <v>B1G2</v>
      </c>
      <c r="P75" s="36" t="s">
        <v>2569</v>
      </c>
    </row>
    <row r="76" spans="1:16" x14ac:dyDescent="0.35">
      <c r="A76" s="34" t="str">
        <f t="shared" si="2"/>
        <v>2024 JULY-SEP B1G2</v>
      </c>
      <c r="B76" s="35">
        <f t="shared" si="2"/>
        <v>46086</v>
      </c>
      <c r="C76" s="35">
        <f t="shared" si="2"/>
        <v>46092</v>
      </c>
      <c r="D76" s="34">
        <v>3281</v>
      </c>
      <c r="E76" s="34">
        <v>337</v>
      </c>
      <c r="F76" s="34">
        <v>4</v>
      </c>
      <c r="G76" s="34">
        <v>5</v>
      </c>
      <c r="H76" s="34">
        <v>81146</v>
      </c>
      <c r="I76" s="34" t="s">
        <v>17</v>
      </c>
      <c r="J76" s="34">
        <v>22774705</v>
      </c>
      <c r="K76" s="34" t="s">
        <v>3867</v>
      </c>
      <c r="L76" s="40" t="s">
        <v>3868</v>
      </c>
      <c r="M76" s="36">
        <v>249900</v>
      </c>
      <c r="N76" s="36" t="s">
        <v>2569</v>
      </c>
      <c r="O76" s="34" t="str">
        <f t="shared" si="4"/>
        <v>B1G2</v>
      </c>
      <c r="P76" s="36" t="s">
        <v>2569</v>
      </c>
    </row>
    <row r="77" spans="1:16" x14ac:dyDescent="0.35">
      <c r="A77" s="34" t="str">
        <f t="shared" si="2"/>
        <v>2024 JULY-SEP B1G2</v>
      </c>
      <c r="B77" s="35">
        <f t="shared" si="2"/>
        <v>46086</v>
      </c>
      <c r="C77" s="35">
        <f t="shared" si="2"/>
        <v>46092</v>
      </c>
      <c r="D77" s="34">
        <v>3281</v>
      </c>
      <c r="E77" s="34">
        <v>337</v>
      </c>
      <c r="F77" s="34">
        <v>4</v>
      </c>
      <c r="G77" s="34">
        <v>5</v>
      </c>
      <c r="H77" s="34">
        <v>81146</v>
      </c>
      <c r="I77" s="34" t="s">
        <v>17</v>
      </c>
      <c r="J77" s="34">
        <v>22774714</v>
      </c>
      <c r="K77" s="34" t="s">
        <v>3867</v>
      </c>
      <c r="L77" s="40" t="s">
        <v>3869</v>
      </c>
      <c r="M77" s="36">
        <v>249900</v>
      </c>
      <c r="N77" s="36" t="s">
        <v>2569</v>
      </c>
      <c r="O77" s="34" t="str">
        <f t="shared" si="4"/>
        <v>B1G2</v>
      </c>
      <c r="P77" s="36" t="s">
        <v>2569</v>
      </c>
    </row>
    <row r="78" spans="1:16" x14ac:dyDescent="0.35">
      <c r="A78" s="34" t="str">
        <f t="shared" si="2"/>
        <v>2024 JULY-SEP B1G2</v>
      </c>
      <c r="B78" s="35">
        <f t="shared" si="2"/>
        <v>46086</v>
      </c>
      <c r="C78" s="35">
        <f t="shared" si="2"/>
        <v>46092</v>
      </c>
      <c r="D78" s="34">
        <v>3281</v>
      </c>
      <c r="E78" s="34">
        <v>337</v>
      </c>
      <c r="F78" s="34">
        <v>4</v>
      </c>
      <c r="G78" s="34">
        <v>5</v>
      </c>
      <c r="H78" s="34">
        <v>81146</v>
      </c>
      <c r="I78" s="34" t="s">
        <v>17</v>
      </c>
      <c r="J78" s="34">
        <v>22774723</v>
      </c>
      <c r="K78" s="34" t="s">
        <v>3867</v>
      </c>
      <c r="L78" s="40" t="s">
        <v>3870</v>
      </c>
      <c r="M78" s="36">
        <v>249900</v>
      </c>
      <c r="N78" s="36" t="s">
        <v>2569</v>
      </c>
      <c r="O78" s="34" t="str">
        <f t="shared" si="4"/>
        <v>B1G2</v>
      </c>
      <c r="P78" s="36" t="s">
        <v>2569</v>
      </c>
    </row>
    <row r="79" spans="1:16" x14ac:dyDescent="0.35">
      <c r="A79" s="34" t="str">
        <f t="shared" si="2"/>
        <v>2024 JULY-SEP B1G2</v>
      </c>
      <c r="B79" s="35">
        <f t="shared" si="2"/>
        <v>46086</v>
      </c>
      <c r="C79" s="35">
        <f t="shared" si="2"/>
        <v>46092</v>
      </c>
      <c r="D79" s="34">
        <v>3281</v>
      </c>
      <c r="E79" s="34">
        <v>337</v>
      </c>
      <c r="F79" s="34">
        <v>4</v>
      </c>
      <c r="G79" s="34">
        <v>5</v>
      </c>
      <c r="H79" s="34">
        <v>81146</v>
      </c>
      <c r="I79" s="34" t="s">
        <v>17</v>
      </c>
      <c r="J79" s="34">
        <v>22774732</v>
      </c>
      <c r="K79" s="34" t="s">
        <v>3867</v>
      </c>
      <c r="L79" s="40" t="s">
        <v>3871</v>
      </c>
      <c r="M79" s="36">
        <v>249900</v>
      </c>
      <c r="N79" s="36" t="s">
        <v>2569</v>
      </c>
      <c r="O79" s="34" t="str">
        <f t="shared" si="4"/>
        <v>B1G2</v>
      </c>
      <c r="P79" s="36" t="s">
        <v>2569</v>
      </c>
    </row>
    <row r="80" spans="1:16" x14ac:dyDescent="0.35">
      <c r="A80" s="34" t="str">
        <f t="shared" si="2"/>
        <v>2024 JULY-SEP B1G2</v>
      </c>
      <c r="B80" s="35">
        <f t="shared" si="2"/>
        <v>46086</v>
      </c>
      <c r="C80" s="35">
        <f t="shared" si="2"/>
        <v>46092</v>
      </c>
      <c r="D80" s="34">
        <v>3281</v>
      </c>
      <c r="E80" s="34">
        <v>337</v>
      </c>
      <c r="F80" s="34">
        <v>4</v>
      </c>
      <c r="G80" s="34">
        <v>1</v>
      </c>
      <c r="H80" s="34">
        <v>81421</v>
      </c>
      <c r="I80" s="34" t="s">
        <v>17</v>
      </c>
      <c r="J80" s="34">
        <v>45223034</v>
      </c>
      <c r="K80" s="34" t="s">
        <v>4291</v>
      </c>
      <c r="L80" s="40" t="s">
        <v>4292</v>
      </c>
      <c r="M80" s="36">
        <v>169900</v>
      </c>
      <c r="N80" s="36" t="s">
        <v>2569</v>
      </c>
      <c r="O80" s="34" t="str">
        <f t="shared" si="4"/>
        <v>B1G2</v>
      </c>
      <c r="P80" s="36" t="s">
        <v>2569</v>
      </c>
    </row>
    <row r="81" spans="1:16" x14ac:dyDescent="0.35">
      <c r="A81" s="34" t="str">
        <f t="shared" si="2"/>
        <v>2024 JULY-SEP B1G2</v>
      </c>
      <c r="B81" s="35">
        <f t="shared" si="2"/>
        <v>46086</v>
      </c>
      <c r="C81" s="35">
        <f t="shared" si="2"/>
        <v>46092</v>
      </c>
      <c r="D81" s="34">
        <v>3281</v>
      </c>
      <c r="E81" s="34">
        <v>337</v>
      </c>
      <c r="F81" s="34">
        <v>4</v>
      </c>
      <c r="G81" s="34">
        <v>1</v>
      </c>
      <c r="H81" s="34">
        <v>81421</v>
      </c>
      <c r="I81" s="34" t="s">
        <v>17</v>
      </c>
      <c r="J81" s="34">
        <v>45223089</v>
      </c>
      <c r="K81" s="34" t="s">
        <v>4296</v>
      </c>
      <c r="L81" s="40" t="s">
        <v>4300</v>
      </c>
      <c r="M81" s="36">
        <v>169900</v>
      </c>
      <c r="N81" s="36" t="s">
        <v>2569</v>
      </c>
      <c r="O81" s="34" t="str">
        <f t="shared" si="4"/>
        <v>B1G2</v>
      </c>
      <c r="P81" s="36" t="s">
        <v>2569</v>
      </c>
    </row>
    <row r="82" spans="1:16" x14ac:dyDescent="0.35">
      <c r="A82" s="34" t="str">
        <f t="shared" si="2"/>
        <v>2024 JULY-SEP B1G2</v>
      </c>
      <c r="B82" s="35">
        <f t="shared" si="2"/>
        <v>46086</v>
      </c>
      <c r="C82" s="35">
        <f t="shared" si="2"/>
        <v>46092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50037566</v>
      </c>
      <c r="K82" s="34" t="s">
        <v>4306</v>
      </c>
      <c r="L82" s="40" t="s">
        <v>4307</v>
      </c>
      <c r="M82" s="36">
        <v>299900</v>
      </c>
      <c r="N82" s="36" t="s">
        <v>2569</v>
      </c>
      <c r="O82" s="34" t="str">
        <f t="shared" si="4"/>
        <v>B1G2</v>
      </c>
      <c r="P82" s="36" t="s">
        <v>2569</v>
      </c>
    </row>
    <row r="83" spans="1:16" x14ac:dyDescent="0.35">
      <c r="A83" s="34" t="str">
        <f t="shared" si="2"/>
        <v>2024 JULY-SEP B1G2</v>
      </c>
      <c r="B83" s="35">
        <f t="shared" si="2"/>
        <v>46086</v>
      </c>
      <c r="C83" s="35">
        <f t="shared" si="2"/>
        <v>46092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50037539</v>
      </c>
      <c r="K83" s="34" t="s">
        <v>4306</v>
      </c>
      <c r="L83" s="40" t="s">
        <v>4308</v>
      </c>
      <c r="M83" s="36">
        <v>299900</v>
      </c>
      <c r="N83" s="36" t="s">
        <v>2569</v>
      </c>
      <c r="O83" s="34" t="str">
        <f t="shared" si="4"/>
        <v>B1G2</v>
      </c>
      <c r="P83" s="36" t="s">
        <v>2569</v>
      </c>
    </row>
    <row r="84" spans="1:16" x14ac:dyDescent="0.35">
      <c r="A84" s="34" t="str">
        <f t="shared" si="2"/>
        <v>2024 JULY-SEP B1G2</v>
      </c>
      <c r="B84" s="35">
        <f t="shared" si="2"/>
        <v>46086</v>
      </c>
      <c r="C84" s="35">
        <f t="shared" si="2"/>
        <v>46092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50037548</v>
      </c>
      <c r="K84" s="34" t="s">
        <v>4306</v>
      </c>
      <c r="L84" s="40" t="s">
        <v>4309</v>
      </c>
      <c r="M84" s="36">
        <v>299900</v>
      </c>
      <c r="N84" s="36" t="s">
        <v>2569</v>
      </c>
      <c r="O84" s="34" t="str">
        <f t="shared" si="4"/>
        <v>B1G2</v>
      </c>
      <c r="P84" s="36" t="s">
        <v>2569</v>
      </c>
    </row>
    <row r="85" spans="1:16" x14ac:dyDescent="0.35">
      <c r="A85" s="34" t="str">
        <f t="shared" si="2"/>
        <v>2024 JULY-SEP B1G2</v>
      </c>
      <c r="B85" s="35">
        <f t="shared" si="2"/>
        <v>46086</v>
      </c>
      <c r="C85" s="35">
        <f t="shared" si="2"/>
        <v>46092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50037557</v>
      </c>
      <c r="K85" s="34" t="s">
        <v>4306</v>
      </c>
      <c r="L85" s="40" t="s">
        <v>4310</v>
      </c>
      <c r="M85" s="36">
        <v>299900</v>
      </c>
      <c r="N85" s="36" t="s">
        <v>2569</v>
      </c>
      <c r="O85" s="34" t="str">
        <f t="shared" si="4"/>
        <v>B1G2</v>
      </c>
      <c r="P85" s="36" t="s">
        <v>2569</v>
      </c>
    </row>
    <row r="86" spans="1:16" x14ac:dyDescent="0.35">
      <c r="A86" s="34" t="str">
        <f t="shared" si="2"/>
        <v>2024 JULY-SEP B1G2</v>
      </c>
      <c r="B86" s="35">
        <f t="shared" si="2"/>
        <v>46086</v>
      </c>
      <c r="C86" s="35">
        <f t="shared" si="2"/>
        <v>46092</v>
      </c>
      <c r="D86" s="34">
        <v>3281</v>
      </c>
      <c r="E86" s="34">
        <v>337</v>
      </c>
      <c r="F86" s="34">
        <v>4</v>
      </c>
      <c r="G86" s="34">
        <v>5</v>
      </c>
      <c r="H86" s="34">
        <v>81421</v>
      </c>
      <c r="I86" s="34" t="s">
        <v>17</v>
      </c>
      <c r="J86" s="34">
        <v>50130508</v>
      </c>
      <c r="K86" s="34" t="s">
        <v>4311</v>
      </c>
      <c r="L86" s="40" t="s">
        <v>4312</v>
      </c>
      <c r="M86" s="36">
        <v>259900</v>
      </c>
      <c r="N86" s="36" t="s">
        <v>2569</v>
      </c>
      <c r="O86" s="34" t="str">
        <f t="shared" si="4"/>
        <v>B1G2</v>
      </c>
      <c r="P86" s="36" t="s">
        <v>2569</v>
      </c>
    </row>
    <row r="87" spans="1:16" x14ac:dyDescent="0.35">
      <c r="A87" s="34" t="str">
        <f t="shared" si="2"/>
        <v>2024 JULY-SEP B1G2</v>
      </c>
      <c r="B87" s="35">
        <f t="shared" si="2"/>
        <v>46086</v>
      </c>
      <c r="C87" s="35">
        <f t="shared" si="2"/>
        <v>46092</v>
      </c>
      <c r="D87" s="34">
        <v>3281</v>
      </c>
      <c r="E87" s="34">
        <v>337</v>
      </c>
      <c r="F87" s="34">
        <v>4</v>
      </c>
      <c r="G87" s="34">
        <v>5</v>
      </c>
      <c r="H87" s="34">
        <v>81421</v>
      </c>
      <c r="I87" s="34" t="s">
        <v>17</v>
      </c>
      <c r="J87" s="34">
        <v>45223098</v>
      </c>
      <c r="K87" s="34" t="s">
        <v>4313</v>
      </c>
      <c r="L87" s="40" t="s">
        <v>4314</v>
      </c>
      <c r="M87" s="36">
        <v>259900</v>
      </c>
      <c r="N87" s="36" t="s">
        <v>2569</v>
      </c>
      <c r="O87" s="34" t="str">
        <f t="shared" si="4"/>
        <v>B1G2</v>
      </c>
      <c r="P87" s="36" t="s">
        <v>2569</v>
      </c>
    </row>
    <row r="88" spans="1:16" x14ac:dyDescent="0.35">
      <c r="A88" s="34" t="str">
        <f t="shared" si="2"/>
        <v>2024 JULY-SEP B1G2</v>
      </c>
      <c r="B88" s="35">
        <f t="shared" si="2"/>
        <v>46086</v>
      </c>
      <c r="C88" s="35">
        <f t="shared" si="2"/>
        <v>46092</v>
      </c>
      <c r="D88" s="34">
        <v>3281</v>
      </c>
      <c r="E88" s="34">
        <v>337</v>
      </c>
      <c r="F88" s="34">
        <v>4</v>
      </c>
      <c r="G88" s="34">
        <v>5</v>
      </c>
      <c r="H88" s="34">
        <v>81421</v>
      </c>
      <c r="I88" s="34" t="s">
        <v>17</v>
      </c>
      <c r="J88" s="34">
        <v>45223105</v>
      </c>
      <c r="K88" s="34" t="s">
        <v>4313</v>
      </c>
      <c r="L88" s="40" t="s">
        <v>4315</v>
      </c>
      <c r="M88" s="36">
        <v>259900</v>
      </c>
      <c r="N88" s="36" t="s">
        <v>2569</v>
      </c>
      <c r="O88" s="34" t="str">
        <f t="shared" si="4"/>
        <v>B1G2</v>
      </c>
      <c r="P88" s="36" t="s">
        <v>2569</v>
      </c>
    </row>
    <row r="89" spans="1:16" x14ac:dyDescent="0.35">
      <c r="A89" s="34" t="str">
        <f t="shared" si="2"/>
        <v>2024 JULY-SEP B1G2</v>
      </c>
      <c r="B89" s="35">
        <f t="shared" si="2"/>
        <v>46086</v>
      </c>
      <c r="C89" s="35">
        <f t="shared" si="2"/>
        <v>46092</v>
      </c>
      <c r="D89" s="34">
        <v>3281</v>
      </c>
      <c r="E89" s="34">
        <v>337</v>
      </c>
      <c r="F89" s="34">
        <v>4</v>
      </c>
      <c r="G89" s="34">
        <v>5</v>
      </c>
      <c r="H89" s="34">
        <v>81421</v>
      </c>
      <c r="I89" s="34" t="s">
        <v>17</v>
      </c>
      <c r="J89" s="34">
        <v>45223114</v>
      </c>
      <c r="K89" s="34" t="s">
        <v>4313</v>
      </c>
      <c r="L89" s="40" t="s">
        <v>4316</v>
      </c>
      <c r="M89" s="36">
        <v>259900</v>
      </c>
      <c r="N89" s="36" t="s">
        <v>2569</v>
      </c>
      <c r="O89" s="34" t="str">
        <f t="shared" si="4"/>
        <v>B1G2</v>
      </c>
      <c r="P89" s="36" t="s">
        <v>2569</v>
      </c>
    </row>
    <row r="90" spans="1:16" x14ac:dyDescent="0.35">
      <c r="A90" s="34" t="str">
        <f t="shared" si="2"/>
        <v>2024 JULY-SEP B1G2</v>
      </c>
      <c r="B90" s="35">
        <f t="shared" si="2"/>
        <v>46086</v>
      </c>
      <c r="C90" s="35">
        <f t="shared" si="2"/>
        <v>46092</v>
      </c>
      <c r="D90" s="34">
        <v>3281</v>
      </c>
      <c r="E90" s="34">
        <v>337</v>
      </c>
      <c r="F90" s="34">
        <v>4</v>
      </c>
      <c r="G90" s="34">
        <v>5</v>
      </c>
      <c r="H90" s="34">
        <v>81421</v>
      </c>
      <c r="I90" s="34" t="s">
        <v>17</v>
      </c>
      <c r="J90" s="34">
        <v>45223123</v>
      </c>
      <c r="K90" s="34" t="s">
        <v>4313</v>
      </c>
      <c r="L90" s="40" t="s">
        <v>4317</v>
      </c>
      <c r="M90" s="36">
        <v>259900</v>
      </c>
      <c r="N90" s="36" t="s">
        <v>2569</v>
      </c>
      <c r="O90" s="34" t="str">
        <f t="shared" si="4"/>
        <v>B1G2</v>
      </c>
      <c r="P90" s="36" t="s">
        <v>2569</v>
      </c>
    </row>
    <row r="91" spans="1:16" x14ac:dyDescent="0.35">
      <c r="A91" s="34" t="str">
        <f t="shared" si="2"/>
        <v>2024 JULY-SEP B1G2</v>
      </c>
      <c r="B91" s="35">
        <f t="shared" si="2"/>
        <v>46086</v>
      </c>
      <c r="C91" s="35">
        <f t="shared" si="2"/>
        <v>46092</v>
      </c>
      <c r="D91" s="34">
        <v>3281</v>
      </c>
      <c r="E91" s="34">
        <v>337</v>
      </c>
      <c r="F91" s="34">
        <v>4</v>
      </c>
      <c r="G91" s="34">
        <v>5</v>
      </c>
      <c r="H91" s="34">
        <v>81421</v>
      </c>
      <c r="I91" s="34" t="s">
        <v>17</v>
      </c>
      <c r="J91" s="34">
        <v>50130473</v>
      </c>
      <c r="K91" s="34" t="s">
        <v>4311</v>
      </c>
      <c r="L91" s="40" t="s">
        <v>4318</v>
      </c>
      <c r="M91" s="36">
        <v>259900</v>
      </c>
      <c r="N91" s="36" t="s">
        <v>2569</v>
      </c>
      <c r="O91" s="34" t="str">
        <f t="shared" si="4"/>
        <v>B1G2</v>
      </c>
      <c r="P91" s="36" t="s">
        <v>2569</v>
      </c>
    </row>
    <row r="92" spans="1:16" x14ac:dyDescent="0.35">
      <c r="A92" s="34" t="str">
        <f t="shared" si="2"/>
        <v>2024 JULY-SEP B1G2</v>
      </c>
      <c r="B92" s="35">
        <f t="shared" si="2"/>
        <v>46086</v>
      </c>
      <c r="C92" s="35">
        <f t="shared" si="2"/>
        <v>46092</v>
      </c>
      <c r="D92" s="34">
        <v>3281</v>
      </c>
      <c r="E92" s="34">
        <v>337</v>
      </c>
      <c r="F92" s="34">
        <v>4</v>
      </c>
      <c r="G92" s="34">
        <v>5</v>
      </c>
      <c r="H92" s="34">
        <v>81421</v>
      </c>
      <c r="I92" s="34" t="s">
        <v>17</v>
      </c>
      <c r="J92" s="34">
        <v>50130482</v>
      </c>
      <c r="K92" s="34" t="s">
        <v>4311</v>
      </c>
      <c r="L92" s="40" t="s">
        <v>4319</v>
      </c>
      <c r="M92" s="36">
        <v>259900</v>
      </c>
      <c r="N92" s="36" t="s">
        <v>2569</v>
      </c>
      <c r="O92" s="34" t="str">
        <f t="shared" si="4"/>
        <v>B1G2</v>
      </c>
      <c r="P92" s="36" t="s">
        <v>2569</v>
      </c>
    </row>
    <row r="93" spans="1:16" x14ac:dyDescent="0.35">
      <c r="A93" s="34" t="str">
        <f t="shared" si="2"/>
        <v>2024 JULY-SEP B1G2</v>
      </c>
      <c r="B93" s="35">
        <f t="shared" si="2"/>
        <v>46086</v>
      </c>
      <c r="C93" s="35">
        <f t="shared" si="2"/>
        <v>46092</v>
      </c>
      <c r="D93" s="34">
        <v>3281</v>
      </c>
      <c r="E93" s="34">
        <v>337</v>
      </c>
      <c r="F93" s="34">
        <v>4</v>
      </c>
      <c r="G93" s="34">
        <v>5</v>
      </c>
      <c r="H93" s="34">
        <v>81421</v>
      </c>
      <c r="I93" s="34" t="s">
        <v>17</v>
      </c>
      <c r="J93" s="34">
        <v>50130491</v>
      </c>
      <c r="K93" s="34" t="s">
        <v>4311</v>
      </c>
      <c r="L93" s="40" t="s">
        <v>4320</v>
      </c>
      <c r="M93" s="36">
        <v>259900</v>
      </c>
      <c r="N93" s="36" t="s">
        <v>2569</v>
      </c>
      <c r="O93" s="34" t="str">
        <f t="shared" si="4"/>
        <v>B1G2</v>
      </c>
      <c r="P93" s="36" t="s">
        <v>2569</v>
      </c>
    </row>
    <row r="94" spans="1:16" x14ac:dyDescent="0.35">
      <c r="A94" s="34" t="str">
        <f t="shared" si="2"/>
        <v>2024 JULY-SEP B1G2</v>
      </c>
      <c r="B94" s="35">
        <f t="shared" si="2"/>
        <v>46086</v>
      </c>
      <c r="C94" s="35">
        <f t="shared" ref="C94:C129" si="5">C93</f>
        <v>46092</v>
      </c>
      <c r="D94" s="34">
        <v>3281</v>
      </c>
      <c r="E94" s="34">
        <v>337</v>
      </c>
      <c r="F94" s="34">
        <v>4</v>
      </c>
      <c r="G94" s="34">
        <v>3</v>
      </c>
      <c r="H94" s="34">
        <v>81146</v>
      </c>
      <c r="I94" s="34" t="s">
        <v>17</v>
      </c>
      <c r="J94" s="34">
        <v>50037440</v>
      </c>
      <c r="K94" s="34" t="s">
        <v>4321</v>
      </c>
      <c r="L94" s="40" t="s">
        <v>4322</v>
      </c>
      <c r="M94" s="36">
        <v>239900</v>
      </c>
      <c r="N94" s="36" t="s">
        <v>2569</v>
      </c>
      <c r="O94" s="34" t="str">
        <f t="shared" si="4"/>
        <v>B1G2</v>
      </c>
      <c r="P94" s="36" t="s">
        <v>2569</v>
      </c>
    </row>
    <row r="95" spans="1:16" x14ac:dyDescent="0.35">
      <c r="A95" s="34" t="str">
        <f t="shared" ref="A95:B129" si="6">A94</f>
        <v>2024 JULY-SEP B1G2</v>
      </c>
      <c r="B95" s="35">
        <f t="shared" si="6"/>
        <v>46086</v>
      </c>
      <c r="C95" s="35">
        <f t="shared" si="5"/>
        <v>46092</v>
      </c>
      <c r="D95" s="34">
        <v>3281</v>
      </c>
      <c r="E95" s="34">
        <v>337</v>
      </c>
      <c r="F95" s="34">
        <v>4</v>
      </c>
      <c r="G95" s="34">
        <v>3</v>
      </c>
      <c r="H95" s="34">
        <v>81146</v>
      </c>
      <c r="I95" s="34" t="s">
        <v>17</v>
      </c>
      <c r="J95" s="34">
        <v>50037431</v>
      </c>
      <c r="K95" s="34" t="s">
        <v>4321</v>
      </c>
      <c r="L95" s="40" t="s">
        <v>4323</v>
      </c>
      <c r="M95" s="36">
        <v>239900</v>
      </c>
      <c r="N95" s="36" t="s">
        <v>2569</v>
      </c>
      <c r="O95" s="34" t="str">
        <f t="shared" ref="O95:O129" si="7">O94</f>
        <v>B1G2</v>
      </c>
      <c r="P95" s="36" t="s">
        <v>2569</v>
      </c>
    </row>
    <row r="96" spans="1:16" x14ac:dyDescent="0.35">
      <c r="A96" s="34" t="str">
        <f t="shared" si="6"/>
        <v>2024 JULY-SEP B1G2</v>
      </c>
      <c r="B96" s="35">
        <f t="shared" si="6"/>
        <v>46086</v>
      </c>
      <c r="C96" s="35">
        <f t="shared" si="5"/>
        <v>46092</v>
      </c>
      <c r="D96" s="34">
        <v>3281</v>
      </c>
      <c r="E96" s="34">
        <v>337</v>
      </c>
      <c r="F96" s="34">
        <v>4</v>
      </c>
      <c r="G96" s="34">
        <v>3</v>
      </c>
      <c r="H96" s="34">
        <v>81146</v>
      </c>
      <c r="I96" s="34" t="s">
        <v>17</v>
      </c>
      <c r="J96" s="34">
        <v>50037413</v>
      </c>
      <c r="K96" s="34" t="s">
        <v>4321</v>
      </c>
      <c r="L96" s="40" t="s">
        <v>4324</v>
      </c>
      <c r="M96" s="36">
        <v>239900</v>
      </c>
      <c r="N96" s="36" t="s">
        <v>2569</v>
      </c>
      <c r="O96" s="34" t="str">
        <f t="shared" si="7"/>
        <v>B1G2</v>
      </c>
      <c r="P96" s="36" t="s">
        <v>2569</v>
      </c>
    </row>
    <row r="97" spans="1:16" x14ac:dyDescent="0.35">
      <c r="A97" s="34" t="str">
        <f t="shared" si="6"/>
        <v>2024 JULY-SEP B1G2</v>
      </c>
      <c r="B97" s="35">
        <f t="shared" si="6"/>
        <v>46086</v>
      </c>
      <c r="C97" s="35">
        <f t="shared" si="5"/>
        <v>46092</v>
      </c>
      <c r="D97" s="34">
        <v>3281</v>
      </c>
      <c r="E97" s="34">
        <v>337</v>
      </c>
      <c r="F97" s="34">
        <v>4</v>
      </c>
      <c r="G97" s="34">
        <v>3</v>
      </c>
      <c r="H97" s="34">
        <v>81146</v>
      </c>
      <c r="I97" s="34" t="s">
        <v>17</v>
      </c>
      <c r="J97" s="34">
        <v>50037422</v>
      </c>
      <c r="K97" s="34" t="s">
        <v>4321</v>
      </c>
      <c r="L97" s="40" t="s">
        <v>4325</v>
      </c>
      <c r="M97" s="36">
        <v>239900</v>
      </c>
      <c r="N97" s="36" t="s">
        <v>2569</v>
      </c>
      <c r="O97" s="34" t="str">
        <f t="shared" si="7"/>
        <v>B1G2</v>
      </c>
      <c r="P97" s="36" t="s">
        <v>2569</v>
      </c>
    </row>
    <row r="98" spans="1:16" x14ac:dyDescent="0.35">
      <c r="A98" s="34" t="str">
        <f t="shared" si="6"/>
        <v>2024 JULY-SEP B1G2</v>
      </c>
      <c r="B98" s="35">
        <f t="shared" si="6"/>
        <v>46086</v>
      </c>
      <c r="C98" s="35">
        <f t="shared" si="5"/>
        <v>46092</v>
      </c>
      <c r="D98" s="34">
        <v>3281</v>
      </c>
      <c r="E98" s="34">
        <v>337</v>
      </c>
      <c r="F98" s="34">
        <v>4</v>
      </c>
      <c r="G98" s="34">
        <v>4</v>
      </c>
      <c r="H98" s="34">
        <v>81146</v>
      </c>
      <c r="I98" s="34" t="s">
        <v>17</v>
      </c>
      <c r="J98" s="34">
        <v>50037486</v>
      </c>
      <c r="K98" s="34" t="s">
        <v>4326</v>
      </c>
      <c r="L98" s="40" t="s">
        <v>4327</v>
      </c>
      <c r="M98" s="36">
        <v>249900</v>
      </c>
      <c r="N98" s="36" t="s">
        <v>2569</v>
      </c>
      <c r="O98" s="34" t="str">
        <f t="shared" si="7"/>
        <v>B1G2</v>
      </c>
      <c r="P98" s="36" t="s">
        <v>2569</v>
      </c>
    </row>
    <row r="99" spans="1:16" x14ac:dyDescent="0.35">
      <c r="A99" s="34" t="str">
        <f t="shared" si="6"/>
        <v>2024 JULY-SEP B1G2</v>
      </c>
      <c r="B99" s="35">
        <f t="shared" si="6"/>
        <v>46086</v>
      </c>
      <c r="C99" s="35">
        <f t="shared" si="5"/>
        <v>46092</v>
      </c>
      <c r="D99" s="34">
        <v>3281</v>
      </c>
      <c r="E99" s="34">
        <v>337</v>
      </c>
      <c r="F99" s="34">
        <v>4</v>
      </c>
      <c r="G99" s="34">
        <v>4</v>
      </c>
      <c r="H99" s="34">
        <v>81146</v>
      </c>
      <c r="I99" s="34" t="s">
        <v>17</v>
      </c>
      <c r="J99" s="34">
        <v>50037468</v>
      </c>
      <c r="K99" s="34" t="s">
        <v>4326</v>
      </c>
      <c r="L99" s="40" t="s">
        <v>4328</v>
      </c>
      <c r="M99" s="36">
        <v>249900</v>
      </c>
      <c r="N99" s="36" t="s">
        <v>2569</v>
      </c>
      <c r="O99" s="34" t="str">
        <f t="shared" si="7"/>
        <v>B1G2</v>
      </c>
      <c r="P99" s="36" t="s">
        <v>2569</v>
      </c>
    </row>
    <row r="100" spans="1:16" x14ac:dyDescent="0.35">
      <c r="A100" s="34" t="str">
        <f t="shared" si="6"/>
        <v>2024 JULY-SEP B1G2</v>
      </c>
      <c r="B100" s="35">
        <f t="shared" si="6"/>
        <v>46086</v>
      </c>
      <c r="C100" s="35">
        <f t="shared" si="5"/>
        <v>46092</v>
      </c>
      <c r="D100" s="34">
        <v>3281</v>
      </c>
      <c r="E100" s="34">
        <v>337</v>
      </c>
      <c r="F100" s="34">
        <v>4</v>
      </c>
      <c r="G100" s="34">
        <v>4</v>
      </c>
      <c r="H100" s="34">
        <v>81146</v>
      </c>
      <c r="I100" s="34" t="s">
        <v>17</v>
      </c>
      <c r="J100" s="34">
        <v>50037477</v>
      </c>
      <c r="K100" s="34" t="s">
        <v>4326</v>
      </c>
      <c r="L100" s="40" t="s">
        <v>4329</v>
      </c>
      <c r="M100" s="36">
        <v>249900</v>
      </c>
      <c r="N100" s="36" t="s">
        <v>2569</v>
      </c>
      <c r="O100" s="34" t="str">
        <f t="shared" si="7"/>
        <v>B1G2</v>
      </c>
      <c r="P100" s="36" t="s">
        <v>2569</v>
      </c>
    </row>
    <row r="101" spans="1:16" x14ac:dyDescent="0.35">
      <c r="A101" s="34" t="str">
        <f t="shared" si="6"/>
        <v>2024 JULY-SEP B1G2</v>
      </c>
      <c r="B101" s="35">
        <f t="shared" si="6"/>
        <v>46086</v>
      </c>
      <c r="C101" s="35">
        <f t="shared" si="5"/>
        <v>46092</v>
      </c>
      <c r="D101" s="34">
        <v>3281</v>
      </c>
      <c r="E101" s="34">
        <v>337</v>
      </c>
      <c r="F101" s="34">
        <v>4</v>
      </c>
      <c r="G101" s="34">
        <v>4</v>
      </c>
      <c r="H101" s="34">
        <v>81146</v>
      </c>
      <c r="I101" s="34" t="s">
        <v>17</v>
      </c>
      <c r="J101" s="34">
        <v>50037459</v>
      </c>
      <c r="K101" s="34" t="s">
        <v>4326</v>
      </c>
      <c r="L101" s="40" t="s">
        <v>4330</v>
      </c>
      <c r="M101" s="36">
        <v>249900</v>
      </c>
      <c r="N101" s="36" t="s">
        <v>2569</v>
      </c>
      <c r="O101" s="34" t="str">
        <f t="shared" si="7"/>
        <v>B1G2</v>
      </c>
      <c r="P101" s="36" t="s">
        <v>2569</v>
      </c>
    </row>
    <row r="102" spans="1:16" x14ac:dyDescent="0.35">
      <c r="A102" s="34" t="str">
        <f t="shared" si="6"/>
        <v>2024 JULY-SEP B1G2</v>
      </c>
      <c r="B102" s="35">
        <f t="shared" si="6"/>
        <v>46086</v>
      </c>
      <c r="C102" s="35">
        <f t="shared" si="5"/>
        <v>46092</v>
      </c>
      <c r="D102" s="34">
        <v>3281</v>
      </c>
      <c r="E102" s="34">
        <v>337</v>
      </c>
      <c r="F102" s="34">
        <v>4</v>
      </c>
      <c r="G102" s="34">
        <v>5</v>
      </c>
      <c r="H102" s="34">
        <v>81421</v>
      </c>
      <c r="I102" s="34" t="s">
        <v>17</v>
      </c>
      <c r="J102" s="34">
        <v>45511811</v>
      </c>
      <c r="K102" s="34" t="s">
        <v>4331</v>
      </c>
      <c r="L102" s="40" t="s">
        <v>4332</v>
      </c>
      <c r="M102" s="36">
        <v>279900</v>
      </c>
      <c r="N102" s="36" t="s">
        <v>2569</v>
      </c>
      <c r="O102" s="34" t="str">
        <f t="shared" si="7"/>
        <v>B1G2</v>
      </c>
      <c r="P102" s="36" t="s">
        <v>2569</v>
      </c>
    </row>
    <row r="103" spans="1:16" x14ac:dyDescent="0.35">
      <c r="A103" s="34" t="str">
        <f t="shared" si="6"/>
        <v>2024 JULY-SEP B1G2</v>
      </c>
      <c r="B103" s="35">
        <f t="shared" si="6"/>
        <v>46086</v>
      </c>
      <c r="C103" s="35">
        <f t="shared" si="5"/>
        <v>46092</v>
      </c>
      <c r="D103" s="34">
        <v>3281</v>
      </c>
      <c r="E103" s="34">
        <v>337</v>
      </c>
      <c r="F103" s="34">
        <v>4</v>
      </c>
      <c r="G103" s="34">
        <v>5</v>
      </c>
      <c r="H103" s="34">
        <v>81421</v>
      </c>
      <c r="I103" s="34" t="s">
        <v>17</v>
      </c>
      <c r="J103" s="34">
        <v>45511820</v>
      </c>
      <c r="K103" s="34" t="s">
        <v>4331</v>
      </c>
      <c r="L103" s="40" t="s">
        <v>4333</v>
      </c>
      <c r="M103" s="36">
        <v>279900</v>
      </c>
      <c r="N103" s="36" t="s">
        <v>2569</v>
      </c>
      <c r="O103" s="34" t="str">
        <f t="shared" si="7"/>
        <v>B1G2</v>
      </c>
      <c r="P103" s="36" t="s">
        <v>2569</v>
      </c>
    </row>
    <row r="104" spans="1:16" x14ac:dyDescent="0.35">
      <c r="A104" s="34" t="str">
        <f t="shared" si="6"/>
        <v>2024 JULY-SEP B1G2</v>
      </c>
      <c r="B104" s="35">
        <f t="shared" si="6"/>
        <v>46086</v>
      </c>
      <c r="C104" s="35">
        <f t="shared" si="5"/>
        <v>46092</v>
      </c>
      <c r="D104" s="34">
        <v>3281</v>
      </c>
      <c r="E104" s="34">
        <v>337</v>
      </c>
      <c r="F104" s="34">
        <v>4</v>
      </c>
      <c r="G104" s="34">
        <v>5</v>
      </c>
      <c r="H104" s="34">
        <v>81421</v>
      </c>
      <c r="I104" s="34" t="s">
        <v>17</v>
      </c>
      <c r="J104" s="34">
        <v>45511839</v>
      </c>
      <c r="K104" s="34" t="s">
        <v>4331</v>
      </c>
      <c r="L104" s="40" t="s">
        <v>4334</v>
      </c>
      <c r="M104" s="36">
        <v>279900</v>
      </c>
      <c r="N104" s="36" t="s">
        <v>2569</v>
      </c>
      <c r="O104" s="34" t="str">
        <f t="shared" si="7"/>
        <v>B1G2</v>
      </c>
      <c r="P104" s="36" t="s">
        <v>2569</v>
      </c>
    </row>
    <row r="105" spans="1:16" x14ac:dyDescent="0.35">
      <c r="A105" s="34" t="str">
        <f t="shared" si="6"/>
        <v>2024 JULY-SEP B1G2</v>
      </c>
      <c r="B105" s="35">
        <f t="shared" si="6"/>
        <v>46086</v>
      </c>
      <c r="C105" s="35">
        <f t="shared" si="5"/>
        <v>46092</v>
      </c>
      <c r="D105" s="34">
        <v>3281</v>
      </c>
      <c r="E105" s="34">
        <v>337</v>
      </c>
      <c r="F105" s="34">
        <v>4</v>
      </c>
      <c r="G105" s="34">
        <v>5</v>
      </c>
      <c r="H105" s="34">
        <v>81421</v>
      </c>
      <c r="I105" s="34" t="s">
        <v>17</v>
      </c>
      <c r="J105" s="34">
        <v>45511848</v>
      </c>
      <c r="K105" s="34" t="s">
        <v>4331</v>
      </c>
      <c r="L105" s="40" t="s">
        <v>4335</v>
      </c>
      <c r="M105" s="36">
        <v>279900</v>
      </c>
      <c r="N105" s="36" t="s">
        <v>2569</v>
      </c>
      <c r="O105" s="34" t="str">
        <f t="shared" si="7"/>
        <v>B1G2</v>
      </c>
      <c r="P105" s="36" t="s">
        <v>2569</v>
      </c>
    </row>
    <row r="106" spans="1:16" x14ac:dyDescent="0.35">
      <c r="A106" s="34" t="str">
        <f t="shared" si="6"/>
        <v>2024 JULY-SEP B1G2</v>
      </c>
      <c r="B106" s="35">
        <f t="shared" si="6"/>
        <v>46086</v>
      </c>
      <c r="C106" s="35">
        <f t="shared" si="5"/>
        <v>46092</v>
      </c>
      <c r="D106" s="34">
        <v>3281</v>
      </c>
      <c r="E106" s="34">
        <v>337</v>
      </c>
      <c r="F106" s="34">
        <v>4</v>
      </c>
      <c r="G106" s="34">
        <v>5</v>
      </c>
      <c r="H106" s="34">
        <v>81421</v>
      </c>
      <c r="I106" s="34" t="s">
        <v>17</v>
      </c>
      <c r="J106" s="34">
        <v>45511857</v>
      </c>
      <c r="K106" s="34" t="s">
        <v>4336</v>
      </c>
      <c r="L106" s="40" t="s">
        <v>4337</v>
      </c>
      <c r="M106" s="36">
        <v>279900</v>
      </c>
      <c r="N106" s="36" t="s">
        <v>2569</v>
      </c>
      <c r="O106" s="34" t="str">
        <f t="shared" si="7"/>
        <v>B1G2</v>
      </c>
      <c r="P106" s="36" t="s">
        <v>2569</v>
      </c>
    </row>
    <row r="107" spans="1:16" x14ac:dyDescent="0.35">
      <c r="A107" s="34" t="str">
        <f t="shared" si="6"/>
        <v>2024 JULY-SEP B1G2</v>
      </c>
      <c r="B107" s="35">
        <f t="shared" si="6"/>
        <v>46086</v>
      </c>
      <c r="C107" s="35">
        <f t="shared" si="5"/>
        <v>46092</v>
      </c>
      <c r="D107" s="34">
        <v>3281</v>
      </c>
      <c r="E107" s="34">
        <v>337</v>
      </c>
      <c r="F107" s="34">
        <v>4</v>
      </c>
      <c r="G107" s="34">
        <v>5</v>
      </c>
      <c r="H107" s="34">
        <v>81421</v>
      </c>
      <c r="I107" s="34" t="s">
        <v>17</v>
      </c>
      <c r="J107" s="34">
        <v>45511866</v>
      </c>
      <c r="K107" s="34" t="s">
        <v>4336</v>
      </c>
      <c r="L107" s="40" t="s">
        <v>4338</v>
      </c>
      <c r="M107" s="36">
        <v>279900</v>
      </c>
      <c r="N107" s="36" t="s">
        <v>2569</v>
      </c>
      <c r="O107" s="34" t="str">
        <f t="shared" si="7"/>
        <v>B1G2</v>
      </c>
      <c r="P107" s="36" t="s">
        <v>2569</v>
      </c>
    </row>
    <row r="108" spans="1:16" x14ac:dyDescent="0.35">
      <c r="A108" s="34" t="str">
        <f t="shared" si="6"/>
        <v>2024 JULY-SEP B1G2</v>
      </c>
      <c r="B108" s="35">
        <f t="shared" si="6"/>
        <v>46086</v>
      </c>
      <c r="C108" s="35">
        <f t="shared" si="5"/>
        <v>46092</v>
      </c>
      <c r="D108" s="34">
        <v>3281</v>
      </c>
      <c r="E108" s="34">
        <v>337</v>
      </c>
      <c r="F108" s="34">
        <v>4</v>
      </c>
      <c r="G108" s="34">
        <v>5</v>
      </c>
      <c r="H108" s="34">
        <v>81421</v>
      </c>
      <c r="I108" s="34" t="s">
        <v>17</v>
      </c>
      <c r="J108" s="34">
        <v>45511875</v>
      </c>
      <c r="K108" s="34" t="s">
        <v>4336</v>
      </c>
      <c r="L108" s="40" t="s">
        <v>4339</v>
      </c>
      <c r="M108" s="36">
        <v>279900</v>
      </c>
      <c r="N108" s="36" t="s">
        <v>2569</v>
      </c>
      <c r="O108" s="34" t="str">
        <f t="shared" si="7"/>
        <v>B1G2</v>
      </c>
      <c r="P108" s="36" t="s">
        <v>2569</v>
      </c>
    </row>
    <row r="109" spans="1:16" x14ac:dyDescent="0.35">
      <c r="A109" s="34" t="str">
        <f t="shared" si="6"/>
        <v>2024 JULY-SEP B1G2</v>
      </c>
      <c r="B109" s="35">
        <f t="shared" si="6"/>
        <v>46086</v>
      </c>
      <c r="C109" s="35">
        <f t="shared" si="5"/>
        <v>46092</v>
      </c>
      <c r="D109" s="34">
        <v>3281</v>
      </c>
      <c r="E109" s="34">
        <v>337</v>
      </c>
      <c r="F109" s="34">
        <v>4</v>
      </c>
      <c r="G109" s="34">
        <v>5</v>
      </c>
      <c r="H109" s="34">
        <v>81421</v>
      </c>
      <c r="I109" s="34" t="s">
        <v>17</v>
      </c>
      <c r="J109" s="34">
        <v>45511884</v>
      </c>
      <c r="K109" s="34" t="s">
        <v>4336</v>
      </c>
      <c r="L109" s="40" t="s">
        <v>4340</v>
      </c>
      <c r="M109" s="36">
        <v>279900</v>
      </c>
      <c r="N109" s="36" t="s">
        <v>2569</v>
      </c>
      <c r="O109" s="34" t="str">
        <f t="shared" si="7"/>
        <v>B1G2</v>
      </c>
      <c r="P109" s="36" t="s">
        <v>2569</v>
      </c>
    </row>
    <row r="110" spans="1:16" x14ac:dyDescent="0.35">
      <c r="A110" s="34" t="str">
        <f t="shared" si="6"/>
        <v>2024 JULY-SEP B1G2</v>
      </c>
      <c r="B110" s="35">
        <f t="shared" si="6"/>
        <v>46086</v>
      </c>
      <c r="C110" s="35">
        <f t="shared" si="5"/>
        <v>46092</v>
      </c>
      <c r="D110" s="34">
        <v>3281</v>
      </c>
      <c r="E110" s="34">
        <v>337</v>
      </c>
      <c r="F110" s="34">
        <v>4</v>
      </c>
      <c r="G110" s="34">
        <v>1</v>
      </c>
      <c r="H110" s="34">
        <v>81146</v>
      </c>
      <c r="I110" s="34" t="s">
        <v>17</v>
      </c>
      <c r="J110" s="34">
        <v>50037333</v>
      </c>
      <c r="K110" s="34" t="s">
        <v>4447</v>
      </c>
      <c r="L110" s="40" t="s">
        <v>4448</v>
      </c>
      <c r="M110" s="36">
        <v>189900</v>
      </c>
      <c r="N110" s="36" t="s">
        <v>2569</v>
      </c>
      <c r="O110" s="34" t="str">
        <f t="shared" si="7"/>
        <v>B1G2</v>
      </c>
      <c r="P110" s="36" t="s">
        <v>2569</v>
      </c>
    </row>
    <row r="111" spans="1:16" x14ac:dyDescent="0.35">
      <c r="A111" s="34" t="str">
        <f t="shared" si="6"/>
        <v>2024 JULY-SEP B1G2</v>
      </c>
      <c r="B111" s="35">
        <f t="shared" si="6"/>
        <v>46086</v>
      </c>
      <c r="C111" s="35">
        <f t="shared" si="5"/>
        <v>46092</v>
      </c>
      <c r="D111" s="34">
        <v>3281</v>
      </c>
      <c r="E111" s="34">
        <v>337</v>
      </c>
      <c r="F111" s="34">
        <v>4</v>
      </c>
      <c r="G111" s="34">
        <v>1</v>
      </c>
      <c r="H111" s="34">
        <v>81146</v>
      </c>
      <c r="I111" s="34" t="s">
        <v>17</v>
      </c>
      <c r="J111" s="34">
        <v>50037342</v>
      </c>
      <c r="K111" s="34" t="s">
        <v>4447</v>
      </c>
      <c r="L111" s="40" t="s">
        <v>4449</v>
      </c>
      <c r="M111" s="36">
        <v>189900</v>
      </c>
      <c r="N111" s="36" t="s">
        <v>2569</v>
      </c>
      <c r="O111" s="34" t="str">
        <f t="shared" si="7"/>
        <v>B1G2</v>
      </c>
      <c r="P111" s="36" t="s">
        <v>2569</v>
      </c>
    </row>
    <row r="112" spans="1:16" x14ac:dyDescent="0.35">
      <c r="A112" s="34" t="str">
        <f t="shared" si="6"/>
        <v>2024 JULY-SEP B1G2</v>
      </c>
      <c r="B112" s="35">
        <f t="shared" si="6"/>
        <v>46086</v>
      </c>
      <c r="C112" s="35">
        <f t="shared" si="5"/>
        <v>46092</v>
      </c>
      <c r="D112" s="34">
        <v>3281</v>
      </c>
      <c r="E112" s="34">
        <v>337</v>
      </c>
      <c r="F112" s="34">
        <v>4</v>
      </c>
      <c r="G112" s="34">
        <v>1</v>
      </c>
      <c r="H112" s="34">
        <v>81146</v>
      </c>
      <c r="I112" s="34" t="s">
        <v>17</v>
      </c>
      <c r="J112" s="34">
        <v>50037360</v>
      </c>
      <c r="K112" s="34" t="s">
        <v>4447</v>
      </c>
      <c r="L112" s="40" t="s">
        <v>4450</v>
      </c>
      <c r="M112" s="36">
        <v>189900</v>
      </c>
      <c r="N112" s="36" t="s">
        <v>2569</v>
      </c>
      <c r="O112" s="34" t="str">
        <f t="shared" si="7"/>
        <v>B1G2</v>
      </c>
      <c r="P112" s="36" t="s">
        <v>2569</v>
      </c>
    </row>
    <row r="113" spans="1:16" x14ac:dyDescent="0.35">
      <c r="A113" s="34" t="str">
        <f t="shared" si="6"/>
        <v>2024 JULY-SEP B1G2</v>
      </c>
      <c r="B113" s="35">
        <f t="shared" si="6"/>
        <v>46086</v>
      </c>
      <c r="C113" s="35">
        <f t="shared" si="5"/>
        <v>46092</v>
      </c>
      <c r="D113" s="34">
        <v>3281</v>
      </c>
      <c r="E113" s="34">
        <v>337</v>
      </c>
      <c r="F113" s="34">
        <v>4</v>
      </c>
      <c r="G113" s="34">
        <v>1</v>
      </c>
      <c r="H113" s="34">
        <v>81146</v>
      </c>
      <c r="I113" s="34" t="s">
        <v>17</v>
      </c>
      <c r="J113" s="34">
        <v>50037351</v>
      </c>
      <c r="K113" s="34" t="s">
        <v>4447</v>
      </c>
      <c r="L113" s="40" t="s">
        <v>4451</v>
      </c>
      <c r="M113" s="36">
        <v>189900</v>
      </c>
      <c r="N113" s="36" t="s">
        <v>2569</v>
      </c>
      <c r="O113" s="34" t="str">
        <f t="shared" si="7"/>
        <v>B1G2</v>
      </c>
      <c r="P113" s="36" t="s">
        <v>2569</v>
      </c>
    </row>
    <row r="114" spans="1:16" x14ac:dyDescent="0.35">
      <c r="A114" s="34" t="str">
        <f t="shared" si="6"/>
        <v>2024 JULY-SEP B1G2</v>
      </c>
      <c r="B114" s="35">
        <f t="shared" si="6"/>
        <v>46086</v>
      </c>
      <c r="C114" s="35">
        <f t="shared" si="5"/>
        <v>46092</v>
      </c>
      <c r="D114" s="34">
        <v>3281</v>
      </c>
      <c r="E114" s="34">
        <v>337</v>
      </c>
      <c r="F114" s="34">
        <v>4</v>
      </c>
      <c r="G114" s="34">
        <v>3</v>
      </c>
      <c r="H114" s="34">
        <v>81146</v>
      </c>
      <c r="I114" s="34" t="s">
        <v>17</v>
      </c>
      <c r="J114" s="34">
        <v>50037379</v>
      </c>
      <c r="K114" s="34" t="s">
        <v>4452</v>
      </c>
      <c r="L114" s="40" t="s">
        <v>4453</v>
      </c>
      <c r="M114" s="36">
        <v>299900</v>
      </c>
      <c r="N114" s="36" t="s">
        <v>2569</v>
      </c>
      <c r="O114" s="34" t="str">
        <f t="shared" si="7"/>
        <v>B1G2</v>
      </c>
      <c r="P114" s="36" t="s">
        <v>2569</v>
      </c>
    </row>
    <row r="115" spans="1:16" x14ac:dyDescent="0.35">
      <c r="A115" s="34" t="str">
        <f t="shared" si="6"/>
        <v>2024 JULY-SEP B1G2</v>
      </c>
      <c r="B115" s="35">
        <f t="shared" si="6"/>
        <v>46086</v>
      </c>
      <c r="C115" s="35">
        <f t="shared" si="5"/>
        <v>46092</v>
      </c>
      <c r="D115" s="34">
        <v>3281</v>
      </c>
      <c r="E115" s="34">
        <v>337</v>
      </c>
      <c r="F115" s="34">
        <v>4</v>
      </c>
      <c r="G115" s="34">
        <v>3</v>
      </c>
      <c r="H115" s="34">
        <v>81146</v>
      </c>
      <c r="I115" s="34" t="s">
        <v>17</v>
      </c>
      <c r="J115" s="34">
        <v>50037397</v>
      </c>
      <c r="K115" s="34" t="s">
        <v>4452</v>
      </c>
      <c r="L115" s="40" t="s">
        <v>4454</v>
      </c>
      <c r="M115" s="36">
        <v>299900</v>
      </c>
      <c r="N115" s="36" t="s">
        <v>2569</v>
      </c>
      <c r="O115" s="34" t="str">
        <f t="shared" si="7"/>
        <v>B1G2</v>
      </c>
      <c r="P115" s="36" t="s">
        <v>2569</v>
      </c>
    </row>
    <row r="116" spans="1:16" x14ac:dyDescent="0.35">
      <c r="A116" s="34" t="str">
        <f t="shared" si="6"/>
        <v>2024 JULY-SEP B1G2</v>
      </c>
      <c r="B116" s="35">
        <f t="shared" si="6"/>
        <v>46086</v>
      </c>
      <c r="C116" s="35">
        <f t="shared" si="5"/>
        <v>46092</v>
      </c>
      <c r="D116" s="34">
        <v>3281</v>
      </c>
      <c r="E116" s="34">
        <v>337</v>
      </c>
      <c r="F116" s="34">
        <v>4</v>
      </c>
      <c r="G116" s="34">
        <v>3</v>
      </c>
      <c r="H116" s="34">
        <v>81146</v>
      </c>
      <c r="I116" s="34" t="s">
        <v>17</v>
      </c>
      <c r="J116" s="34">
        <v>50037404</v>
      </c>
      <c r="K116" s="34" t="s">
        <v>4452</v>
      </c>
      <c r="L116" s="40" t="s">
        <v>4455</v>
      </c>
      <c r="M116" s="36">
        <v>299900</v>
      </c>
      <c r="N116" s="36" t="s">
        <v>2569</v>
      </c>
      <c r="O116" s="34" t="str">
        <f t="shared" si="7"/>
        <v>B1G2</v>
      </c>
      <c r="P116" s="36" t="s">
        <v>2569</v>
      </c>
    </row>
    <row r="117" spans="1:16" x14ac:dyDescent="0.35">
      <c r="A117" s="34" t="str">
        <f t="shared" si="6"/>
        <v>2024 JULY-SEP B1G2</v>
      </c>
      <c r="B117" s="35">
        <f t="shared" si="6"/>
        <v>46086</v>
      </c>
      <c r="C117" s="35">
        <f t="shared" si="5"/>
        <v>46092</v>
      </c>
      <c r="D117" s="34">
        <v>3281</v>
      </c>
      <c r="E117" s="34">
        <v>337</v>
      </c>
      <c r="F117" s="34">
        <v>4</v>
      </c>
      <c r="G117" s="34">
        <v>3</v>
      </c>
      <c r="H117" s="34">
        <v>81146</v>
      </c>
      <c r="I117" s="34" t="s">
        <v>17</v>
      </c>
      <c r="J117" s="34">
        <v>50037388</v>
      </c>
      <c r="K117" s="34" t="s">
        <v>4452</v>
      </c>
      <c r="L117" s="40" t="s">
        <v>4456</v>
      </c>
      <c r="M117" s="36">
        <v>299900</v>
      </c>
      <c r="N117" s="36" t="s">
        <v>2569</v>
      </c>
      <c r="O117" s="34" t="str">
        <f t="shared" si="7"/>
        <v>B1G2</v>
      </c>
      <c r="P117" s="36" t="s">
        <v>2569</v>
      </c>
    </row>
    <row r="118" spans="1:16" x14ac:dyDescent="0.35">
      <c r="A118" s="34" t="str">
        <f t="shared" si="6"/>
        <v>2024 JULY-SEP B1G2</v>
      </c>
      <c r="B118" s="35">
        <f t="shared" si="6"/>
        <v>46086</v>
      </c>
      <c r="C118" s="35">
        <f t="shared" si="5"/>
        <v>46092</v>
      </c>
      <c r="D118" s="34">
        <v>3281</v>
      </c>
      <c r="E118" s="34">
        <v>337</v>
      </c>
      <c r="F118" s="34">
        <v>4</v>
      </c>
      <c r="G118" s="34">
        <v>5</v>
      </c>
      <c r="H118" s="34">
        <v>81506</v>
      </c>
      <c r="I118" s="34" t="s">
        <v>17</v>
      </c>
      <c r="J118" s="34">
        <v>50037502</v>
      </c>
      <c r="K118" s="34" t="s">
        <v>4457</v>
      </c>
      <c r="L118" s="40" t="s">
        <v>4458</v>
      </c>
      <c r="M118" s="36">
        <v>259900</v>
      </c>
      <c r="N118" s="36" t="s">
        <v>2569</v>
      </c>
      <c r="O118" s="34" t="str">
        <f t="shared" si="7"/>
        <v>B1G2</v>
      </c>
      <c r="P118" s="36" t="s">
        <v>2569</v>
      </c>
    </row>
    <row r="119" spans="1:16" x14ac:dyDescent="0.35">
      <c r="A119" s="34" t="str">
        <f t="shared" si="6"/>
        <v>2024 JULY-SEP B1G2</v>
      </c>
      <c r="B119" s="35">
        <f t="shared" si="6"/>
        <v>46086</v>
      </c>
      <c r="C119" s="35">
        <f t="shared" si="5"/>
        <v>46092</v>
      </c>
      <c r="D119" s="34">
        <v>3281</v>
      </c>
      <c r="E119" s="34">
        <v>337</v>
      </c>
      <c r="F119" s="34">
        <v>4</v>
      </c>
      <c r="G119" s="34">
        <v>5</v>
      </c>
      <c r="H119" s="34">
        <v>81506</v>
      </c>
      <c r="I119" s="34" t="s">
        <v>17</v>
      </c>
      <c r="J119" s="34">
        <v>50037495</v>
      </c>
      <c r="K119" s="34" t="s">
        <v>4457</v>
      </c>
      <c r="L119" s="40" t="s">
        <v>4459</v>
      </c>
      <c r="M119" s="36">
        <v>259900</v>
      </c>
      <c r="N119" s="36" t="s">
        <v>2569</v>
      </c>
      <c r="O119" s="34" t="str">
        <f t="shared" si="7"/>
        <v>B1G2</v>
      </c>
      <c r="P119" s="36" t="s">
        <v>2569</v>
      </c>
    </row>
    <row r="120" spans="1:16" x14ac:dyDescent="0.35">
      <c r="A120" s="34" t="str">
        <f t="shared" si="6"/>
        <v>2024 JULY-SEP B1G2</v>
      </c>
      <c r="B120" s="35">
        <f t="shared" si="6"/>
        <v>46086</v>
      </c>
      <c r="C120" s="35">
        <f t="shared" si="5"/>
        <v>46092</v>
      </c>
      <c r="D120" s="34">
        <v>3281</v>
      </c>
      <c r="E120" s="34">
        <v>337</v>
      </c>
      <c r="F120" s="34">
        <v>4</v>
      </c>
      <c r="G120" s="34">
        <v>5</v>
      </c>
      <c r="H120" s="34">
        <v>81506</v>
      </c>
      <c r="I120" s="34" t="s">
        <v>17</v>
      </c>
      <c r="J120" s="34">
        <v>50037511</v>
      </c>
      <c r="K120" s="34" t="s">
        <v>4457</v>
      </c>
      <c r="L120" s="40" t="s">
        <v>4460</v>
      </c>
      <c r="M120" s="36">
        <v>259900</v>
      </c>
      <c r="N120" s="36" t="s">
        <v>2569</v>
      </c>
      <c r="O120" s="34" t="str">
        <f t="shared" si="7"/>
        <v>B1G2</v>
      </c>
      <c r="P120" s="36" t="s">
        <v>2569</v>
      </c>
    </row>
    <row r="121" spans="1:16" x14ac:dyDescent="0.35">
      <c r="A121" s="34" t="str">
        <f t="shared" si="6"/>
        <v>2024 JULY-SEP B1G2</v>
      </c>
      <c r="B121" s="35">
        <f t="shared" si="6"/>
        <v>46086</v>
      </c>
      <c r="C121" s="35">
        <f t="shared" si="5"/>
        <v>46092</v>
      </c>
      <c r="D121" s="34">
        <v>3281</v>
      </c>
      <c r="E121" s="34">
        <v>337</v>
      </c>
      <c r="F121" s="34">
        <v>4</v>
      </c>
      <c r="G121" s="34">
        <v>5</v>
      </c>
      <c r="H121" s="34">
        <v>81506</v>
      </c>
      <c r="I121" s="34" t="s">
        <v>17</v>
      </c>
      <c r="J121" s="34">
        <v>50037520</v>
      </c>
      <c r="K121" s="34" t="s">
        <v>4457</v>
      </c>
      <c r="L121" s="40" t="s">
        <v>4461</v>
      </c>
      <c r="M121" s="36">
        <v>259900</v>
      </c>
      <c r="N121" s="36" t="s">
        <v>2569</v>
      </c>
      <c r="O121" s="34" t="str">
        <f t="shared" si="7"/>
        <v>B1G2</v>
      </c>
      <c r="P121" s="36" t="s">
        <v>2569</v>
      </c>
    </row>
    <row r="122" spans="1:16" x14ac:dyDescent="0.35">
      <c r="A122" s="34" t="str">
        <f t="shared" si="6"/>
        <v>2024 JULY-SEP B1G2</v>
      </c>
      <c r="B122" s="35">
        <f t="shared" si="6"/>
        <v>46086</v>
      </c>
      <c r="C122" s="35">
        <f t="shared" si="5"/>
        <v>46092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22444455</v>
      </c>
      <c r="K122" s="34" t="s">
        <v>4462</v>
      </c>
      <c r="L122" s="40" t="s">
        <v>4463</v>
      </c>
      <c r="M122" s="36">
        <v>259900</v>
      </c>
      <c r="N122" s="36" t="s">
        <v>2569</v>
      </c>
      <c r="O122" s="34" t="str">
        <f t="shared" si="7"/>
        <v>B1G2</v>
      </c>
      <c r="P122" s="36" t="s">
        <v>2569</v>
      </c>
    </row>
    <row r="123" spans="1:16" x14ac:dyDescent="0.35">
      <c r="A123" s="34" t="str">
        <f t="shared" si="6"/>
        <v>2024 JULY-SEP B1G2</v>
      </c>
      <c r="B123" s="35">
        <f t="shared" si="6"/>
        <v>46086</v>
      </c>
      <c r="C123" s="35">
        <f t="shared" si="5"/>
        <v>46092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22444473</v>
      </c>
      <c r="K123" s="34" t="s">
        <v>4462</v>
      </c>
      <c r="L123" s="40" t="s">
        <v>4464</v>
      </c>
      <c r="M123" s="36">
        <v>259900</v>
      </c>
      <c r="N123" s="36" t="s">
        <v>2569</v>
      </c>
      <c r="O123" s="34" t="str">
        <f t="shared" si="7"/>
        <v>B1G2</v>
      </c>
      <c r="P123" s="36" t="s">
        <v>2569</v>
      </c>
    </row>
    <row r="124" spans="1:16" x14ac:dyDescent="0.35">
      <c r="A124" s="34" t="str">
        <f t="shared" si="6"/>
        <v>2024 JULY-SEP B1G2</v>
      </c>
      <c r="B124" s="35">
        <f t="shared" si="6"/>
        <v>46086</v>
      </c>
      <c r="C124" s="35">
        <f t="shared" si="5"/>
        <v>46092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22444482</v>
      </c>
      <c r="K124" s="34" t="s">
        <v>4462</v>
      </c>
      <c r="L124" s="40" t="s">
        <v>4465</v>
      </c>
      <c r="M124" s="36">
        <v>259900</v>
      </c>
      <c r="N124" s="36" t="s">
        <v>2569</v>
      </c>
      <c r="O124" s="34" t="str">
        <f t="shared" si="7"/>
        <v>B1G2</v>
      </c>
      <c r="P124" s="36" t="s">
        <v>2569</v>
      </c>
    </row>
    <row r="125" spans="1:16" x14ac:dyDescent="0.35">
      <c r="A125" s="34" t="str">
        <f t="shared" si="6"/>
        <v>2024 JULY-SEP B1G2</v>
      </c>
      <c r="B125" s="35">
        <f t="shared" si="6"/>
        <v>46086</v>
      </c>
      <c r="C125" s="35">
        <f t="shared" si="5"/>
        <v>46092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22444464</v>
      </c>
      <c r="K125" s="34" t="s">
        <v>4462</v>
      </c>
      <c r="L125" s="40" t="s">
        <v>4466</v>
      </c>
      <c r="M125" s="36">
        <v>259900</v>
      </c>
      <c r="N125" s="36" t="s">
        <v>2569</v>
      </c>
      <c r="O125" s="34" t="str">
        <f t="shared" si="7"/>
        <v>B1G2</v>
      </c>
      <c r="P125" s="36" t="s">
        <v>2569</v>
      </c>
    </row>
    <row r="126" spans="1:16" x14ac:dyDescent="0.35">
      <c r="A126" s="34" t="str">
        <f t="shared" si="6"/>
        <v>2024 JULY-SEP B1G2</v>
      </c>
      <c r="B126" s="35">
        <f t="shared" si="6"/>
        <v>46086</v>
      </c>
      <c r="C126" s="35">
        <f t="shared" si="5"/>
        <v>46092</v>
      </c>
      <c r="D126" s="34">
        <v>3281</v>
      </c>
      <c r="E126" s="34">
        <v>337</v>
      </c>
      <c r="F126" s="34">
        <v>4</v>
      </c>
      <c r="G126" s="34">
        <v>5</v>
      </c>
      <c r="H126" s="34">
        <v>81146</v>
      </c>
      <c r="I126" s="34" t="s">
        <v>17</v>
      </c>
      <c r="J126" s="34">
        <v>50130535</v>
      </c>
      <c r="K126" s="34" t="s">
        <v>4467</v>
      </c>
      <c r="L126" s="40" t="s">
        <v>4468</v>
      </c>
      <c r="M126" s="36">
        <v>299900</v>
      </c>
      <c r="N126" s="36" t="s">
        <v>2569</v>
      </c>
      <c r="O126" s="34" t="str">
        <f t="shared" si="7"/>
        <v>B1G2</v>
      </c>
      <c r="P126" s="36" t="s">
        <v>2569</v>
      </c>
    </row>
    <row r="127" spans="1:16" x14ac:dyDescent="0.35">
      <c r="A127" s="34" t="str">
        <f t="shared" si="6"/>
        <v>2024 JULY-SEP B1G2</v>
      </c>
      <c r="B127" s="35">
        <f t="shared" si="6"/>
        <v>46086</v>
      </c>
      <c r="C127" s="35">
        <f t="shared" si="5"/>
        <v>46092</v>
      </c>
      <c r="D127" s="34">
        <v>3281</v>
      </c>
      <c r="E127" s="34">
        <v>337</v>
      </c>
      <c r="F127" s="34">
        <v>4</v>
      </c>
      <c r="G127" s="34">
        <v>5</v>
      </c>
      <c r="H127" s="34">
        <v>81146</v>
      </c>
      <c r="I127" s="34" t="s">
        <v>17</v>
      </c>
      <c r="J127" s="34">
        <v>50130526</v>
      </c>
      <c r="K127" s="34" t="s">
        <v>4467</v>
      </c>
      <c r="L127" s="40" t="s">
        <v>4469</v>
      </c>
      <c r="M127" s="36">
        <v>299900</v>
      </c>
      <c r="N127" s="36" t="s">
        <v>2569</v>
      </c>
      <c r="O127" s="34" t="str">
        <f t="shared" si="7"/>
        <v>B1G2</v>
      </c>
      <c r="P127" s="36" t="s">
        <v>2569</v>
      </c>
    </row>
    <row r="128" spans="1:16" x14ac:dyDescent="0.35">
      <c r="A128" s="34" t="str">
        <f t="shared" si="6"/>
        <v>2024 JULY-SEP B1G2</v>
      </c>
      <c r="B128" s="35">
        <f t="shared" si="6"/>
        <v>46086</v>
      </c>
      <c r="C128" s="35">
        <f t="shared" si="5"/>
        <v>46092</v>
      </c>
      <c r="D128" s="34">
        <v>3281</v>
      </c>
      <c r="E128" s="34">
        <v>337</v>
      </c>
      <c r="F128" s="34">
        <v>4</v>
      </c>
      <c r="G128" s="34">
        <v>5</v>
      </c>
      <c r="H128" s="34">
        <v>81146</v>
      </c>
      <c r="I128" s="34" t="s">
        <v>17</v>
      </c>
      <c r="J128" s="34">
        <v>50130517</v>
      </c>
      <c r="K128" s="34" t="s">
        <v>4467</v>
      </c>
      <c r="L128" s="40" t="s">
        <v>4470</v>
      </c>
      <c r="M128" s="36">
        <v>299900</v>
      </c>
      <c r="N128" s="36" t="s">
        <v>2569</v>
      </c>
      <c r="O128" s="34" t="str">
        <f t="shared" si="7"/>
        <v>B1G2</v>
      </c>
      <c r="P128" s="36" t="s">
        <v>2569</v>
      </c>
    </row>
    <row r="129" spans="1:16" x14ac:dyDescent="0.35">
      <c r="A129" s="34" t="str">
        <f t="shared" si="6"/>
        <v>2024 JULY-SEP B1G2</v>
      </c>
      <c r="B129" s="35">
        <f t="shared" si="6"/>
        <v>46086</v>
      </c>
      <c r="C129" s="35">
        <f t="shared" si="5"/>
        <v>46092</v>
      </c>
      <c r="D129" s="34">
        <v>3281</v>
      </c>
      <c r="E129" s="34">
        <v>337</v>
      </c>
      <c r="F129" s="34">
        <v>4</v>
      </c>
      <c r="G129" s="34">
        <v>5</v>
      </c>
      <c r="H129" s="34">
        <v>81146</v>
      </c>
      <c r="I129" s="34" t="s">
        <v>17</v>
      </c>
      <c r="J129" s="34">
        <v>50130544</v>
      </c>
      <c r="K129" s="34" t="s">
        <v>4467</v>
      </c>
      <c r="L129" s="40" t="s">
        <v>4471</v>
      </c>
      <c r="M129" s="36">
        <v>299900</v>
      </c>
      <c r="N129" s="36" t="s">
        <v>2569</v>
      </c>
      <c r="O129" s="34" t="str">
        <f t="shared" si="7"/>
        <v>B1G2</v>
      </c>
      <c r="P129" s="36" t="s">
        <v>2569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293-27D0-4ED1-98AA-CE3EEFC7267D}">
  <dimension ref="A1:P201"/>
  <sheetViews>
    <sheetView zoomScale="63" zoomScaleNormal="100" workbookViewId="0">
      <pane ySplit="1" topLeftCell="A182" activePane="bottomLeft" state="frozen"/>
      <selection activeCell="B2" sqref="B2:C2"/>
      <selection pane="bottomLeft" activeCell="K203" sqref="K203"/>
    </sheetView>
  </sheetViews>
  <sheetFormatPr defaultColWidth="8.7265625" defaultRowHeight="14.5" x14ac:dyDescent="0.35"/>
  <cols>
    <col min="1" max="1" width="24.269531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1.453125" style="33" customWidth="1"/>
    <col min="12" max="12" width="88.54296875" style="19" customWidth="1"/>
    <col min="13" max="13" width="17.26953125" style="39" customWidth="1"/>
    <col min="14" max="14" width="9.26953125" style="5" customWidth="1"/>
    <col min="15" max="15" width="16.26953125" style="39" customWidth="1"/>
    <col min="16" max="16" width="16.2695312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35">
        <f>'2023 JUN-DEC D90 - 3321'!B2</f>
        <v>46086</v>
      </c>
      <c r="C2" s="35">
        <f>'2023 JUN-DEC D90 - 3321'!C2</f>
        <v>46092</v>
      </c>
      <c r="D2" s="34">
        <v>3281</v>
      </c>
      <c r="E2" s="34">
        <v>337</v>
      </c>
      <c r="F2" s="34">
        <v>4</v>
      </c>
      <c r="G2" s="34">
        <v>1</v>
      </c>
      <c r="H2" s="34">
        <v>81146</v>
      </c>
      <c r="I2" s="34" t="s">
        <v>17</v>
      </c>
      <c r="J2" s="34">
        <v>15372117</v>
      </c>
      <c r="K2" s="34" t="s">
        <v>2854</v>
      </c>
      <c r="L2" s="40" t="s">
        <v>2855</v>
      </c>
      <c r="M2" s="36">
        <v>149900</v>
      </c>
      <c r="N2" s="37">
        <v>0.7</v>
      </c>
      <c r="O2" s="36">
        <f>M2-((70*M2))/100</f>
        <v>44970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46086</v>
      </c>
      <c r="C3" s="35">
        <f>C2</f>
        <v>46092</v>
      </c>
      <c r="D3" s="34">
        <v>3281</v>
      </c>
      <c r="E3" s="34">
        <v>337</v>
      </c>
      <c r="F3" s="34">
        <v>4</v>
      </c>
      <c r="G3" s="34">
        <v>1</v>
      </c>
      <c r="H3" s="34">
        <v>81146</v>
      </c>
      <c r="I3" s="34" t="s">
        <v>17</v>
      </c>
      <c r="J3" s="34">
        <v>15372126</v>
      </c>
      <c r="K3" s="34" t="s">
        <v>2854</v>
      </c>
      <c r="L3" s="40" t="s">
        <v>2856</v>
      </c>
      <c r="M3" s="36">
        <v>149900</v>
      </c>
      <c r="N3" s="37">
        <f>N2</f>
        <v>0.7</v>
      </c>
      <c r="O3" s="36">
        <f t="shared" ref="O3:O66" si="0">M3-((70*M3))/100</f>
        <v>44970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46086</v>
      </c>
      <c r="C4" s="35">
        <f t="shared" si="1"/>
        <v>46092</v>
      </c>
      <c r="D4" s="34">
        <v>3281</v>
      </c>
      <c r="E4" s="34">
        <v>337</v>
      </c>
      <c r="F4" s="34">
        <v>4</v>
      </c>
      <c r="G4" s="34">
        <v>1</v>
      </c>
      <c r="H4" s="34">
        <v>81146</v>
      </c>
      <c r="I4" s="34" t="s">
        <v>17</v>
      </c>
      <c r="J4" s="34">
        <v>15372135</v>
      </c>
      <c r="K4" s="34" t="s">
        <v>2854</v>
      </c>
      <c r="L4" s="40" t="s">
        <v>2857</v>
      </c>
      <c r="M4" s="36">
        <v>149900</v>
      </c>
      <c r="N4" s="37">
        <f t="shared" ref="N4:N67" si="2">N3</f>
        <v>0.7</v>
      </c>
      <c r="O4" s="36">
        <f t="shared" si="0"/>
        <v>44970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46086</v>
      </c>
      <c r="C5" s="35">
        <f t="shared" si="1"/>
        <v>46092</v>
      </c>
      <c r="D5" s="34">
        <v>3281</v>
      </c>
      <c r="E5" s="34">
        <v>337</v>
      </c>
      <c r="F5" s="34">
        <v>4</v>
      </c>
      <c r="G5" s="34">
        <v>1</v>
      </c>
      <c r="H5" s="34">
        <v>81146</v>
      </c>
      <c r="I5" s="34" t="s">
        <v>17</v>
      </c>
      <c r="J5" s="34">
        <v>15372144</v>
      </c>
      <c r="K5" s="34" t="s">
        <v>2854</v>
      </c>
      <c r="L5" s="40" t="s">
        <v>2858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46086</v>
      </c>
      <c r="C6" s="35">
        <f t="shared" si="1"/>
        <v>46092</v>
      </c>
      <c r="D6" s="34">
        <v>3281</v>
      </c>
      <c r="E6" s="34">
        <v>337</v>
      </c>
      <c r="F6" s="34">
        <v>4</v>
      </c>
      <c r="G6" s="34">
        <v>1</v>
      </c>
      <c r="H6" s="34">
        <v>81146</v>
      </c>
      <c r="I6" s="34" t="s">
        <v>17</v>
      </c>
      <c r="J6" s="34">
        <v>16418414</v>
      </c>
      <c r="K6" s="34" t="s">
        <v>2859</v>
      </c>
      <c r="L6" s="40" t="s">
        <v>2860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46086</v>
      </c>
      <c r="C7" s="35">
        <f t="shared" si="1"/>
        <v>46092</v>
      </c>
      <c r="D7" s="34">
        <v>3281</v>
      </c>
      <c r="E7" s="34">
        <v>337</v>
      </c>
      <c r="F7" s="34">
        <v>4</v>
      </c>
      <c r="G7" s="34">
        <v>1</v>
      </c>
      <c r="H7" s="34">
        <v>81146</v>
      </c>
      <c r="I7" s="34" t="s">
        <v>17</v>
      </c>
      <c r="J7" s="34">
        <v>16418423</v>
      </c>
      <c r="K7" s="34" t="s">
        <v>2859</v>
      </c>
      <c r="L7" s="40" t="s">
        <v>2861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46086</v>
      </c>
      <c r="C8" s="35">
        <f t="shared" si="1"/>
        <v>46092</v>
      </c>
      <c r="D8" s="34">
        <v>3281</v>
      </c>
      <c r="E8" s="34">
        <v>337</v>
      </c>
      <c r="F8" s="34">
        <v>4</v>
      </c>
      <c r="G8" s="34">
        <v>1</v>
      </c>
      <c r="H8" s="34">
        <v>81146</v>
      </c>
      <c r="I8" s="34" t="s">
        <v>17</v>
      </c>
      <c r="J8" s="34">
        <v>16418441</v>
      </c>
      <c r="K8" s="34" t="s">
        <v>2859</v>
      </c>
      <c r="L8" s="40" t="s">
        <v>2862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46086</v>
      </c>
      <c r="C9" s="35">
        <f t="shared" si="1"/>
        <v>46092</v>
      </c>
      <c r="D9" s="34">
        <v>3281</v>
      </c>
      <c r="E9" s="34">
        <v>337</v>
      </c>
      <c r="F9" s="34">
        <v>4</v>
      </c>
      <c r="G9" s="34">
        <v>1</v>
      </c>
      <c r="H9" s="34">
        <v>81421</v>
      </c>
      <c r="I9" s="34" t="s">
        <v>17</v>
      </c>
      <c r="J9" s="34">
        <v>16418450</v>
      </c>
      <c r="K9" s="34" t="s">
        <v>2863</v>
      </c>
      <c r="L9" s="40" t="s">
        <v>2864</v>
      </c>
      <c r="M9" s="36">
        <v>189900</v>
      </c>
      <c r="N9" s="37">
        <f t="shared" si="2"/>
        <v>0.7</v>
      </c>
      <c r="O9" s="36">
        <f t="shared" si="0"/>
        <v>56970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46086</v>
      </c>
      <c r="C10" s="35">
        <f t="shared" si="1"/>
        <v>46092</v>
      </c>
      <c r="D10" s="34">
        <v>3281</v>
      </c>
      <c r="E10" s="34">
        <v>337</v>
      </c>
      <c r="F10" s="34">
        <v>4</v>
      </c>
      <c r="G10" s="34">
        <v>1</v>
      </c>
      <c r="H10" s="34">
        <v>81421</v>
      </c>
      <c r="I10" s="34" t="s">
        <v>17</v>
      </c>
      <c r="J10" s="34">
        <v>16418469</v>
      </c>
      <c r="K10" s="34" t="s">
        <v>2863</v>
      </c>
      <c r="L10" s="40" t="s">
        <v>2865</v>
      </c>
      <c r="M10" s="36">
        <v>189900</v>
      </c>
      <c r="N10" s="37">
        <f t="shared" si="2"/>
        <v>0.7</v>
      </c>
      <c r="O10" s="36">
        <f t="shared" si="0"/>
        <v>56970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46086</v>
      </c>
      <c r="C11" s="35">
        <f t="shared" si="1"/>
        <v>46092</v>
      </c>
      <c r="D11" s="34">
        <v>3281</v>
      </c>
      <c r="E11" s="34">
        <v>337</v>
      </c>
      <c r="F11" s="34">
        <v>4</v>
      </c>
      <c r="G11" s="34">
        <v>1</v>
      </c>
      <c r="H11" s="34">
        <v>81421</v>
      </c>
      <c r="I11" s="34" t="s">
        <v>17</v>
      </c>
      <c r="J11" s="34">
        <v>16418487</v>
      </c>
      <c r="K11" s="34" t="s">
        <v>2863</v>
      </c>
      <c r="L11" s="40" t="s">
        <v>2866</v>
      </c>
      <c r="M11" s="36">
        <v>189900</v>
      </c>
      <c r="N11" s="37">
        <f t="shared" si="2"/>
        <v>0.7</v>
      </c>
      <c r="O11" s="36">
        <f t="shared" si="0"/>
        <v>56970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46086</v>
      </c>
      <c r="C12" s="35">
        <f t="shared" si="1"/>
        <v>46092</v>
      </c>
      <c r="D12" s="34">
        <v>3281</v>
      </c>
      <c r="E12" s="34">
        <v>337</v>
      </c>
      <c r="F12" s="34">
        <v>4</v>
      </c>
      <c r="G12" s="34">
        <v>1</v>
      </c>
      <c r="H12" s="34">
        <v>80920</v>
      </c>
      <c r="I12" s="34" t="s">
        <v>17</v>
      </c>
      <c r="J12" s="34">
        <v>13493204</v>
      </c>
      <c r="K12" s="34" t="s">
        <v>2867</v>
      </c>
      <c r="L12" s="40" t="s">
        <v>2868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46086</v>
      </c>
      <c r="C13" s="35">
        <f t="shared" si="1"/>
        <v>46092</v>
      </c>
      <c r="D13" s="34">
        <v>3281</v>
      </c>
      <c r="E13" s="34">
        <v>337</v>
      </c>
      <c r="F13" s="34">
        <v>4</v>
      </c>
      <c r="G13" s="34">
        <v>1</v>
      </c>
      <c r="H13" s="34">
        <v>80920</v>
      </c>
      <c r="I13" s="34" t="s">
        <v>17</v>
      </c>
      <c r="J13" s="34">
        <v>13493213</v>
      </c>
      <c r="K13" s="34" t="s">
        <v>2867</v>
      </c>
      <c r="L13" s="40" t="s">
        <v>2869</v>
      </c>
      <c r="M13" s="36">
        <v>149900</v>
      </c>
      <c r="N13" s="37">
        <f t="shared" si="2"/>
        <v>0.7</v>
      </c>
      <c r="O13" s="36">
        <f t="shared" si="0"/>
        <v>44970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46086</v>
      </c>
      <c r="C14" s="35">
        <f t="shared" si="1"/>
        <v>46092</v>
      </c>
      <c r="D14" s="34">
        <v>3281</v>
      </c>
      <c r="E14" s="34">
        <v>337</v>
      </c>
      <c r="F14" s="34">
        <v>4</v>
      </c>
      <c r="G14" s="34">
        <v>1</v>
      </c>
      <c r="H14" s="34">
        <v>80920</v>
      </c>
      <c r="I14" s="34" t="s">
        <v>17</v>
      </c>
      <c r="J14" s="34">
        <v>13493222</v>
      </c>
      <c r="K14" s="34" t="s">
        <v>2867</v>
      </c>
      <c r="L14" s="40" t="s">
        <v>2870</v>
      </c>
      <c r="M14" s="36">
        <v>149900</v>
      </c>
      <c r="N14" s="37">
        <f t="shared" si="2"/>
        <v>0.7</v>
      </c>
      <c r="O14" s="36">
        <f t="shared" si="0"/>
        <v>44970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46086</v>
      </c>
      <c r="C15" s="35">
        <f t="shared" si="1"/>
        <v>46092</v>
      </c>
      <c r="D15" s="34">
        <v>3281</v>
      </c>
      <c r="E15" s="34">
        <v>337</v>
      </c>
      <c r="F15" s="34">
        <v>4</v>
      </c>
      <c r="G15" s="34">
        <v>1</v>
      </c>
      <c r="H15" s="34">
        <v>80920</v>
      </c>
      <c r="I15" s="34" t="s">
        <v>17</v>
      </c>
      <c r="J15" s="34">
        <v>13493231</v>
      </c>
      <c r="K15" s="34" t="s">
        <v>2867</v>
      </c>
      <c r="L15" s="40" t="s">
        <v>2871</v>
      </c>
      <c r="M15" s="36">
        <v>149900</v>
      </c>
      <c r="N15" s="37">
        <f t="shared" si="2"/>
        <v>0.7</v>
      </c>
      <c r="O15" s="36">
        <f t="shared" si="0"/>
        <v>44970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46086</v>
      </c>
      <c r="C16" s="35">
        <f t="shared" si="1"/>
        <v>46092</v>
      </c>
      <c r="D16" s="34">
        <v>3281</v>
      </c>
      <c r="E16" s="34">
        <v>337</v>
      </c>
      <c r="F16" s="34">
        <v>4</v>
      </c>
      <c r="G16" s="34">
        <v>1</v>
      </c>
      <c r="H16" s="34">
        <v>80920</v>
      </c>
      <c r="I16" s="34" t="s">
        <v>17</v>
      </c>
      <c r="J16" s="34">
        <v>15634487</v>
      </c>
      <c r="K16" s="34" t="s">
        <v>2872</v>
      </c>
      <c r="L16" s="40" t="s">
        <v>2873</v>
      </c>
      <c r="M16" s="36">
        <v>189900</v>
      </c>
      <c r="N16" s="37">
        <f t="shared" si="2"/>
        <v>0.7</v>
      </c>
      <c r="O16" s="36">
        <f t="shared" si="0"/>
        <v>56970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46086</v>
      </c>
      <c r="C17" s="35">
        <f t="shared" si="1"/>
        <v>46092</v>
      </c>
      <c r="D17" s="34">
        <v>3281</v>
      </c>
      <c r="E17" s="34">
        <v>337</v>
      </c>
      <c r="F17" s="34">
        <v>4</v>
      </c>
      <c r="G17" s="34">
        <v>1</v>
      </c>
      <c r="H17" s="34">
        <v>80920</v>
      </c>
      <c r="I17" s="34" t="s">
        <v>17</v>
      </c>
      <c r="J17" s="34">
        <v>15634496</v>
      </c>
      <c r="K17" s="34" t="s">
        <v>2872</v>
      </c>
      <c r="L17" s="40" t="s">
        <v>2874</v>
      </c>
      <c r="M17" s="36">
        <v>189900</v>
      </c>
      <c r="N17" s="37">
        <f t="shared" si="2"/>
        <v>0.7</v>
      </c>
      <c r="O17" s="36">
        <f t="shared" si="0"/>
        <v>56970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46086</v>
      </c>
      <c r="C18" s="35">
        <f t="shared" si="1"/>
        <v>46092</v>
      </c>
      <c r="D18" s="34">
        <v>3281</v>
      </c>
      <c r="E18" s="34">
        <v>337</v>
      </c>
      <c r="F18" s="34">
        <v>4</v>
      </c>
      <c r="G18" s="34">
        <v>1</v>
      </c>
      <c r="H18" s="34">
        <v>80920</v>
      </c>
      <c r="I18" s="34" t="s">
        <v>17</v>
      </c>
      <c r="J18" s="34">
        <v>15634503</v>
      </c>
      <c r="K18" s="34" t="s">
        <v>2872</v>
      </c>
      <c r="L18" s="40" t="s">
        <v>2875</v>
      </c>
      <c r="M18" s="36">
        <v>189900</v>
      </c>
      <c r="N18" s="37">
        <f t="shared" si="2"/>
        <v>0.7</v>
      </c>
      <c r="O18" s="36">
        <f t="shared" si="0"/>
        <v>56970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46086</v>
      </c>
      <c r="C19" s="35">
        <f t="shared" si="1"/>
        <v>46092</v>
      </c>
      <c r="D19" s="34">
        <v>3281</v>
      </c>
      <c r="E19" s="34">
        <v>337</v>
      </c>
      <c r="F19" s="34">
        <v>4</v>
      </c>
      <c r="G19" s="34">
        <v>1</v>
      </c>
      <c r="H19" s="34">
        <v>80920</v>
      </c>
      <c r="I19" s="34" t="s">
        <v>17</v>
      </c>
      <c r="J19" s="34">
        <v>15634512</v>
      </c>
      <c r="K19" s="34" t="s">
        <v>2872</v>
      </c>
      <c r="L19" s="40" t="s">
        <v>2876</v>
      </c>
      <c r="M19" s="36">
        <v>189900</v>
      </c>
      <c r="N19" s="37">
        <f t="shared" si="2"/>
        <v>0.7</v>
      </c>
      <c r="O19" s="36">
        <f t="shared" si="0"/>
        <v>56970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46086</v>
      </c>
      <c r="C20" s="35">
        <f t="shared" si="1"/>
        <v>46092</v>
      </c>
      <c r="D20" s="34">
        <v>3281</v>
      </c>
      <c r="E20" s="34">
        <v>337</v>
      </c>
      <c r="F20" s="34">
        <v>4</v>
      </c>
      <c r="G20" s="34">
        <v>1</v>
      </c>
      <c r="H20" s="34">
        <v>80920</v>
      </c>
      <c r="I20" s="34" t="s">
        <v>17</v>
      </c>
      <c r="J20" s="34">
        <v>15634521</v>
      </c>
      <c r="K20" s="34" t="s">
        <v>2877</v>
      </c>
      <c r="L20" s="40" t="s">
        <v>2878</v>
      </c>
      <c r="M20" s="36">
        <v>189900</v>
      </c>
      <c r="N20" s="37">
        <f t="shared" si="2"/>
        <v>0.7</v>
      </c>
      <c r="O20" s="36">
        <f t="shared" si="0"/>
        <v>56970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46086</v>
      </c>
      <c r="C21" s="35">
        <f t="shared" si="1"/>
        <v>46092</v>
      </c>
      <c r="D21" s="34">
        <v>3281</v>
      </c>
      <c r="E21" s="34">
        <v>337</v>
      </c>
      <c r="F21" s="34">
        <v>4</v>
      </c>
      <c r="G21" s="34">
        <v>1</v>
      </c>
      <c r="H21" s="34">
        <v>80920</v>
      </c>
      <c r="I21" s="34" t="s">
        <v>17</v>
      </c>
      <c r="J21" s="34">
        <v>15634530</v>
      </c>
      <c r="K21" s="34" t="s">
        <v>2877</v>
      </c>
      <c r="L21" s="40" t="s">
        <v>2879</v>
      </c>
      <c r="M21" s="36">
        <v>189900</v>
      </c>
      <c r="N21" s="37">
        <f t="shared" si="2"/>
        <v>0.7</v>
      </c>
      <c r="O21" s="36">
        <f t="shared" si="0"/>
        <v>56970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46086</v>
      </c>
      <c r="C22" s="35">
        <f t="shared" si="1"/>
        <v>46092</v>
      </c>
      <c r="D22" s="34">
        <v>3281</v>
      </c>
      <c r="E22" s="34">
        <v>337</v>
      </c>
      <c r="F22" s="34">
        <v>4</v>
      </c>
      <c r="G22" s="34">
        <v>1</v>
      </c>
      <c r="H22" s="34">
        <v>80920</v>
      </c>
      <c r="I22" s="34" t="s">
        <v>17</v>
      </c>
      <c r="J22" s="34">
        <v>15634549</v>
      </c>
      <c r="K22" s="34" t="s">
        <v>2877</v>
      </c>
      <c r="L22" s="40" t="s">
        <v>2880</v>
      </c>
      <c r="M22" s="36">
        <v>189900</v>
      </c>
      <c r="N22" s="37">
        <f t="shared" si="2"/>
        <v>0.7</v>
      </c>
      <c r="O22" s="36">
        <f t="shared" si="0"/>
        <v>56970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46086</v>
      </c>
      <c r="C23" s="35">
        <f t="shared" si="1"/>
        <v>46092</v>
      </c>
      <c r="D23" s="34">
        <v>3281</v>
      </c>
      <c r="E23" s="34">
        <v>337</v>
      </c>
      <c r="F23" s="34">
        <v>4</v>
      </c>
      <c r="G23" s="34">
        <v>1</v>
      </c>
      <c r="H23" s="34">
        <v>80920</v>
      </c>
      <c r="I23" s="34" t="s">
        <v>17</v>
      </c>
      <c r="J23" s="34">
        <v>15634558</v>
      </c>
      <c r="K23" s="34" t="s">
        <v>2877</v>
      </c>
      <c r="L23" s="40" t="s">
        <v>2881</v>
      </c>
      <c r="M23" s="36">
        <v>189900</v>
      </c>
      <c r="N23" s="37">
        <f t="shared" si="2"/>
        <v>0.7</v>
      </c>
      <c r="O23" s="36">
        <f t="shared" si="0"/>
        <v>56970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46086</v>
      </c>
      <c r="C24" s="35">
        <f t="shared" si="1"/>
        <v>46092</v>
      </c>
      <c r="D24" s="34">
        <v>3281</v>
      </c>
      <c r="E24" s="34">
        <v>337</v>
      </c>
      <c r="F24" s="34">
        <v>4</v>
      </c>
      <c r="G24" s="34">
        <v>1</v>
      </c>
      <c r="H24" s="34">
        <v>81676</v>
      </c>
      <c r="I24" s="34" t="s">
        <v>17</v>
      </c>
      <c r="J24" s="34">
        <v>15372233</v>
      </c>
      <c r="K24" s="34" t="s">
        <v>2882</v>
      </c>
      <c r="L24" s="40" t="s">
        <v>2883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46086</v>
      </c>
      <c r="C25" s="35">
        <f t="shared" si="1"/>
        <v>46092</v>
      </c>
      <c r="D25" s="34">
        <v>3281</v>
      </c>
      <c r="E25" s="34">
        <v>337</v>
      </c>
      <c r="F25" s="34">
        <v>4</v>
      </c>
      <c r="G25" s="34">
        <v>1</v>
      </c>
      <c r="H25" s="34">
        <v>81676</v>
      </c>
      <c r="I25" s="34" t="s">
        <v>17</v>
      </c>
      <c r="J25" s="34">
        <v>15372242</v>
      </c>
      <c r="K25" s="34" t="s">
        <v>2882</v>
      </c>
      <c r="L25" s="40" t="s">
        <v>2884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46086</v>
      </c>
      <c r="C26" s="35">
        <f t="shared" si="1"/>
        <v>46092</v>
      </c>
      <c r="D26" s="34">
        <v>3281</v>
      </c>
      <c r="E26" s="34">
        <v>337</v>
      </c>
      <c r="F26" s="34">
        <v>4</v>
      </c>
      <c r="G26" s="34">
        <v>1</v>
      </c>
      <c r="H26" s="34">
        <v>81676</v>
      </c>
      <c r="I26" s="34" t="s">
        <v>17</v>
      </c>
      <c r="J26" s="34">
        <v>15372260</v>
      </c>
      <c r="K26" s="34" t="s">
        <v>2882</v>
      </c>
      <c r="L26" s="40" t="s">
        <v>2885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46086</v>
      </c>
      <c r="C27" s="35">
        <f t="shared" si="1"/>
        <v>46092</v>
      </c>
      <c r="D27" s="34">
        <v>3281</v>
      </c>
      <c r="E27" s="34">
        <v>337</v>
      </c>
      <c r="F27" s="34">
        <v>4</v>
      </c>
      <c r="G27" s="34">
        <v>3</v>
      </c>
      <c r="H27" s="34">
        <v>81146</v>
      </c>
      <c r="I27" s="34" t="s">
        <v>17</v>
      </c>
      <c r="J27" s="34">
        <v>15372153</v>
      </c>
      <c r="K27" s="34" t="s">
        <v>2886</v>
      </c>
      <c r="L27" s="40" t="s">
        <v>2887</v>
      </c>
      <c r="M27" s="36">
        <v>249900</v>
      </c>
      <c r="N27" s="37">
        <f t="shared" si="2"/>
        <v>0.7</v>
      </c>
      <c r="O27" s="36">
        <f t="shared" si="0"/>
        <v>74970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46086</v>
      </c>
      <c r="C28" s="35">
        <f t="shared" si="1"/>
        <v>46092</v>
      </c>
      <c r="D28" s="34">
        <v>3281</v>
      </c>
      <c r="E28" s="34">
        <v>337</v>
      </c>
      <c r="F28" s="34">
        <v>4</v>
      </c>
      <c r="G28" s="34">
        <v>3</v>
      </c>
      <c r="H28" s="34">
        <v>81146</v>
      </c>
      <c r="I28" s="34" t="s">
        <v>17</v>
      </c>
      <c r="J28" s="34">
        <v>15372162</v>
      </c>
      <c r="K28" s="34" t="s">
        <v>2886</v>
      </c>
      <c r="L28" s="40" t="s">
        <v>2888</v>
      </c>
      <c r="M28" s="36">
        <v>249900</v>
      </c>
      <c r="N28" s="37">
        <f t="shared" si="2"/>
        <v>0.7</v>
      </c>
      <c r="O28" s="36">
        <f t="shared" si="0"/>
        <v>74970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46086</v>
      </c>
      <c r="C29" s="35">
        <f t="shared" si="1"/>
        <v>46092</v>
      </c>
      <c r="D29" s="34">
        <v>3281</v>
      </c>
      <c r="E29" s="34">
        <v>337</v>
      </c>
      <c r="F29" s="34">
        <v>4</v>
      </c>
      <c r="G29" s="34">
        <v>3</v>
      </c>
      <c r="H29" s="34">
        <v>81146</v>
      </c>
      <c r="I29" s="34" t="s">
        <v>17</v>
      </c>
      <c r="J29" s="34">
        <v>15372171</v>
      </c>
      <c r="K29" s="34" t="s">
        <v>2886</v>
      </c>
      <c r="L29" s="40" t="s">
        <v>2889</v>
      </c>
      <c r="M29" s="36">
        <v>249900</v>
      </c>
      <c r="N29" s="37">
        <f t="shared" si="2"/>
        <v>0.7</v>
      </c>
      <c r="O29" s="36">
        <f t="shared" si="0"/>
        <v>74970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46086</v>
      </c>
      <c r="C30" s="35">
        <f t="shared" si="1"/>
        <v>46092</v>
      </c>
      <c r="D30" s="34">
        <v>3281</v>
      </c>
      <c r="E30" s="34">
        <v>337</v>
      </c>
      <c r="F30" s="34">
        <v>4</v>
      </c>
      <c r="G30" s="34">
        <v>3</v>
      </c>
      <c r="H30" s="34">
        <v>81146</v>
      </c>
      <c r="I30" s="34" t="s">
        <v>17</v>
      </c>
      <c r="J30" s="34">
        <v>15372180</v>
      </c>
      <c r="K30" s="34" t="s">
        <v>2886</v>
      </c>
      <c r="L30" s="40" t="s">
        <v>2890</v>
      </c>
      <c r="M30" s="36">
        <v>249900</v>
      </c>
      <c r="N30" s="37">
        <f t="shared" si="2"/>
        <v>0.7</v>
      </c>
      <c r="O30" s="36">
        <f t="shared" si="0"/>
        <v>74970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46086</v>
      </c>
      <c r="C31" s="35">
        <f t="shared" si="1"/>
        <v>46092</v>
      </c>
      <c r="D31" s="34">
        <v>3281</v>
      </c>
      <c r="E31" s="34">
        <v>337</v>
      </c>
      <c r="F31" s="34">
        <v>4</v>
      </c>
      <c r="G31" s="34">
        <v>3</v>
      </c>
      <c r="H31" s="34">
        <v>80920</v>
      </c>
      <c r="I31" s="34" t="s">
        <v>17</v>
      </c>
      <c r="J31" s="34">
        <v>15371798</v>
      </c>
      <c r="K31" s="34" t="s">
        <v>2891</v>
      </c>
      <c r="L31" s="40" t="s">
        <v>2892</v>
      </c>
      <c r="M31" s="36">
        <v>239900</v>
      </c>
      <c r="N31" s="37">
        <f t="shared" si="2"/>
        <v>0.7</v>
      </c>
      <c r="O31" s="36">
        <f t="shared" si="0"/>
        <v>71970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46086</v>
      </c>
      <c r="C32" s="35">
        <f t="shared" si="1"/>
        <v>46092</v>
      </c>
      <c r="D32" s="34">
        <v>3281</v>
      </c>
      <c r="E32" s="34">
        <v>337</v>
      </c>
      <c r="F32" s="34">
        <v>4</v>
      </c>
      <c r="G32" s="34">
        <v>3</v>
      </c>
      <c r="H32" s="34">
        <v>80920</v>
      </c>
      <c r="I32" s="34" t="s">
        <v>17</v>
      </c>
      <c r="J32" s="34">
        <v>15371805</v>
      </c>
      <c r="K32" s="34" t="s">
        <v>2891</v>
      </c>
      <c r="L32" s="40" t="s">
        <v>2893</v>
      </c>
      <c r="M32" s="36">
        <v>239900</v>
      </c>
      <c r="N32" s="37">
        <f t="shared" si="2"/>
        <v>0.7</v>
      </c>
      <c r="O32" s="36">
        <f t="shared" si="0"/>
        <v>71970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46086</v>
      </c>
      <c r="C33" s="35">
        <f t="shared" si="1"/>
        <v>46092</v>
      </c>
      <c r="D33" s="34">
        <v>3281</v>
      </c>
      <c r="E33" s="34">
        <v>337</v>
      </c>
      <c r="F33" s="34">
        <v>4</v>
      </c>
      <c r="G33" s="34">
        <v>3</v>
      </c>
      <c r="H33" s="34">
        <v>80920</v>
      </c>
      <c r="I33" s="34" t="s">
        <v>17</v>
      </c>
      <c r="J33" s="34">
        <v>15371814</v>
      </c>
      <c r="K33" s="34" t="s">
        <v>2891</v>
      </c>
      <c r="L33" s="40" t="s">
        <v>2894</v>
      </c>
      <c r="M33" s="36">
        <v>239900</v>
      </c>
      <c r="N33" s="37">
        <f t="shared" si="2"/>
        <v>0.7</v>
      </c>
      <c r="O33" s="36">
        <f t="shared" si="0"/>
        <v>71970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46086</v>
      </c>
      <c r="C34" s="35">
        <f t="shared" si="1"/>
        <v>46092</v>
      </c>
      <c r="D34" s="34">
        <v>3281</v>
      </c>
      <c r="E34" s="34">
        <v>337</v>
      </c>
      <c r="F34" s="34">
        <v>4</v>
      </c>
      <c r="G34" s="34">
        <v>3</v>
      </c>
      <c r="H34" s="34">
        <v>80920</v>
      </c>
      <c r="I34" s="34" t="s">
        <v>17</v>
      </c>
      <c r="J34" s="34">
        <v>15371823</v>
      </c>
      <c r="K34" s="34" t="s">
        <v>2891</v>
      </c>
      <c r="L34" s="40" t="s">
        <v>2895</v>
      </c>
      <c r="M34" s="36">
        <v>239900</v>
      </c>
      <c r="N34" s="37">
        <f t="shared" si="2"/>
        <v>0.7</v>
      </c>
      <c r="O34" s="36">
        <f t="shared" si="0"/>
        <v>71970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46086</v>
      </c>
      <c r="C35" s="35">
        <f t="shared" si="1"/>
        <v>46092</v>
      </c>
      <c r="D35" s="34">
        <v>3281</v>
      </c>
      <c r="E35" s="34">
        <v>337</v>
      </c>
      <c r="F35" s="34">
        <v>4</v>
      </c>
      <c r="G35" s="34">
        <v>5</v>
      </c>
      <c r="H35" s="34">
        <v>81146</v>
      </c>
      <c r="I35" s="34" t="s">
        <v>17</v>
      </c>
      <c r="J35" s="34">
        <v>15634683</v>
      </c>
      <c r="K35" s="34" t="s">
        <v>2896</v>
      </c>
      <c r="L35" s="40" t="s">
        <v>2897</v>
      </c>
      <c r="M35" s="36">
        <v>269900</v>
      </c>
      <c r="N35" s="37">
        <f t="shared" si="2"/>
        <v>0.7</v>
      </c>
      <c r="O35" s="36">
        <f t="shared" si="0"/>
        <v>80970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46086</v>
      </c>
      <c r="C36" s="35">
        <f t="shared" si="1"/>
        <v>46092</v>
      </c>
      <c r="D36" s="34">
        <v>3281</v>
      </c>
      <c r="E36" s="34">
        <v>337</v>
      </c>
      <c r="F36" s="34">
        <v>4</v>
      </c>
      <c r="G36" s="34">
        <v>5</v>
      </c>
      <c r="H36" s="34">
        <v>81146</v>
      </c>
      <c r="I36" s="34" t="s">
        <v>17</v>
      </c>
      <c r="J36" s="34">
        <v>15634692</v>
      </c>
      <c r="K36" s="34" t="s">
        <v>2896</v>
      </c>
      <c r="L36" s="40" t="s">
        <v>2898</v>
      </c>
      <c r="M36" s="36">
        <v>269900</v>
      </c>
      <c r="N36" s="37">
        <f t="shared" si="2"/>
        <v>0.7</v>
      </c>
      <c r="O36" s="36">
        <f t="shared" si="0"/>
        <v>80970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46086</v>
      </c>
      <c r="C37" s="35">
        <f t="shared" si="1"/>
        <v>46092</v>
      </c>
      <c r="D37" s="34">
        <v>3281</v>
      </c>
      <c r="E37" s="34">
        <v>337</v>
      </c>
      <c r="F37" s="34">
        <v>4</v>
      </c>
      <c r="G37" s="34">
        <v>5</v>
      </c>
      <c r="H37" s="34">
        <v>81146</v>
      </c>
      <c r="I37" s="34" t="s">
        <v>17</v>
      </c>
      <c r="J37" s="34">
        <v>15634709</v>
      </c>
      <c r="K37" s="34" t="s">
        <v>2896</v>
      </c>
      <c r="L37" s="40" t="s">
        <v>2899</v>
      </c>
      <c r="M37" s="36">
        <v>269900</v>
      </c>
      <c r="N37" s="37">
        <f t="shared" si="2"/>
        <v>0.7</v>
      </c>
      <c r="O37" s="36">
        <f t="shared" si="0"/>
        <v>80970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46086</v>
      </c>
      <c r="C38" s="35">
        <f t="shared" si="1"/>
        <v>46092</v>
      </c>
      <c r="D38" s="34">
        <v>3281</v>
      </c>
      <c r="E38" s="34">
        <v>337</v>
      </c>
      <c r="F38" s="34">
        <v>4</v>
      </c>
      <c r="G38" s="34">
        <v>5</v>
      </c>
      <c r="H38" s="34">
        <v>81146</v>
      </c>
      <c r="I38" s="34" t="s">
        <v>17</v>
      </c>
      <c r="J38" s="34">
        <v>15634718</v>
      </c>
      <c r="K38" s="34" t="s">
        <v>2896</v>
      </c>
      <c r="L38" s="40" t="s">
        <v>2900</v>
      </c>
      <c r="M38" s="36">
        <v>269900</v>
      </c>
      <c r="N38" s="37">
        <f t="shared" si="2"/>
        <v>0.7</v>
      </c>
      <c r="O38" s="36">
        <f t="shared" si="0"/>
        <v>80970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46086</v>
      </c>
      <c r="C39" s="35">
        <f t="shared" si="1"/>
        <v>46092</v>
      </c>
      <c r="D39" s="34">
        <v>3281</v>
      </c>
      <c r="E39" s="34">
        <v>337</v>
      </c>
      <c r="F39" s="34">
        <v>4</v>
      </c>
      <c r="G39" s="34">
        <v>5</v>
      </c>
      <c r="H39" s="34">
        <v>81421</v>
      </c>
      <c r="I39" s="34" t="s">
        <v>17</v>
      </c>
      <c r="J39" s="34">
        <v>76638850</v>
      </c>
      <c r="K39" s="34" t="s">
        <v>2901</v>
      </c>
      <c r="L39" s="40" t="s">
        <v>2902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46086</v>
      </c>
      <c r="C40" s="35">
        <f t="shared" si="1"/>
        <v>46092</v>
      </c>
      <c r="D40" s="34">
        <v>3281</v>
      </c>
      <c r="E40" s="34">
        <v>337</v>
      </c>
      <c r="F40" s="34">
        <v>4</v>
      </c>
      <c r="G40" s="34">
        <v>5</v>
      </c>
      <c r="H40" s="34">
        <v>81421</v>
      </c>
      <c r="I40" s="34" t="s">
        <v>17</v>
      </c>
      <c r="J40" s="34">
        <v>76638869</v>
      </c>
      <c r="K40" s="34" t="s">
        <v>2901</v>
      </c>
      <c r="L40" s="40" t="s">
        <v>2903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46086</v>
      </c>
      <c r="C41" s="35">
        <f t="shared" si="1"/>
        <v>46092</v>
      </c>
      <c r="D41" s="34">
        <v>3281</v>
      </c>
      <c r="E41" s="34">
        <v>337</v>
      </c>
      <c r="F41" s="34">
        <v>4</v>
      </c>
      <c r="G41" s="34">
        <v>5</v>
      </c>
      <c r="H41" s="34">
        <v>81421</v>
      </c>
      <c r="I41" s="34" t="s">
        <v>17</v>
      </c>
      <c r="J41" s="34">
        <v>76638878</v>
      </c>
      <c r="K41" s="34" t="s">
        <v>2901</v>
      </c>
      <c r="L41" s="40" t="s">
        <v>2904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46086</v>
      </c>
      <c r="C42" s="35">
        <f t="shared" si="1"/>
        <v>46092</v>
      </c>
      <c r="D42" s="34">
        <v>3281</v>
      </c>
      <c r="E42" s="34">
        <v>337</v>
      </c>
      <c r="F42" s="34">
        <v>4</v>
      </c>
      <c r="G42" s="34">
        <v>5</v>
      </c>
      <c r="H42" s="34">
        <v>81421</v>
      </c>
      <c r="I42" s="34" t="s">
        <v>17</v>
      </c>
      <c r="J42" s="34">
        <v>76638887</v>
      </c>
      <c r="K42" s="34" t="s">
        <v>2901</v>
      </c>
      <c r="L42" s="40" t="s">
        <v>2905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46086</v>
      </c>
      <c r="C43" s="35">
        <f t="shared" si="1"/>
        <v>46092</v>
      </c>
      <c r="D43" s="34">
        <v>3281</v>
      </c>
      <c r="E43" s="34">
        <v>337</v>
      </c>
      <c r="F43" s="34">
        <v>4</v>
      </c>
      <c r="G43" s="34">
        <v>5</v>
      </c>
      <c r="H43" s="34">
        <v>81421</v>
      </c>
      <c r="I43" s="34" t="s">
        <v>17</v>
      </c>
      <c r="J43" s="34">
        <v>15634647</v>
      </c>
      <c r="K43" s="34" t="s">
        <v>2906</v>
      </c>
      <c r="L43" s="40" t="s">
        <v>2907</v>
      </c>
      <c r="M43" s="36">
        <v>269900</v>
      </c>
      <c r="N43" s="37">
        <f t="shared" si="2"/>
        <v>0.7</v>
      </c>
      <c r="O43" s="36">
        <f t="shared" si="0"/>
        <v>80970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46086</v>
      </c>
      <c r="C44" s="35">
        <f t="shared" si="1"/>
        <v>46092</v>
      </c>
      <c r="D44" s="34">
        <v>3281</v>
      </c>
      <c r="E44" s="34">
        <v>337</v>
      </c>
      <c r="F44" s="34">
        <v>4</v>
      </c>
      <c r="G44" s="34">
        <v>5</v>
      </c>
      <c r="H44" s="34">
        <v>81421</v>
      </c>
      <c r="I44" s="34" t="s">
        <v>17</v>
      </c>
      <c r="J44" s="34">
        <v>15634656</v>
      </c>
      <c r="K44" s="34" t="s">
        <v>2906</v>
      </c>
      <c r="L44" s="40" t="s">
        <v>2908</v>
      </c>
      <c r="M44" s="36">
        <v>269900</v>
      </c>
      <c r="N44" s="37">
        <f t="shared" si="2"/>
        <v>0.7</v>
      </c>
      <c r="O44" s="36">
        <f t="shared" si="0"/>
        <v>80970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46086</v>
      </c>
      <c r="C45" s="35">
        <f t="shared" si="1"/>
        <v>46092</v>
      </c>
      <c r="D45" s="34">
        <v>3281</v>
      </c>
      <c r="E45" s="34">
        <v>337</v>
      </c>
      <c r="F45" s="34">
        <v>4</v>
      </c>
      <c r="G45" s="34">
        <v>5</v>
      </c>
      <c r="H45" s="34">
        <v>81421</v>
      </c>
      <c r="I45" s="34" t="s">
        <v>17</v>
      </c>
      <c r="J45" s="34">
        <v>15634665</v>
      </c>
      <c r="K45" s="34" t="s">
        <v>2906</v>
      </c>
      <c r="L45" s="40" t="s">
        <v>2909</v>
      </c>
      <c r="M45" s="36">
        <v>269900</v>
      </c>
      <c r="N45" s="37">
        <f t="shared" si="2"/>
        <v>0.7</v>
      </c>
      <c r="O45" s="36">
        <f t="shared" si="0"/>
        <v>80970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46086</v>
      </c>
      <c r="C46" s="35">
        <f t="shared" si="1"/>
        <v>46092</v>
      </c>
      <c r="D46" s="34">
        <v>3281</v>
      </c>
      <c r="E46" s="34">
        <v>337</v>
      </c>
      <c r="F46" s="34">
        <v>4</v>
      </c>
      <c r="G46" s="34">
        <v>5</v>
      </c>
      <c r="H46" s="34">
        <v>81421</v>
      </c>
      <c r="I46" s="34" t="s">
        <v>17</v>
      </c>
      <c r="J46" s="34">
        <v>15634674</v>
      </c>
      <c r="K46" s="34" t="s">
        <v>2906</v>
      </c>
      <c r="L46" s="40" t="s">
        <v>2910</v>
      </c>
      <c r="M46" s="36">
        <v>269900</v>
      </c>
      <c r="N46" s="37">
        <f t="shared" si="2"/>
        <v>0.7</v>
      </c>
      <c r="O46" s="36">
        <f t="shared" si="0"/>
        <v>80970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46086</v>
      </c>
      <c r="C47" s="35">
        <f t="shared" si="1"/>
        <v>46092</v>
      </c>
      <c r="D47" s="34">
        <v>3281</v>
      </c>
      <c r="E47" s="34">
        <v>337</v>
      </c>
      <c r="F47" s="34">
        <v>4</v>
      </c>
      <c r="G47" s="34">
        <v>5</v>
      </c>
      <c r="H47" s="34">
        <v>81421</v>
      </c>
      <c r="I47" s="34" t="s">
        <v>17</v>
      </c>
      <c r="J47" s="34">
        <v>15641282</v>
      </c>
      <c r="K47" s="34" t="s">
        <v>2911</v>
      </c>
      <c r="L47" s="40" t="s">
        <v>2912</v>
      </c>
      <c r="M47" s="36">
        <v>249900</v>
      </c>
      <c r="N47" s="37">
        <f t="shared" si="2"/>
        <v>0.7</v>
      </c>
      <c r="O47" s="36">
        <f t="shared" si="0"/>
        <v>74970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46086</v>
      </c>
      <c r="C48" s="35">
        <f t="shared" si="1"/>
        <v>46092</v>
      </c>
      <c r="D48" s="34">
        <v>3281</v>
      </c>
      <c r="E48" s="34">
        <v>337</v>
      </c>
      <c r="F48" s="34">
        <v>4</v>
      </c>
      <c r="G48" s="34">
        <v>5</v>
      </c>
      <c r="H48" s="34">
        <v>81421</v>
      </c>
      <c r="I48" s="34" t="s">
        <v>17</v>
      </c>
      <c r="J48" s="34">
        <v>15641291</v>
      </c>
      <c r="K48" s="34" t="s">
        <v>2911</v>
      </c>
      <c r="L48" s="40" t="s">
        <v>2913</v>
      </c>
      <c r="M48" s="36">
        <v>249900</v>
      </c>
      <c r="N48" s="37">
        <f t="shared" si="2"/>
        <v>0.7</v>
      </c>
      <c r="O48" s="36">
        <f t="shared" si="0"/>
        <v>74970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46086</v>
      </c>
      <c r="C49" s="35">
        <f t="shared" si="1"/>
        <v>46092</v>
      </c>
      <c r="D49" s="34">
        <v>3281</v>
      </c>
      <c r="E49" s="34">
        <v>337</v>
      </c>
      <c r="F49" s="34">
        <v>4</v>
      </c>
      <c r="G49" s="34">
        <v>5</v>
      </c>
      <c r="H49" s="34">
        <v>81421</v>
      </c>
      <c r="I49" s="34" t="s">
        <v>17</v>
      </c>
      <c r="J49" s="34">
        <v>15641308</v>
      </c>
      <c r="K49" s="34" t="s">
        <v>2911</v>
      </c>
      <c r="L49" s="40" t="s">
        <v>2914</v>
      </c>
      <c r="M49" s="36">
        <v>249900</v>
      </c>
      <c r="N49" s="37">
        <f t="shared" si="2"/>
        <v>0.7</v>
      </c>
      <c r="O49" s="36">
        <f t="shared" si="0"/>
        <v>74970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46086</v>
      </c>
      <c r="C50" s="35">
        <f t="shared" si="1"/>
        <v>46092</v>
      </c>
      <c r="D50" s="34">
        <v>3281</v>
      </c>
      <c r="E50" s="34">
        <v>337</v>
      </c>
      <c r="F50" s="34">
        <v>4</v>
      </c>
      <c r="G50" s="34">
        <v>5</v>
      </c>
      <c r="H50" s="34">
        <v>81421</v>
      </c>
      <c r="I50" s="34" t="s">
        <v>17</v>
      </c>
      <c r="J50" s="34">
        <v>15641317</v>
      </c>
      <c r="K50" s="34" t="s">
        <v>2911</v>
      </c>
      <c r="L50" s="40" t="s">
        <v>2915</v>
      </c>
      <c r="M50" s="36">
        <v>249900</v>
      </c>
      <c r="N50" s="37">
        <f t="shared" si="2"/>
        <v>0.7</v>
      </c>
      <c r="O50" s="36">
        <f t="shared" si="0"/>
        <v>74970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46086</v>
      </c>
      <c r="C51" s="35">
        <f t="shared" si="1"/>
        <v>46092</v>
      </c>
      <c r="D51" s="34">
        <v>3281</v>
      </c>
      <c r="E51" s="34">
        <v>337</v>
      </c>
      <c r="F51" s="34">
        <v>4</v>
      </c>
      <c r="G51" s="34">
        <v>5</v>
      </c>
      <c r="H51" s="34">
        <v>190</v>
      </c>
      <c r="I51" s="34" t="s">
        <v>17</v>
      </c>
      <c r="J51" s="34">
        <v>15372199</v>
      </c>
      <c r="K51" s="34" t="s">
        <v>2916</v>
      </c>
      <c r="L51" s="40" t="s">
        <v>2917</v>
      </c>
      <c r="M51" s="36">
        <v>259000</v>
      </c>
      <c r="N51" s="37">
        <f t="shared" si="2"/>
        <v>0.7</v>
      </c>
      <c r="O51" s="36">
        <f t="shared" si="0"/>
        <v>77700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46086</v>
      </c>
      <c r="C52" s="35">
        <f t="shared" si="1"/>
        <v>46092</v>
      </c>
      <c r="D52" s="34">
        <v>3281</v>
      </c>
      <c r="E52" s="34">
        <v>337</v>
      </c>
      <c r="F52" s="34">
        <v>4</v>
      </c>
      <c r="G52" s="34">
        <v>5</v>
      </c>
      <c r="H52" s="34">
        <v>190</v>
      </c>
      <c r="I52" s="34" t="s">
        <v>17</v>
      </c>
      <c r="J52" s="34">
        <v>15372206</v>
      </c>
      <c r="K52" s="34" t="s">
        <v>2916</v>
      </c>
      <c r="L52" s="40" t="s">
        <v>2918</v>
      </c>
      <c r="M52" s="36">
        <v>259000</v>
      </c>
      <c r="N52" s="37">
        <f t="shared" si="2"/>
        <v>0.7</v>
      </c>
      <c r="O52" s="36">
        <f t="shared" si="0"/>
        <v>77700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46086</v>
      </c>
      <c r="C53" s="35">
        <f t="shared" si="1"/>
        <v>46092</v>
      </c>
      <c r="D53" s="34">
        <v>3281</v>
      </c>
      <c r="E53" s="34">
        <v>337</v>
      </c>
      <c r="F53" s="34">
        <v>4</v>
      </c>
      <c r="G53" s="34">
        <v>5</v>
      </c>
      <c r="H53" s="34">
        <v>190</v>
      </c>
      <c r="I53" s="34" t="s">
        <v>17</v>
      </c>
      <c r="J53" s="34">
        <v>15372215</v>
      </c>
      <c r="K53" s="34" t="s">
        <v>2916</v>
      </c>
      <c r="L53" s="40" t="s">
        <v>2919</v>
      </c>
      <c r="M53" s="36">
        <v>259000</v>
      </c>
      <c r="N53" s="37">
        <f t="shared" si="2"/>
        <v>0.7</v>
      </c>
      <c r="O53" s="36">
        <f t="shared" si="0"/>
        <v>77700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46086</v>
      </c>
      <c r="C54" s="35">
        <f t="shared" si="1"/>
        <v>46092</v>
      </c>
      <c r="D54" s="34">
        <v>3281</v>
      </c>
      <c r="E54" s="34">
        <v>337</v>
      </c>
      <c r="F54" s="34">
        <v>4</v>
      </c>
      <c r="G54" s="34">
        <v>5</v>
      </c>
      <c r="H54" s="34">
        <v>190</v>
      </c>
      <c r="I54" s="34" t="s">
        <v>17</v>
      </c>
      <c r="J54" s="34">
        <v>15372224</v>
      </c>
      <c r="K54" s="34" t="s">
        <v>2916</v>
      </c>
      <c r="L54" s="40" t="s">
        <v>2920</v>
      </c>
      <c r="M54" s="36">
        <v>259000</v>
      </c>
      <c r="N54" s="37">
        <f t="shared" si="2"/>
        <v>0.7</v>
      </c>
      <c r="O54" s="36">
        <f t="shared" si="0"/>
        <v>77700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46086</v>
      </c>
      <c r="C55" s="35">
        <f t="shared" si="1"/>
        <v>46092</v>
      </c>
      <c r="D55" s="34">
        <v>3281</v>
      </c>
      <c r="E55" s="34">
        <v>337</v>
      </c>
      <c r="F55" s="34">
        <v>4</v>
      </c>
      <c r="G55" s="34">
        <v>4</v>
      </c>
      <c r="H55" s="34">
        <v>81574</v>
      </c>
      <c r="I55" s="34" t="s">
        <v>17</v>
      </c>
      <c r="J55" s="34">
        <v>15372037</v>
      </c>
      <c r="K55" s="34" t="s">
        <v>2575</v>
      </c>
      <c r="L55" s="40" t="s">
        <v>2576</v>
      </c>
      <c r="M55" s="36">
        <v>319900</v>
      </c>
      <c r="N55" s="37">
        <f t="shared" si="2"/>
        <v>0.7</v>
      </c>
      <c r="O55" s="36">
        <f t="shared" si="0"/>
        <v>95970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46086</v>
      </c>
      <c r="C56" s="35">
        <f t="shared" si="1"/>
        <v>46092</v>
      </c>
      <c r="D56" s="34">
        <v>3281</v>
      </c>
      <c r="E56" s="34">
        <v>337</v>
      </c>
      <c r="F56" s="34">
        <v>4</v>
      </c>
      <c r="G56" s="34">
        <v>4</v>
      </c>
      <c r="H56" s="34">
        <v>81574</v>
      </c>
      <c r="I56" s="34" t="s">
        <v>17</v>
      </c>
      <c r="J56" s="34">
        <v>15372046</v>
      </c>
      <c r="K56" s="34" t="s">
        <v>2575</v>
      </c>
      <c r="L56" s="40" t="s">
        <v>2578</v>
      </c>
      <c r="M56" s="36">
        <v>319900</v>
      </c>
      <c r="N56" s="37">
        <f t="shared" si="2"/>
        <v>0.7</v>
      </c>
      <c r="O56" s="36">
        <f t="shared" si="0"/>
        <v>95970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46086</v>
      </c>
      <c r="C57" s="35">
        <f t="shared" si="1"/>
        <v>46092</v>
      </c>
      <c r="D57" s="34">
        <v>3281</v>
      </c>
      <c r="E57" s="34">
        <v>337</v>
      </c>
      <c r="F57" s="34">
        <v>4</v>
      </c>
      <c r="G57" s="34">
        <v>4</v>
      </c>
      <c r="H57" s="34">
        <v>81574</v>
      </c>
      <c r="I57" s="34" t="s">
        <v>17</v>
      </c>
      <c r="J57" s="34">
        <v>15372055</v>
      </c>
      <c r="K57" s="34" t="s">
        <v>2575</v>
      </c>
      <c r="L57" s="40" t="s">
        <v>2579</v>
      </c>
      <c r="M57" s="36">
        <v>319900</v>
      </c>
      <c r="N57" s="37">
        <f t="shared" si="2"/>
        <v>0.7</v>
      </c>
      <c r="O57" s="36">
        <f t="shared" si="0"/>
        <v>95970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46086</v>
      </c>
      <c r="C58" s="35">
        <f t="shared" si="1"/>
        <v>46092</v>
      </c>
      <c r="D58" s="34">
        <v>3281</v>
      </c>
      <c r="E58" s="34">
        <v>337</v>
      </c>
      <c r="F58" s="34">
        <v>4</v>
      </c>
      <c r="G58" s="34">
        <v>4</v>
      </c>
      <c r="H58" s="34">
        <v>81574</v>
      </c>
      <c r="I58" s="34" t="s">
        <v>17</v>
      </c>
      <c r="J58" s="34">
        <v>15372064</v>
      </c>
      <c r="K58" s="34" t="s">
        <v>2575</v>
      </c>
      <c r="L58" s="40" t="s">
        <v>2580</v>
      </c>
      <c r="M58" s="36">
        <v>319900</v>
      </c>
      <c r="N58" s="37">
        <f t="shared" si="2"/>
        <v>0.7</v>
      </c>
      <c r="O58" s="36">
        <f t="shared" si="0"/>
        <v>95970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46086</v>
      </c>
      <c r="C59" s="35">
        <f t="shared" si="1"/>
        <v>46092</v>
      </c>
      <c r="D59" s="34">
        <v>3281</v>
      </c>
      <c r="E59" s="34">
        <v>337</v>
      </c>
      <c r="F59" s="34">
        <v>4</v>
      </c>
      <c r="G59" s="34">
        <v>4</v>
      </c>
      <c r="H59" s="34">
        <v>81574</v>
      </c>
      <c r="I59" s="34" t="s">
        <v>17</v>
      </c>
      <c r="J59" s="34">
        <v>15372073</v>
      </c>
      <c r="K59" s="34" t="s">
        <v>2581</v>
      </c>
      <c r="L59" s="40" t="s">
        <v>2582</v>
      </c>
      <c r="M59" s="36">
        <v>319900</v>
      </c>
      <c r="N59" s="37">
        <f t="shared" si="2"/>
        <v>0.7</v>
      </c>
      <c r="O59" s="36">
        <f t="shared" si="0"/>
        <v>95970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46086</v>
      </c>
      <c r="C60" s="35">
        <f t="shared" si="1"/>
        <v>46092</v>
      </c>
      <c r="D60" s="34">
        <v>3281</v>
      </c>
      <c r="E60" s="34">
        <v>337</v>
      </c>
      <c r="F60" s="34">
        <v>4</v>
      </c>
      <c r="G60" s="34">
        <v>4</v>
      </c>
      <c r="H60" s="34">
        <v>81574</v>
      </c>
      <c r="I60" s="34" t="s">
        <v>17</v>
      </c>
      <c r="J60" s="34">
        <v>15372082</v>
      </c>
      <c r="K60" s="34" t="s">
        <v>2581</v>
      </c>
      <c r="L60" s="40" t="s">
        <v>2583</v>
      </c>
      <c r="M60" s="36">
        <v>319900</v>
      </c>
      <c r="N60" s="37">
        <f t="shared" si="2"/>
        <v>0.7</v>
      </c>
      <c r="O60" s="36">
        <f t="shared" si="0"/>
        <v>95970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46086</v>
      </c>
      <c r="C61" s="35">
        <f t="shared" si="1"/>
        <v>46092</v>
      </c>
      <c r="D61" s="34">
        <v>3281</v>
      </c>
      <c r="E61" s="34">
        <v>337</v>
      </c>
      <c r="F61" s="34">
        <v>4</v>
      </c>
      <c r="G61" s="34">
        <v>4</v>
      </c>
      <c r="H61" s="34">
        <v>81574</v>
      </c>
      <c r="I61" s="34" t="s">
        <v>17</v>
      </c>
      <c r="J61" s="34">
        <v>15372091</v>
      </c>
      <c r="K61" s="34" t="s">
        <v>2581</v>
      </c>
      <c r="L61" s="40" t="s">
        <v>2584</v>
      </c>
      <c r="M61" s="36">
        <v>319900</v>
      </c>
      <c r="N61" s="37">
        <f t="shared" si="2"/>
        <v>0.7</v>
      </c>
      <c r="O61" s="36">
        <f t="shared" si="0"/>
        <v>95970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46086</v>
      </c>
      <c r="C62" s="35">
        <f t="shared" si="1"/>
        <v>46092</v>
      </c>
      <c r="D62" s="34">
        <v>3281</v>
      </c>
      <c r="E62" s="34">
        <v>337</v>
      </c>
      <c r="F62" s="34">
        <v>4</v>
      </c>
      <c r="G62" s="34">
        <v>4</v>
      </c>
      <c r="H62" s="34">
        <v>81574</v>
      </c>
      <c r="I62" s="34" t="s">
        <v>17</v>
      </c>
      <c r="J62" s="34">
        <v>15372108</v>
      </c>
      <c r="K62" s="34" t="s">
        <v>2581</v>
      </c>
      <c r="L62" s="40" t="s">
        <v>2585</v>
      </c>
      <c r="M62" s="36">
        <v>319900</v>
      </c>
      <c r="N62" s="37">
        <f t="shared" si="2"/>
        <v>0.7</v>
      </c>
      <c r="O62" s="36">
        <f t="shared" si="0"/>
        <v>95970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46086</v>
      </c>
      <c r="C63" s="35">
        <f t="shared" si="1"/>
        <v>46092</v>
      </c>
      <c r="D63" s="34">
        <v>3281</v>
      </c>
      <c r="E63" s="34">
        <v>337</v>
      </c>
      <c r="F63" s="34">
        <v>4</v>
      </c>
      <c r="G63" s="34">
        <v>5</v>
      </c>
      <c r="H63" s="34">
        <v>81506</v>
      </c>
      <c r="I63" s="34" t="s">
        <v>17</v>
      </c>
      <c r="J63" s="34">
        <v>15634601</v>
      </c>
      <c r="K63" s="34" t="s">
        <v>2737</v>
      </c>
      <c r="L63" s="40" t="s">
        <v>6759</v>
      </c>
      <c r="M63" s="36">
        <v>299900</v>
      </c>
      <c r="N63" s="37">
        <f t="shared" si="2"/>
        <v>0.7</v>
      </c>
      <c r="O63" s="36">
        <f t="shared" si="0"/>
        <v>89970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46086</v>
      </c>
      <c r="C64" s="35">
        <f t="shared" si="1"/>
        <v>46092</v>
      </c>
      <c r="D64" s="34">
        <v>3281</v>
      </c>
      <c r="E64" s="34">
        <v>337</v>
      </c>
      <c r="F64" s="34">
        <v>4</v>
      </c>
      <c r="G64" s="34">
        <v>5</v>
      </c>
      <c r="H64" s="34">
        <v>81506</v>
      </c>
      <c r="I64" s="34" t="s">
        <v>17</v>
      </c>
      <c r="J64" s="34">
        <v>15634610</v>
      </c>
      <c r="K64" s="34" t="s">
        <v>2737</v>
      </c>
      <c r="L64" s="40" t="s">
        <v>6760</v>
      </c>
      <c r="M64" s="36">
        <v>299900</v>
      </c>
      <c r="N64" s="37">
        <f t="shared" si="2"/>
        <v>0.7</v>
      </c>
      <c r="O64" s="36">
        <f t="shared" si="0"/>
        <v>89970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46086</v>
      </c>
      <c r="C65" s="35">
        <f t="shared" si="1"/>
        <v>46092</v>
      </c>
      <c r="D65" s="34">
        <v>3281</v>
      </c>
      <c r="E65" s="34">
        <v>337</v>
      </c>
      <c r="F65" s="34">
        <v>4</v>
      </c>
      <c r="G65" s="34">
        <v>5</v>
      </c>
      <c r="H65" s="34">
        <v>81506</v>
      </c>
      <c r="I65" s="34" t="s">
        <v>17</v>
      </c>
      <c r="J65" s="34">
        <v>15634629</v>
      </c>
      <c r="K65" s="34" t="s">
        <v>2737</v>
      </c>
      <c r="L65" s="40" t="s">
        <v>6761</v>
      </c>
      <c r="M65" s="36">
        <v>299900</v>
      </c>
      <c r="N65" s="37">
        <f t="shared" si="2"/>
        <v>0.7</v>
      </c>
      <c r="O65" s="36">
        <f t="shared" si="0"/>
        <v>89970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46086</v>
      </c>
      <c r="C66" s="35">
        <f t="shared" si="1"/>
        <v>46092</v>
      </c>
      <c r="D66" s="34">
        <v>3281</v>
      </c>
      <c r="E66" s="34">
        <v>337</v>
      </c>
      <c r="F66" s="34">
        <v>4</v>
      </c>
      <c r="G66" s="34">
        <v>5</v>
      </c>
      <c r="H66" s="34">
        <v>81506</v>
      </c>
      <c r="I66" s="34" t="s">
        <v>17</v>
      </c>
      <c r="J66" s="34">
        <v>15634638</v>
      </c>
      <c r="K66" s="34" t="s">
        <v>2737</v>
      </c>
      <c r="L66" s="40" t="s">
        <v>6762</v>
      </c>
      <c r="M66" s="36">
        <v>299900</v>
      </c>
      <c r="N66" s="37">
        <f t="shared" si="2"/>
        <v>0.7</v>
      </c>
      <c r="O66" s="36">
        <f t="shared" si="0"/>
        <v>89970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46086</v>
      </c>
      <c r="C67" s="35">
        <f t="shared" si="1"/>
        <v>46092</v>
      </c>
      <c r="D67" s="34">
        <v>3281</v>
      </c>
      <c r="E67" s="34">
        <v>337</v>
      </c>
      <c r="F67" s="34">
        <v>4</v>
      </c>
      <c r="G67" s="34">
        <v>5</v>
      </c>
      <c r="H67" s="34">
        <v>81506</v>
      </c>
      <c r="I67" s="34" t="s">
        <v>17</v>
      </c>
      <c r="J67" s="34">
        <v>16418496</v>
      </c>
      <c r="K67" s="34" t="s">
        <v>2738</v>
      </c>
      <c r="L67" s="40" t="s">
        <v>2739</v>
      </c>
      <c r="M67" s="36">
        <v>299900</v>
      </c>
      <c r="N67" s="37">
        <f t="shared" si="2"/>
        <v>0.7</v>
      </c>
      <c r="O67" s="36">
        <f t="shared" ref="O67:O130" si="3">M67-((70*M67))/100</f>
        <v>89970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46086</v>
      </c>
      <c r="C68" s="35">
        <f t="shared" si="4"/>
        <v>46092</v>
      </c>
      <c r="D68" s="34">
        <v>3281</v>
      </c>
      <c r="E68" s="34">
        <v>337</v>
      </c>
      <c r="F68" s="34">
        <v>4</v>
      </c>
      <c r="G68" s="34">
        <v>5</v>
      </c>
      <c r="H68" s="34">
        <v>81506</v>
      </c>
      <c r="I68" s="34" t="s">
        <v>17</v>
      </c>
      <c r="J68" s="34">
        <v>16418503</v>
      </c>
      <c r="K68" s="34" t="s">
        <v>2738</v>
      </c>
      <c r="L68" s="40" t="s">
        <v>2740</v>
      </c>
      <c r="M68" s="36">
        <v>299900</v>
      </c>
      <c r="N68" s="37">
        <f t="shared" ref="N68:N131" si="5">N67</f>
        <v>0.7</v>
      </c>
      <c r="O68" s="36">
        <f t="shared" si="3"/>
        <v>89970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46086</v>
      </c>
      <c r="C69" s="35">
        <f t="shared" si="4"/>
        <v>46092</v>
      </c>
      <c r="D69" s="34">
        <v>3281</v>
      </c>
      <c r="E69" s="34">
        <v>337</v>
      </c>
      <c r="F69" s="34">
        <v>4</v>
      </c>
      <c r="G69" s="34">
        <v>5</v>
      </c>
      <c r="H69" s="34">
        <v>81506</v>
      </c>
      <c r="I69" s="34" t="s">
        <v>17</v>
      </c>
      <c r="J69" s="34">
        <v>16418512</v>
      </c>
      <c r="K69" s="34" t="s">
        <v>2738</v>
      </c>
      <c r="L69" s="40" t="s">
        <v>4982</v>
      </c>
      <c r="M69" s="36">
        <v>299900</v>
      </c>
      <c r="N69" s="37">
        <f t="shared" si="5"/>
        <v>0.7</v>
      </c>
      <c r="O69" s="36">
        <f t="shared" si="3"/>
        <v>89970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46086</v>
      </c>
      <c r="C70" s="35">
        <f t="shared" si="4"/>
        <v>46092</v>
      </c>
      <c r="D70" s="34">
        <v>3281</v>
      </c>
      <c r="E70" s="34">
        <v>337</v>
      </c>
      <c r="F70" s="34">
        <v>4</v>
      </c>
      <c r="G70" s="34">
        <v>5</v>
      </c>
      <c r="H70" s="34">
        <v>81506</v>
      </c>
      <c r="I70" s="34" t="s">
        <v>17</v>
      </c>
      <c r="J70" s="34">
        <v>16418521</v>
      </c>
      <c r="K70" s="34" t="s">
        <v>2738</v>
      </c>
      <c r="L70" s="40" t="s">
        <v>2741</v>
      </c>
      <c r="M70" s="36">
        <v>299900</v>
      </c>
      <c r="N70" s="37">
        <f t="shared" si="5"/>
        <v>0.7</v>
      </c>
      <c r="O70" s="36">
        <f t="shared" si="3"/>
        <v>89970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46086</v>
      </c>
      <c r="C71" s="35">
        <f t="shared" si="4"/>
        <v>46092</v>
      </c>
      <c r="D71" s="34">
        <v>3281</v>
      </c>
      <c r="E71" s="34">
        <v>337</v>
      </c>
      <c r="F71" s="34">
        <v>4</v>
      </c>
      <c r="G71" s="34">
        <v>5</v>
      </c>
      <c r="H71" s="34">
        <v>81506</v>
      </c>
      <c r="I71" s="34" t="s">
        <v>17</v>
      </c>
      <c r="J71" s="34">
        <v>15372313</v>
      </c>
      <c r="K71" s="34" t="s">
        <v>2570</v>
      </c>
      <c r="L71" s="40" t="s">
        <v>6763</v>
      </c>
      <c r="M71" s="36">
        <v>299900</v>
      </c>
      <c r="N71" s="37">
        <f t="shared" si="5"/>
        <v>0.7</v>
      </c>
      <c r="O71" s="36">
        <f t="shared" si="3"/>
        <v>89970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46086</v>
      </c>
      <c r="C72" s="35">
        <f t="shared" si="4"/>
        <v>46092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15372322</v>
      </c>
      <c r="K72" s="34" t="s">
        <v>2570</v>
      </c>
      <c r="L72" s="40" t="s">
        <v>6764</v>
      </c>
      <c r="M72" s="36">
        <v>299900</v>
      </c>
      <c r="N72" s="37">
        <f t="shared" si="5"/>
        <v>0.7</v>
      </c>
      <c r="O72" s="36">
        <f t="shared" si="3"/>
        <v>89970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46086</v>
      </c>
      <c r="C73" s="35">
        <f t="shared" si="4"/>
        <v>46092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15372331</v>
      </c>
      <c r="K73" s="34" t="s">
        <v>2570</v>
      </c>
      <c r="L73" s="40" t="s">
        <v>6765</v>
      </c>
      <c r="M73" s="36">
        <v>299900</v>
      </c>
      <c r="N73" s="37">
        <f t="shared" si="5"/>
        <v>0.7</v>
      </c>
      <c r="O73" s="36">
        <f t="shared" si="3"/>
        <v>89970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46086</v>
      </c>
      <c r="C74" s="35">
        <f t="shared" si="4"/>
        <v>46092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15372340</v>
      </c>
      <c r="K74" s="34" t="s">
        <v>2570</v>
      </c>
      <c r="L74" s="40" t="s">
        <v>6766</v>
      </c>
      <c r="M74" s="36">
        <v>299900</v>
      </c>
      <c r="N74" s="37">
        <f t="shared" si="5"/>
        <v>0.7</v>
      </c>
      <c r="O74" s="36">
        <f t="shared" si="3"/>
        <v>89970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46086</v>
      </c>
      <c r="C75" s="35">
        <f t="shared" si="4"/>
        <v>46092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16017213</v>
      </c>
      <c r="K75" s="34" t="s">
        <v>2571</v>
      </c>
      <c r="L75" s="40" t="s">
        <v>6767</v>
      </c>
      <c r="M75" s="36">
        <v>299900</v>
      </c>
      <c r="N75" s="37">
        <f t="shared" si="5"/>
        <v>0.7</v>
      </c>
      <c r="O75" s="36">
        <f t="shared" si="3"/>
        <v>89970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46086</v>
      </c>
      <c r="C76" s="35">
        <f t="shared" si="4"/>
        <v>46092</v>
      </c>
      <c r="D76" s="34">
        <v>3281</v>
      </c>
      <c r="E76" s="34">
        <v>337</v>
      </c>
      <c r="F76" s="34">
        <v>4</v>
      </c>
      <c r="G76" s="34">
        <v>5</v>
      </c>
      <c r="H76" s="34">
        <v>81506</v>
      </c>
      <c r="I76" s="34" t="s">
        <v>17</v>
      </c>
      <c r="J76" s="34">
        <v>16017222</v>
      </c>
      <c r="K76" s="34" t="s">
        <v>2571</v>
      </c>
      <c r="L76" s="40" t="s">
        <v>6768</v>
      </c>
      <c r="M76" s="36">
        <v>299900</v>
      </c>
      <c r="N76" s="37">
        <f t="shared" si="5"/>
        <v>0.7</v>
      </c>
      <c r="O76" s="36">
        <f t="shared" si="3"/>
        <v>89970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46086</v>
      </c>
      <c r="C77" s="35">
        <f t="shared" si="4"/>
        <v>46092</v>
      </c>
      <c r="D77" s="34">
        <v>3281</v>
      </c>
      <c r="E77" s="34">
        <v>337</v>
      </c>
      <c r="F77" s="34">
        <v>4</v>
      </c>
      <c r="G77" s="34">
        <v>5</v>
      </c>
      <c r="H77" s="34">
        <v>81506</v>
      </c>
      <c r="I77" s="34" t="s">
        <v>17</v>
      </c>
      <c r="J77" s="34">
        <v>16017231</v>
      </c>
      <c r="K77" s="34" t="s">
        <v>2571</v>
      </c>
      <c r="L77" s="40" t="s">
        <v>6769</v>
      </c>
      <c r="M77" s="36">
        <v>299900</v>
      </c>
      <c r="N77" s="37">
        <f t="shared" si="5"/>
        <v>0.7</v>
      </c>
      <c r="O77" s="36">
        <f t="shared" si="3"/>
        <v>89970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46086</v>
      </c>
      <c r="C78" s="35">
        <f t="shared" si="4"/>
        <v>46092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16017240</v>
      </c>
      <c r="K78" s="34" t="s">
        <v>2571</v>
      </c>
      <c r="L78" s="40" t="s">
        <v>6770</v>
      </c>
      <c r="M78" s="36">
        <v>299900</v>
      </c>
      <c r="N78" s="37">
        <f t="shared" si="5"/>
        <v>0.7</v>
      </c>
      <c r="O78" s="36">
        <f t="shared" si="3"/>
        <v>89970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46086</v>
      </c>
      <c r="C79" s="35">
        <f t="shared" si="4"/>
        <v>46092</v>
      </c>
      <c r="D79" s="34">
        <v>3281</v>
      </c>
      <c r="E79" s="34">
        <v>337</v>
      </c>
      <c r="F79" s="34">
        <v>4</v>
      </c>
      <c r="G79" s="34">
        <v>2</v>
      </c>
      <c r="H79" s="34">
        <v>81506</v>
      </c>
      <c r="I79" s="34" t="s">
        <v>17</v>
      </c>
      <c r="J79" s="34">
        <v>15372395</v>
      </c>
      <c r="K79" s="34" t="s">
        <v>2572</v>
      </c>
      <c r="L79" s="40" t="s">
        <v>6771</v>
      </c>
      <c r="M79" s="36">
        <v>279900</v>
      </c>
      <c r="N79" s="37">
        <f t="shared" si="5"/>
        <v>0.7</v>
      </c>
      <c r="O79" s="36">
        <f t="shared" si="3"/>
        <v>83970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46086</v>
      </c>
      <c r="C80" s="35">
        <f t="shared" si="4"/>
        <v>46092</v>
      </c>
      <c r="D80" s="34">
        <v>3281</v>
      </c>
      <c r="E80" s="34">
        <v>337</v>
      </c>
      <c r="F80" s="34">
        <v>4</v>
      </c>
      <c r="G80" s="34">
        <v>2</v>
      </c>
      <c r="H80" s="34">
        <v>81506</v>
      </c>
      <c r="I80" s="34" t="s">
        <v>17</v>
      </c>
      <c r="J80" s="34">
        <v>15372402</v>
      </c>
      <c r="K80" s="34" t="s">
        <v>2572</v>
      </c>
      <c r="L80" s="40" t="s">
        <v>6772</v>
      </c>
      <c r="M80" s="36">
        <v>279900</v>
      </c>
      <c r="N80" s="37">
        <f t="shared" si="5"/>
        <v>0.7</v>
      </c>
      <c r="O80" s="36">
        <f t="shared" si="3"/>
        <v>83970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46086</v>
      </c>
      <c r="C81" s="35">
        <f t="shared" si="4"/>
        <v>46092</v>
      </c>
      <c r="D81" s="34">
        <v>3281</v>
      </c>
      <c r="E81" s="34">
        <v>337</v>
      </c>
      <c r="F81" s="34">
        <v>4</v>
      </c>
      <c r="G81" s="34">
        <v>2</v>
      </c>
      <c r="H81" s="34">
        <v>81506</v>
      </c>
      <c r="I81" s="34" t="s">
        <v>17</v>
      </c>
      <c r="J81" s="34">
        <v>15372411</v>
      </c>
      <c r="K81" s="34" t="s">
        <v>2572</v>
      </c>
      <c r="L81" s="40" t="s">
        <v>6773</v>
      </c>
      <c r="M81" s="36">
        <v>279900</v>
      </c>
      <c r="N81" s="37">
        <f t="shared" si="5"/>
        <v>0.7</v>
      </c>
      <c r="O81" s="36">
        <f t="shared" si="3"/>
        <v>83970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46086</v>
      </c>
      <c r="C82" s="35">
        <f t="shared" si="4"/>
        <v>46092</v>
      </c>
      <c r="D82" s="34">
        <v>3281</v>
      </c>
      <c r="E82" s="34">
        <v>337</v>
      </c>
      <c r="F82" s="34">
        <v>4</v>
      </c>
      <c r="G82" s="34">
        <v>2</v>
      </c>
      <c r="H82" s="34">
        <v>81506</v>
      </c>
      <c r="I82" s="34" t="s">
        <v>17</v>
      </c>
      <c r="J82" s="34">
        <v>15372420</v>
      </c>
      <c r="K82" s="34" t="s">
        <v>2572</v>
      </c>
      <c r="L82" s="40" t="s">
        <v>6774</v>
      </c>
      <c r="M82" s="36">
        <v>279900</v>
      </c>
      <c r="N82" s="37">
        <f t="shared" si="5"/>
        <v>0.7</v>
      </c>
      <c r="O82" s="36">
        <f t="shared" si="3"/>
        <v>83970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46086</v>
      </c>
      <c r="C83" s="35">
        <f t="shared" si="4"/>
        <v>46092</v>
      </c>
      <c r="D83" s="34">
        <v>3281</v>
      </c>
      <c r="E83" s="34">
        <v>337</v>
      </c>
      <c r="F83" s="34">
        <v>4</v>
      </c>
      <c r="G83" s="34">
        <v>2</v>
      </c>
      <c r="H83" s="34">
        <v>81506</v>
      </c>
      <c r="I83" s="34" t="s">
        <v>17</v>
      </c>
      <c r="J83" s="34">
        <v>15634567</v>
      </c>
      <c r="K83" s="34" t="s">
        <v>2573</v>
      </c>
      <c r="L83" s="40" t="s">
        <v>6775</v>
      </c>
      <c r="M83" s="36">
        <v>279900</v>
      </c>
      <c r="N83" s="37">
        <f t="shared" si="5"/>
        <v>0.7</v>
      </c>
      <c r="O83" s="36">
        <f t="shared" si="3"/>
        <v>83970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46086</v>
      </c>
      <c r="C84" s="35">
        <f t="shared" si="4"/>
        <v>46092</v>
      </c>
      <c r="D84" s="34">
        <v>3281</v>
      </c>
      <c r="E84" s="34">
        <v>337</v>
      </c>
      <c r="F84" s="34">
        <v>4</v>
      </c>
      <c r="G84" s="34">
        <v>2</v>
      </c>
      <c r="H84" s="34">
        <v>81506</v>
      </c>
      <c r="I84" s="34" t="s">
        <v>17</v>
      </c>
      <c r="J84" s="34">
        <v>15634576</v>
      </c>
      <c r="K84" s="34" t="s">
        <v>2573</v>
      </c>
      <c r="L84" s="40" t="s">
        <v>6776</v>
      </c>
      <c r="M84" s="36">
        <v>279900</v>
      </c>
      <c r="N84" s="37">
        <f t="shared" si="5"/>
        <v>0.7</v>
      </c>
      <c r="O84" s="36">
        <f t="shared" si="3"/>
        <v>83970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46086</v>
      </c>
      <c r="C85" s="35">
        <f t="shared" si="4"/>
        <v>46092</v>
      </c>
      <c r="D85" s="34">
        <v>3281</v>
      </c>
      <c r="E85" s="34">
        <v>337</v>
      </c>
      <c r="F85" s="34">
        <v>4</v>
      </c>
      <c r="G85" s="34">
        <v>2</v>
      </c>
      <c r="H85" s="34">
        <v>81506</v>
      </c>
      <c r="I85" s="34" t="s">
        <v>17</v>
      </c>
      <c r="J85" s="34">
        <v>15634585</v>
      </c>
      <c r="K85" s="34" t="s">
        <v>2573</v>
      </c>
      <c r="L85" s="40" t="s">
        <v>6777</v>
      </c>
      <c r="M85" s="36">
        <v>279900</v>
      </c>
      <c r="N85" s="37">
        <f t="shared" si="5"/>
        <v>0.7</v>
      </c>
      <c r="O85" s="36">
        <f t="shared" si="3"/>
        <v>83970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46086</v>
      </c>
      <c r="C86" s="35">
        <f t="shared" si="4"/>
        <v>46092</v>
      </c>
      <c r="D86" s="34">
        <v>3281</v>
      </c>
      <c r="E86" s="34">
        <v>337</v>
      </c>
      <c r="F86" s="34">
        <v>4</v>
      </c>
      <c r="G86" s="34">
        <v>2</v>
      </c>
      <c r="H86" s="34">
        <v>81506</v>
      </c>
      <c r="I86" s="34" t="s">
        <v>17</v>
      </c>
      <c r="J86" s="34">
        <v>15634594</v>
      </c>
      <c r="K86" s="34" t="s">
        <v>2573</v>
      </c>
      <c r="L86" s="40" t="s">
        <v>6778</v>
      </c>
      <c r="M86" s="36">
        <v>279900</v>
      </c>
      <c r="N86" s="37">
        <f t="shared" si="5"/>
        <v>0.7</v>
      </c>
      <c r="O86" s="36">
        <f t="shared" si="3"/>
        <v>83970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46086</v>
      </c>
      <c r="C87" s="35">
        <f t="shared" si="4"/>
        <v>46092</v>
      </c>
      <c r="D87" s="34">
        <v>3281</v>
      </c>
      <c r="E87" s="34">
        <v>337</v>
      </c>
      <c r="F87" s="34">
        <v>4</v>
      </c>
      <c r="G87" s="34">
        <v>2</v>
      </c>
      <c r="H87" s="34">
        <v>81506</v>
      </c>
      <c r="I87" s="34" t="s">
        <v>17</v>
      </c>
      <c r="J87" s="34">
        <v>15371994</v>
      </c>
      <c r="K87" s="34" t="s">
        <v>2574</v>
      </c>
      <c r="L87" s="40" t="s">
        <v>6779</v>
      </c>
      <c r="M87" s="36">
        <v>279900</v>
      </c>
      <c r="N87" s="37">
        <f t="shared" si="5"/>
        <v>0.7</v>
      </c>
      <c r="O87" s="36">
        <f t="shared" si="3"/>
        <v>83970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46086</v>
      </c>
      <c r="C88" s="35">
        <f t="shared" si="4"/>
        <v>46092</v>
      </c>
      <c r="D88" s="34">
        <v>3281</v>
      </c>
      <c r="E88" s="34">
        <v>337</v>
      </c>
      <c r="F88" s="34">
        <v>4</v>
      </c>
      <c r="G88" s="34">
        <v>2</v>
      </c>
      <c r="H88" s="34">
        <v>81506</v>
      </c>
      <c r="I88" s="34" t="s">
        <v>17</v>
      </c>
      <c r="J88" s="34">
        <v>15372000</v>
      </c>
      <c r="K88" s="34" t="s">
        <v>2574</v>
      </c>
      <c r="L88" s="40" t="s">
        <v>6780</v>
      </c>
      <c r="M88" s="36">
        <v>279900</v>
      </c>
      <c r="N88" s="37">
        <f t="shared" si="5"/>
        <v>0.7</v>
      </c>
      <c r="O88" s="36">
        <f t="shared" si="3"/>
        <v>83970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46086</v>
      </c>
      <c r="C89" s="35">
        <f t="shared" si="4"/>
        <v>46092</v>
      </c>
      <c r="D89" s="34">
        <v>3281</v>
      </c>
      <c r="E89" s="34">
        <v>337</v>
      </c>
      <c r="F89" s="34">
        <v>4</v>
      </c>
      <c r="G89" s="34">
        <v>2</v>
      </c>
      <c r="H89" s="34">
        <v>81506</v>
      </c>
      <c r="I89" s="34" t="s">
        <v>17</v>
      </c>
      <c r="J89" s="34">
        <v>15372019</v>
      </c>
      <c r="K89" s="34" t="s">
        <v>2574</v>
      </c>
      <c r="L89" s="40" t="s">
        <v>6781</v>
      </c>
      <c r="M89" s="36">
        <v>279900</v>
      </c>
      <c r="N89" s="37">
        <f t="shared" si="5"/>
        <v>0.7</v>
      </c>
      <c r="O89" s="36">
        <f t="shared" si="3"/>
        <v>83970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46086</v>
      </c>
      <c r="C90" s="35">
        <f t="shared" si="4"/>
        <v>46092</v>
      </c>
      <c r="D90" s="34">
        <v>3281</v>
      </c>
      <c r="E90" s="34">
        <v>337</v>
      </c>
      <c r="F90" s="34">
        <v>4</v>
      </c>
      <c r="G90" s="34">
        <v>2</v>
      </c>
      <c r="H90" s="34">
        <v>81506</v>
      </c>
      <c r="I90" s="34" t="s">
        <v>17</v>
      </c>
      <c r="J90" s="34">
        <v>15372028</v>
      </c>
      <c r="K90" s="34" t="s">
        <v>2574</v>
      </c>
      <c r="L90" s="40" t="s">
        <v>6782</v>
      </c>
      <c r="M90" s="36">
        <v>279900</v>
      </c>
      <c r="N90" s="37">
        <f t="shared" si="5"/>
        <v>0.7</v>
      </c>
      <c r="O90" s="36">
        <f t="shared" si="3"/>
        <v>83970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46086</v>
      </c>
      <c r="C91" s="35">
        <f t="shared" si="4"/>
        <v>46092</v>
      </c>
      <c r="D91" s="34">
        <v>3281</v>
      </c>
      <c r="E91" s="34">
        <v>337</v>
      </c>
      <c r="F91" s="34">
        <v>4</v>
      </c>
      <c r="G91" s="34">
        <v>1</v>
      </c>
      <c r="H91" s="34">
        <v>81146</v>
      </c>
      <c r="I91" s="34" t="s">
        <v>17</v>
      </c>
      <c r="J91" s="34">
        <v>16418432</v>
      </c>
      <c r="K91" s="34" t="s">
        <v>2859</v>
      </c>
      <c r="L91" s="40" t="s">
        <v>3179</v>
      </c>
      <c r="M91" s="36">
        <v>149900</v>
      </c>
      <c r="N91" s="37">
        <f t="shared" si="5"/>
        <v>0.7</v>
      </c>
      <c r="O91" s="36">
        <f t="shared" si="3"/>
        <v>44970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46086</v>
      </c>
      <c r="C92" s="35">
        <f t="shared" si="4"/>
        <v>46092</v>
      </c>
      <c r="D92" s="34">
        <v>3281</v>
      </c>
      <c r="E92" s="34">
        <v>337</v>
      </c>
      <c r="F92" s="34">
        <v>4</v>
      </c>
      <c r="G92" s="34">
        <v>1</v>
      </c>
      <c r="H92" s="34">
        <v>81421</v>
      </c>
      <c r="I92" s="34" t="s">
        <v>17</v>
      </c>
      <c r="J92" s="34">
        <v>15634727</v>
      </c>
      <c r="K92" s="34" t="s">
        <v>3180</v>
      </c>
      <c r="L92" s="40" t="s">
        <v>3181</v>
      </c>
      <c r="M92" s="36">
        <v>199900</v>
      </c>
      <c r="N92" s="37">
        <f t="shared" si="5"/>
        <v>0.7</v>
      </c>
      <c r="O92" s="36">
        <f t="shared" si="3"/>
        <v>59970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46086</v>
      </c>
      <c r="C93" s="35">
        <f t="shared" si="4"/>
        <v>46092</v>
      </c>
      <c r="D93" s="34">
        <v>3281</v>
      </c>
      <c r="E93" s="34">
        <v>337</v>
      </c>
      <c r="F93" s="34">
        <v>4</v>
      </c>
      <c r="G93" s="34">
        <v>1</v>
      </c>
      <c r="H93" s="34">
        <v>81421</v>
      </c>
      <c r="I93" s="34" t="s">
        <v>17</v>
      </c>
      <c r="J93" s="34">
        <v>15634736</v>
      </c>
      <c r="K93" s="34" t="s">
        <v>3180</v>
      </c>
      <c r="L93" s="40" t="s">
        <v>3182</v>
      </c>
      <c r="M93" s="36">
        <v>199900</v>
      </c>
      <c r="N93" s="37">
        <f t="shared" si="5"/>
        <v>0.7</v>
      </c>
      <c r="O93" s="36">
        <f t="shared" si="3"/>
        <v>59970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46086</v>
      </c>
      <c r="C94" s="35">
        <f t="shared" si="4"/>
        <v>46092</v>
      </c>
      <c r="D94" s="34">
        <v>3281</v>
      </c>
      <c r="E94" s="34">
        <v>337</v>
      </c>
      <c r="F94" s="34">
        <v>4</v>
      </c>
      <c r="G94" s="34">
        <v>1</v>
      </c>
      <c r="H94" s="34">
        <v>81421</v>
      </c>
      <c r="I94" s="34" t="s">
        <v>17</v>
      </c>
      <c r="J94" s="34">
        <v>15634754</v>
      </c>
      <c r="K94" s="34" t="s">
        <v>3180</v>
      </c>
      <c r="L94" s="40" t="s">
        <v>3183</v>
      </c>
      <c r="M94" s="36">
        <v>199900</v>
      </c>
      <c r="N94" s="37">
        <f t="shared" si="5"/>
        <v>0.7</v>
      </c>
      <c r="O94" s="36">
        <f t="shared" si="3"/>
        <v>59970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46086</v>
      </c>
      <c r="C95" s="35">
        <f t="shared" si="4"/>
        <v>46092</v>
      </c>
      <c r="D95" s="34">
        <v>3281</v>
      </c>
      <c r="E95" s="34">
        <v>337</v>
      </c>
      <c r="F95" s="34">
        <v>4</v>
      </c>
      <c r="G95" s="34">
        <v>1</v>
      </c>
      <c r="H95" s="34">
        <v>81421</v>
      </c>
      <c r="I95" s="34" t="s">
        <v>17</v>
      </c>
      <c r="J95" s="34">
        <v>16418478</v>
      </c>
      <c r="K95" s="34" t="s">
        <v>2863</v>
      </c>
      <c r="L95" s="40" t="s">
        <v>3184</v>
      </c>
      <c r="M95" s="36">
        <v>189900</v>
      </c>
      <c r="N95" s="37">
        <f t="shared" si="5"/>
        <v>0.7</v>
      </c>
      <c r="O95" s="36">
        <f t="shared" si="3"/>
        <v>56970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46086</v>
      </c>
      <c r="C96" s="35">
        <f t="shared" si="4"/>
        <v>46092</v>
      </c>
      <c r="D96" s="34">
        <v>3281</v>
      </c>
      <c r="E96" s="34">
        <v>337</v>
      </c>
      <c r="F96" s="34">
        <v>4</v>
      </c>
      <c r="G96" s="34">
        <v>1</v>
      </c>
      <c r="H96" s="34">
        <v>80920</v>
      </c>
      <c r="I96" s="34" t="s">
        <v>17</v>
      </c>
      <c r="J96" s="34">
        <v>15371912</v>
      </c>
      <c r="K96" s="34" t="s">
        <v>3185</v>
      </c>
      <c r="L96" s="40" t="s">
        <v>3186</v>
      </c>
      <c r="M96" s="36">
        <v>149900</v>
      </c>
      <c r="N96" s="37">
        <f t="shared" si="5"/>
        <v>0.7</v>
      </c>
      <c r="O96" s="36">
        <f t="shared" si="3"/>
        <v>44970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46086</v>
      </c>
      <c r="C97" s="35">
        <f t="shared" si="4"/>
        <v>46092</v>
      </c>
      <c r="D97" s="34">
        <v>3281</v>
      </c>
      <c r="E97" s="34">
        <v>337</v>
      </c>
      <c r="F97" s="34">
        <v>4</v>
      </c>
      <c r="G97" s="34">
        <v>1</v>
      </c>
      <c r="H97" s="34">
        <v>80920</v>
      </c>
      <c r="I97" s="34" t="s">
        <v>17</v>
      </c>
      <c r="J97" s="34">
        <v>15371921</v>
      </c>
      <c r="K97" s="34" t="s">
        <v>3185</v>
      </c>
      <c r="L97" s="40" t="s">
        <v>3187</v>
      </c>
      <c r="M97" s="36">
        <v>149900</v>
      </c>
      <c r="N97" s="37">
        <f t="shared" si="5"/>
        <v>0.7</v>
      </c>
      <c r="O97" s="36">
        <f t="shared" si="3"/>
        <v>44970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46086</v>
      </c>
      <c r="C98" s="35">
        <f t="shared" si="4"/>
        <v>46092</v>
      </c>
      <c r="D98" s="34">
        <v>3281</v>
      </c>
      <c r="E98" s="34">
        <v>337</v>
      </c>
      <c r="F98" s="34">
        <v>4</v>
      </c>
      <c r="G98" s="34">
        <v>1</v>
      </c>
      <c r="H98" s="34">
        <v>80920</v>
      </c>
      <c r="I98" s="34" t="s">
        <v>17</v>
      </c>
      <c r="J98" s="34">
        <v>15371930</v>
      </c>
      <c r="K98" s="34" t="s">
        <v>3185</v>
      </c>
      <c r="L98" s="40" t="s">
        <v>3188</v>
      </c>
      <c r="M98" s="36">
        <v>149900</v>
      </c>
      <c r="N98" s="37">
        <f t="shared" si="5"/>
        <v>0.7</v>
      </c>
      <c r="O98" s="36">
        <f t="shared" si="3"/>
        <v>44970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46086</v>
      </c>
      <c r="C99" s="35">
        <f t="shared" si="4"/>
        <v>46092</v>
      </c>
      <c r="D99" s="34">
        <v>3281</v>
      </c>
      <c r="E99" s="34">
        <v>337</v>
      </c>
      <c r="F99" s="34">
        <v>4</v>
      </c>
      <c r="G99" s="34">
        <v>1</v>
      </c>
      <c r="H99" s="34">
        <v>80920</v>
      </c>
      <c r="I99" s="34" t="s">
        <v>17</v>
      </c>
      <c r="J99" s="34">
        <v>15371949</v>
      </c>
      <c r="K99" s="34" t="s">
        <v>3185</v>
      </c>
      <c r="L99" s="40" t="s">
        <v>3189</v>
      </c>
      <c r="M99" s="36">
        <v>149900</v>
      </c>
      <c r="N99" s="37">
        <f t="shared" si="5"/>
        <v>0.7</v>
      </c>
      <c r="O99" s="36">
        <f t="shared" si="3"/>
        <v>44970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46086</v>
      </c>
      <c r="C100" s="35">
        <f t="shared" si="4"/>
        <v>46092</v>
      </c>
      <c r="D100" s="34">
        <v>3281</v>
      </c>
      <c r="E100" s="34">
        <v>337</v>
      </c>
      <c r="F100" s="34">
        <v>4</v>
      </c>
      <c r="G100" s="34">
        <v>1</v>
      </c>
      <c r="H100" s="34">
        <v>80920</v>
      </c>
      <c r="I100" s="34" t="s">
        <v>17</v>
      </c>
      <c r="J100" s="34">
        <v>15371958</v>
      </c>
      <c r="K100" s="34" t="s">
        <v>3190</v>
      </c>
      <c r="L100" s="40" t="s">
        <v>3191</v>
      </c>
      <c r="M100" s="36">
        <v>149900</v>
      </c>
      <c r="N100" s="37">
        <f t="shared" si="5"/>
        <v>0.7</v>
      </c>
      <c r="O100" s="36">
        <f t="shared" si="3"/>
        <v>44970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46086</v>
      </c>
      <c r="C101" s="35">
        <f t="shared" si="4"/>
        <v>46092</v>
      </c>
      <c r="D101" s="34">
        <v>3281</v>
      </c>
      <c r="E101" s="34">
        <v>337</v>
      </c>
      <c r="F101" s="34">
        <v>4</v>
      </c>
      <c r="G101" s="34">
        <v>1</v>
      </c>
      <c r="H101" s="34">
        <v>80920</v>
      </c>
      <c r="I101" s="34" t="s">
        <v>17</v>
      </c>
      <c r="J101" s="34">
        <v>15371967</v>
      </c>
      <c r="K101" s="34" t="s">
        <v>3190</v>
      </c>
      <c r="L101" s="40" t="s">
        <v>3192</v>
      </c>
      <c r="M101" s="36">
        <v>149900</v>
      </c>
      <c r="N101" s="37">
        <f t="shared" si="5"/>
        <v>0.7</v>
      </c>
      <c r="O101" s="36">
        <f t="shared" si="3"/>
        <v>44970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46086</v>
      </c>
      <c r="C102" s="35">
        <f t="shared" si="4"/>
        <v>46092</v>
      </c>
      <c r="D102" s="34">
        <v>3281</v>
      </c>
      <c r="E102" s="34">
        <v>337</v>
      </c>
      <c r="F102" s="34">
        <v>4</v>
      </c>
      <c r="G102" s="34">
        <v>1</v>
      </c>
      <c r="H102" s="34">
        <v>80920</v>
      </c>
      <c r="I102" s="34" t="s">
        <v>17</v>
      </c>
      <c r="J102" s="34">
        <v>15371985</v>
      </c>
      <c r="K102" s="34" t="s">
        <v>3190</v>
      </c>
      <c r="L102" s="40" t="s">
        <v>3193</v>
      </c>
      <c r="M102" s="36">
        <v>149900</v>
      </c>
      <c r="N102" s="37">
        <f t="shared" si="5"/>
        <v>0.7</v>
      </c>
      <c r="O102" s="36">
        <f t="shared" si="3"/>
        <v>44970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46086</v>
      </c>
      <c r="C103" s="35">
        <f t="shared" si="4"/>
        <v>46092</v>
      </c>
      <c r="D103" s="34">
        <v>3281</v>
      </c>
      <c r="E103" s="34">
        <v>337</v>
      </c>
      <c r="F103" s="34">
        <v>4</v>
      </c>
      <c r="G103" s="34">
        <v>1</v>
      </c>
      <c r="H103" s="34">
        <v>81676</v>
      </c>
      <c r="I103" s="34" t="s">
        <v>17</v>
      </c>
      <c r="J103" s="34">
        <v>15372279</v>
      </c>
      <c r="K103" s="34" t="s">
        <v>3194</v>
      </c>
      <c r="L103" s="40" t="s">
        <v>3195</v>
      </c>
      <c r="M103" s="36">
        <v>149900</v>
      </c>
      <c r="N103" s="37">
        <f t="shared" si="5"/>
        <v>0.7</v>
      </c>
      <c r="O103" s="36">
        <f t="shared" si="3"/>
        <v>44970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46086</v>
      </c>
      <c r="C104" s="35">
        <f t="shared" si="4"/>
        <v>46092</v>
      </c>
      <c r="D104" s="34">
        <v>3281</v>
      </c>
      <c r="E104" s="34">
        <v>337</v>
      </c>
      <c r="F104" s="34">
        <v>4</v>
      </c>
      <c r="G104" s="34">
        <v>1</v>
      </c>
      <c r="H104" s="34">
        <v>81676</v>
      </c>
      <c r="I104" s="34" t="s">
        <v>17</v>
      </c>
      <c r="J104" s="34">
        <v>15372288</v>
      </c>
      <c r="K104" s="34" t="s">
        <v>3194</v>
      </c>
      <c r="L104" s="40" t="s">
        <v>3196</v>
      </c>
      <c r="M104" s="36">
        <v>149900</v>
      </c>
      <c r="N104" s="37">
        <f t="shared" si="5"/>
        <v>0.7</v>
      </c>
      <c r="O104" s="36">
        <f t="shared" si="3"/>
        <v>44970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46086</v>
      </c>
      <c r="C105" s="35">
        <f t="shared" si="4"/>
        <v>46092</v>
      </c>
      <c r="D105" s="34">
        <v>3281</v>
      </c>
      <c r="E105" s="34">
        <v>337</v>
      </c>
      <c r="F105" s="34">
        <v>4</v>
      </c>
      <c r="G105" s="34">
        <v>1</v>
      </c>
      <c r="H105" s="34">
        <v>81676</v>
      </c>
      <c r="I105" s="34" t="s">
        <v>17</v>
      </c>
      <c r="J105" s="34">
        <v>15372297</v>
      </c>
      <c r="K105" s="34" t="s">
        <v>3194</v>
      </c>
      <c r="L105" s="40" t="s">
        <v>3197</v>
      </c>
      <c r="M105" s="36">
        <v>149900</v>
      </c>
      <c r="N105" s="37">
        <f t="shared" si="5"/>
        <v>0.7</v>
      </c>
      <c r="O105" s="36">
        <f t="shared" si="3"/>
        <v>44970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46086</v>
      </c>
      <c r="C106" s="35">
        <f t="shared" si="4"/>
        <v>46092</v>
      </c>
      <c r="D106" s="34">
        <v>3281</v>
      </c>
      <c r="E106" s="34">
        <v>337</v>
      </c>
      <c r="F106" s="34">
        <v>4</v>
      </c>
      <c r="G106" s="34">
        <v>1</v>
      </c>
      <c r="H106" s="34">
        <v>81676</v>
      </c>
      <c r="I106" s="34" t="s">
        <v>17</v>
      </c>
      <c r="J106" s="34">
        <v>15372304</v>
      </c>
      <c r="K106" s="34" t="s">
        <v>3194</v>
      </c>
      <c r="L106" s="40" t="s">
        <v>3198</v>
      </c>
      <c r="M106" s="36">
        <v>149900</v>
      </c>
      <c r="N106" s="37">
        <f t="shared" si="5"/>
        <v>0.7</v>
      </c>
      <c r="O106" s="36">
        <f t="shared" si="3"/>
        <v>44970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46086</v>
      </c>
      <c r="C107" s="35">
        <f t="shared" si="4"/>
        <v>46092</v>
      </c>
      <c r="D107" s="34">
        <v>3281</v>
      </c>
      <c r="E107" s="34">
        <v>337</v>
      </c>
      <c r="F107" s="34">
        <v>4</v>
      </c>
      <c r="G107" s="34">
        <v>1</v>
      </c>
      <c r="H107" s="34">
        <v>81676</v>
      </c>
      <c r="I107" s="34" t="s">
        <v>17</v>
      </c>
      <c r="J107" s="34">
        <v>86446646</v>
      </c>
      <c r="K107" s="34" t="s">
        <v>3199</v>
      </c>
      <c r="L107" s="40" t="s">
        <v>3200</v>
      </c>
      <c r="M107" s="36">
        <v>149900</v>
      </c>
      <c r="N107" s="37">
        <f t="shared" si="5"/>
        <v>0.7</v>
      </c>
      <c r="O107" s="36">
        <f t="shared" si="3"/>
        <v>44970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46086</v>
      </c>
      <c r="C108" s="35">
        <f t="shared" si="4"/>
        <v>46092</v>
      </c>
      <c r="D108" s="34">
        <v>3281</v>
      </c>
      <c r="E108" s="34">
        <v>337</v>
      </c>
      <c r="F108" s="34">
        <v>4</v>
      </c>
      <c r="G108" s="34">
        <v>1</v>
      </c>
      <c r="H108" s="34">
        <v>81676</v>
      </c>
      <c r="I108" s="34" t="s">
        <v>17</v>
      </c>
      <c r="J108" s="34">
        <v>86446655</v>
      </c>
      <c r="K108" s="34" t="s">
        <v>3199</v>
      </c>
      <c r="L108" s="40" t="s">
        <v>3201</v>
      </c>
      <c r="M108" s="36">
        <v>149900</v>
      </c>
      <c r="N108" s="37">
        <f t="shared" si="5"/>
        <v>0.7</v>
      </c>
      <c r="O108" s="36">
        <f t="shared" si="3"/>
        <v>44970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46086</v>
      </c>
      <c r="C109" s="35">
        <f t="shared" si="4"/>
        <v>46092</v>
      </c>
      <c r="D109" s="34">
        <v>3281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17</v>
      </c>
      <c r="J109" s="34">
        <v>86446664</v>
      </c>
      <c r="K109" s="34" t="s">
        <v>3199</v>
      </c>
      <c r="L109" s="40" t="s">
        <v>3202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46086</v>
      </c>
      <c r="C110" s="35">
        <f t="shared" si="4"/>
        <v>46092</v>
      </c>
      <c r="D110" s="34">
        <v>3281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17</v>
      </c>
      <c r="J110" s="34">
        <v>86446673</v>
      </c>
      <c r="K110" s="34" t="s">
        <v>3199</v>
      </c>
      <c r="L110" s="40" t="s">
        <v>3203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46086</v>
      </c>
      <c r="C111" s="35">
        <f t="shared" si="4"/>
        <v>46092</v>
      </c>
      <c r="D111" s="34">
        <v>3281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17</v>
      </c>
      <c r="J111" s="34">
        <v>86446726</v>
      </c>
      <c r="K111" s="34" t="s">
        <v>3204</v>
      </c>
      <c r="L111" s="40" t="s">
        <v>3205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46086</v>
      </c>
      <c r="C112" s="35">
        <f t="shared" si="4"/>
        <v>46092</v>
      </c>
      <c r="D112" s="34">
        <v>3281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17</v>
      </c>
      <c r="J112" s="34">
        <v>86446735</v>
      </c>
      <c r="K112" s="34" t="s">
        <v>3204</v>
      </c>
      <c r="L112" s="40" t="s">
        <v>3206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46086</v>
      </c>
      <c r="C113" s="35">
        <f t="shared" si="4"/>
        <v>46092</v>
      </c>
      <c r="D113" s="34">
        <v>3281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17</v>
      </c>
      <c r="J113" s="34">
        <v>86446744</v>
      </c>
      <c r="K113" s="34" t="s">
        <v>3204</v>
      </c>
      <c r="L113" s="40" t="s">
        <v>3207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46086</v>
      </c>
      <c r="C114" s="35">
        <f t="shared" si="4"/>
        <v>46092</v>
      </c>
      <c r="D114" s="34">
        <v>3281</v>
      </c>
      <c r="E114" s="34">
        <v>337</v>
      </c>
      <c r="F114" s="34">
        <v>4</v>
      </c>
      <c r="G114" s="34">
        <v>1</v>
      </c>
      <c r="H114" s="34">
        <v>81676</v>
      </c>
      <c r="I114" s="34" t="s">
        <v>17</v>
      </c>
      <c r="J114" s="34">
        <v>86446753</v>
      </c>
      <c r="K114" s="34" t="s">
        <v>3204</v>
      </c>
      <c r="L114" s="40" t="s">
        <v>3208</v>
      </c>
      <c r="M114" s="36">
        <v>149900</v>
      </c>
      <c r="N114" s="37">
        <f t="shared" si="5"/>
        <v>0.7</v>
      </c>
      <c r="O114" s="36">
        <f t="shared" si="3"/>
        <v>44970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46086</v>
      </c>
      <c r="C115" s="35">
        <f t="shared" si="4"/>
        <v>46092</v>
      </c>
      <c r="D115" s="34">
        <v>3281</v>
      </c>
      <c r="E115" s="34">
        <v>337</v>
      </c>
      <c r="F115" s="34">
        <v>4</v>
      </c>
      <c r="G115" s="34">
        <v>3</v>
      </c>
      <c r="H115" s="34">
        <v>81421</v>
      </c>
      <c r="I115" s="34" t="s">
        <v>17</v>
      </c>
      <c r="J115" s="34">
        <v>15371832</v>
      </c>
      <c r="K115" s="34" t="s">
        <v>3209</v>
      </c>
      <c r="L115" s="40" t="s">
        <v>3210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46086</v>
      </c>
      <c r="C116" s="35">
        <f t="shared" si="4"/>
        <v>46092</v>
      </c>
      <c r="D116" s="34">
        <v>3281</v>
      </c>
      <c r="E116" s="34">
        <v>337</v>
      </c>
      <c r="F116" s="34">
        <v>4</v>
      </c>
      <c r="G116" s="34">
        <v>3</v>
      </c>
      <c r="H116" s="34">
        <v>81421</v>
      </c>
      <c r="I116" s="34" t="s">
        <v>17</v>
      </c>
      <c r="J116" s="34">
        <v>15371841</v>
      </c>
      <c r="K116" s="34" t="s">
        <v>3209</v>
      </c>
      <c r="L116" s="40" t="s">
        <v>3211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46086</v>
      </c>
      <c r="C117" s="35">
        <f t="shared" si="4"/>
        <v>46092</v>
      </c>
      <c r="D117" s="34">
        <v>3281</v>
      </c>
      <c r="E117" s="34">
        <v>337</v>
      </c>
      <c r="F117" s="34">
        <v>4</v>
      </c>
      <c r="G117" s="34">
        <v>3</v>
      </c>
      <c r="H117" s="34">
        <v>81421</v>
      </c>
      <c r="I117" s="34" t="s">
        <v>17</v>
      </c>
      <c r="J117" s="34">
        <v>15371850</v>
      </c>
      <c r="K117" s="34" t="s">
        <v>3209</v>
      </c>
      <c r="L117" s="40" t="s">
        <v>3212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46086</v>
      </c>
      <c r="C118" s="35">
        <f t="shared" si="4"/>
        <v>46092</v>
      </c>
      <c r="D118" s="34">
        <v>3281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17</v>
      </c>
      <c r="J118" s="34">
        <v>15371869</v>
      </c>
      <c r="K118" s="34" t="s">
        <v>3209</v>
      </c>
      <c r="L118" s="40" t="s">
        <v>3213</v>
      </c>
      <c r="M118" s="36">
        <v>279900</v>
      </c>
      <c r="N118" s="37">
        <f t="shared" si="5"/>
        <v>0.7</v>
      </c>
      <c r="O118" s="36">
        <f t="shared" si="3"/>
        <v>83970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46086</v>
      </c>
      <c r="C119" s="35">
        <f t="shared" si="4"/>
        <v>46092</v>
      </c>
      <c r="D119" s="34">
        <v>3281</v>
      </c>
      <c r="E119" s="34">
        <v>337</v>
      </c>
      <c r="F119" s="34">
        <v>4</v>
      </c>
      <c r="G119" s="34">
        <v>5</v>
      </c>
      <c r="H119" s="34">
        <v>190</v>
      </c>
      <c r="I119" s="34" t="s">
        <v>17</v>
      </c>
      <c r="J119" s="34">
        <v>16272723</v>
      </c>
      <c r="K119" s="34" t="s">
        <v>3214</v>
      </c>
      <c r="L119" s="40" t="s">
        <v>3215</v>
      </c>
      <c r="M119" s="36">
        <v>249900</v>
      </c>
      <c r="N119" s="37">
        <f t="shared" si="5"/>
        <v>0.7</v>
      </c>
      <c r="O119" s="36">
        <f t="shared" si="3"/>
        <v>74970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46086</v>
      </c>
      <c r="C120" s="35">
        <f t="shared" si="4"/>
        <v>46092</v>
      </c>
      <c r="D120" s="34">
        <v>3281</v>
      </c>
      <c r="E120" s="34">
        <v>337</v>
      </c>
      <c r="F120" s="34">
        <v>4</v>
      </c>
      <c r="G120" s="34">
        <v>5</v>
      </c>
      <c r="H120" s="34">
        <v>190</v>
      </c>
      <c r="I120" s="34" t="s">
        <v>17</v>
      </c>
      <c r="J120" s="34">
        <v>16272732</v>
      </c>
      <c r="K120" s="34" t="s">
        <v>3214</v>
      </c>
      <c r="L120" s="40" t="s">
        <v>3216</v>
      </c>
      <c r="M120" s="36">
        <v>249900</v>
      </c>
      <c r="N120" s="37">
        <f t="shared" si="5"/>
        <v>0.7</v>
      </c>
      <c r="O120" s="36">
        <f t="shared" si="3"/>
        <v>74970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46086</v>
      </c>
      <c r="C121" s="35">
        <f t="shared" si="4"/>
        <v>46092</v>
      </c>
      <c r="D121" s="34">
        <v>3281</v>
      </c>
      <c r="E121" s="34">
        <v>337</v>
      </c>
      <c r="F121" s="34">
        <v>4</v>
      </c>
      <c r="G121" s="34">
        <v>5</v>
      </c>
      <c r="H121" s="34">
        <v>190</v>
      </c>
      <c r="I121" s="34" t="s">
        <v>17</v>
      </c>
      <c r="J121" s="34">
        <v>16272741</v>
      </c>
      <c r="K121" s="34" t="s">
        <v>3214</v>
      </c>
      <c r="L121" s="40" t="s">
        <v>3217</v>
      </c>
      <c r="M121" s="36">
        <v>249900</v>
      </c>
      <c r="N121" s="37">
        <f t="shared" si="5"/>
        <v>0.7</v>
      </c>
      <c r="O121" s="36">
        <f t="shared" si="3"/>
        <v>74970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46086</v>
      </c>
      <c r="C122" s="35">
        <f t="shared" si="4"/>
        <v>46092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16418530</v>
      </c>
      <c r="K122" s="34" t="s">
        <v>3218</v>
      </c>
      <c r="L122" s="40" t="s">
        <v>3219</v>
      </c>
      <c r="M122" s="36">
        <v>249900</v>
      </c>
      <c r="N122" s="37">
        <f t="shared" si="5"/>
        <v>0.7</v>
      </c>
      <c r="O122" s="36">
        <f t="shared" si="3"/>
        <v>74970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46086</v>
      </c>
      <c r="C123" s="35">
        <f t="shared" si="4"/>
        <v>46092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16418549</v>
      </c>
      <c r="K123" s="34" t="s">
        <v>3218</v>
      </c>
      <c r="L123" s="40" t="s">
        <v>3220</v>
      </c>
      <c r="M123" s="36">
        <v>249900</v>
      </c>
      <c r="N123" s="37">
        <f t="shared" si="5"/>
        <v>0.7</v>
      </c>
      <c r="O123" s="36">
        <f t="shared" si="3"/>
        <v>74970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46086</v>
      </c>
      <c r="C124" s="35">
        <f t="shared" si="4"/>
        <v>46092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16418558</v>
      </c>
      <c r="K124" s="34" t="s">
        <v>3218</v>
      </c>
      <c r="L124" s="40" t="s">
        <v>3221</v>
      </c>
      <c r="M124" s="36">
        <v>249900</v>
      </c>
      <c r="N124" s="37">
        <f t="shared" si="5"/>
        <v>0.7</v>
      </c>
      <c r="O124" s="36">
        <f t="shared" si="3"/>
        <v>74970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46086</v>
      </c>
      <c r="C125" s="35">
        <f t="shared" si="4"/>
        <v>46092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16418576</v>
      </c>
      <c r="K125" s="34" t="s">
        <v>3222</v>
      </c>
      <c r="L125" s="40" t="s">
        <v>3223</v>
      </c>
      <c r="M125" s="36">
        <v>249900</v>
      </c>
      <c r="N125" s="37">
        <f t="shared" si="5"/>
        <v>0.7</v>
      </c>
      <c r="O125" s="36">
        <f t="shared" si="3"/>
        <v>74970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46086</v>
      </c>
      <c r="C126" s="35">
        <f t="shared" si="4"/>
        <v>46092</v>
      </c>
      <c r="D126" s="34">
        <v>3281</v>
      </c>
      <c r="E126" s="34">
        <v>337</v>
      </c>
      <c r="F126" s="34">
        <v>4</v>
      </c>
      <c r="G126" s="34">
        <v>5</v>
      </c>
      <c r="H126" s="34">
        <v>81506</v>
      </c>
      <c r="I126" s="34" t="s">
        <v>17</v>
      </c>
      <c r="J126" s="34">
        <v>16418585</v>
      </c>
      <c r="K126" s="34" t="s">
        <v>3222</v>
      </c>
      <c r="L126" s="40" t="s">
        <v>3224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46086</v>
      </c>
      <c r="C127" s="35">
        <f t="shared" si="4"/>
        <v>46092</v>
      </c>
      <c r="D127" s="34">
        <v>3281</v>
      </c>
      <c r="E127" s="34">
        <v>337</v>
      </c>
      <c r="F127" s="34">
        <v>4</v>
      </c>
      <c r="G127" s="34">
        <v>5</v>
      </c>
      <c r="H127" s="34">
        <v>81506</v>
      </c>
      <c r="I127" s="34" t="s">
        <v>17</v>
      </c>
      <c r="J127" s="34">
        <v>16418594</v>
      </c>
      <c r="K127" s="34" t="s">
        <v>3222</v>
      </c>
      <c r="L127" s="40" t="s">
        <v>3225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46086</v>
      </c>
      <c r="C128" s="35">
        <f t="shared" si="4"/>
        <v>46092</v>
      </c>
      <c r="D128" s="34">
        <v>3281</v>
      </c>
      <c r="E128" s="34">
        <v>337</v>
      </c>
      <c r="F128" s="34">
        <v>4</v>
      </c>
      <c r="G128" s="34">
        <v>1</v>
      </c>
      <c r="H128" s="34">
        <v>81421</v>
      </c>
      <c r="I128" s="34" t="s">
        <v>17</v>
      </c>
      <c r="J128" s="34">
        <v>15634745</v>
      </c>
      <c r="K128" s="34" t="s">
        <v>3180</v>
      </c>
      <c r="L128" s="40" t="s">
        <v>3263</v>
      </c>
      <c r="M128" s="36">
        <v>199900</v>
      </c>
      <c r="N128" s="37">
        <f t="shared" si="5"/>
        <v>0.7</v>
      </c>
      <c r="O128" s="36">
        <f t="shared" si="3"/>
        <v>59970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46086</v>
      </c>
      <c r="C129" s="35">
        <f t="shared" si="4"/>
        <v>46092</v>
      </c>
      <c r="D129" s="34">
        <v>3281</v>
      </c>
      <c r="E129" s="34">
        <v>337</v>
      </c>
      <c r="F129" s="34">
        <v>4</v>
      </c>
      <c r="G129" s="34">
        <v>1</v>
      </c>
      <c r="H129" s="34">
        <v>80920</v>
      </c>
      <c r="I129" s="34" t="s">
        <v>17</v>
      </c>
      <c r="J129" s="34">
        <v>15371976</v>
      </c>
      <c r="K129" s="34" t="s">
        <v>3190</v>
      </c>
      <c r="L129" s="40" t="s">
        <v>3264</v>
      </c>
      <c r="M129" s="36">
        <v>149900</v>
      </c>
      <c r="N129" s="37">
        <f t="shared" si="5"/>
        <v>0.7</v>
      </c>
      <c r="O129" s="36">
        <f t="shared" si="3"/>
        <v>44970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46086</v>
      </c>
      <c r="C130" s="35">
        <f t="shared" si="4"/>
        <v>46092</v>
      </c>
      <c r="D130" s="34">
        <v>3281</v>
      </c>
      <c r="E130" s="34">
        <v>337</v>
      </c>
      <c r="F130" s="34">
        <v>4</v>
      </c>
      <c r="G130" s="34">
        <v>5</v>
      </c>
      <c r="H130" s="34">
        <v>190</v>
      </c>
      <c r="I130" s="34" t="s">
        <v>17</v>
      </c>
      <c r="J130" s="34">
        <v>16272750</v>
      </c>
      <c r="K130" s="34" t="s">
        <v>3214</v>
      </c>
      <c r="L130" s="40" t="s">
        <v>3270</v>
      </c>
      <c r="M130" s="36">
        <v>249900</v>
      </c>
      <c r="N130" s="37">
        <f t="shared" si="5"/>
        <v>0.7</v>
      </c>
      <c r="O130" s="36">
        <f t="shared" si="3"/>
        <v>74970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46086</v>
      </c>
      <c r="C131" s="35">
        <f t="shared" si="4"/>
        <v>46092</v>
      </c>
      <c r="D131" s="34">
        <v>3281</v>
      </c>
      <c r="E131" s="34">
        <v>337</v>
      </c>
      <c r="F131" s="34">
        <v>4</v>
      </c>
      <c r="G131" s="34">
        <v>5</v>
      </c>
      <c r="H131" s="34">
        <v>81506</v>
      </c>
      <c r="I131" s="34" t="s">
        <v>17</v>
      </c>
      <c r="J131" s="34">
        <v>16418567</v>
      </c>
      <c r="K131" s="34" t="s">
        <v>3218</v>
      </c>
      <c r="L131" s="40" t="s">
        <v>3271</v>
      </c>
      <c r="M131" s="36">
        <v>249900</v>
      </c>
      <c r="N131" s="37">
        <f t="shared" si="5"/>
        <v>0.7</v>
      </c>
      <c r="O131" s="36">
        <f t="shared" ref="O131:O194" si="6">M131-((70*M131))/100</f>
        <v>74970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46086</v>
      </c>
      <c r="C132" s="35">
        <f t="shared" si="7"/>
        <v>46092</v>
      </c>
      <c r="D132" s="34">
        <v>3281</v>
      </c>
      <c r="E132" s="34">
        <v>337</v>
      </c>
      <c r="F132" s="34">
        <v>4</v>
      </c>
      <c r="G132" s="34">
        <v>5</v>
      </c>
      <c r="H132" s="34">
        <v>81506</v>
      </c>
      <c r="I132" s="34" t="s">
        <v>17</v>
      </c>
      <c r="J132" s="34">
        <v>16418601</v>
      </c>
      <c r="K132" s="34" t="s">
        <v>3222</v>
      </c>
      <c r="L132" s="40" t="s">
        <v>3272</v>
      </c>
      <c r="M132" s="36">
        <v>249900</v>
      </c>
      <c r="N132" s="37">
        <f t="shared" ref="N132:N195" si="8">N131</f>
        <v>0.7</v>
      </c>
      <c r="O132" s="36">
        <f t="shared" si="6"/>
        <v>74970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46086</v>
      </c>
      <c r="C133" s="35">
        <f t="shared" si="7"/>
        <v>46092</v>
      </c>
      <c r="D133" s="34">
        <v>3281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17</v>
      </c>
      <c r="J133" s="34">
        <v>86446682</v>
      </c>
      <c r="K133" s="34" t="s">
        <v>3265</v>
      </c>
      <c r="L133" s="40" t="s">
        <v>3266</v>
      </c>
      <c r="M133" s="36">
        <v>149900</v>
      </c>
      <c r="N133" s="37">
        <f t="shared" si="8"/>
        <v>0.7</v>
      </c>
      <c r="O133" s="36">
        <f t="shared" si="6"/>
        <v>44970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46086</v>
      </c>
      <c r="C134" s="35">
        <f t="shared" si="7"/>
        <v>46092</v>
      </c>
      <c r="D134" s="34">
        <v>3281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17</v>
      </c>
      <c r="J134" s="34">
        <v>86446691</v>
      </c>
      <c r="K134" s="34" t="s">
        <v>3265</v>
      </c>
      <c r="L134" s="40" t="s">
        <v>3267</v>
      </c>
      <c r="M134" s="36">
        <v>149900</v>
      </c>
      <c r="N134" s="37">
        <f t="shared" si="8"/>
        <v>0.7</v>
      </c>
      <c r="O134" s="36">
        <f t="shared" si="6"/>
        <v>44970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46086</v>
      </c>
      <c r="C135" s="35">
        <f t="shared" si="7"/>
        <v>46092</v>
      </c>
      <c r="D135" s="34">
        <v>3281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17</v>
      </c>
      <c r="J135" s="34">
        <v>86446708</v>
      </c>
      <c r="K135" s="34" t="s">
        <v>3265</v>
      </c>
      <c r="L135" s="40" t="s">
        <v>3268</v>
      </c>
      <c r="M135" s="36">
        <v>149900</v>
      </c>
      <c r="N135" s="37">
        <f t="shared" si="8"/>
        <v>0.7</v>
      </c>
      <c r="O135" s="36">
        <f t="shared" si="6"/>
        <v>44970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46086</v>
      </c>
      <c r="C136" s="35">
        <f t="shared" si="7"/>
        <v>46092</v>
      </c>
      <c r="D136" s="34">
        <v>3281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17</v>
      </c>
      <c r="J136" s="34">
        <v>86446717</v>
      </c>
      <c r="K136" s="34" t="s">
        <v>3265</v>
      </c>
      <c r="L136" s="40" t="s">
        <v>3269</v>
      </c>
      <c r="M136" s="36">
        <v>149900</v>
      </c>
      <c r="N136" s="37">
        <f t="shared" si="8"/>
        <v>0.7</v>
      </c>
      <c r="O136" s="36">
        <f t="shared" si="6"/>
        <v>44970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46086</v>
      </c>
      <c r="C137" s="35">
        <f t="shared" si="7"/>
        <v>46092</v>
      </c>
      <c r="D137" s="34">
        <v>3281</v>
      </c>
      <c r="E137" s="34">
        <v>337</v>
      </c>
      <c r="F137" s="34">
        <v>4</v>
      </c>
      <c r="G137" s="34">
        <v>5</v>
      </c>
      <c r="H137" s="34">
        <v>81506</v>
      </c>
      <c r="I137" s="34" t="s">
        <v>17</v>
      </c>
      <c r="J137" s="34">
        <v>17075971</v>
      </c>
      <c r="K137" s="34" t="s">
        <v>3273</v>
      </c>
      <c r="L137" s="40" t="s">
        <v>3274</v>
      </c>
      <c r="M137" s="36">
        <v>259900</v>
      </c>
      <c r="N137" s="37">
        <f t="shared" si="8"/>
        <v>0.7</v>
      </c>
      <c r="O137" s="36">
        <f t="shared" si="6"/>
        <v>77970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46086</v>
      </c>
      <c r="C138" s="35">
        <f t="shared" si="7"/>
        <v>46092</v>
      </c>
      <c r="D138" s="34">
        <v>3281</v>
      </c>
      <c r="E138" s="34">
        <v>337</v>
      </c>
      <c r="F138" s="34">
        <v>4</v>
      </c>
      <c r="G138" s="34">
        <v>5</v>
      </c>
      <c r="H138" s="34">
        <v>81506</v>
      </c>
      <c r="I138" s="34" t="s">
        <v>17</v>
      </c>
      <c r="J138" s="34">
        <v>17075980</v>
      </c>
      <c r="K138" s="34" t="s">
        <v>3273</v>
      </c>
      <c r="L138" s="40" t="s">
        <v>3275</v>
      </c>
      <c r="M138" s="36">
        <v>259900</v>
      </c>
      <c r="N138" s="37">
        <f t="shared" si="8"/>
        <v>0.7</v>
      </c>
      <c r="O138" s="36">
        <f t="shared" si="6"/>
        <v>77970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46086</v>
      </c>
      <c r="C139" s="35">
        <f t="shared" si="7"/>
        <v>46092</v>
      </c>
      <c r="D139" s="34">
        <v>3281</v>
      </c>
      <c r="E139" s="34">
        <v>337</v>
      </c>
      <c r="F139" s="34">
        <v>4</v>
      </c>
      <c r="G139" s="34">
        <v>5</v>
      </c>
      <c r="H139" s="34">
        <v>81506</v>
      </c>
      <c r="I139" s="34" t="s">
        <v>17</v>
      </c>
      <c r="J139" s="34">
        <v>17075999</v>
      </c>
      <c r="K139" s="34" t="s">
        <v>3273</v>
      </c>
      <c r="L139" s="40" t="s">
        <v>3276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46086</v>
      </c>
      <c r="C140" s="35">
        <f t="shared" si="7"/>
        <v>46092</v>
      </c>
      <c r="D140" s="34">
        <v>3281</v>
      </c>
      <c r="E140" s="34">
        <v>337</v>
      </c>
      <c r="F140" s="34">
        <v>4</v>
      </c>
      <c r="G140" s="34">
        <v>5</v>
      </c>
      <c r="H140" s="34">
        <v>81506</v>
      </c>
      <c r="I140" s="34" t="s">
        <v>17</v>
      </c>
      <c r="J140" s="34">
        <v>17076050</v>
      </c>
      <c r="K140" s="34" t="s">
        <v>3277</v>
      </c>
      <c r="L140" s="40" t="s">
        <v>3278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46086</v>
      </c>
      <c r="C141" s="35">
        <f t="shared" si="7"/>
        <v>46092</v>
      </c>
      <c r="D141" s="34">
        <v>3281</v>
      </c>
      <c r="E141" s="34">
        <v>337</v>
      </c>
      <c r="F141" s="34">
        <v>4</v>
      </c>
      <c r="G141" s="34">
        <v>5</v>
      </c>
      <c r="H141" s="34">
        <v>81506</v>
      </c>
      <c r="I141" s="34" t="s">
        <v>17</v>
      </c>
      <c r="J141" s="34">
        <v>17076069</v>
      </c>
      <c r="K141" s="34" t="s">
        <v>3277</v>
      </c>
      <c r="L141" s="40" t="s">
        <v>3279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46086</v>
      </c>
      <c r="C142" s="35">
        <f t="shared" si="7"/>
        <v>46092</v>
      </c>
      <c r="D142" s="34">
        <v>3281</v>
      </c>
      <c r="E142" s="34">
        <v>337</v>
      </c>
      <c r="F142" s="34">
        <v>4</v>
      </c>
      <c r="G142" s="34">
        <v>5</v>
      </c>
      <c r="H142" s="34">
        <v>81506</v>
      </c>
      <c r="I142" s="34" t="s">
        <v>17</v>
      </c>
      <c r="J142" s="34">
        <v>17076078</v>
      </c>
      <c r="K142" s="34" t="s">
        <v>3277</v>
      </c>
      <c r="L142" s="40" t="s">
        <v>3280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46086</v>
      </c>
      <c r="C143" s="35">
        <f t="shared" si="7"/>
        <v>46092</v>
      </c>
      <c r="D143" s="34">
        <v>3281</v>
      </c>
      <c r="E143" s="34">
        <v>337</v>
      </c>
      <c r="F143" s="34">
        <v>4</v>
      </c>
      <c r="G143" s="34">
        <v>5</v>
      </c>
      <c r="H143" s="34">
        <v>81506</v>
      </c>
      <c r="I143" s="34" t="s">
        <v>17</v>
      </c>
      <c r="J143" s="34">
        <v>17076087</v>
      </c>
      <c r="K143" s="34" t="s">
        <v>3277</v>
      </c>
      <c r="L143" s="40" t="s">
        <v>3281</v>
      </c>
      <c r="M143" s="36">
        <v>259900</v>
      </c>
      <c r="N143" s="37">
        <f t="shared" si="8"/>
        <v>0.7</v>
      </c>
      <c r="O143" s="36">
        <f t="shared" si="6"/>
        <v>77970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46086</v>
      </c>
      <c r="C144" s="35">
        <f t="shared" si="7"/>
        <v>46092</v>
      </c>
      <c r="D144" s="34">
        <v>3281</v>
      </c>
      <c r="E144" s="34">
        <v>337</v>
      </c>
      <c r="F144" s="34">
        <v>4</v>
      </c>
      <c r="G144" s="34">
        <v>5</v>
      </c>
      <c r="H144" s="34">
        <v>81506</v>
      </c>
      <c r="I144" s="34" t="s">
        <v>17</v>
      </c>
      <c r="J144" s="34">
        <v>17375183</v>
      </c>
      <c r="K144" s="34" t="s">
        <v>3282</v>
      </c>
      <c r="L144" s="40" t="s">
        <v>3283</v>
      </c>
      <c r="M144" s="36">
        <v>289900</v>
      </c>
      <c r="N144" s="37">
        <f t="shared" si="8"/>
        <v>0.7</v>
      </c>
      <c r="O144" s="36">
        <f t="shared" si="6"/>
        <v>86970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46086</v>
      </c>
      <c r="C145" s="35">
        <f t="shared" si="7"/>
        <v>46092</v>
      </c>
      <c r="D145" s="34">
        <v>3281</v>
      </c>
      <c r="E145" s="34">
        <v>337</v>
      </c>
      <c r="F145" s="34">
        <v>4</v>
      </c>
      <c r="G145" s="34">
        <v>5</v>
      </c>
      <c r="H145" s="34">
        <v>81506</v>
      </c>
      <c r="I145" s="34" t="s">
        <v>17</v>
      </c>
      <c r="J145" s="34">
        <v>17375227</v>
      </c>
      <c r="K145" s="34" t="s">
        <v>3282</v>
      </c>
      <c r="L145" s="40" t="s">
        <v>3284</v>
      </c>
      <c r="M145" s="36">
        <v>289900</v>
      </c>
      <c r="N145" s="37">
        <f t="shared" si="8"/>
        <v>0.7</v>
      </c>
      <c r="O145" s="36">
        <f t="shared" si="6"/>
        <v>86970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46086</v>
      </c>
      <c r="C146" s="35">
        <f t="shared" si="7"/>
        <v>46092</v>
      </c>
      <c r="D146" s="34">
        <v>3281</v>
      </c>
      <c r="E146" s="34">
        <v>337</v>
      </c>
      <c r="F146" s="34">
        <v>4</v>
      </c>
      <c r="G146" s="34">
        <v>5</v>
      </c>
      <c r="H146" s="34">
        <v>81506</v>
      </c>
      <c r="I146" s="34" t="s">
        <v>17</v>
      </c>
      <c r="J146" s="34">
        <v>17375236</v>
      </c>
      <c r="K146" s="34" t="s">
        <v>3282</v>
      </c>
      <c r="L146" s="40" t="s">
        <v>3285</v>
      </c>
      <c r="M146" s="36">
        <v>289900</v>
      </c>
      <c r="N146" s="37">
        <f t="shared" si="8"/>
        <v>0.7</v>
      </c>
      <c r="O146" s="36">
        <f t="shared" si="6"/>
        <v>86970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46086</v>
      </c>
      <c r="C147" s="35">
        <f t="shared" si="7"/>
        <v>46092</v>
      </c>
      <c r="D147" s="34">
        <v>3281</v>
      </c>
      <c r="E147" s="34">
        <v>337</v>
      </c>
      <c r="F147" s="34">
        <v>4</v>
      </c>
      <c r="G147" s="34">
        <v>5</v>
      </c>
      <c r="H147" s="34">
        <v>81506</v>
      </c>
      <c r="I147" s="34" t="s">
        <v>17</v>
      </c>
      <c r="J147" s="34">
        <v>17375245</v>
      </c>
      <c r="K147" s="34" t="s">
        <v>3282</v>
      </c>
      <c r="L147" s="40" t="s">
        <v>3286</v>
      </c>
      <c r="M147" s="36">
        <v>289900</v>
      </c>
      <c r="N147" s="37">
        <f t="shared" si="8"/>
        <v>0.7</v>
      </c>
      <c r="O147" s="36">
        <f t="shared" si="6"/>
        <v>86970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46086</v>
      </c>
      <c r="C148" s="35">
        <f t="shared" si="7"/>
        <v>46092</v>
      </c>
      <c r="D148" s="34">
        <v>3281</v>
      </c>
      <c r="E148" s="34">
        <v>337</v>
      </c>
      <c r="F148" s="34">
        <v>4</v>
      </c>
      <c r="G148" s="34">
        <v>1</v>
      </c>
      <c r="H148" s="34">
        <v>190</v>
      </c>
      <c r="I148" s="34" t="s">
        <v>17</v>
      </c>
      <c r="J148" s="34">
        <v>17457317</v>
      </c>
      <c r="K148" s="34" t="s">
        <v>3559</v>
      </c>
      <c r="L148" s="40" t="s">
        <v>3560</v>
      </c>
      <c r="M148" s="36">
        <v>159900</v>
      </c>
      <c r="N148" s="37">
        <f t="shared" si="8"/>
        <v>0.7</v>
      </c>
      <c r="O148" s="36">
        <f t="shared" si="6"/>
        <v>47970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46086</v>
      </c>
      <c r="C149" s="35">
        <f t="shared" si="7"/>
        <v>46092</v>
      </c>
      <c r="D149" s="34">
        <v>3281</v>
      </c>
      <c r="E149" s="34">
        <v>337</v>
      </c>
      <c r="F149" s="34">
        <v>4</v>
      </c>
      <c r="G149" s="34">
        <v>1</v>
      </c>
      <c r="H149" s="34">
        <v>190</v>
      </c>
      <c r="I149" s="34" t="s">
        <v>17</v>
      </c>
      <c r="J149" s="34">
        <v>17457326</v>
      </c>
      <c r="K149" s="34" t="s">
        <v>3559</v>
      </c>
      <c r="L149" s="40" t="s">
        <v>3561</v>
      </c>
      <c r="M149" s="36">
        <v>159900</v>
      </c>
      <c r="N149" s="37">
        <f t="shared" si="8"/>
        <v>0.7</v>
      </c>
      <c r="O149" s="36">
        <f t="shared" si="6"/>
        <v>47970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46086</v>
      </c>
      <c r="C150" s="35">
        <f t="shared" si="7"/>
        <v>46092</v>
      </c>
      <c r="D150" s="34">
        <v>3281</v>
      </c>
      <c r="E150" s="34">
        <v>337</v>
      </c>
      <c r="F150" s="34">
        <v>4</v>
      </c>
      <c r="G150" s="34">
        <v>1</v>
      </c>
      <c r="H150" s="34">
        <v>190</v>
      </c>
      <c r="I150" s="34" t="s">
        <v>17</v>
      </c>
      <c r="J150" s="34">
        <v>17457335</v>
      </c>
      <c r="K150" s="34" t="s">
        <v>3559</v>
      </c>
      <c r="L150" s="40" t="s">
        <v>3562</v>
      </c>
      <c r="M150" s="36">
        <v>159900</v>
      </c>
      <c r="N150" s="37">
        <f t="shared" si="8"/>
        <v>0.7</v>
      </c>
      <c r="O150" s="36">
        <f t="shared" si="6"/>
        <v>47970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46086</v>
      </c>
      <c r="C151" s="35">
        <f t="shared" si="7"/>
        <v>46092</v>
      </c>
      <c r="D151" s="34">
        <v>3281</v>
      </c>
      <c r="E151" s="34">
        <v>337</v>
      </c>
      <c r="F151" s="34">
        <v>4</v>
      </c>
      <c r="G151" s="34">
        <v>1</v>
      </c>
      <c r="H151" s="34">
        <v>190</v>
      </c>
      <c r="I151" s="34" t="s">
        <v>17</v>
      </c>
      <c r="J151" s="34">
        <v>17457362</v>
      </c>
      <c r="K151" s="34" t="s">
        <v>3559</v>
      </c>
      <c r="L151" s="40" t="s">
        <v>3563</v>
      </c>
      <c r="M151" s="36">
        <v>159900</v>
      </c>
      <c r="N151" s="37">
        <f t="shared" si="8"/>
        <v>0.7</v>
      </c>
      <c r="O151" s="36">
        <f t="shared" si="6"/>
        <v>47970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46086</v>
      </c>
      <c r="C152" s="35">
        <f t="shared" si="7"/>
        <v>46092</v>
      </c>
      <c r="D152" s="34">
        <v>3281</v>
      </c>
      <c r="E152" s="34">
        <v>337</v>
      </c>
      <c r="F152" s="34">
        <v>4</v>
      </c>
      <c r="G152" s="34">
        <v>4</v>
      </c>
      <c r="H152" s="34">
        <v>190</v>
      </c>
      <c r="I152" s="34" t="s">
        <v>17</v>
      </c>
      <c r="J152" s="34">
        <v>17457371</v>
      </c>
      <c r="K152" s="34" t="s">
        <v>3600</v>
      </c>
      <c r="L152" s="40" t="s">
        <v>3601</v>
      </c>
      <c r="M152" s="36">
        <v>199900</v>
      </c>
      <c r="N152" s="37">
        <f t="shared" si="8"/>
        <v>0.7</v>
      </c>
      <c r="O152" s="36">
        <f t="shared" si="6"/>
        <v>59970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46086</v>
      </c>
      <c r="C153" s="35">
        <f t="shared" si="7"/>
        <v>46092</v>
      </c>
      <c r="D153" s="34">
        <v>3281</v>
      </c>
      <c r="E153" s="34">
        <v>337</v>
      </c>
      <c r="F153" s="34">
        <v>4</v>
      </c>
      <c r="G153" s="34">
        <v>4</v>
      </c>
      <c r="H153" s="34">
        <v>190</v>
      </c>
      <c r="I153" s="34" t="s">
        <v>17</v>
      </c>
      <c r="J153" s="34">
        <v>17457380</v>
      </c>
      <c r="K153" s="34" t="s">
        <v>3600</v>
      </c>
      <c r="L153" s="40" t="s">
        <v>3602</v>
      </c>
      <c r="M153" s="36">
        <v>199900</v>
      </c>
      <c r="N153" s="37">
        <f t="shared" si="8"/>
        <v>0.7</v>
      </c>
      <c r="O153" s="36">
        <f t="shared" si="6"/>
        <v>59970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46086</v>
      </c>
      <c r="C154" s="35">
        <f t="shared" si="7"/>
        <v>46092</v>
      </c>
      <c r="D154" s="34">
        <v>3281</v>
      </c>
      <c r="E154" s="34">
        <v>337</v>
      </c>
      <c r="F154" s="34">
        <v>4</v>
      </c>
      <c r="G154" s="34">
        <v>4</v>
      </c>
      <c r="H154" s="34">
        <v>190</v>
      </c>
      <c r="I154" s="34" t="s">
        <v>17</v>
      </c>
      <c r="J154" s="34">
        <v>17457424</v>
      </c>
      <c r="K154" s="34" t="s">
        <v>3600</v>
      </c>
      <c r="L154" s="40" t="s">
        <v>3603</v>
      </c>
      <c r="M154" s="36">
        <v>199900</v>
      </c>
      <c r="N154" s="37">
        <f t="shared" si="8"/>
        <v>0.7</v>
      </c>
      <c r="O154" s="36">
        <f t="shared" si="6"/>
        <v>59970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46086</v>
      </c>
      <c r="C155" s="35">
        <f t="shared" si="7"/>
        <v>46092</v>
      </c>
      <c r="D155" s="34">
        <v>3281</v>
      </c>
      <c r="E155" s="34">
        <v>337</v>
      </c>
      <c r="F155" s="34">
        <v>4</v>
      </c>
      <c r="G155" s="34">
        <v>4</v>
      </c>
      <c r="H155" s="34">
        <v>190</v>
      </c>
      <c r="I155" s="34" t="s">
        <v>17</v>
      </c>
      <c r="J155" s="34">
        <v>17457433</v>
      </c>
      <c r="K155" s="34" t="s">
        <v>3600</v>
      </c>
      <c r="L155" s="40" t="s">
        <v>3604</v>
      </c>
      <c r="M155" s="36">
        <v>199900</v>
      </c>
      <c r="N155" s="37">
        <f t="shared" si="8"/>
        <v>0.7</v>
      </c>
      <c r="O155" s="36">
        <f t="shared" si="6"/>
        <v>59970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46086</v>
      </c>
      <c r="C156" s="35">
        <f t="shared" si="7"/>
        <v>46092</v>
      </c>
      <c r="D156" s="34">
        <v>3281</v>
      </c>
      <c r="E156" s="34">
        <v>337</v>
      </c>
      <c r="F156" s="34">
        <v>4</v>
      </c>
      <c r="G156" s="34">
        <v>5</v>
      </c>
      <c r="H156" s="34">
        <v>81506</v>
      </c>
      <c r="I156" s="34" t="s">
        <v>17</v>
      </c>
      <c r="J156" s="34">
        <v>17075935</v>
      </c>
      <c r="K156" s="34" t="s">
        <v>3630</v>
      </c>
      <c r="L156" s="40" t="s">
        <v>3631</v>
      </c>
      <c r="M156" s="36">
        <v>239900</v>
      </c>
      <c r="N156" s="37">
        <f t="shared" si="8"/>
        <v>0.7</v>
      </c>
      <c r="O156" s="36">
        <f t="shared" si="6"/>
        <v>71970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46086</v>
      </c>
      <c r="C157" s="35">
        <f t="shared" si="7"/>
        <v>46092</v>
      </c>
      <c r="D157" s="34">
        <v>3281</v>
      </c>
      <c r="E157" s="34">
        <v>337</v>
      </c>
      <c r="F157" s="34">
        <v>4</v>
      </c>
      <c r="G157" s="34">
        <v>5</v>
      </c>
      <c r="H157" s="34">
        <v>81506</v>
      </c>
      <c r="I157" s="34" t="s">
        <v>17</v>
      </c>
      <c r="J157" s="34">
        <v>17075944</v>
      </c>
      <c r="K157" s="34" t="s">
        <v>3630</v>
      </c>
      <c r="L157" s="40" t="s">
        <v>3632</v>
      </c>
      <c r="M157" s="36">
        <v>239900</v>
      </c>
      <c r="N157" s="37">
        <f t="shared" si="8"/>
        <v>0.7</v>
      </c>
      <c r="O157" s="36">
        <f t="shared" si="6"/>
        <v>71970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46086</v>
      </c>
      <c r="C158" s="35">
        <f t="shared" si="7"/>
        <v>46092</v>
      </c>
      <c r="D158" s="34">
        <v>3281</v>
      </c>
      <c r="E158" s="34">
        <v>337</v>
      </c>
      <c r="F158" s="34">
        <v>4</v>
      </c>
      <c r="G158" s="34">
        <v>5</v>
      </c>
      <c r="H158" s="34">
        <v>81506</v>
      </c>
      <c r="I158" s="34" t="s">
        <v>17</v>
      </c>
      <c r="J158" s="34">
        <v>17075953</v>
      </c>
      <c r="K158" s="34" t="s">
        <v>3630</v>
      </c>
      <c r="L158" s="40" t="s">
        <v>3633</v>
      </c>
      <c r="M158" s="36">
        <v>239900</v>
      </c>
      <c r="N158" s="37">
        <f t="shared" si="8"/>
        <v>0.7</v>
      </c>
      <c r="O158" s="36">
        <f t="shared" si="6"/>
        <v>71970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46086</v>
      </c>
      <c r="C159" s="35">
        <f t="shared" si="7"/>
        <v>46092</v>
      </c>
      <c r="D159" s="34">
        <v>3281</v>
      </c>
      <c r="E159" s="34">
        <v>337</v>
      </c>
      <c r="F159" s="34">
        <v>4</v>
      </c>
      <c r="G159" s="34">
        <v>5</v>
      </c>
      <c r="H159" s="34">
        <v>81506</v>
      </c>
      <c r="I159" s="34" t="s">
        <v>17</v>
      </c>
      <c r="J159" s="34">
        <v>17075962</v>
      </c>
      <c r="K159" s="34" t="s">
        <v>3630</v>
      </c>
      <c r="L159" s="40" t="s">
        <v>3634</v>
      </c>
      <c r="M159" s="36">
        <v>239900</v>
      </c>
      <c r="N159" s="37">
        <f t="shared" si="8"/>
        <v>0.7</v>
      </c>
      <c r="O159" s="36">
        <f t="shared" si="6"/>
        <v>71970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46086</v>
      </c>
      <c r="C160" s="35">
        <f t="shared" si="7"/>
        <v>46092</v>
      </c>
      <c r="D160" s="34">
        <v>3281</v>
      </c>
      <c r="E160" s="34">
        <v>337</v>
      </c>
      <c r="F160" s="34">
        <v>4</v>
      </c>
      <c r="G160" s="34">
        <v>1</v>
      </c>
      <c r="H160" s="34">
        <v>81419</v>
      </c>
      <c r="I160" s="34" t="s">
        <v>17</v>
      </c>
      <c r="J160" s="34">
        <v>18353525</v>
      </c>
      <c r="K160" s="34" t="s">
        <v>3554</v>
      </c>
      <c r="L160" s="40" t="s">
        <v>3555</v>
      </c>
      <c r="M160" s="36">
        <v>189900</v>
      </c>
      <c r="N160" s="37">
        <f t="shared" si="8"/>
        <v>0.7</v>
      </c>
      <c r="O160" s="36">
        <f t="shared" si="6"/>
        <v>56970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46086</v>
      </c>
      <c r="C161" s="35">
        <f t="shared" si="7"/>
        <v>46092</v>
      </c>
      <c r="D161" s="34">
        <v>3281</v>
      </c>
      <c r="E161" s="34">
        <v>337</v>
      </c>
      <c r="F161" s="34">
        <v>4</v>
      </c>
      <c r="G161" s="34">
        <v>1</v>
      </c>
      <c r="H161" s="34">
        <v>81419</v>
      </c>
      <c r="I161" s="34" t="s">
        <v>17</v>
      </c>
      <c r="J161" s="34">
        <v>18353614</v>
      </c>
      <c r="K161" s="34" t="s">
        <v>3554</v>
      </c>
      <c r="L161" s="40" t="s">
        <v>3556</v>
      </c>
      <c r="M161" s="36">
        <v>189900</v>
      </c>
      <c r="N161" s="37">
        <f t="shared" si="8"/>
        <v>0.7</v>
      </c>
      <c r="O161" s="36">
        <f t="shared" si="6"/>
        <v>56970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46086</v>
      </c>
      <c r="C162" s="35">
        <f t="shared" si="7"/>
        <v>46092</v>
      </c>
      <c r="D162" s="34">
        <v>3281</v>
      </c>
      <c r="E162" s="34">
        <v>337</v>
      </c>
      <c r="F162" s="34">
        <v>4</v>
      </c>
      <c r="G162" s="34">
        <v>1</v>
      </c>
      <c r="H162" s="34">
        <v>81419</v>
      </c>
      <c r="I162" s="34" t="s">
        <v>17</v>
      </c>
      <c r="J162" s="34">
        <v>18353623</v>
      </c>
      <c r="K162" s="34" t="s">
        <v>3554</v>
      </c>
      <c r="L162" s="40" t="s">
        <v>3557</v>
      </c>
      <c r="M162" s="36">
        <v>189900</v>
      </c>
      <c r="N162" s="37">
        <f t="shared" si="8"/>
        <v>0.7</v>
      </c>
      <c r="O162" s="36">
        <f t="shared" si="6"/>
        <v>56970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46086</v>
      </c>
      <c r="C163" s="35">
        <f t="shared" si="7"/>
        <v>46092</v>
      </c>
      <c r="D163" s="34">
        <v>3281</v>
      </c>
      <c r="E163" s="34">
        <v>337</v>
      </c>
      <c r="F163" s="34">
        <v>4</v>
      </c>
      <c r="G163" s="34">
        <v>1</v>
      </c>
      <c r="H163" s="34">
        <v>81419</v>
      </c>
      <c r="I163" s="34" t="s">
        <v>17</v>
      </c>
      <c r="J163" s="34">
        <v>18353632</v>
      </c>
      <c r="K163" s="34" t="s">
        <v>3554</v>
      </c>
      <c r="L163" s="40" t="s">
        <v>3558</v>
      </c>
      <c r="M163" s="36">
        <v>189900</v>
      </c>
      <c r="N163" s="37">
        <f t="shared" si="8"/>
        <v>0.7</v>
      </c>
      <c r="O163" s="36">
        <f t="shared" si="6"/>
        <v>56970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46086</v>
      </c>
      <c r="C164" s="35">
        <f t="shared" si="7"/>
        <v>46092</v>
      </c>
      <c r="D164" s="34">
        <v>3281</v>
      </c>
      <c r="E164" s="34">
        <v>337</v>
      </c>
      <c r="F164" s="34">
        <v>4</v>
      </c>
      <c r="G164" s="34">
        <v>1</v>
      </c>
      <c r="H164" s="34">
        <v>190</v>
      </c>
      <c r="I164" s="34" t="s">
        <v>17</v>
      </c>
      <c r="J164" s="34">
        <v>18353749</v>
      </c>
      <c r="K164" s="34" t="s">
        <v>3564</v>
      </c>
      <c r="L164" s="40" t="s">
        <v>3565</v>
      </c>
      <c r="M164" s="36">
        <v>149900</v>
      </c>
      <c r="N164" s="37">
        <f t="shared" si="8"/>
        <v>0.7</v>
      </c>
      <c r="O164" s="36">
        <f t="shared" si="6"/>
        <v>44970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46086</v>
      </c>
      <c r="C165" s="35">
        <f t="shared" si="7"/>
        <v>46092</v>
      </c>
      <c r="D165" s="34">
        <v>3281</v>
      </c>
      <c r="E165" s="34">
        <v>337</v>
      </c>
      <c r="F165" s="34">
        <v>4</v>
      </c>
      <c r="G165" s="34">
        <v>1</v>
      </c>
      <c r="H165" s="34">
        <v>190</v>
      </c>
      <c r="I165" s="34" t="s">
        <v>17</v>
      </c>
      <c r="J165" s="34">
        <v>18353758</v>
      </c>
      <c r="K165" s="34" t="s">
        <v>3564</v>
      </c>
      <c r="L165" s="40" t="s">
        <v>3566</v>
      </c>
      <c r="M165" s="36">
        <v>149900</v>
      </c>
      <c r="N165" s="37">
        <f t="shared" si="8"/>
        <v>0.7</v>
      </c>
      <c r="O165" s="36">
        <f t="shared" si="6"/>
        <v>44970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46086</v>
      </c>
      <c r="C166" s="35">
        <f t="shared" si="7"/>
        <v>46092</v>
      </c>
      <c r="D166" s="34">
        <v>3281</v>
      </c>
      <c r="E166" s="34">
        <v>337</v>
      </c>
      <c r="F166" s="34">
        <v>4</v>
      </c>
      <c r="G166" s="34">
        <v>1</v>
      </c>
      <c r="H166" s="34">
        <v>190</v>
      </c>
      <c r="I166" s="34" t="s">
        <v>17</v>
      </c>
      <c r="J166" s="34">
        <v>18353767</v>
      </c>
      <c r="K166" s="34" t="s">
        <v>3564</v>
      </c>
      <c r="L166" s="40" t="s">
        <v>3567</v>
      </c>
      <c r="M166" s="36">
        <v>149900</v>
      </c>
      <c r="N166" s="37">
        <f t="shared" si="8"/>
        <v>0.7</v>
      </c>
      <c r="O166" s="36">
        <f t="shared" si="6"/>
        <v>44970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46086</v>
      </c>
      <c r="C167" s="35">
        <f t="shared" si="7"/>
        <v>46092</v>
      </c>
      <c r="D167" s="34">
        <v>3281</v>
      </c>
      <c r="E167" s="34">
        <v>337</v>
      </c>
      <c r="F167" s="34">
        <v>4</v>
      </c>
      <c r="G167" s="34">
        <v>1</v>
      </c>
      <c r="H167" s="34">
        <v>190</v>
      </c>
      <c r="I167" s="34" t="s">
        <v>17</v>
      </c>
      <c r="J167" s="34">
        <v>18353776</v>
      </c>
      <c r="K167" s="34" t="s">
        <v>3564</v>
      </c>
      <c r="L167" s="40" t="s">
        <v>3568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46086</v>
      </c>
      <c r="C168" s="35">
        <f t="shared" si="7"/>
        <v>46092</v>
      </c>
      <c r="D168" s="34">
        <v>3281</v>
      </c>
      <c r="E168" s="34">
        <v>337</v>
      </c>
      <c r="F168" s="34">
        <v>4</v>
      </c>
      <c r="G168" s="34">
        <v>1</v>
      </c>
      <c r="H168" s="34">
        <v>81676</v>
      </c>
      <c r="I168" s="34" t="s">
        <v>17</v>
      </c>
      <c r="J168" s="34">
        <v>15372251</v>
      </c>
      <c r="K168" s="34" t="s">
        <v>2882</v>
      </c>
      <c r="L168" s="40" t="s">
        <v>3569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46086</v>
      </c>
      <c r="C169" s="35">
        <f t="shared" si="7"/>
        <v>46092</v>
      </c>
      <c r="D169" s="34">
        <v>3281</v>
      </c>
      <c r="E169" s="34">
        <v>337</v>
      </c>
      <c r="F169" s="34">
        <v>4</v>
      </c>
      <c r="G169" s="34">
        <v>1</v>
      </c>
      <c r="H169" s="34">
        <v>81676</v>
      </c>
      <c r="I169" s="34" t="s">
        <v>17</v>
      </c>
      <c r="J169" s="34">
        <v>18767445</v>
      </c>
      <c r="K169" s="34" t="s">
        <v>3570</v>
      </c>
      <c r="L169" s="40" t="s">
        <v>3571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46086</v>
      </c>
      <c r="C170" s="35">
        <f t="shared" si="7"/>
        <v>46092</v>
      </c>
      <c r="D170" s="34">
        <v>3281</v>
      </c>
      <c r="E170" s="34">
        <v>337</v>
      </c>
      <c r="F170" s="34">
        <v>4</v>
      </c>
      <c r="G170" s="34">
        <v>1</v>
      </c>
      <c r="H170" s="34">
        <v>81676</v>
      </c>
      <c r="I170" s="34" t="s">
        <v>17</v>
      </c>
      <c r="J170" s="34">
        <v>18767454</v>
      </c>
      <c r="K170" s="34" t="s">
        <v>3570</v>
      </c>
      <c r="L170" s="40" t="s">
        <v>3572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46086</v>
      </c>
      <c r="C171" s="35">
        <f t="shared" si="7"/>
        <v>46092</v>
      </c>
      <c r="D171" s="34">
        <v>3281</v>
      </c>
      <c r="E171" s="34">
        <v>337</v>
      </c>
      <c r="F171" s="34">
        <v>4</v>
      </c>
      <c r="G171" s="34">
        <v>1</v>
      </c>
      <c r="H171" s="34">
        <v>81676</v>
      </c>
      <c r="I171" s="34" t="s">
        <v>17</v>
      </c>
      <c r="J171" s="34">
        <v>18767463</v>
      </c>
      <c r="K171" s="34" t="s">
        <v>3570</v>
      </c>
      <c r="L171" s="40" t="s">
        <v>3573</v>
      </c>
      <c r="M171" s="36">
        <v>149900</v>
      </c>
      <c r="N171" s="37">
        <f t="shared" si="8"/>
        <v>0.7</v>
      </c>
      <c r="O171" s="36">
        <f t="shared" si="6"/>
        <v>44970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46086</v>
      </c>
      <c r="C172" s="35">
        <f t="shared" si="7"/>
        <v>46092</v>
      </c>
      <c r="D172" s="34">
        <v>3281</v>
      </c>
      <c r="E172" s="34">
        <v>337</v>
      </c>
      <c r="F172" s="34">
        <v>4</v>
      </c>
      <c r="G172" s="34">
        <v>1</v>
      </c>
      <c r="H172" s="34">
        <v>81676</v>
      </c>
      <c r="I172" s="34" t="s">
        <v>17</v>
      </c>
      <c r="J172" s="34">
        <v>18767472</v>
      </c>
      <c r="K172" s="34" t="s">
        <v>3570</v>
      </c>
      <c r="L172" s="40" t="s">
        <v>3574</v>
      </c>
      <c r="M172" s="36">
        <v>149900</v>
      </c>
      <c r="N172" s="37">
        <f t="shared" si="8"/>
        <v>0.7</v>
      </c>
      <c r="O172" s="36">
        <f t="shared" si="6"/>
        <v>44970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46086</v>
      </c>
      <c r="C173" s="35">
        <f t="shared" si="7"/>
        <v>46092</v>
      </c>
      <c r="D173" s="34">
        <v>3281</v>
      </c>
      <c r="E173" s="34">
        <v>337</v>
      </c>
      <c r="F173" s="34">
        <v>4</v>
      </c>
      <c r="G173" s="34">
        <v>1</v>
      </c>
      <c r="H173" s="34">
        <v>81676</v>
      </c>
      <c r="I173" s="34" t="s">
        <v>17</v>
      </c>
      <c r="J173" s="34">
        <v>18767481</v>
      </c>
      <c r="K173" s="34" t="s">
        <v>3575</v>
      </c>
      <c r="L173" s="40" t="s">
        <v>3576</v>
      </c>
      <c r="M173" s="36">
        <v>149900</v>
      </c>
      <c r="N173" s="37">
        <f t="shared" si="8"/>
        <v>0.7</v>
      </c>
      <c r="O173" s="36">
        <f t="shared" si="6"/>
        <v>44970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46086</v>
      </c>
      <c r="C174" s="35">
        <f t="shared" si="7"/>
        <v>46092</v>
      </c>
      <c r="D174" s="34">
        <v>3281</v>
      </c>
      <c r="E174" s="34">
        <v>337</v>
      </c>
      <c r="F174" s="34">
        <v>4</v>
      </c>
      <c r="G174" s="34">
        <v>1</v>
      </c>
      <c r="H174" s="34">
        <v>81676</v>
      </c>
      <c r="I174" s="34" t="s">
        <v>17</v>
      </c>
      <c r="J174" s="34">
        <v>18767490</v>
      </c>
      <c r="K174" s="34" t="s">
        <v>3575</v>
      </c>
      <c r="L174" s="40" t="s">
        <v>3577</v>
      </c>
      <c r="M174" s="36">
        <v>149900</v>
      </c>
      <c r="N174" s="37">
        <f t="shared" si="8"/>
        <v>0.7</v>
      </c>
      <c r="O174" s="36">
        <f t="shared" si="6"/>
        <v>44970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46086</v>
      </c>
      <c r="C175" s="35">
        <f t="shared" si="7"/>
        <v>46092</v>
      </c>
      <c r="D175" s="34">
        <v>3281</v>
      </c>
      <c r="E175" s="34">
        <v>337</v>
      </c>
      <c r="F175" s="34">
        <v>4</v>
      </c>
      <c r="G175" s="34">
        <v>1</v>
      </c>
      <c r="H175" s="34">
        <v>81676</v>
      </c>
      <c r="I175" s="34" t="s">
        <v>17</v>
      </c>
      <c r="J175" s="34">
        <v>18767507</v>
      </c>
      <c r="K175" s="34" t="s">
        <v>3575</v>
      </c>
      <c r="L175" s="40" t="s">
        <v>3578</v>
      </c>
      <c r="M175" s="36">
        <v>149900</v>
      </c>
      <c r="N175" s="37">
        <f t="shared" si="8"/>
        <v>0.7</v>
      </c>
      <c r="O175" s="36">
        <f t="shared" si="6"/>
        <v>44970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46086</v>
      </c>
      <c r="C176" s="35">
        <f t="shared" si="7"/>
        <v>46092</v>
      </c>
      <c r="D176" s="34">
        <v>3281</v>
      </c>
      <c r="E176" s="34">
        <v>337</v>
      </c>
      <c r="F176" s="34">
        <v>4</v>
      </c>
      <c r="G176" s="34">
        <v>1</v>
      </c>
      <c r="H176" s="34">
        <v>81676</v>
      </c>
      <c r="I176" s="34" t="s">
        <v>17</v>
      </c>
      <c r="J176" s="34">
        <v>18767516</v>
      </c>
      <c r="K176" s="34" t="s">
        <v>3575</v>
      </c>
      <c r="L176" s="40" t="s">
        <v>3579</v>
      </c>
      <c r="M176" s="36">
        <v>149900</v>
      </c>
      <c r="N176" s="37">
        <f t="shared" si="8"/>
        <v>0.7</v>
      </c>
      <c r="O176" s="36">
        <f t="shared" si="6"/>
        <v>44970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46086</v>
      </c>
      <c r="C177" s="35">
        <f t="shared" si="7"/>
        <v>46092</v>
      </c>
      <c r="D177" s="34">
        <v>3281</v>
      </c>
      <c r="E177" s="34">
        <v>337</v>
      </c>
      <c r="F177" s="34">
        <v>4</v>
      </c>
      <c r="G177" s="34">
        <v>3</v>
      </c>
      <c r="H177" s="34">
        <v>81419</v>
      </c>
      <c r="I177" s="34" t="s">
        <v>17</v>
      </c>
      <c r="J177" s="34">
        <v>18353641</v>
      </c>
      <c r="K177" s="34" t="s">
        <v>3590</v>
      </c>
      <c r="L177" s="40" t="s">
        <v>3591</v>
      </c>
      <c r="M177" s="36">
        <v>299900</v>
      </c>
      <c r="N177" s="37">
        <f t="shared" si="8"/>
        <v>0.7</v>
      </c>
      <c r="O177" s="36">
        <f t="shared" si="6"/>
        <v>89970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46086</v>
      </c>
      <c r="C178" s="35">
        <f t="shared" si="7"/>
        <v>46092</v>
      </c>
      <c r="D178" s="34">
        <v>3281</v>
      </c>
      <c r="E178" s="34">
        <v>337</v>
      </c>
      <c r="F178" s="34">
        <v>4</v>
      </c>
      <c r="G178" s="34">
        <v>3</v>
      </c>
      <c r="H178" s="34">
        <v>81419</v>
      </c>
      <c r="I178" s="34" t="s">
        <v>17</v>
      </c>
      <c r="J178" s="34">
        <v>18353669</v>
      </c>
      <c r="K178" s="34" t="s">
        <v>3590</v>
      </c>
      <c r="L178" s="40" t="s">
        <v>3592</v>
      </c>
      <c r="M178" s="36">
        <v>299900</v>
      </c>
      <c r="N178" s="37">
        <f t="shared" si="8"/>
        <v>0.7</v>
      </c>
      <c r="O178" s="36">
        <f t="shared" si="6"/>
        <v>89970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46086</v>
      </c>
      <c r="C179" s="35">
        <f t="shared" si="7"/>
        <v>46092</v>
      </c>
      <c r="D179" s="34">
        <v>3281</v>
      </c>
      <c r="E179" s="34">
        <v>337</v>
      </c>
      <c r="F179" s="34">
        <v>4</v>
      </c>
      <c r="G179" s="34">
        <v>3</v>
      </c>
      <c r="H179" s="34">
        <v>81419</v>
      </c>
      <c r="I179" s="34" t="s">
        <v>17</v>
      </c>
      <c r="J179" s="34">
        <v>18353678</v>
      </c>
      <c r="K179" s="34" t="s">
        <v>3590</v>
      </c>
      <c r="L179" s="40" t="s">
        <v>3593</v>
      </c>
      <c r="M179" s="36">
        <v>299900</v>
      </c>
      <c r="N179" s="37">
        <f t="shared" si="8"/>
        <v>0.7</v>
      </c>
      <c r="O179" s="36">
        <f t="shared" si="6"/>
        <v>89970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46086</v>
      </c>
      <c r="C180" s="35">
        <f t="shared" si="7"/>
        <v>46092</v>
      </c>
      <c r="D180" s="34">
        <v>3281</v>
      </c>
      <c r="E180" s="34">
        <v>337</v>
      </c>
      <c r="F180" s="34">
        <v>4</v>
      </c>
      <c r="G180" s="34">
        <v>3</v>
      </c>
      <c r="H180" s="34">
        <v>81419</v>
      </c>
      <c r="I180" s="34" t="s">
        <v>17</v>
      </c>
      <c r="J180" s="34">
        <v>18353687</v>
      </c>
      <c r="K180" s="34" t="s">
        <v>3590</v>
      </c>
      <c r="L180" s="40" t="s">
        <v>3594</v>
      </c>
      <c r="M180" s="36">
        <v>299900</v>
      </c>
      <c r="N180" s="37">
        <f t="shared" si="8"/>
        <v>0.7</v>
      </c>
      <c r="O180" s="36">
        <f t="shared" si="6"/>
        <v>89970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46086</v>
      </c>
      <c r="C181" s="35">
        <f t="shared" si="7"/>
        <v>46092</v>
      </c>
      <c r="D181" s="34">
        <v>3281</v>
      </c>
      <c r="E181" s="34">
        <v>337</v>
      </c>
      <c r="F181" s="34">
        <v>4</v>
      </c>
      <c r="G181" s="34">
        <v>5</v>
      </c>
      <c r="H181" s="34">
        <v>81419</v>
      </c>
      <c r="I181" s="34" t="s">
        <v>17</v>
      </c>
      <c r="J181" s="34">
        <v>18353696</v>
      </c>
      <c r="K181" s="34" t="s">
        <v>3605</v>
      </c>
      <c r="L181" s="40" t="s">
        <v>3606</v>
      </c>
      <c r="M181" s="36">
        <v>269900</v>
      </c>
      <c r="N181" s="37">
        <f t="shared" si="8"/>
        <v>0.7</v>
      </c>
      <c r="O181" s="36">
        <f t="shared" si="6"/>
        <v>80970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46086</v>
      </c>
      <c r="C182" s="35">
        <f t="shared" si="7"/>
        <v>46092</v>
      </c>
      <c r="D182" s="34">
        <v>3281</v>
      </c>
      <c r="E182" s="34">
        <v>337</v>
      </c>
      <c r="F182" s="34">
        <v>4</v>
      </c>
      <c r="G182" s="34">
        <v>5</v>
      </c>
      <c r="H182" s="34">
        <v>81419</v>
      </c>
      <c r="I182" s="34" t="s">
        <v>17</v>
      </c>
      <c r="J182" s="34">
        <v>18353703</v>
      </c>
      <c r="K182" s="34" t="s">
        <v>3605</v>
      </c>
      <c r="L182" s="40" t="s">
        <v>3607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46086</v>
      </c>
      <c r="C183" s="35">
        <f t="shared" si="7"/>
        <v>46092</v>
      </c>
      <c r="D183" s="34">
        <v>3281</v>
      </c>
      <c r="E183" s="34">
        <v>337</v>
      </c>
      <c r="F183" s="34">
        <v>4</v>
      </c>
      <c r="G183" s="34">
        <v>5</v>
      </c>
      <c r="H183" s="34">
        <v>81419</v>
      </c>
      <c r="I183" s="34" t="s">
        <v>17</v>
      </c>
      <c r="J183" s="34">
        <v>18353712</v>
      </c>
      <c r="K183" s="34" t="s">
        <v>3605</v>
      </c>
      <c r="L183" s="40" t="s">
        <v>3608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46086</v>
      </c>
      <c r="C184" s="35">
        <f t="shared" si="7"/>
        <v>46092</v>
      </c>
      <c r="D184" s="34">
        <v>3281</v>
      </c>
      <c r="E184" s="34">
        <v>337</v>
      </c>
      <c r="F184" s="34">
        <v>4</v>
      </c>
      <c r="G184" s="34">
        <v>5</v>
      </c>
      <c r="H184" s="34">
        <v>81419</v>
      </c>
      <c r="I184" s="34" t="s">
        <v>17</v>
      </c>
      <c r="J184" s="34">
        <v>18353721</v>
      </c>
      <c r="K184" s="34" t="s">
        <v>3605</v>
      </c>
      <c r="L184" s="40" t="s">
        <v>3609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46086</v>
      </c>
      <c r="C185" s="35">
        <f t="shared" si="7"/>
        <v>46092</v>
      </c>
      <c r="D185" s="34">
        <v>3281</v>
      </c>
      <c r="E185" s="34">
        <v>337</v>
      </c>
      <c r="F185" s="34">
        <v>4</v>
      </c>
      <c r="G185" s="34">
        <v>5</v>
      </c>
      <c r="H185" s="34">
        <v>81419</v>
      </c>
      <c r="I185" s="34" t="s">
        <v>17</v>
      </c>
      <c r="J185" s="34">
        <v>18767605</v>
      </c>
      <c r="K185" s="34" t="s">
        <v>3610</v>
      </c>
      <c r="L185" s="40" t="s">
        <v>3611</v>
      </c>
      <c r="M185" s="36">
        <v>259900</v>
      </c>
      <c r="N185" s="37">
        <f t="shared" si="8"/>
        <v>0.7</v>
      </c>
      <c r="O185" s="36">
        <f t="shared" si="6"/>
        <v>77970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46086</v>
      </c>
      <c r="C186" s="35">
        <f t="shared" si="7"/>
        <v>46092</v>
      </c>
      <c r="D186" s="34">
        <v>3281</v>
      </c>
      <c r="E186" s="34">
        <v>337</v>
      </c>
      <c r="F186" s="34">
        <v>4</v>
      </c>
      <c r="G186" s="34">
        <v>5</v>
      </c>
      <c r="H186" s="34">
        <v>81419</v>
      </c>
      <c r="I186" s="34" t="s">
        <v>17</v>
      </c>
      <c r="J186" s="34">
        <v>18767614</v>
      </c>
      <c r="K186" s="34" t="s">
        <v>3610</v>
      </c>
      <c r="L186" s="40" t="s">
        <v>3612</v>
      </c>
      <c r="M186" s="36">
        <v>259900</v>
      </c>
      <c r="N186" s="37">
        <f t="shared" si="8"/>
        <v>0.7</v>
      </c>
      <c r="O186" s="36">
        <f t="shared" si="6"/>
        <v>77970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46086</v>
      </c>
      <c r="C187" s="35">
        <f t="shared" si="7"/>
        <v>46092</v>
      </c>
      <c r="D187" s="34">
        <v>3281</v>
      </c>
      <c r="E187" s="34">
        <v>337</v>
      </c>
      <c r="F187" s="34">
        <v>4</v>
      </c>
      <c r="G187" s="34">
        <v>5</v>
      </c>
      <c r="H187" s="34">
        <v>81419</v>
      </c>
      <c r="I187" s="34" t="s">
        <v>17</v>
      </c>
      <c r="J187" s="34">
        <v>18767641</v>
      </c>
      <c r="K187" s="34" t="s">
        <v>3610</v>
      </c>
      <c r="L187" s="40" t="s">
        <v>3613</v>
      </c>
      <c r="M187" s="36">
        <v>259900</v>
      </c>
      <c r="N187" s="37">
        <f t="shared" si="8"/>
        <v>0.7</v>
      </c>
      <c r="O187" s="36">
        <f t="shared" si="6"/>
        <v>77970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46086</v>
      </c>
      <c r="C188" s="35">
        <f t="shared" si="7"/>
        <v>46092</v>
      </c>
      <c r="D188" s="34">
        <v>3281</v>
      </c>
      <c r="E188" s="34">
        <v>337</v>
      </c>
      <c r="F188" s="34">
        <v>4</v>
      </c>
      <c r="G188" s="34">
        <v>5</v>
      </c>
      <c r="H188" s="34">
        <v>81419</v>
      </c>
      <c r="I188" s="34" t="s">
        <v>17</v>
      </c>
      <c r="J188" s="34">
        <v>18767650</v>
      </c>
      <c r="K188" s="34" t="s">
        <v>3610</v>
      </c>
      <c r="L188" s="40" t="s">
        <v>3614</v>
      </c>
      <c r="M188" s="36">
        <v>259900</v>
      </c>
      <c r="N188" s="37">
        <f t="shared" si="8"/>
        <v>0.7</v>
      </c>
      <c r="O188" s="36">
        <f t="shared" si="6"/>
        <v>77970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46086</v>
      </c>
      <c r="C189" s="35">
        <f t="shared" si="7"/>
        <v>46092</v>
      </c>
      <c r="D189" s="34">
        <v>3281</v>
      </c>
      <c r="E189" s="34">
        <v>337</v>
      </c>
      <c r="F189" s="34">
        <v>4</v>
      </c>
      <c r="G189" s="34">
        <v>5</v>
      </c>
      <c r="H189" s="34">
        <v>190</v>
      </c>
      <c r="I189" s="34" t="s">
        <v>17</v>
      </c>
      <c r="J189" s="34">
        <v>17457488</v>
      </c>
      <c r="K189" s="34" t="s">
        <v>3620</v>
      </c>
      <c r="L189" s="40" t="s">
        <v>3621</v>
      </c>
      <c r="M189" s="36">
        <v>249900</v>
      </c>
      <c r="N189" s="37">
        <f t="shared" si="8"/>
        <v>0.7</v>
      </c>
      <c r="O189" s="36">
        <f t="shared" si="6"/>
        <v>74970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46086</v>
      </c>
      <c r="C190" s="35">
        <f t="shared" si="7"/>
        <v>46092</v>
      </c>
      <c r="D190" s="34">
        <v>3281</v>
      </c>
      <c r="E190" s="34">
        <v>337</v>
      </c>
      <c r="F190" s="34">
        <v>4</v>
      </c>
      <c r="G190" s="34">
        <v>5</v>
      </c>
      <c r="H190" s="34">
        <v>190</v>
      </c>
      <c r="I190" s="34" t="s">
        <v>17</v>
      </c>
      <c r="J190" s="34">
        <v>17457497</v>
      </c>
      <c r="K190" s="34" t="s">
        <v>3620</v>
      </c>
      <c r="L190" s="40" t="s">
        <v>3622</v>
      </c>
      <c r="M190" s="36">
        <v>249900</v>
      </c>
      <c r="N190" s="37">
        <f t="shared" si="8"/>
        <v>0.7</v>
      </c>
      <c r="O190" s="36">
        <f t="shared" si="6"/>
        <v>74970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46086</v>
      </c>
      <c r="C191" s="35">
        <f t="shared" si="7"/>
        <v>46092</v>
      </c>
      <c r="D191" s="34">
        <v>3281</v>
      </c>
      <c r="E191" s="34">
        <v>337</v>
      </c>
      <c r="F191" s="34">
        <v>4</v>
      </c>
      <c r="G191" s="34">
        <v>5</v>
      </c>
      <c r="H191" s="34">
        <v>190</v>
      </c>
      <c r="I191" s="34" t="s">
        <v>17</v>
      </c>
      <c r="J191" s="34">
        <v>17457504</v>
      </c>
      <c r="K191" s="34" t="s">
        <v>3620</v>
      </c>
      <c r="L191" s="40" t="s">
        <v>3623</v>
      </c>
      <c r="M191" s="36">
        <v>249900</v>
      </c>
      <c r="N191" s="37">
        <f t="shared" si="8"/>
        <v>0.7</v>
      </c>
      <c r="O191" s="36">
        <f t="shared" si="6"/>
        <v>74970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46086</v>
      </c>
      <c r="C192" s="35">
        <f t="shared" si="7"/>
        <v>46092</v>
      </c>
      <c r="D192" s="34">
        <v>3281</v>
      </c>
      <c r="E192" s="34">
        <v>337</v>
      </c>
      <c r="F192" s="34">
        <v>4</v>
      </c>
      <c r="G192" s="34">
        <v>5</v>
      </c>
      <c r="H192" s="34">
        <v>190</v>
      </c>
      <c r="I192" s="34" t="s">
        <v>17</v>
      </c>
      <c r="J192" s="34">
        <v>17457513</v>
      </c>
      <c r="K192" s="34" t="s">
        <v>3620</v>
      </c>
      <c r="L192" s="40" t="s">
        <v>3624</v>
      </c>
      <c r="M192" s="36">
        <v>249900</v>
      </c>
      <c r="N192" s="37">
        <f t="shared" si="8"/>
        <v>0.7</v>
      </c>
      <c r="O192" s="36">
        <f t="shared" si="6"/>
        <v>74970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46086</v>
      </c>
      <c r="C193" s="35">
        <f t="shared" si="7"/>
        <v>46092</v>
      </c>
      <c r="D193" s="34">
        <v>3281</v>
      </c>
      <c r="E193" s="34">
        <v>337</v>
      </c>
      <c r="F193" s="34">
        <v>4</v>
      </c>
      <c r="G193" s="34">
        <v>5</v>
      </c>
      <c r="H193" s="34">
        <v>190</v>
      </c>
      <c r="I193" s="34" t="s">
        <v>17</v>
      </c>
      <c r="J193" s="34">
        <v>17457522</v>
      </c>
      <c r="K193" s="34" t="s">
        <v>3625</v>
      </c>
      <c r="L193" s="40" t="s">
        <v>3626</v>
      </c>
      <c r="M193" s="36">
        <v>259900</v>
      </c>
      <c r="N193" s="37">
        <f t="shared" si="8"/>
        <v>0.7</v>
      </c>
      <c r="O193" s="36">
        <f t="shared" si="6"/>
        <v>77970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46086</v>
      </c>
      <c r="C194" s="35">
        <f t="shared" si="7"/>
        <v>46092</v>
      </c>
      <c r="D194" s="34">
        <v>3281</v>
      </c>
      <c r="E194" s="34">
        <v>337</v>
      </c>
      <c r="F194" s="34">
        <v>4</v>
      </c>
      <c r="G194" s="34">
        <v>5</v>
      </c>
      <c r="H194" s="34">
        <v>190</v>
      </c>
      <c r="I194" s="34" t="s">
        <v>17</v>
      </c>
      <c r="J194" s="34">
        <v>17457531</v>
      </c>
      <c r="K194" s="34" t="s">
        <v>3625</v>
      </c>
      <c r="L194" s="40" t="s">
        <v>3627</v>
      </c>
      <c r="M194" s="36">
        <v>259900</v>
      </c>
      <c r="N194" s="37">
        <f t="shared" si="8"/>
        <v>0.7</v>
      </c>
      <c r="O194" s="36">
        <f t="shared" si="6"/>
        <v>77970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46086</v>
      </c>
      <c r="C195" s="35">
        <f t="shared" si="7"/>
        <v>46092</v>
      </c>
      <c r="D195" s="34">
        <v>3281</v>
      </c>
      <c r="E195" s="34">
        <v>337</v>
      </c>
      <c r="F195" s="34">
        <v>4</v>
      </c>
      <c r="G195" s="34">
        <v>5</v>
      </c>
      <c r="H195" s="34">
        <v>190</v>
      </c>
      <c r="I195" s="34" t="s">
        <v>17</v>
      </c>
      <c r="J195" s="34">
        <v>17457540</v>
      </c>
      <c r="K195" s="34" t="s">
        <v>3625</v>
      </c>
      <c r="L195" s="40" t="s">
        <v>3628</v>
      </c>
      <c r="M195" s="36">
        <v>259900</v>
      </c>
      <c r="N195" s="37">
        <f t="shared" si="8"/>
        <v>0.7</v>
      </c>
      <c r="O195" s="36">
        <f t="shared" ref="O195:O201" si="9">M195-((70*M195))/100</f>
        <v>77970</v>
      </c>
      <c r="P195" s="34" t="s">
        <v>16</v>
      </c>
    </row>
    <row r="196" spans="1:16" x14ac:dyDescent="0.35">
      <c r="A196" s="34" t="str">
        <f t="shared" ref="A196:C201" si="10">A195</f>
        <v>2024 JAN-JUN DISC 70%</v>
      </c>
      <c r="B196" s="35">
        <f t="shared" si="10"/>
        <v>46086</v>
      </c>
      <c r="C196" s="35">
        <f t="shared" si="10"/>
        <v>46092</v>
      </c>
      <c r="D196" s="34">
        <v>3281</v>
      </c>
      <c r="E196" s="34">
        <v>337</v>
      </c>
      <c r="F196" s="34">
        <v>4</v>
      </c>
      <c r="G196" s="34">
        <v>5</v>
      </c>
      <c r="H196" s="34">
        <v>190</v>
      </c>
      <c r="I196" s="34" t="s">
        <v>17</v>
      </c>
      <c r="J196" s="34">
        <v>17457559</v>
      </c>
      <c r="K196" s="34" t="s">
        <v>3625</v>
      </c>
      <c r="L196" s="40" t="s">
        <v>3629</v>
      </c>
      <c r="M196" s="36">
        <v>259900</v>
      </c>
      <c r="N196" s="37">
        <f t="shared" ref="N196:N201" si="11">N195</f>
        <v>0.7</v>
      </c>
      <c r="O196" s="36">
        <f t="shared" si="9"/>
        <v>77970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46086</v>
      </c>
      <c r="C197" s="35">
        <f t="shared" si="10"/>
        <v>46092</v>
      </c>
      <c r="D197" s="34">
        <v>3281</v>
      </c>
      <c r="E197" s="34">
        <v>337</v>
      </c>
      <c r="F197" s="34">
        <v>4</v>
      </c>
      <c r="G197" s="34">
        <v>5</v>
      </c>
      <c r="H197" s="34">
        <v>81506</v>
      </c>
      <c r="I197" s="34" t="s">
        <v>17</v>
      </c>
      <c r="J197" s="34">
        <v>17076005</v>
      </c>
      <c r="K197" s="34" t="s">
        <v>3273</v>
      </c>
      <c r="L197" s="40" t="s">
        <v>3635</v>
      </c>
      <c r="M197" s="36">
        <v>259900</v>
      </c>
      <c r="N197" s="37">
        <f t="shared" si="11"/>
        <v>0.7</v>
      </c>
      <c r="O197" s="36">
        <f t="shared" si="9"/>
        <v>77970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46086</v>
      </c>
      <c r="C198" s="35">
        <f t="shared" si="10"/>
        <v>46092</v>
      </c>
      <c r="D198" s="34">
        <v>3281</v>
      </c>
      <c r="E198" s="34">
        <v>337</v>
      </c>
      <c r="F198" s="34">
        <v>4</v>
      </c>
      <c r="G198" s="34">
        <v>5</v>
      </c>
      <c r="H198" s="34">
        <v>81506</v>
      </c>
      <c r="I198" s="34" t="s">
        <v>17</v>
      </c>
      <c r="J198" s="34">
        <v>17076014</v>
      </c>
      <c r="K198" s="34" t="s">
        <v>3636</v>
      </c>
      <c r="L198" s="40" t="s">
        <v>3637</v>
      </c>
      <c r="M198" s="36">
        <v>259900</v>
      </c>
      <c r="N198" s="37">
        <f t="shared" si="11"/>
        <v>0.7</v>
      </c>
      <c r="O198" s="36">
        <f t="shared" si="9"/>
        <v>77970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46086</v>
      </c>
      <c r="C199" s="35">
        <f t="shared" si="10"/>
        <v>46092</v>
      </c>
      <c r="D199" s="34">
        <v>3281</v>
      </c>
      <c r="E199" s="34">
        <v>337</v>
      </c>
      <c r="F199" s="34">
        <v>4</v>
      </c>
      <c r="G199" s="34">
        <v>5</v>
      </c>
      <c r="H199" s="34">
        <v>81506</v>
      </c>
      <c r="I199" s="34" t="s">
        <v>17</v>
      </c>
      <c r="J199" s="34">
        <v>17076023</v>
      </c>
      <c r="K199" s="34" t="s">
        <v>3636</v>
      </c>
      <c r="L199" s="40" t="s">
        <v>3638</v>
      </c>
      <c r="M199" s="36">
        <v>259900</v>
      </c>
      <c r="N199" s="37">
        <f t="shared" si="11"/>
        <v>0.7</v>
      </c>
      <c r="O199" s="36">
        <f t="shared" si="9"/>
        <v>77970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46086</v>
      </c>
      <c r="C200" s="35">
        <f t="shared" si="10"/>
        <v>46092</v>
      </c>
      <c r="D200" s="34">
        <v>3281</v>
      </c>
      <c r="E200" s="34">
        <v>337</v>
      </c>
      <c r="F200" s="34">
        <v>4</v>
      </c>
      <c r="G200" s="34">
        <v>5</v>
      </c>
      <c r="H200" s="34">
        <v>81506</v>
      </c>
      <c r="I200" s="34" t="s">
        <v>17</v>
      </c>
      <c r="J200" s="34">
        <v>17076032</v>
      </c>
      <c r="K200" s="34" t="s">
        <v>3636</v>
      </c>
      <c r="L200" s="40" t="s">
        <v>3639</v>
      </c>
      <c r="M200" s="36">
        <v>259900</v>
      </c>
      <c r="N200" s="37">
        <f t="shared" si="11"/>
        <v>0.7</v>
      </c>
      <c r="O200" s="36">
        <f t="shared" si="9"/>
        <v>77970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46086</v>
      </c>
      <c r="C201" s="35">
        <f t="shared" si="10"/>
        <v>46092</v>
      </c>
      <c r="D201" s="34">
        <v>3281</v>
      </c>
      <c r="E201" s="34">
        <v>337</v>
      </c>
      <c r="F201" s="34">
        <v>4</v>
      </c>
      <c r="G201" s="34">
        <v>5</v>
      </c>
      <c r="H201" s="34">
        <v>81506</v>
      </c>
      <c r="I201" s="34" t="s">
        <v>17</v>
      </c>
      <c r="J201" s="34">
        <v>17076041</v>
      </c>
      <c r="K201" s="34" t="s">
        <v>3636</v>
      </c>
      <c r="L201" s="40" t="s">
        <v>3640</v>
      </c>
      <c r="M201" s="36">
        <v>259900</v>
      </c>
      <c r="N201" s="37">
        <f t="shared" si="11"/>
        <v>0.7</v>
      </c>
      <c r="O201" s="36">
        <f t="shared" si="9"/>
        <v>77970</v>
      </c>
      <c r="P201" s="34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6642</v>
      </c>
      <c r="B2" s="7">
        <f>'2025 HILITE D80 - 3321'!B2</f>
        <v>46086</v>
      </c>
      <c r="C2" s="7">
        <f>'2025 HILITE D80 - 3321'!C2</f>
        <v>46092</v>
      </c>
      <c r="D2" s="6">
        <v>3281</v>
      </c>
      <c r="E2" s="6">
        <v>337</v>
      </c>
      <c r="F2" s="6">
        <v>4</v>
      </c>
      <c r="G2" s="25">
        <v>1</v>
      </c>
      <c r="H2" s="25">
        <v>80994</v>
      </c>
      <c r="I2" s="6" t="s">
        <v>17</v>
      </c>
      <c r="J2" s="54">
        <v>83381177</v>
      </c>
      <c r="K2" s="54" t="s">
        <v>2709</v>
      </c>
      <c r="L2" s="54" t="s">
        <v>2712</v>
      </c>
      <c r="M2" s="55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4" t="s">
        <v>6642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25">
        <v>1</v>
      </c>
      <c r="H3" s="25">
        <v>80994</v>
      </c>
      <c r="I3" s="6" t="s">
        <v>17</v>
      </c>
      <c r="J3" s="54">
        <v>83381186</v>
      </c>
      <c r="K3" s="54" t="s">
        <v>2709</v>
      </c>
      <c r="L3" s="54" t="s">
        <v>2711</v>
      </c>
      <c r="M3" s="55">
        <v>189900</v>
      </c>
      <c r="N3" s="37">
        <v>0.9</v>
      </c>
      <c r="O3" s="36">
        <f>M3-((90*M3)/100)</f>
        <v>18990</v>
      </c>
      <c r="P3" s="6" t="s">
        <v>16</v>
      </c>
    </row>
    <row r="4" spans="1:16" x14ac:dyDescent="0.35">
      <c r="A4" s="34" t="s">
        <v>6642</v>
      </c>
      <c r="B4" s="7">
        <f t="shared" ref="B4:B67" si="0">B3</f>
        <v>46086</v>
      </c>
      <c r="C4" s="7">
        <f t="shared" ref="C4:C67" si="1">C3</f>
        <v>46092</v>
      </c>
      <c r="D4" s="6">
        <v>3281</v>
      </c>
      <c r="E4" s="6">
        <v>337</v>
      </c>
      <c r="F4" s="6">
        <v>4</v>
      </c>
      <c r="G4" s="25">
        <v>1</v>
      </c>
      <c r="H4" s="25">
        <v>80994</v>
      </c>
      <c r="I4" s="6" t="s">
        <v>17</v>
      </c>
      <c r="J4" s="54">
        <v>83381195</v>
      </c>
      <c r="K4" s="54" t="s">
        <v>2709</v>
      </c>
      <c r="L4" s="54" t="s">
        <v>2710</v>
      </c>
      <c r="M4" s="55">
        <v>189900</v>
      </c>
      <c r="N4" s="37">
        <v>0.9</v>
      </c>
      <c r="O4" s="36">
        <f t="shared" ref="O4:O67" si="2">M4-((90*M4)/100)</f>
        <v>18990</v>
      </c>
      <c r="P4" s="6" t="s">
        <v>16</v>
      </c>
    </row>
    <row r="5" spans="1:16" x14ac:dyDescent="0.35">
      <c r="A5" s="34" t="s">
        <v>6642</v>
      </c>
      <c r="B5" s="7">
        <f t="shared" si="0"/>
        <v>46086</v>
      </c>
      <c r="C5" s="7">
        <f t="shared" si="1"/>
        <v>46092</v>
      </c>
      <c r="D5" s="6">
        <v>3281</v>
      </c>
      <c r="E5" s="6">
        <v>337</v>
      </c>
      <c r="F5" s="6">
        <v>4</v>
      </c>
      <c r="G5" s="25">
        <v>1</v>
      </c>
      <c r="H5" s="25">
        <v>80994</v>
      </c>
      <c r="I5" s="6" t="s">
        <v>17</v>
      </c>
      <c r="J5" s="54">
        <v>83381202</v>
      </c>
      <c r="K5" s="54" t="s">
        <v>2709</v>
      </c>
      <c r="L5" s="54" t="s">
        <v>2708</v>
      </c>
      <c r="M5" s="55">
        <v>189900</v>
      </c>
      <c r="N5" s="37">
        <v>0.9</v>
      </c>
      <c r="O5" s="36">
        <f t="shared" si="2"/>
        <v>18990</v>
      </c>
      <c r="P5" s="6" t="s">
        <v>16</v>
      </c>
    </row>
    <row r="6" spans="1:16" x14ac:dyDescent="0.35">
      <c r="A6" s="34" t="s">
        <v>6642</v>
      </c>
      <c r="B6" s="7">
        <f t="shared" si="0"/>
        <v>46086</v>
      </c>
      <c r="C6" s="7">
        <f t="shared" si="1"/>
        <v>46092</v>
      </c>
      <c r="D6" s="6">
        <v>3281</v>
      </c>
      <c r="E6" s="6">
        <v>337</v>
      </c>
      <c r="F6" s="6">
        <v>4</v>
      </c>
      <c r="G6" s="25">
        <v>1</v>
      </c>
      <c r="H6" s="25">
        <v>80994</v>
      </c>
      <c r="I6" s="6" t="s">
        <v>17</v>
      </c>
      <c r="J6" s="54">
        <v>83381220</v>
      </c>
      <c r="K6" s="54" t="s">
        <v>2705</v>
      </c>
      <c r="L6" s="54" t="s">
        <v>2707</v>
      </c>
      <c r="M6" s="55">
        <v>189900</v>
      </c>
      <c r="N6" s="37">
        <v>0.9</v>
      </c>
      <c r="O6" s="36">
        <f t="shared" si="2"/>
        <v>18990</v>
      </c>
      <c r="P6" s="6" t="s">
        <v>16</v>
      </c>
    </row>
    <row r="7" spans="1:16" x14ac:dyDescent="0.35">
      <c r="A7" s="34" t="s">
        <v>6642</v>
      </c>
      <c r="B7" s="7">
        <f t="shared" si="0"/>
        <v>46086</v>
      </c>
      <c r="C7" s="7">
        <f t="shared" si="1"/>
        <v>46092</v>
      </c>
      <c r="D7" s="6">
        <v>3281</v>
      </c>
      <c r="E7" s="6">
        <v>337</v>
      </c>
      <c r="F7" s="6">
        <v>4</v>
      </c>
      <c r="G7" s="25">
        <v>1</v>
      </c>
      <c r="H7" s="25">
        <v>80994</v>
      </c>
      <c r="I7" s="6" t="s">
        <v>17</v>
      </c>
      <c r="J7" s="54">
        <v>83381239</v>
      </c>
      <c r="K7" s="54" t="s">
        <v>2705</v>
      </c>
      <c r="L7" s="54" t="s">
        <v>2706</v>
      </c>
      <c r="M7" s="55">
        <v>189900</v>
      </c>
      <c r="N7" s="37">
        <v>0.9</v>
      </c>
      <c r="O7" s="36">
        <f t="shared" si="2"/>
        <v>18990</v>
      </c>
      <c r="P7" s="6" t="s">
        <v>16</v>
      </c>
    </row>
    <row r="8" spans="1:16" x14ac:dyDescent="0.35">
      <c r="A8" s="34" t="s">
        <v>6642</v>
      </c>
      <c r="B8" s="7">
        <f t="shared" si="0"/>
        <v>46086</v>
      </c>
      <c r="C8" s="7">
        <f t="shared" si="1"/>
        <v>46092</v>
      </c>
      <c r="D8" s="6">
        <v>3281</v>
      </c>
      <c r="E8" s="6">
        <v>337</v>
      </c>
      <c r="F8" s="6">
        <v>4</v>
      </c>
      <c r="G8" s="25">
        <v>1</v>
      </c>
      <c r="H8" s="25">
        <v>80994</v>
      </c>
      <c r="I8" s="6" t="s">
        <v>17</v>
      </c>
      <c r="J8" s="54">
        <v>83381248</v>
      </c>
      <c r="K8" s="54" t="s">
        <v>2705</v>
      </c>
      <c r="L8" s="54" t="s">
        <v>2704</v>
      </c>
      <c r="M8" s="55">
        <v>189900</v>
      </c>
      <c r="N8" s="37">
        <v>0.9</v>
      </c>
      <c r="O8" s="36">
        <f t="shared" si="2"/>
        <v>18990</v>
      </c>
      <c r="P8" s="6" t="s">
        <v>16</v>
      </c>
    </row>
    <row r="9" spans="1:16" x14ac:dyDescent="0.35">
      <c r="A9" s="34" t="s">
        <v>6642</v>
      </c>
      <c r="B9" s="7">
        <f t="shared" si="0"/>
        <v>46086</v>
      </c>
      <c r="C9" s="7">
        <f t="shared" si="1"/>
        <v>46092</v>
      </c>
      <c r="D9" s="6">
        <v>3281</v>
      </c>
      <c r="E9" s="6">
        <v>337</v>
      </c>
      <c r="F9" s="6">
        <v>4</v>
      </c>
      <c r="G9" s="25">
        <v>1</v>
      </c>
      <c r="H9" s="25">
        <v>850</v>
      </c>
      <c r="I9" s="6" t="s">
        <v>17</v>
      </c>
      <c r="J9" s="54">
        <v>83381373</v>
      </c>
      <c r="K9" s="54" t="s">
        <v>4983</v>
      </c>
      <c r="L9" s="54" t="s">
        <v>4984</v>
      </c>
      <c r="M9" s="55">
        <v>129900</v>
      </c>
      <c r="N9" s="37">
        <v>0.9</v>
      </c>
      <c r="O9" s="36">
        <f t="shared" si="2"/>
        <v>12990</v>
      </c>
      <c r="P9" s="6" t="s">
        <v>16</v>
      </c>
    </row>
    <row r="10" spans="1:16" x14ac:dyDescent="0.35">
      <c r="A10" s="34" t="s">
        <v>6642</v>
      </c>
      <c r="B10" s="7">
        <f t="shared" si="0"/>
        <v>46086</v>
      </c>
      <c r="C10" s="7">
        <f t="shared" si="1"/>
        <v>46092</v>
      </c>
      <c r="D10" s="6">
        <v>3281</v>
      </c>
      <c r="E10" s="6">
        <v>337</v>
      </c>
      <c r="F10" s="6">
        <v>4</v>
      </c>
      <c r="G10" s="25">
        <v>1</v>
      </c>
      <c r="H10" s="25">
        <v>850</v>
      </c>
      <c r="I10" s="6" t="s">
        <v>17</v>
      </c>
      <c r="J10" s="54">
        <v>83381408</v>
      </c>
      <c r="K10" s="54" t="s">
        <v>4983</v>
      </c>
      <c r="L10" s="54" t="s">
        <v>4985</v>
      </c>
      <c r="M10" s="55">
        <v>129900</v>
      </c>
      <c r="N10" s="37">
        <v>0.9</v>
      </c>
      <c r="O10" s="36">
        <f t="shared" si="2"/>
        <v>12990</v>
      </c>
      <c r="P10" s="6" t="s">
        <v>16</v>
      </c>
    </row>
    <row r="11" spans="1:16" x14ac:dyDescent="0.35">
      <c r="A11" s="34" t="s">
        <v>6642</v>
      </c>
      <c r="B11" s="7">
        <f t="shared" si="0"/>
        <v>46086</v>
      </c>
      <c r="C11" s="7">
        <f t="shared" si="1"/>
        <v>46092</v>
      </c>
      <c r="D11" s="6">
        <v>3281</v>
      </c>
      <c r="E11" s="6">
        <v>337</v>
      </c>
      <c r="F11" s="6">
        <v>4</v>
      </c>
      <c r="G11" s="25">
        <v>1</v>
      </c>
      <c r="H11" s="25">
        <v>850</v>
      </c>
      <c r="I11" s="6" t="s">
        <v>17</v>
      </c>
      <c r="J11" s="54">
        <v>86446324</v>
      </c>
      <c r="K11" s="54" t="s">
        <v>105</v>
      </c>
      <c r="L11" s="54" t="s">
        <v>106</v>
      </c>
      <c r="M11" s="55">
        <v>129900</v>
      </c>
      <c r="N11" s="37">
        <v>0.9</v>
      </c>
      <c r="O11" s="36">
        <f t="shared" si="2"/>
        <v>12990</v>
      </c>
      <c r="P11" s="6" t="s">
        <v>16</v>
      </c>
    </row>
    <row r="12" spans="1:16" x14ac:dyDescent="0.35">
      <c r="A12" s="34" t="s">
        <v>6642</v>
      </c>
      <c r="B12" s="7">
        <f t="shared" si="0"/>
        <v>46086</v>
      </c>
      <c r="C12" s="7">
        <f t="shared" si="1"/>
        <v>46092</v>
      </c>
      <c r="D12" s="6">
        <v>3281</v>
      </c>
      <c r="E12" s="6">
        <v>337</v>
      </c>
      <c r="F12" s="6">
        <v>4</v>
      </c>
      <c r="G12" s="25">
        <v>1</v>
      </c>
      <c r="H12" s="25">
        <v>850</v>
      </c>
      <c r="I12" s="6" t="s">
        <v>17</v>
      </c>
      <c r="J12" s="54">
        <v>86446333</v>
      </c>
      <c r="K12" s="54" t="s">
        <v>105</v>
      </c>
      <c r="L12" s="54" t="s">
        <v>107</v>
      </c>
      <c r="M12" s="55">
        <v>129900</v>
      </c>
      <c r="N12" s="37">
        <v>0.9</v>
      </c>
      <c r="O12" s="36">
        <f t="shared" si="2"/>
        <v>12990</v>
      </c>
      <c r="P12" s="6" t="s">
        <v>16</v>
      </c>
    </row>
    <row r="13" spans="1:16" x14ac:dyDescent="0.35">
      <c r="A13" s="34" t="s">
        <v>6642</v>
      </c>
      <c r="B13" s="7">
        <f t="shared" si="0"/>
        <v>46086</v>
      </c>
      <c r="C13" s="7">
        <f t="shared" si="1"/>
        <v>46092</v>
      </c>
      <c r="D13" s="6">
        <v>3281</v>
      </c>
      <c r="E13" s="6">
        <v>337</v>
      </c>
      <c r="F13" s="6">
        <v>4</v>
      </c>
      <c r="G13" s="25">
        <v>1</v>
      </c>
      <c r="H13" s="25">
        <v>850</v>
      </c>
      <c r="I13" s="6" t="s">
        <v>17</v>
      </c>
      <c r="J13" s="54">
        <v>86446342</v>
      </c>
      <c r="K13" s="54" t="s">
        <v>105</v>
      </c>
      <c r="L13" s="54" t="s">
        <v>108</v>
      </c>
      <c r="M13" s="55">
        <v>129900</v>
      </c>
      <c r="N13" s="37">
        <v>0.9</v>
      </c>
      <c r="O13" s="36">
        <f t="shared" si="2"/>
        <v>12990</v>
      </c>
      <c r="P13" s="6" t="s">
        <v>16</v>
      </c>
    </row>
    <row r="14" spans="1:16" x14ac:dyDescent="0.35">
      <c r="A14" s="34" t="s">
        <v>6642</v>
      </c>
      <c r="B14" s="7">
        <f t="shared" si="0"/>
        <v>46086</v>
      </c>
      <c r="C14" s="7">
        <f t="shared" si="1"/>
        <v>46092</v>
      </c>
      <c r="D14" s="6">
        <v>3281</v>
      </c>
      <c r="E14" s="6">
        <v>337</v>
      </c>
      <c r="F14" s="6">
        <v>4</v>
      </c>
      <c r="G14" s="25">
        <v>1</v>
      </c>
      <c r="H14" s="25">
        <v>850</v>
      </c>
      <c r="I14" s="6" t="s">
        <v>17</v>
      </c>
      <c r="J14" s="54">
        <v>86446351</v>
      </c>
      <c r="K14" s="54" t="s">
        <v>105</v>
      </c>
      <c r="L14" s="54" t="s">
        <v>109</v>
      </c>
      <c r="M14" s="55">
        <v>129900</v>
      </c>
      <c r="N14" s="37">
        <v>0.9</v>
      </c>
      <c r="O14" s="36">
        <f t="shared" si="2"/>
        <v>12990</v>
      </c>
      <c r="P14" s="6" t="s">
        <v>16</v>
      </c>
    </row>
    <row r="15" spans="1:16" x14ac:dyDescent="0.35">
      <c r="A15" s="34" t="s">
        <v>6642</v>
      </c>
      <c r="B15" s="7">
        <f t="shared" si="0"/>
        <v>46086</v>
      </c>
      <c r="C15" s="7">
        <f t="shared" si="1"/>
        <v>46092</v>
      </c>
      <c r="D15" s="6">
        <v>3281</v>
      </c>
      <c r="E15" s="6">
        <v>337</v>
      </c>
      <c r="F15" s="6">
        <v>4</v>
      </c>
      <c r="G15" s="25">
        <v>1</v>
      </c>
      <c r="H15" s="25">
        <v>81146</v>
      </c>
      <c r="I15" s="6" t="s">
        <v>17</v>
      </c>
      <c r="J15" s="54">
        <v>81754652</v>
      </c>
      <c r="K15" s="54" t="s">
        <v>131</v>
      </c>
      <c r="L15" s="54" t="s">
        <v>132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6642</v>
      </c>
      <c r="B16" s="7">
        <f t="shared" si="0"/>
        <v>46086</v>
      </c>
      <c r="C16" s="7">
        <f t="shared" si="1"/>
        <v>46092</v>
      </c>
      <c r="D16" s="6">
        <v>3281</v>
      </c>
      <c r="E16" s="6">
        <v>337</v>
      </c>
      <c r="F16" s="6">
        <v>4</v>
      </c>
      <c r="G16" s="25">
        <v>1</v>
      </c>
      <c r="H16" s="25">
        <v>81146</v>
      </c>
      <c r="I16" s="6" t="s">
        <v>17</v>
      </c>
      <c r="J16" s="54">
        <v>81754670</v>
      </c>
      <c r="K16" s="54" t="s">
        <v>131</v>
      </c>
      <c r="L16" s="54" t="s">
        <v>133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6642</v>
      </c>
      <c r="B17" s="7">
        <f t="shared" si="0"/>
        <v>46086</v>
      </c>
      <c r="C17" s="7">
        <f t="shared" si="1"/>
        <v>46092</v>
      </c>
      <c r="D17" s="6">
        <v>3281</v>
      </c>
      <c r="E17" s="6">
        <v>337</v>
      </c>
      <c r="F17" s="6">
        <v>4</v>
      </c>
      <c r="G17" s="25">
        <v>1</v>
      </c>
      <c r="H17" s="25">
        <v>81146</v>
      </c>
      <c r="I17" s="6" t="s">
        <v>17</v>
      </c>
      <c r="J17" s="54">
        <v>81754689</v>
      </c>
      <c r="K17" s="54" t="s">
        <v>134</v>
      </c>
      <c r="L17" s="54" t="s">
        <v>135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6642</v>
      </c>
      <c r="B18" s="7">
        <f t="shared" si="0"/>
        <v>46086</v>
      </c>
      <c r="C18" s="7">
        <f t="shared" si="1"/>
        <v>46092</v>
      </c>
      <c r="D18" s="6">
        <v>3281</v>
      </c>
      <c r="E18" s="6">
        <v>337</v>
      </c>
      <c r="F18" s="6">
        <v>4</v>
      </c>
      <c r="G18" s="25">
        <v>1</v>
      </c>
      <c r="H18" s="25">
        <v>81146</v>
      </c>
      <c r="I18" s="6" t="s">
        <v>17</v>
      </c>
      <c r="J18" s="54">
        <v>81754714</v>
      </c>
      <c r="K18" s="54" t="s">
        <v>134</v>
      </c>
      <c r="L18" s="54" t="s">
        <v>136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6642</v>
      </c>
      <c r="B19" s="7">
        <f t="shared" si="0"/>
        <v>46086</v>
      </c>
      <c r="C19" s="7">
        <f t="shared" si="1"/>
        <v>46092</v>
      </c>
      <c r="D19" s="6">
        <v>3281</v>
      </c>
      <c r="E19" s="6">
        <v>337</v>
      </c>
      <c r="F19" s="6">
        <v>4</v>
      </c>
      <c r="G19" s="25">
        <v>1</v>
      </c>
      <c r="H19" s="25">
        <v>81146</v>
      </c>
      <c r="I19" s="6" t="s">
        <v>17</v>
      </c>
      <c r="J19" s="54">
        <v>86446244</v>
      </c>
      <c r="K19" s="54" t="s">
        <v>18</v>
      </c>
      <c r="L19" s="54" t="s">
        <v>22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6642</v>
      </c>
      <c r="B20" s="7">
        <f t="shared" si="0"/>
        <v>46086</v>
      </c>
      <c r="C20" s="7">
        <f t="shared" si="1"/>
        <v>46092</v>
      </c>
      <c r="D20" s="6">
        <v>3281</v>
      </c>
      <c r="E20" s="6">
        <v>337</v>
      </c>
      <c r="F20" s="6">
        <v>4</v>
      </c>
      <c r="G20" s="25">
        <v>1</v>
      </c>
      <c r="H20" s="25">
        <v>81146</v>
      </c>
      <c r="I20" s="6" t="s">
        <v>17</v>
      </c>
      <c r="J20" s="54">
        <v>86446253</v>
      </c>
      <c r="K20" s="54" t="s">
        <v>18</v>
      </c>
      <c r="L20" s="54" t="s">
        <v>19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6642</v>
      </c>
      <c r="B21" s="7">
        <f t="shared" si="0"/>
        <v>46086</v>
      </c>
      <c r="C21" s="7">
        <f t="shared" si="1"/>
        <v>46092</v>
      </c>
      <c r="D21" s="6">
        <v>3281</v>
      </c>
      <c r="E21" s="6">
        <v>337</v>
      </c>
      <c r="F21" s="6">
        <v>4</v>
      </c>
      <c r="G21" s="25">
        <v>1</v>
      </c>
      <c r="H21" s="25">
        <v>81146</v>
      </c>
      <c r="I21" s="6" t="s">
        <v>17</v>
      </c>
      <c r="J21" s="54">
        <v>86446262</v>
      </c>
      <c r="K21" s="54" t="s">
        <v>18</v>
      </c>
      <c r="L21" s="54" t="s">
        <v>20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6642</v>
      </c>
      <c r="B22" s="7">
        <f t="shared" si="0"/>
        <v>46086</v>
      </c>
      <c r="C22" s="7">
        <f t="shared" si="1"/>
        <v>46092</v>
      </c>
      <c r="D22" s="6">
        <v>3281</v>
      </c>
      <c r="E22" s="6">
        <v>337</v>
      </c>
      <c r="F22" s="6">
        <v>4</v>
      </c>
      <c r="G22" s="25">
        <v>1</v>
      </c>
      <c r="H22" s="25">
        <v>81146</v>
      </c>
      <c r="I22" s="6" t="s">
        <v>17</v>
      </c>
      <c r="J22" s="54">
        <v>86446271</v>
      </c>
      <c r="K22" s="54" t="s">
        <v>18</v>
      </c>
      <c r="L22" s="54" t="s">
        <v>21</v>
      </c>
      <c r="M22" s="55">
        <v>149900</v>
      </c>
      <c r="N22" s="37">
        <v>0.9</v>
      </c>
      <c r="O22" s="36">
        <f t="shared" si="2"/>
        <v>14990</v>
      </c>
      <c r="P22" s="6" t="s">
        <v>16</v>
      </c>
    </row>
    <row r="23" spans="1:16" x14ac:dyDescent="0.35">
      <c r="A23" s="34" t="s">
        <v>6642</v>
      </c>
      <c r="B23" s="7">
        <f t="shared" si="0"/>
        <v>46086</v>
      </c>
      <c r="C23" s="7">
        <f t="shared" si="1"/>
        <v>46092</v>
      </c>
      <c r="D23" s="6">
        <v>3281</v>
      </c>
      <c r="E23" s="6">
        <v>337</v>
      </c>
      <c r="F23" s="6">
        <v>4</v>
      </c>
      <c r="G23" s="25">
        <v>1</v>
      </c>
      <c r="H23" s="25">
        <v>81146</v>
      </c>
      <c r="I23" s="6" t="s">
        <v>17</v>
      </c>
      <c r="J23" s="54">
        <v>14608276</v>
      </c>
      <c r="K23" s="54" t="s">
        <v>100</v>
      </c>
      <c r="L23" s="54" t="s">
        <v>101</v>
      </c>
      <c r="M23" s="55">
        <v>149900</v>
      </c>
      <c r="N23" s="37">
        <v>0.9</v>
      </c>
      <c r="O23" s="36">
        <f t="shared" si="2"/>
        <v>14990</v>
      </c>
      <c r="P23" s="6" t="s">
        <v>16</v>
      </c>
    </row>
    <row r="24" spans="1:16" x14ac:dyDescent="0.35">
      <c r="A24" s="34" t="s">
        <v>6642</v>
      </c>
      <c r="B24" s="7">
        <f t="shared" si="0"/>
        <v>46086</v>
      </c>
      <c r="C24" s="7">
        <f t="shared" si="1"/>
        <v>46092</v>
      </c>
      <c r="D24" s="6">
        <v>3281</v>
      </c>
      <c r="E24" s="6">
        <v>337</v>
      </c>
      <c r="F24" s="6">
        <v>4</v>
      </c>
      <c r="G24" s="25">
        <v>1</v>
      </c>
      <c r="H24" s="25">
        <v>81146</v>
      </c>
      <c r="I24" s="6" t="s">
        <v>17</v>
      </c>
      <c r="J24" s="54">
        <v>14608285</v>
      </c>
      <c r="K24" s="54" t="s">
        <v>100</v>
      </c>
      <c r="L24" s="54" t="s">
        <v>102</v>
      </c>
      <c r="M24" s="55">
        <v>149900</v>
      </c>
      <c r="N24" s="37">
        <v>0.9</v>
      </c>
      <c r="O24" s="36">
        <f t="shared" si="2"/>
        <v>14990</v>
      </c>
      <c r="P24" s="6" t="s">
        <v>16</v>
      </c>
    </row>
    <row r="25" spans="1:16" x14ac:dyDescent="0.35">
      <c r="A25" s="34" t="s">
        <v>6642</v>
      </c>
      <c r="B25" s="7">
        <f t="shared" si="0"/>
        <v>46086</v>
      </c>
      <c r="C25" s="7">
        <f t="shared" si="1"/>
        <v>46092</v>
      </c>
      <c r="D25" s="6">
        <v>3281</v>
      </c>
      <c r="E25" s="6">
        <v>337</v>
      </c>
      <c r="F25" s="6">
        <v>4</v>
      </c>
      <c r="G25" s="25">
        <v>1</v>
      </c>
      <c r="H25" s="25">
        <v>81146</v>
      </c>
      <c r="I25" s="6" t="s">
        <v>17</v>
      </c>
      <c r="J25" s="54">
        <v>14608294</v>
      </c>
      <c r="K25" s="54" t="s">
        <v>100</v>
      </c>
      <c r="L25" s="54" t="s">
        <v>103</v>
      </c>
      <c r="M25" s="55">
        <v>149900</v>
      </c>
      <c r="N25" s="37">
        <v>0.9</v>
      </c>
      <c r="O25" s="36">
        <f t="shared" si="2"/>
        <v>14990</v>
      </c>
      <c r="P25" s="6" t="s">
        <v>16</v>
      </c>
    </row>
    <row r="26" spans="1:16" x14ac:dyDescent="0.35">
      <c r="A26" s="34" t="s">
        <v>6642</v>
      </c>
      <c r="B26" s="7">
        <f t="shared" si="0"/>
        <v>46086</v>
      </c>
      <c r="C26" s="7">
        <f t="shared" si="1"/>
        <v>46092</v>
      </c>
      <c r="D26" s="6">
        <v>3281</v>
      </c>
      <c r="E26" s="6">
        <v>337</v>
      </c>
      <c r="F26" s="6">
        <v>4</v>
      </c>
      <c r="G26" s="25">
        <v>1</v>
      </c>
      <c r="H26" s="25">
        <v>81146</v>
      </c>
      <c r="I26" s="6" t="s">
        <v>17</v>
      </c>
      <c r="J26" s="54">
        <v>14608301</v>
      </c>
      <c r="K26" s="54" t="s">
        <v>100</v>
      </c>
      <c r="L26" s="54" t="s">
        <v>104</v>
      </c>
      <c r="M26" s="55">
        <v>149900</v>
      </c>
      <c r="N26" s="37">
        <v>0.9</v>
      </c>
      <c r="O26" s="36">
        <f t="shared" si="2"/>
        <v>14990</v>
      </c>
      <c r="P26" s="6" t="s">
        <v>16</v>
      </c>
    </row>
    <row r="27" spans="1:16" x14ac:dyDescent="0.35">
      <c r="A27" s="34" t="s">
        <v>6642</v>
      </c>
      <c r="B27" s="7">
        <f t="shared" si="0"/>
        <v>46086</v>
      </c>
      <c r="C27" s="7">
        <f t="shared" si="1"/>
        <v>46092</v>
      </c>
      <c r="D27" s="6">
        <v>3281</v>
      </c>
      <c r="E27" s="6">
        <v>337</v>
      </c>
      <c r="F27" s="6">
        <v>4</v>
      </c>
      <c r="G27" s="25">
        <v>1</v>
      </c>
      <c r="H27" s="25">
        <v>81421</v>
      </c>
      <c r="I27" s="6" t="s">
        <v>17</v>
      </c>
      <c r="J27" s="54">
        <v>79527830</v>
      </c>
      <c r="K27" s="54" t="s">
        <v>245</v>
      </c>
      <c r="L27" s="54" t="s">
        <v>246</v>
      </c>
      <c r="M27" s="55">
        <v>169900</v>
      </c>
      <c r="N27" s="37">
        <v>0.9</v>
      </c>
      <c r="O27" s="36">
        <f t="shared" si="2"/>
        <v>16990</v>
      </c>
      <c r="P27" s="6" t="s">
        <v>16</v>
      </c>
    </row>
    <row r="28" spans="1:16" x14ac:dyDescent="0.35">
      <c r="A28" s="34" t="s">
        <v>6642</v>
      </c>
      <c r="B28" s="7">
        <f t="shared" si="0"/>
        <v>46086</v>
      </c>
      <c r="C28" s="7">
        <f t="shared" si="1"/>
        <v>46092</v>
      </c>
      <c r="D28" s="6">
        <v>3281</v>
      </c>
      <c r="E28" s="6">
        <v>337</v>
      </c>
      <c r="F28" s="6">
        <v>4</v>
      </c>
      <c r="G28" s="25">
        <v>1</v>
      </c>
      <c r="H28" s="25">
        <v>81421</v>
      </c>
      <c r="I28" s="6" t="s">
        <v>17</v>
      </c>
      <c r="J28" s="54">
        <v>79527947</v>
      </c>
      <c r="K28" s="54" t="s">
        <v>277</v>
      </c>
      <c r="L28" s="54" t="s">
        <v>278</v>
      </c>
      <c r="M28" s="55">
        <v>189900</v>
      </c>
      <c r="N28" s="37">
        <v>0.9</v>
      </c>
      <c r="O28" s="36">
        <f t="shared" si="2"/>
        <v>18990</v>
      </c>
      <c r="P28" s="6" t="s">
        <v>16</v>
      </c>
    </row>
    <row r="29" spans="1:16" x14ac:dyDescent="0.35">
      <c r="A29" s="34" t="s">
        <v>6642</v>
      </c>
      <c r="B29" s="7">
        <f t="shared" si="0"/>
        <v>46086</v>
      </c>
      <c r="C29" s="7">
        <f t="shared" si="1"/>
        <v>46092</v>
      </c>
      <c r="D29" s="6">
        <v>3281</v>
      </c>
      <c r="E29" s="6">
        <v>337</v>
      </c>
      <c r="F29" s="6">
        <v>4</v>
      </c>
      <c r="G29" s="25">
        <v>1</v>
      </c>
      <c r="H29" s="25">
        <v>81421</v>
      </c>
      <c r="I29" s="6" t="s">
        <v>17</v>
      </c>
      <c r="J29" s="54">
        <v>79527956</v>
      </c>
      <c r="K29" s="54" t="s">
        <v>277</v>
      </c>
      <c r="L29" s="54" t="s">
        <v>279</v>
      </c>
      <c r="M29" s="55">
        <v>189900</v>
      </c>
      <c r="N29" s="37">
        <v>0.9</v>
      </c>
      <c r="O29" s="36">
        <f t="shared" si="2"/>
        <v>18990</v>
      </c>
      <c r="P29" s="6" t="s">
        <v>16</v>
      </c>
    </row>
    <row r="30" spans="1:16" x14ac:dyDescent="0.35">
      <c r="A30" s="34" t="s">
        <v>6642</v>
      </c>
      <c r="B30" s="7">
        <f t="shared" si="0"/>
        <v>46086</v>
      </c>
      <c r="C30" s="7">
        <f t="shared" si="1"/>
        <v>46092</v>
      </c>
      <c r="D30" s="6">
        <v>3281</v>
      </c>
      <c r="E30" s="6">
        <v>337</v>
      </c>
      <c r="F30" s="6">
        <v>4</v>
      </c>
      <c r="G30" s="25">
        <v>1</v>
      </c>
      <c r="H30" s="25">
        <v>81421</v>
      </c>
      <c r="I30" s="6" t="s">
        <v>17</v>
      </c>
      <c r="J30" s="54">
        <v>79527965</v>
      </c>
      <c r="K30" s="54" t="s">
        <v>247</v>
      </c>
      <c r="L30" s="54" t="s">
        <v>248</v>
      </c>
      <c r="M30" s="55">
        <v>169900</v>
      </c>
      <c r="N30" s="37">
        <v>0.9</v>
      </c>
      <c r="O30" s="36">
        <f t="shared" si="2"/>
        <v>16990</v>
      </c>
      <c r="P30" s="6" t="s">
        <v>16</v>
      </c>
    </row>
    <row r="31" spans="1:16" x14ac:dyDescent="0.35">
      <c r="A31" s="34" t="s">
        <v>6642</v>
      </c>
      <c r="B31" s="7">
        <f t="shared" si="0"/>
        <v>46086</v>
      </c>
      <c r="C31" s="7">
        <f t="shared" si="1"/>
        <v>46092</v>
      </c>
      <c r="D31" s="6">
        <v>3281</v>
      </c>
      <c r="E31" s="6">
        <v>337</v>
      </c>
      <c r="F31" s="6">
        <v>4</v>
      </c>
      <c r="G31" s="25">
        <v>1</v>
      </c>
      <c r="H31" s="25">
        <v>81421</v>
      </c>
      <c r="I31" s="6" t="s">
        <v>17</v>
      </c>
      <c r="J31" s="54">
        <v>79527992</v>
      </c>
      <c r="K31" s="54" t="s">
        <v>247</v>
      </c>
      <c r="L31" s="54" t="s">
        <v>249</v>
      </c>
      <c r="M31" s="55">
        <v>169900</v>
      </c>
      <c r="N31" s="37">
        <v>0.9</v>
      </c>
      <c r="O31" s="36">
        <f t="shared" si="2"/>
        <v>16990</v>
      </c>
      <c r="P31" s="6" t="s">
        <v>16</v>
      </c>
    </row>
    <row r="32" spans="1:16" x14ac:dyDescent="0.35">
      <c r="A32" s="34" t="s">
        <v>6642</v>
      </c>
      <c r="B32" s="7">
        <f t="shared" si="0"/>
        <v>46086</v>
      </c>
      <c r="C32" s="7">
        <f t="shared" si="1"/>
        <v>46092</v>
      </c>
      <c r="D32" s="6">
        <v>3281</v>
      </c>
      <c r="E32" s="6">
        <v>337</v>
      </c>
      <c r="F32" s="6">
        <v>4</v>
      </c>
      <c r="G32" s="25">
        <v>1</v>
      </c>
      <c r="H32" s="25">
        <v>81421</v>
      </c>
      <c r="I32" s="6" t="s">
        <v>17</v>
      </c>
      <c r="J32" s="54">
        <v>79528017</v>
      </c>
      <c r="K32" s="54" t="s">
        <v>250</v>
      </c>
      <c r="L32" s="54" t="s">
        <v>251</v>
      </c>
      <c r="M32" s="55">
        <v>169900</v>
      </c>
      <c r="N32" s="37">
        <v>0.9</v>
      </c>
      <c r="O32" s="36">
        <f t="shared" si="2"/>
        <v>16990</v>
      </c>
      <c r="P32" s="6" t="s">
        <v>16</v>
      </c>
    </row>
    <row r="33" spans="1:16" x14ac:dyDescent="0.35">
      <c r="A33" s="34" t="s">
        <v>6642</v>
      </c>
      <c r="B33" s="7">
        <f t="shared" si="0"/>
        <v>46086</v>
      </c>
      <c r="C33" s="7">
        <f t="shared" si="1"/>
        <v>46092</v>
      </c>
      <c r="D33" s="6">
        <v>3281</v>
      </c>
      <c r="E33" s="6">
        <v>337</v>
      </c>
      <c r="F33" s="6">
        <v>4</v>
      </c>
      <c r="G33" s="25">
        <v>1</v>
      </c>
      <c r="H33" s="25">
        <v>81421</v>
      </c>
      <c r="I33" s="6" t="s">
        <v>17</v>
      </c>
      <c r="J33" s="54">
        <v>79528035</v>
      </c>
      <c r="K33" s="54" t="s">
        <v>250</v>
      </c>
      <c r="L33" s="54" t="s">
        <v>252</v>
      </c>
      <c r="M33" s="55">
        <v>169900</v>
      </c>
      <c r="N33" s="37">
        <v>0.9</v>
      </c>
      <c r="O33" s="36">
        <f t="shared" si="2"/>
        <v>16990</v>
      </c>
      <c r="P33" s="6" t="s">
        <v>16</v>
      </c>
    </row>
    <row r="34" spans="1:16" x14ac:dyDescent="0.35">
      <c r="A34" s="34" t="s">
        <v>6642</v>
      </c>
      <c r="B34" s="7">
        <f t="shared" si="0"/>
        <v>46086</v>
      </c>
      <c r="C34" s="7">
        <f t="shared" si="1"/>
        <v>46092</v>
      </c>
      <c r="D34" s="6">
        <v>3281</v>
      </c>
      <c r="E34" s="6">
        <v>337</v>
      </c>
      <c r="F34" s="6">
        <v>4</v>
      </c>
      <c r="G34" s="25">
        <v>1</v>
      </c>
      <c r="H34" s="25">
        <v>81421</v>
      </c>
      <c r="I34" s="6" t="s">
        <v>17</v>
      </c>
      <c r="J34" s="54">
        <v>79655237</v>
      </c>
      <c r="K34" s="54" t="s">
        <v>184</v>
      </c>
      <c r="L34" s="54" t="s">
        <v>185</v>
      </c>
      <c r="M34" s="55">
        <v>149900</v>
      </c>
      <c r="N34" s="37">
        <v>0.9</v>
      </c>
      <c r="O34" s="36">
        <f t="shared" si="2"/>
        <v>14990</v>
      </c>
      <c r="P34" s="6" t="s">
        <v>16</v>
      </c>
    </row>
    <row r="35" spans="1:16" x14ac:dyDescent="0.35">
      <c r="A35" s="34" t="s">
        <v>6642</v>
      </c>
      <c r="B35" s="7">
        <f t="shared" si="0"/>
        <v>46086</v>
      </c>
      <c r="C35" s="7">
        <f t="shared" si="1"/>
        <v>46092</v>
      </c>
      <c r="D35" s="6">
        <v>3281</v>
      </c>
      <c r="E35" s="6">
        <v>337</v>
      </c>
      <c r="F35" s="6">
        <v>4</v>
      </c>
      <c r="G35" s="25">
        <v>1</v>
      </c>
      <c r="H35" s="25">
        <v>190</v>
      </c>
      <c r="I35" s="6" t="s">
        <v>17</v>
      </c>
      <c r="J35" s="54">
        <v>87434308</v>
      </c>
      <c r="K35" s="54" t="s">
        <v>59</v>
      </c>
      <c r="L35" s="54" t="s">
        <v>60</v>
      </c>
      <c r="M35" s="55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6642</v>
      </c>
      <c r="B36" s="7">
        <f t="shared" si="0"/>
        <v>46086</v>
      </c>
      <c r="C36" s="7">
        <f t="shared" si="1"/>
        <v>46092</v>
      </c>
      <c r="D36" s="6">
        <v>3281</v>
      </c>
      <c r="E36" s="6">
        <v>337</v>
      </c>
      <c r="F36" s="6">
        <v>4</v>
      </c>
      <c r="G36" s="25">
        <v>1</v>
      </c>
      <c r="H36" s="25">
        <v>190</v>
      </c>
      <c r="I36" s="6" t="s">
        <v>17</v>
      </c>
      <c r="J36" s="54">
        <v>87434317</v>
      </c>
      <c r="K36" s="54" t="s">
        <v>59</v>
      </c>
      <c r="L36" s="54" t="s">
        <v>61</v>
      </c>
      <c r="M36" s="55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6642</v>
      </c>
      <c r="B37" s="7">
        <f t="shared" si="0"/>
        <v>46086</v>
      </c>
      <c r="C37" s="7">
        <f t="shared" si="1"/>
        <v>46092</v>
      </c>
      <c r="D37" s="6">
        <v>3281</v>
      </c>
      <c r="E37" s="6">
        <v>337</v>
      </c>
      <c r="F37" s="6">
        <v>4</v>
      </c>
      <c r="G37" s="25">
        <v>1</v>
      </c>
      <c r="H37" s="25">
        <v>190</v>
      </c>
      <c r="I37" s="6" t="s">
        <v>17</v>
      </c>
      <c r="J37" s="54">
        <v>87434326</v>
      </c>
      <c r="K37" s="54" t="s">
        <v>59</v>
      </c>
      <c r="L37" s="54" t="s">
        <v>62</v>
      </c>
      <c r="M37" s="55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6642</v>
      </c>
      <c r="B38" s="7">
        <f t="shared" si="0"/>
        <v>46086</v>
      </c>
      <c r="C38" s="7">
        <f t="shared" si="1"/>
        <v>46092</v>
      </c>
      <c r="D38" s="6">
        <v>3281</v>
      </c>
      <c r="E38" s="6">
        <v>337</v>
      </c>
      <c r="F38" s="6">
        <v>4</v>
      </c>
      <c r="G38" s="25">
        <v>1</v>
      </c>
      <c r="H38" s="25">
        <v>190</v>
      </c>
      <c r="I38" s="6" t="s">
        <v>17</v>
      </c>
      <c r="J38" s="54">
        <v>87434335</v>
      </c>
      <c r="K38" s="54" t="s">
        <v>59</v>
      </c>
      <c r="L38" s="54" t="s">
        <v>63</v>
      </c>
      <c r="M38" s="55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6642</v>
      </c>
      <c r="B39" s="7">
        <f t="shared" si="0"/>
        <v>46086</v>
      </c>
      <c r="C39" s="7">
        <f t="shared" si="1"/>
        <v>46092</v>
      </c>
      <c r="D39" s="6">
        <v>3281</v>
      </c>
      <c r="E39" s="6">
        <v>337</v>
      </c>
      <c r="F39" s="6">
        <v>4</v>
      </c>
      <c r="G39" s="25">
        <v>1</v>
      </c>
      <c r="H39" s="25">
        <v>190</v>
      </c>
      <c r="I39" s="6" t="s">
        <v>17</v>
      </c>
      <c r="J39" s="54">
        <v>87434353</v>
      </c>
      <c r="K39" s="54" t="s">
        <v>84</v>
      </c>
      <c r="L39" s="54" t="s">
        <v>85</v>
      </c>
      <c r="M39" s="55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6642</v>
      </c>
      <c r="B40" s="7">
        <f t="shared" si="0"/>
        <v>46086</v>
      </c>
      <c r="C40" s="7">
        <f t="shared" si="1"/>
        <v>46092</v>
      </c>
      <c r="D40" s="6">
        <v>3281</v>
      </c>
      <c r="E40" s="6">
        <v>337</v>
      </c>
      <c r="F40" s="6">
        <v>4</v>
      </c>
      <c r="G40" s="25">
        <v>1</v>
      </c>
      <c r="H40" s="25">
        <v>80920</v>
      </c>
      <c r="I40" s="6" t="s">
        <v>17</v>
      </c>
      <c r="J40" s="54">
        <v>73502724</v>
      </c>
      <c r="K40" s="54" t="s">
        <v>178</v>
      </c>
      <c r="L40" s="54" t="s">
        <v>179</v>
      </c>
      <c r="M40" s="55">
        <v>149900</v>
      </c>
      <c r="N40" s="37">
        <v>0.9</v>
      </c>
      <c r="O40" s="36">
        <f t="shared" si="2"/>
        <v>14990</v>
      </c>
      <c r="P40" s="6" t="s">
        <v>16</v>
      </c>
    </row>
    <row r="41" spans="1:16" x14ac:dyDescent="0.35">
      <c r="A41" s="34" t="s">
        <v>6642</v>
      </c>
      <c r="B41" s="7">
        <f t="shared" si="0"/>
        <v>46086</v>
      </c>
      <c r="C41" s="7">
        <f t="shared" si="1"/>
        <v>46092</v>
      </c>
      <c r="D41" s="6">
        <v>3281</v>
      </c>
      <c r="E41" s="6">
        <v>337</v>
      </c>
      <c r="F41" s="6">
        <v>4</v>
      </c>
      <c r="G41" s="25">
        <v>1</v>
      </c>
      <c r="H41" s="25">
        <v>80920</v>
      </c>
      <c r="I41" s="6" t="s">
        <v>17</v>
      </c>
      <c r="J41" s="54">
        <v>73502742</v>
      </c>
      <c r="K41" s="54" t="s">
        <v>178</v>
      </c>
      <c r="L41" s="54" t="s">
        <v>180</v>
      </c>
      <c r="M41" s="55">
        <v>149900</v>
      </c>
      <c r="N41" s="37">
        <v>0.9</v>
      </c>
      <c r="O41" s="36">
        <f t="shared" si="2"/>
        <v>14990</v>
      </c>
      <c r="P41" s="6" t="s">
        <v>16</v>
      </c>
    </row>
    <row r="42" spans="1:16" x14ac:dyDescent="0.35">
      <c r="A42" s="34" t="s">
        <v>6642</v>
      </c>
      <c r="B42" s="7">
        <f t="shared" si="0"/>
        <v>46086</v>
      </c>
      <c r="C42" s="7">
        <f t="shared" si="1"/>
        <v>46092</v>
      </c>
      <c r="D42" s="6">
        <v>3281</v>
      </c>
      <c r="E42" s="6">
        <v>337</v>
      </c>
      <c r="F42" s="6">
        <v>4</v>
      </c>
      <c r="G42" s="25">
        <v>1</v>
      </c>
      <c r="H42" s="25">
        <v>80920</v>
      </c>
      <c r="I42" s="6" t="s">
        <v>17</v>
      </c>
      <c r="J42" s="54">
        <v>73502751</v>
      </c>
      <c r="K42" s="54" t="s">
        <v>178</v>
      </c>
      <c r="L42" s="54" t="s">
        <v>181</v>
      </c>
      <c r="M42" s="55">
        <v>149900</v>
      </c>
      <c r="N42" s="37">
        <v>0.9</v>
      </c>
      <c r="O42" s="36">
        <f t="shared" si="2"/>
        <v>14990</v>
      </c>
      <c r="P42" s="6" t="s">
        <v>16</v>
      </c>
    </row>
    <row r="43" spans="1:16" x14ac:dyDescent="0.35">
      <c r="A43" s="34" t="s">
        <v>6642</v>
      </c>
      <c r="B43" s="7">
        <f t="shared" si="0"/>
        <v>46086</v>
      </c>
      <c r="C43" s="7">
        <f t="shared" si="1"/>
        <v>46092</v>
      </c>
      <c r="D43" s="6">
        <v>3281</v>
      </c>
      <c r="E43" s="6">
        <v>337</v>
      </c>
      <c r="F43" s="6">
        <v>4</v>
      </c>
      <c r="G43" s="25">
        <v>1</v>
      </c>
      <c r="H43" s="25">
        <v>80920</v>
      </c>
      <c r="I43" s="6" t="s">
        <v>17</v>
      </c>
      <c r="J43" s="54">
        <v>73502788</v>
      </c>
      <c r="K43" s="54" t="s">
        <v>182</v>
      </c>
      <c r="L43" s="54" t="s">
        <v>183</v>
      </c>
      <c r="M43" s="55">
        <v>149900</v>
      </c>
      <c r="N43" s="37">
        <v>0.9</v>
      </c>
      <c r="O43" s="36">
        <f t="shared" si="2"/>
        <v>14990</v>
      </c>
      <c r="P43" s="6" t="s">
        <v>16</v>
      </c>
    </row>
    <row r="44" spans="1:16" x14ac:dyDescent="0.35">
      <c r="A44" s="34" t="s">
        <v>6642</v>
      </c>
      <c r="B44" s="7">
        <f t="shared" si="0"/>
        <v>46086</v>
      </c>
      <c r="C44" s="7">
        <f t="shared" si="1"/>
        <v>46092</v>
      </c>
      <c r="D44" s="6">
        <v>3281</v>
      </c>
      <c r="E44" s="6">
        <v>337</v>
      </c>
      <c r="F44" s="6">
        <v>4</v>
      </c>
      <c r="G44" s="25">
        <v>1</v>
      </c>
      <c r="H44" s="25">
        <v>80920</v>
      </c>
      <c r="I44" s="6" t="s">
        <v>17</v>
      </c>
      <c r="J44" s="54">
        <v>79527858</v>
      </c>
      <c r="K44" s="54" t="s">
        <v>270</v>
      </c>
      <c r="L44" s="54" t="s">
        <v>271</v>
      </c>
      <c r="M44" s="55">
        <v>149900</v>
      </c>
      <c r="N44" s="37">
        <v>0.9</v>
      </c>
      <c r="O44" s="36">
        <f t="shared" si="2"/>
        <v>14990</v>
      </c>
      <c r="P44" s="6" t="s">
        <v>16</v>
      </c>
    </row>
    <row r="45" spans="1:16" x14ac:dyDescent="0.35">
      <c r="A45" s="34" t="s">
        <v>6642</v>
      </c>
      <c r="B45" s="7">
        <f t="shared" si="0"/>
        <v>46086</v>
      </c>
      <c r="C45" s="7">
        <f t="shared" si="1"/>
        <v>46092</v>
      </c>
      <c r="D45" s="6">
        <v>3281</v>
      </c>
      <c r="E45" s="6">
        <v>337</v>
      </c>
      <c r="F45" s="6">
        <v>4</v>
      </c>
      <c r="G45" s="25">
        <v>1</v>
      </c>
      <c r="H45" s="25">
        <v>80920</v>
      </c>
      <c r="I45" s="6" t="s">
        <v>17</v>
      </c>
      <c r="J45" s="54">
        <v>79527867</v>
      </c>
      <c r="K45" s="54" t="s">
        <v>270</v>
      </c>
      <c r="L45" s="54" t="s">
        <v>272</v>
      </c>
      <c r="M45" s="55">
        <v>149900</v>
      </c>
      <c r="N45" s="37">
        <v>0.9</v>
      </c>
      <c r="O45" s="36">
        <f t="shared" si="2"/>
        <v>14990</v>
      </c>
      <c r="P45" s="6" t="s">
        <v>16</v>
      </c>
    </row>
    <row r="46" spans="1:16" x14ac:dyDescent="0.35">
      <c r="A46" s="34" t="s">
        <v>6642</v>
      </c>
      <c r="B46" s="7">
        <f t="shared" si="0"/>
        <v>46086</v>
      </c>
      <c r="C46" s="7">
        <f t="shared" si="1"/>
        <v>46092</v>
      </c>
      <c r="D46" s="6">
        <v>3281</v>
      </c>
      <c r="E46" s="6">
        <v>337</v>
      </c>
      <c r="F46" s="6">
        <v>4</v>
      </c>
      <c r="G46" s="25">
        <v>1</v>
      </c>
      <c r="H46" s="25">
        <v>80920</v>
      </c>
      <c r="I46" s="6" t="s">
        <v>17</v>
      </c>
      <c r="J46" s="54">
        <v>79527876</v>
      </c>
      <c r="K46" s="54" t="s">
        <v>270</v>
      </c>
      <c r="L46" s="54" t="s">
        <v>6643</v>
      </c>
      <c r="M46" s="55">
        <v>149900</v>
      </c>
      <c r="N46" s="37">
        <v>0.9</v>
      </c>
      <c r="O46" s="36">
        <f t="shared" si="2"/>
        <v>14990</v>
      </c>
      <c r="P46" s="6" t="s">
        <v>16</v>
      </c>
    </row>
    <row r="47" spans="1:16" x14ac:dyDescent="0.35">
      <c r="A47" s="34" t="s">
        <v>6642</v>
      </c>
      <c r="B47" s="7">
        <f t="shared" si="0"/>
        <v>46086</v>
      </c>
      <c r="C47" s="7">
        <f t="shared" si="1"/>
        <v>46092</v>
      </c>
      <c r="D47" s="6">
        <v>3281</v>
      </c>
      <c r="E47" s="6">
        <v>337</v>
      </c>
      <c r="F47" s="6">
        <v>4</v>
      </c>
      <c r="G47" s="25">
        <v>1</v>
      </c>
      <c r="H47" s="25">
        <v>80920</v>
      </c>
      <c r="I47" s="6" t="s">
        <v>17</v>
      </c>
      <c r="J47" s="54">
        <v>79527885</v>
      </c>
      <c r="K47" s="54" t="s">
        <v>273</v>
      </c>
      <c r="L47" s="54" t="s">
        <v>274</v>
      </c>
      <c r="M47" s="55">
        <v>149900</v>
      </c>
      <c r="N47" s="37">
        <v>0.9</v>
      </c>
      <c r="O47" s="36">
        <f t="shared" si="2"/>
        <v>14990</v>
      </c>
      <c r="P47" s="6" t="s">
        <v>16</v>
      </c>
    </row>
    <row r="48" spans="1:16" x14ac:dyDescent="0.35">
      <c r="A48" s="34" t="s">
        <v>6642</v>
      </c>
      <c r="B48" s="7">
        <f t="shared" si="0"/>
        <v>46086</v>
      </c>
      <c r="C48" s="7">
        <f t="shared" si="1"/>
        <v>46092</v>
      </c>
      <c r="D48" s="6">
        <v>3281</v>
      </c>
      <c r="E48" s="6">
        <v>337</v>
      </c>
      <c r="F48" s="6">
        <v>4</v>
      </c>
      <c r="G48" s="25">
        <v>1</v>
      </c>
      <c r="H48" s="25">
        <v>80920</v>
      </c>
      <c r="I48" s="6" t="s">
        <v>17</v>
      </c>
      <c r="J48" s="54">
        <v>79527894</v>
      </c>
      <c r="K48" s="54" t="s">
        <v>273</v>
      </c>
      <c r="L48" s="54" t="s">
        <v>275</v>
      </c>
      <c r="M48" s="55">
        <v>149900</v>
      </c>
      <c r="N48" s="37">
        <v>0.9</v>
      </c>
      <c r="O48" s="36">
        <f t="shared" si="2"/>
        <v>14990</v>
      </c>
      <c r="P48" s="6" t="s">
        <v>16</v>
      </c>
    </row>
    <row r="49" spans="1:16" x14ac:dyDescent="0.35">
      <c r="A49" s="34" t="s">
        <v>6642</v>
      </c>
      <c r="B49" s="7">
        <f t="shared" si="0"/>
        <v>46086</v>
      </c>
      <c r="C49" s="7">
        <f t="shared" si="1"/>
        <v>46092</v>
      </c>
      <c r="D49" s="6">
        <v>3281</v>
      </c>
      <c r="E49" s="6">
        <v>337</v>
      </c>
      <c r="F49" s="6">
        <v>4</v>
      </c>
      <c r="G49" s="25">
        <v>1</v>
      </c>
      <c r="H49" s="25">
        <v>80920</v>
      </c>
      <c r="I49" s="6" t="s">
        <v>17</v>
      </c>
      <c r="J49" s="54">
        <v>79527910</v>
      </c>
      <c r="K49" s="54" t="s">
        <v>273</v>
      </c>
      <c r="L49" s="54" t="s">
        <v>276</v>
      </c>
      <c r="M49" s="55">
        <v>149900</v>
      </c>
      <c r="N49" s="37">
        <v>0.9</v>
      </c>
      <c r="O49" s="36">
        <f t="shared" si="2"/>
        <v>14990</v>
      </c>
      <c r="P49" s="6" t="s">
        <v>16</v>
      </c>
    </row>
    <row r="50" spans="1:16" x14ac:dyDescent="0.35">
      <c r="A50" s="34" t="s">
        <v>6642</v>
      </c>
      <c r="B50" s="7">
        <f t="shared" si="0"/>
        <v>46086</v>
      </c>
      <c r="C50" s="7">
        <f t="shared" si="1"/>
        <v>46092</v>
      </c>
      <c r="D50" s="6">
        <v>3281</v>
      </c>
      <c r="E50" s="6">
        <v>337</v>
      </c>
      <c r="F50" s="6">
        <v>4</v>
      </c>
      <c r="G50" s="25">
        <v>1</v>
      </c>
      <c r="H50" s="25">
        <v>80920</v>
      </c>
      <c r="I50" s="6" t="s">
        <v>17</v>
      </c>
      <c r="J50" s="54">
        <v>79528124</v>
      </c>
      <c r="K50" s="54" t="s">
        <v>2721</v>
      </c>
      <c r="L50" s="54" t="s">
        <v>2722</v>
      </c>
      <c r="M50" s="55">
        <v>159900</v>
      </c>
      <c r="N50" s="37">
        <v>0.9</v>
      </c>
      <c r="O50" s="36">
        <f t="shared" si="2"/>
        <v>15990</v>
      </c>
      <c r="P50" s="6" t="s">
        <v>16</v>
      </c>
    </row>
    <row r="51" spans="1:16" x14ac:dyDescent="0.35">
      <c r="A51" s="34" t="s">
        <v>6642</v>
      </c>
      <c r="B51" s="7">
        <f t="shared" si="0"/>
        <v>46086</v>
      </c>
      <c r="C51" s="7">
        <f t="shared" si="1"/>
        <v>46092</v>
      </c>
      <c r="D51" s="6">
        <v>3281</v>
      </c>
      <c r="E51" s="6">
        <v>337</v>
      </c>
      <c r="F51" s="6">
        <v>4</v>
      </c>
      <c r="G51" s="25">
        <v>1</v>
      </c>
      <c r="H51" s="25">
        <v>80920</v>
      </c>
      <c r="I51" s="6" t="s">
        <v>17</v>
      </c>
      <c r="J51" s="54">
        <v>79528133</v>
      </c>
      <c r="K51" s="54" t="s">
        <v>2721</v>
      </c>
      <c r="L51" s="54" t="s">
        <v>2724</v>
      </c>
      <c r="M51" s="55">
        <v>159900</v>
      </c>
      <c r="N51" s="37">
        <v>0.9</v>
      </c>
      <c r="O51" s="36">
        <f t="shared" si="2"/>
        <v>15990</v>
      </c>
      <c r="P51" s="6" t="s">
        <v>16</v>
      </c>
    </row>
    <row r="52" spans="1:16" x14ac:dyDescent="0.35">
      <c r="A52" s="34" t="s">
        <v>6642</v>
      </c>
      <c r="B52" s="7">
        <f t="shared" si="0"/>
        <v>46086</v>
      </c>
      <c r="C52" s="7">
        <f t="shared" si="1"/>
        <v>46092</v>
      </c>
      <c r="D52" s="6">
        <v>3281</v>
      </c>
      <c r="E52" s="6">
        <v>337</v>
      </c>
      <c r="F52" s="6">
        <v>4</v>
      </c>
      <c r="G52" s="25">
        <v>1</v>
      </c>
      <c r="H52" s="25">
        <v>80920</v>
      </c>
      <c r="I52" s="6" t="s">
        <v>17</v>
      </c>
      <c r="J52" s="54">
        <v>79528142</v>
      </c>
      <c r="K52" s="54" t="s">
        <v>2721</v>
      </c>
      <c r="L52" s="54" t="s">
        <v>2723</v>
      </c>
      <c r="M52" s="55">
        <v>159900</v>
      </c>
      <c r="N52" s="37">
        <v>0.9</v>
      </c>
      <c r="O52" s="36">
        <f t="shared" si="2"/>
        <v>15990</v>
      </c>
      <c r="P52" s="6" t="s">
        <v>16</v>
      </c>
    </row>
    <row r="53" spans="1:16" x14ac:dyDescent="0.35">
      <c r="A53" s="34" t="s">
        <v>6642</v>
      </c>
      <c r="B53" s="7">
        <f t="shared" si="0"/>
        <v>46086</v>
      </c>
      <c r="C53" s="7">
        <f t="shared" si="1"/>
        <v>46092</v>
      </c>
      <c r="D53" s="6">
        <v>3281</v>
      </c>
      <c r="E53" s="6">
        <v>337</v>
      </c>
      <c r="F53" s="6">
        <v>4</v>
      </c>
      <c r="G53" s="25">
        <v>1</v>
      </c>
      <c r="H53" s="25">
        <v>80920</v>
      </c>
      <c r="I53" s="6" t="s">
        <v>17</v>
      </c>
      <c r="J53" s="54">
        <v>79647077</v>
      </c>
      <c r="K53" s="54" t="s">
        <v>2721</v>
      </c>
      <c r="L53" s="54" t="s">
        <v>2720</v>
      </c>
      <c r="M53" s="55">
        <v>159900</v>
      </c>
      <c r="N53" s="37">
        <v>0.9</v>
      </c>
      <c r="O53" s="36">
        <f t="shared" si="2"/>
        <v>15990</v>
      </c>
      <c r="P53" s="6" t="s">
        <v>16</v>
      </c>
    </row>
    <row r="54" spans="1:16" x14ac:dyDescent="0.35">
      <c r="A54" s="34" t="s">
        <v>6642</v>
      </c>
      <c r="B54" s="7">
        <f t="shared" si="0"/>
        <v>46086</v>
      </c>
      <c r="C54" s="7">
        <f t="shared" si="1"/>
        <v>46092</v>
      </c>
      <c r="D54" s="6">
        <v>3281</v>
      </c>
      <c r="E54" s="6">
        <v>337</v>
      </c>
      <c r="F54" s="6">
        <v>4</v>
      </c>
      <c r="G54" s="25">
        <v>1</v>
      </c>
      <c r="H54" s="25">
        <v>80920</v>
      </c>
      <c r="I54" s="6" t="s">
        <v>17</v>
      </c>
      <c r="J54" s="54">
        <v>79528151</v>
      </c>
      <c r="K54" s="54" t="s">
        <v>280</v>
      </c>
      <c r="L54" s="54" t="s">
        <v>281</v>
      </c>
      <c r="M54" s="55">
        <v>189900</v>
      </c>
      <c r="N54" s="37">
        <v>0.9</v>
      </c>
      <c r="O54" s="36">
        <f t="shared" si="2"/>
        <v>18990</v>
      </c>
      <c r="P54" s="6" t="s">
        <v>16</v>
      </c>
    </row>
    <row r="55" spans="1:16" x14ac:dyDescent="0.35">
      <c r="A55" s="34" t="s">
        <v>6642</v>
      </c>
      <c r="B55" s="7">
        <f t="shared" si="0"/>
        <v>46086</v>
      </c>
      <c r="C55" s="7">
        <f t="shared" si="1"/>
        <v>46092</v>
      </c>
      <c r="D55" s="6">
        <v>3281</v>
      </c>
      <c r="E55" s="6">
        <v>337</v>
      </c>
      <c r="F55" s="6">
        <v>4</v>
      </c>
      <c r="G55" s="25">
        <v>1</v>
      </c>
      <c r="H55" s="25">
        <v>80920</v>
      </c>
      <c r="I55" s="6" t="s">
        <v>17</v>
      </c>
      <c r="J55" s="54">
        <v>79528160</v>
      </c>
      <c r="K55" s="54" t="s">
        <v>280</v>
      </c>
      <c r="L55" s="54" t="s">
        <v>282</v>
      </c>
      <c r="M55" s="55">
        <v>189900</v>
      </c>
      <c r="N55" s="37">
        <v>0.9</v>
      </c>
      <c r="O55" s="36">
        <f t="shared" si="2"/>
        <v>18990</v>
      </c>
      <c r="P55" s="6" t="s">
        <v>16</v>
      </c>
    </row>
    <row r="56" spans="1:16" x14ac:dyDescent="0.35">
      <c r="A56" s="34" t="s">
        <v>6642</v>
      </c>
      <c r="B56" s="7">
        <f t="shared" si="0"/>
        <v>46086</v>
      </c>
      <c r="C56" s="7">
        <f t="shared" si="1"/>
        <v>46092</v>
      </c>
      <c r="D56" s="6">
        <v>3281</v>
      </c>
      <c r="E56" s="6">
        <v>337</v>
      </c>
      <c r="F56" s="6">
        <v>4</v>
      </c>
      <c r="G56" s="25">
        <v>1</v>
      </c>
      <c r="H56" s="25">
        <v>80920</v>
      </c>
      <c r="I56" s="6" t="s">
        <v>17</v>
      </c>
      <c r="J56" s="54">
        <v>79528188</v>
      </c>
      <c r="K56" s="54" t="s">
        <v>280</v>
      </c>
      <c r="L56" s="54" t="s">
        <v>283</v>
      </c>
      <c r="M56" s="55">
        <v>189900</v>
      </c>
      <c r="N56" s="37">
        <v>0.9</v>
      </c>
      <c r="O56" s="36">
        <f t="shared" si="2"/>
        <v>18990</v>
      </c>
      <c r="P56" s="6" t="s">
        <v>16</v>
      </c>
    </row>
    <row r="57" spans="1:16" x14ac:dyDescent="0.35">
      <c r="A57" s="34" t="s">
        <v>6642</v>
      </c>
      <c r="B57" s="7">
        <f t="shared" si="0"/>
        <v>46086</v>
      </c>
      <c r="C57" s="7">
        <f t="shared" si="1"/>
        <v>46092</v>
      </c>
      <c r="D57" s="6">
        <v>3281</v>
      </c>
      <c r="E57" s="6">
        <v>337</v>
      </c>
      <c r="F57" s="6">
        <v>4</v>
      </c>
      <c r="G57" s="25">
        <v>1</v>
      </c>
      <c r="H57" s="25">
        <v>80920</v>
      </c>
      <c r="I57" s="6" t="s">
        <v>17</v>
      </c>
      <c r="J57" s="54">
        <v>79528197</v>
      </c>
      <c r="K57" s="54" t="s">
        <v>284</v>
      </c>
      <c r="L57" s="54" t="s">
        <v>285</v>
      </c>
      <c r="M57" s="55">
        <v>169900</v>
      </c>
      <c r="N57" s="37">
        <v>0.9</v>
      </c>
      <c r="O57" s="36">
        <f t="shared" si="2"/>
        <v>16990</v>
      </c>
      <c r="P57" s="6" t="s">
        <v>16</v>
      </c>
    </row>
    <row r="58" spans="1:16" x14ac:dyDescent="0.35">
      <c r="A58" s="34" t="s">
        <v>6642</v>
      </c>
      <c r="B58" s="7">
        <f t="shared" si="0"/>
        <v>46086</v>
      </c>
      <c r="C58" s="7">
        <f t="shared" si="1"/>
        <v>46092</v>
      </c>
      <c r="D58" s="6">
        <v>3281</v>
      </c>
      <c r="E58" s="6">
        <v>337</v>
      </c>
      <c r="F58" s="6">
        <v>4</v>
      </c>
      <c r="G58" s="25">
        <v>1</v>
      </c>
      <c r="H58" s="25">
        <v>80920</v>
      </c>
      <c r="I58" s="6" t="s">
        <v>17</v>
      </c>
      <c r="J58" s="54">
        <v>79528204</v>
      </c>
      <c r="K58" s="54" t="s">
        <v>284</v>
      </c>
      <c r="L58" s="54" t="s">
        <v>286</v>
      </c>
      <c r="M58" s="55">
        <v>169900</v>
      </c>
      <c r="N58" s="37">
        <v>0.9</v>
      </c>
      <c r="O58" s="36">
        <f t="shared" si="2"/>
        <v>16990</v>
      </c>
      <c r="P58" s="6" t="s">
        <v>16</v>
      </c>
    </row>
    <row r="59" spans="1:16" x14ac:dyDescent="0.35">
      <c r="A59" s="34" t="s">
        <v>6642</v>
      </c>
      <c r="B59" s="7">
        <f t="shared" si="0"/>
        <v>46086</v>
      </c>
      <c r="C59" s="7">
        <f t="shared" si="1"/>
        <v>46092</v>
      </c>
      <c r="D59" s="6">
        <v>3281</v>
      </c>
      <c r="E59" s="6">
        <v>337</v>
      </c>
      <c r="F59" s="6">
        <v>4</v>
      </c>
      <c r="G59" s="25">
        <v>1</v>
      </c>
      <c r="H59" s="25">
        <v>80920</v>
      </c>
      <c r="I59" s="6" t="s">
        <v>17</v>
      </c>
      <c r="J59" s="54">
        <v>79528213</v>
      </c>
      <c r="K59" s="54" t="s">
        <v>284</v>
      </c>
      <c r="L59" s="54" t="s">
        <v>287</v>
      </c>
      <c r="M59" s="55">
        <v>169900</v>
      </c>
      <c r="N59" s="37">
        <v>0.9</v>
      </c>
      <c r="O59" s="36">
        <f t="shared" si="2"/>
        <v>16990</v>
      </c>
      <c r="P59" s="6" t="s">
        <v>16</v>
      </c>
    </row>
    <row r="60" spans="1:16" x14ac:dyDescent="0.35">
      <c r="A60" s="34" t="s">
        <v>6642</v>
      </c>
      <c r="B60" s="7">
        <f t="shared" si="0"/>
        <v>46086</v>
      </c>
      <c r="C60" s="7">
        <f t="shared" si="1"/>
        <v>46092</v>
      </c>
      <c r="D60" s="6">
        <v>3281</v>
      </c>
      <c r="E60" s="6">
        <v>337</v>
      </c>
      <c r="F60" s="6">
        <v>4</v>
      </c>
      <c r="G60" s="25">
        <v>1</v>
      </c>
      <c r="H60" s="25">
        <v>80920</v>
      </c>
      <c r="I60" s="6" t="s">
        <v>17</v>
      </c>
      <c r="J60" s="54">
        <v>79647086</v>
      </c>
      <c r="K60" s="54" t="s">
        <v>284</v>
      </c>
      <c r="L60" s="54" t="s">
        <v>288</v>
      </c>
      <c r="M60" s="55">
        <v>169900</v>
      </c>
      <c r="N60" s="37">
        <v>0.9</v>
      </c>
      <c r="O60" s="36">
        <f t="shared" si="2"/>
        <v>16990</v>
      </c>
      <c r="P60" s="6" t="s">
        <v>16</v>
      </c>
    </row>
    <row r="61" spans="1:16" x14ac:dyDescent="0.35">
      <c r="A61" s="34" t="s">
        <v>6642</v>
      </c>
      <c r="B61" s="7">
        <f t="shared" si="0"/>
        <v>46086</v>
      </c>
      <c r="C61" s="7">
        <f t="shared" si="1"/>
        <v>46092</v>
      </c>
      <c r="D61" s="6">
        <v>3281</v>
      </c>
      <c r="E61" s="6">
        <v>337</v>
      </c>
      <c r="F61" s="6">
        <v>4</v>
      </c>
      <c r="G61" s="25">
        <v>1</v>
      </c>
      <c r="H61" s="25">
        <v>80920</v>
      </c>
      <c r="I61" s="6" t="s">
        <v>17</v>
      </c>
      <c r="J61" s="54">
        <v>79528231</v>
      </c>
      <c r="K61" s="54" t="s">
        <v>253</v>
      </c>
      <c r="L61" s="54" t="s">
        <v>254</v>
      </c>
      <c r="M61" s="55">
        <v>159900</v>
      </c>
      <c r="N61" s="37">
        <v>0.9</v>
      </c>
      <c r="O61" s="36">
        <f t="shared" si="2"/>
        <v>15990</v>
      </c>
      <c r="P61" s="6" t="s">
        <v>16</v>
      </c>
    </row>
    <row r="62" spans="1:16" x14ac:dyDescent="0.35">
      <c r="A62" s="34" t="s">
        <v>6642</v>
      </c>
      <c r="B62" s="7">
        <f t="shared" si="0"/>
        <v>46086</v>
      </c>
      <c r="C62" s="7">
        <f t="shared" si="1"/>
        <v>46092</v>
      </c>
      <c r="D62" s="6">
        <v>3281</v>
      </c>
      <c r="E62" s="6">
        <v>337</v>
      </c>
      <c r="F62" s="6">
        <v>4</v>
      </c>
      <c r="G62" s="25">
        <v>1</v>
      </c>
      <c r="H62" s="25">
        <v>80920</v>
      </c>
      <c r="I62" s="6" t="s">
        <v>17</v>
      </c>
      <c r="J62" s="54">
        <v>81754607</v>
      </c>
      <c r="K62" s="54" t="s">
        <v>2716</v>
      </c>
      <c r="L62" s="54" t="s">
        <v>2719</v>
      </c>
      <c r="M62" s="55">
        <v>159900</v>
      </c>
      <c r="N62" s="37">
        <v>0.9</v>
      </c>
      <c r="O62" s="36">
        <f t="shared" si="2"/>
        <v>15990</v>
      </c>
      <c r="P62" s="6" t="s">
        <v>16</v>
      </c>
    </row>
    <row r="63" spans="1:16" x14ac:dyDescent="0.35">
      <c r="A63" s="34" t="s">
        <v>6642</v>
      </c>
      <c r="B63" s="7">
        <f t="shared" si="0"/>
        <v>46086</v>
      </c>
      <c r="C63" s="7">
        <f t="shared" si="1"/>
        <v>46092</v>
      </c>
      <c r="D63" s="6">
        <v>3281</v>
      </c>
      <c r="E63" s="6">
        <v>337</v>
      </c>
      <c r="F63" s="6">
        <v>4</v>
      </c>
      <c r="G63" s="25">
        <v>1</v>
      </c>
      <c r="H63" s="25">
        <v>80920</v>
      </c>
      <c r="I63" s="6" t="s">
        <v>17</v>
      </c>
      <c r="J63" s="54">
        <v>81754616</v>
      </c>
      <c r="K63" s="54" t="s">
        <v>2716</v>
      </c>
      <c r="L63" s="54" t="s">
        <v>2718</v>
      </c>
      <c r="M63" s="55">
        <v>159900</v>
      </c>
      <c r="N63" s="37">
        <v>0.9</v>
      </c>
      <c r="O63" s="36">
        <f t="shared" si="2"/>
        <v>15990</v>
      </c>
      <c r="P63" s="6" t="s">
        <v>16</v>
      </c>
    </row>
    <row r="64" spans="1:16" x14ac:dyDescent="0.35">
      <c r="A64" s="34" t="s">
        <v>6642</v>
      </c>
      <c r="B64" s="7">
        <f t="shared" si="0"/>
        <v>46086</v>
      </c>
      <c r="C64" s="7">
        <f t="shared" si="1"/>
        <v>46092</v>
      </c>
      <c r="D64" s="6">
        <v>3281</v>
      </c>
      <c r="E64" s="6">
        <v>337</v>
      </c>
      <c r="F64" s="6">
        <v>4</v>
      </c>
      <c r="G64" s="25">
        <v>1</v>
      </c>
      <c r="H64" s="25">
        <v>80920</v>
      </c>
      <c r="I64" s="6" t="s">
        <v>17</v>
      </c>
      <c r="J64" s="54">
        <v>81754625</v>
      </c>
      <c r="K64" s="54" t="s">
        <v>2716</v>
      </c>
      <c r="L64" s="54" t="s">
        <v>2717</v>
      </c>
      <c r="M64" s="55">
        <v>159900</v>
      </c>
      <c r="N64" s="37">
        <v>0.9</v>
      </c>
      <c r="O64" s="36">
        <f t="shared" si="2"/>
        <v>15990</v>
      </c>
      <c r="P64" s="6" t="s">
        <v>16</v>
      </c>
    </row>
    <row r="65" spans="1:16" x14ac:dyDescent="0.35">
      <c r="A65" s="34" t="s">
        <v>6642</v>
      </c>
      <c r="B65" s="7">
        <f t="shared" si="0"/>
        <v>46086</v>
      </c>
      <c r="C65" s="7">
        <f t="shared" si="1"/>
        <v>46092</v>
      </c>
      <c r="D65" s="6">
        <v>3281</v>
      </c>
      <c r="E65" s="6">
        <v>337</v>
      </c>
      <c r="F65" s="6">
        <v>4</v>
      </c>
      <c r="G65" s="25">
        <v>1</v>
      </c>
      <c r="H65" s="25">
        <v>80920</v>
      </c>
      <c r="I65" s="6" t="s">
        <v>17</v>
      </c>
      <c r="J65" s="54">
        <v>81754634</v>
      </c>
      <c r="K65" s="54" t="s">
        <v>2716</v>
      </c>
      <c r="L65" s="54" t="s">
        <v>2715</v>
      </c>
      <c r="M65" s="55">
        <v>159900</v>
      </c>
      <c r="N65" s="37">
        <v>0.9</v>
      </c>
      <c r="O65" s="36">
        <f t="shared" si="2"/>
        <v>15990</v>
      </c>
      <c r="P65" s="6" t="s">
        <v>16</v>
      </c>
    </row>
    <row r="66" spans="1:16" x14ac:dyDescent="0.35">
      <c r="A66" s="34" t="s">
        <v>6642</v>
      </c>
      <c r="B66" s="7">
        <f t="shared" si="0"/>
        <v>46086</v>
      </c>
      <c r="C66" s="7">
        <f t="shared" si="1"/>
        <v>46092</v>
      </c>
      <c r="D66" s="6">
        <v>3281</v>
      </c>
      <c r="E66" s="6">
        <v>337</v>
      </c>
      <c r="F66" s="6">
        <v>4</v>
      </c>
      <c r="G66" s="25">
        <v>1</v>
      </c>
      <c r="H66" s="25">
        <v>80920</v>
      </c>
      <c r="I66" s="6" t="s">
        <v>17</v>
      </c>
      <c r="J66" s="54">
        <v>86446280</v>
      </c>
      <c r="K66" s="54" t="s">
        <v>93</v>
      </c>
      <c r="L66" s="54" t="s">
        <v>94</v>
      </c>
      <c r="M66" s="55">
        <v>149900</v>
      </c>
      <c r="N66" s="37">
        <v>0.9</v>
      </c>
      <c r="O66" s="36">
        <f t="shared" si="2"/>
        <v>14990</v>
      </c>
      <c r="P66" s="6" t="s">
        <v>16</v>
      </c>
    </row>
    <row r="67" spans="1:16" x14ac:dyDescent="0.35">
      <c r="A67" s="34" t="s">
        <v>6642</v>
      </c>
      <c r="B67" s="7">
        <f t="shared" si="0"/>
        <v>46086</v>
      </c>
      <c r="C67" s="7">
        <f t="shared" si="1"/>
        <v>46092</v>
      </c>
      <c r="D67" s="6">
        <v>3281</v>
      </c>
      <c r="E67" s="6">
        <v>337</v>
      </c>
      <c r="F67" s="6">
        <v>4</v>
      </c>
      <c r="G67" s="25">
        <v>1</v>
      </c>
      <c r="H67" s="25">
        <v>80920</v>
      </c>
      <c r="I67" s="6" t="s">
        <v>17</v>
      </c>
      <c r="J67" s="54">
        <v>86446299</v>
      </c>
      <c r="K67" s="54" t="s">
        <v>93</v>
      </c>
      <c r="L67" s="54" t="s">
        <v>95</v>
      </c>
      <c r="M67" s="55">
        <v>149900</v>
      </c>
      <c r="N67" s="37">
        <v>0.9</v>
      </c>
      <c r="O67" s="36">
        <f t="shared" si="2"/>
        <v>14990</v>
      </c>
      <c r="P67" s="6" t="s">
        <v>16</v>
      </c>
    </row>
    <row r="68" spans="1:16" x14ac:dyDescent="0.35">
      <c r="A68" s="34" t="s">
        <v>6642</v>
      </c>
      <c r="B68" s="7">
        <f t="shared" ref="B68:B131" si="3">B67</f>
        <v>46086</v>
      </c>
      <c r="C68" s="7">
        <f t="shared" ref="C68:C131" si="4">C67</f>
        <v>46092</v>
      </c>
      <c r="D68" s="6">
        <v>3281</v>
      </c>
      <c r="E68" s="6">
        <v>337</v>
      </c>
      <c r="F68" s="6">
        <v>4</v>
      </c>
      <c r="G68" s="25">
        <v>1</v>
      </c>
      <c r="H68" s="25">
        <v>80920</v>
      </c>
      <c r="I68" s="6" t="s">
        <v>17</v>
      </c>
      <c r="J68" s="54">
        <v>86446306</v>
      </c>
      <c r="K68" s="54" t="s">
        <v>93</v>
      </c>
      <c r="L68" s="54" t="s">
        <v>96</v>
      </c>
      <c r="M68" s="55">
        <v>149900</v>
      </c>
      <c r="N68" s="37">
        <v>0.9</v>
      </c>
      <c r="O68" s="36">
        <f t="shared" ref="O68:O131" si="5">M68-((90*M68)/100)</f>
        <v>14990</v>
      </c>
      <c r="P68" s="6" t="s">
        <v>16</v>
      </c>
    </row>
    <row r="69" spans="1:16" x14ac:dyDescent="0.35">
      <c r="A69" s="34" t="s">
        <v>6642</v>
      </c>
      <c r="B69" s="7">
        <f t="shared" si="3"/>
        <v>46086</v>
      </c>
      <c r="C69" s="7">
        <f t="shared" si="4"/>
        <v>46092</v>
      </c>
      <c r="D69" s="6">
        <v>3281</v>
      </c>
      <c r="E69" s="6">
        <v>337</v>
      </c>
      <c r="F69" s="6">
        <v>4</v>
      </c>
      <c r="G69" s="25">
        <v>1</v>
      </c>
      <c r="H69" s="25">
        <v>80920</v>
      </c>
      <c r="I69" s="6" t="s">
        <v>17</v>
      </c>
      <c r="J69" s="54">
        <v>86446315</v>
      </c>
      <c r="K69" s="54" t="s">
        <v>93</v>
      </c>
      <c r="L69" s="54" t="s">
        <v>97</v>
      </c>
      <c r="M69" s="55">
        <v>149900</v>
      </c>
      <c r="N69" s="37">
        <v>0.9</v>
      </c>
      <c r="O69" s="36">
        <f t="shared" si="5"/>
        <v>14990</v>
      </c>
      <c r="P69" s="6" t="s">
        <v>16</v>
      </c>
    </row>
    <row r="70" spans="1:16" x14ac:dyDescent="0.35">
      <c r="A70" s="34" t="s">
        <v>6642</v>
      </c>
      <c r="B70" s="7">
        <f t="shared" si="3"/>
        <v>46086</v>
      </c>
      <c r="C70" s="7">
        <f t="shared" si="4"/>
        <v>46092</v>
      </c>
      <c r="D70" s="6">
        <v>3281</v>
      </c>
      <c r="E70" s="6">
        <v>337</v>
      </c>
      <c r="F70" s="6">
        <v>4</v>
      </c>
      <c r="G70" s="25">
        <v>1</v>
      </c>
      <c r="H70" s="25">
        <v>80920</v>
      </c>
      <c r="I70" s="6" t="s">
        <v>17</v>
      </c>
      <c r="J70" s="54">
        <v>87434586</v>
      </c>
      <c r="K70" s="54" t="s">
        <v>23</v>
      </c>
      <c r="L70" s="54" t="s">
        <v>24</v>
      </c>
      <c r="M70" s="55">
        <v>149900</v>
      </c>
      <c r="N70" s="37">
        <v>0.9</v>
      </c>
      <c r="O70" s="36">
        <f t="shared" si="5"/>
        <v>14990</v>
      </c>
      <c r="P70" s="6" t="s">
        <v>16</v>
      </c>
    </row>
    <row r="71" spans="1:16" x14ac:dyDescent="0.35">
      <c r="A71" s="34" t="s">
        <v>6642</v>
      </c>
      <c r="B71" s="7">
        <f t="shared" si="3"/>
        <v>46086</v>
      </c>
      <c r="C71" s="7">
        <f t="shared" si="4"/>
        <v>46092</v>
      </c>
      <c r="D71" s="6">
        <v>3281</v>
      </c>
      <c r="E71" s="6">
        <v>337</v>
      </c>
      <c r="F71" s="6">
        <v>4</v>
      </c>
      <c r="G71" s="25">
        <v>1</v>
      </c>
      <c r="H71" s="25">
        <v>80920</v>
      </c>
      <c r="I71" s="6" t="s">
        <v>17</v>
      </c>
      <c r="J71" s="54">
        <v>87434595</v>
      </c>
      <c r="K71" s="54" t="s">
        <v>23</v>
      </c>
      <c r="L71" s="54" t="s">
        <v>25</v>
      </c>
      <c r="M71" s="55">
        <v>149900</v>
      </c>
      <c r="N71" s="37">
        <v>0.9</v>
      </c>
      <c r="O71" s="36">
        <f t="shared" si="5"/>
        <v>14990</v>
      </c>
      <c r="P71" s="6" t="s">
        <v>16</v>
      </c>
    </row>
    <row r="72" spans="1:16" x14ac:dyDescent="0.35">
      <c r="A72" s="34" t="s">
        <v>6642</v>
      </c>
      <c r="B72" s="7">
        <f t="shared" si="3"/>
        <v>46086</v>
      </c>
      <c r="C72" s="7">
        <f t="shared" si="4"/>
        <v>46092</v>
      </c>
      <c r="D72" s="6">
        <v>3281</v>
      </c>
      <c r="E72" s="6">
        <v>337</v>
      </c>
      <c r="F72" s="6">
        <v>4</v>
      </c>
      <c r="G72" s="25">
        <v>1</v>
      </c>
      <c r="H72" s="25">
        <v>80920</v>
      </c>
      <c r="I72" s="6" t="s">
        <v>17</v>
      </c>
      <c r="J72" s="54">
        <v>87434602</v>
      </c>
      <c r="K72" s="54" t="s">
        <v>23</v>
      </c>
      <c r="L72" s="54" t="s">
        <v>26</v>
      </c>
      <c r="M72" s="55">
        <v>149900</v>
      </c>
      <c r="N72" s="37">
        <v>0.9</v>
      </c>
      <c r="O72" s="36">
        <f t="shared" si="5"/>
        <v>14990</v>
      </c>
      <c r="P72" s="6" t="s">
        <v>16</v>
      </c>
    </row>
    <row r="73" spans="1:16" x14ac:dyDescent="0.35">
      <c r="A73" s="34" t="s">
        <v>6642</v>
      </c>
      <c r="B73" s="7">
        <f t="shared" si="3"/>
        <v>46086</v>
      </c>
      <c r="C73" s="7">
        <f t="shared" si="4"/>
        <v>46092</v>
      </c>
      <c r="D73" s="6">
        <v>3281</v>
      </c>
      <c r="E73" s="6">
        <v>337</v>
      </c>
      <c r="F73" s="6">
        <v>4</v>
      </c>
      <c r="G73" s="25">
        <v>1</v>
      </c>
      <c r="H73" s="25">
        <v>80920</v>
      </c>
      <c r="I73" s="6" t="s">
        <v>17</v>
      </c>
      <c r="J73" s="54">
        <v>13493268</v>
      </c>
      <c r="K73" s="54" t="s">
        <v>90</v>
      </c>
      <c r="L73" s="54" t="s">
        <v>91</v>
      </c>
      <c r="M73" s="55">
        <v>159900</v>
      </c>
      <c r="N73" s="37">
        <v>0.9</v>
      </c>
      <c r="O73" s="36">
        <f t="shared" si="5"/>
        <v>15990</v>
      </c>
      <c r="P73" s="6" t="s">
        <v>16</v>
      </c>
    </row>
    <row r="74" spans="1:16" x14ac:dyDescent="0.35">
      <c r="A74" s="34" t="s">
        <v>6642</v>
      </c>
      <c r="B74" s="7">
        <f t="shared" si="3"/>
        <v>46086</v>
      </c>
      <c r="C74" s="7">
        <f t="shared" si="4"/>
        <v>46092</v>
      </c>
      <c r="D74" s="6">
        <v>3281</v>
      </c>
      <c r="E74" s="6">
        <v>337</v>
      </c>
      <c r="F74" s="6">
        <v>4</v>
      </c>
      <c r="G74" s="25">
        <v>1</v>
      </c>
      <c r="H74" s="25">
        <v>80920</v>
      </c>
      <c r="I74" s="6" t="s">
        <v>17</v>
      </c>
      <c r="J74" s="54">
        <v>13493277</v>
      </c>
      <c r="K74" s="54" t="s">
        <v>90</v>
      </c>
      <c r="L74" s="54" t="s">
        <v>92</v>
      </c>
      <c r="M74" s="55">
        <v>159900</v>
      </c>
      <c r="N74" s="37">
        <v>0.9</v>
      </c>
      <c r="O74" s="36">
        <f t="shared" si="5"/>
        <v>15990</v>
      </c>
      <c r="P74" s="6" t="s">
        <v>16</v>
      </c>
    </row>
    <row r="75" spans="1:16" x14ac:dyDescent="0.35">
      <c r="A75" s="34" t="s">
        <v>6642</v>
      </c>
      <c r="B75" s="7">
        <f t="shared" si="3"/>
        <v>46086</v>
      </c>
      <c r="C75" s="7">
        <f t="shared" si="4"/>
        <v>46092</v>
      </c>
      <c r="D75" s="6">
        <v>3281</v>
      </c>
      <c r="E75" s="6">
        <v>337</v>
      </c>
      <c r="F75" s="6">
        <v>4</v>
      </c>
      <c r="G75" s="25">
        <v>1</v>
      </c>
      <c r="H75" s="25">
        <v>80920</v>
      </c>
      <c r="I75" s="6" t="s">
        <v>17</v>
      </c>
      <c r="J75" s="54">
        <v>14478827</v>
      </c>
      <c r="K75" s="54" t="s">
        <v>98</v>
      </c>
      <c r="L75" s="54" t="s">
        <v>99</v>
      </c>
      <c r="M75" s="55">
        <v>149900</v>
      </c>
      <c r="N75" s="37">
        <v>0.9</v>
      </c>
      <c r="O75" s="36">
        <f t="shared" si="5"/>
        <v>14990</v>
      </c>
      <c r="P75" s="6" t="s">
        <v>16</v>
      </c>
    </row>
    <row r="76" spans="1:16" x14ac:dyDescent="0.35">
      <c r="A76" s="34" t="s">
        <v>6642</v>
      </c>
      <c r="B76" s="7">
        <f t="shared" si="3"/>
        <v>46086</v>
      </c>
      <c r="C76" s="7">
        <f t="shared" si="4"/>
        <v>46092</v>
      </c>
      <c r="D76" s="6">
        <v>3281</v>
      </c>
      <c r="E76" s="6">
        <v>337</v>
      </c>
      <c r="F76" s="6">
        <v>4</v>
      </c>
      <c r="G76" s="25">
        <v>1</v>
      </c>
      <c r="H76" s="25">
        <v>81676</v>
      </c>
      <c r="I76" s="6" t="s">
        <v>17</v>
      </c>
      <c r="J76" s="54">
        <v>83381435</v>
      </c>
      <c r="K76" s="54" t="s">
        <v>2702</v>
      </c>
      <c r="L76" s="54" t="s">
        <v>2703</v>
      </c>
      <c r="M76" s="55">
        <v>129900</v>
      </c>
      <c r="N76" s="37">
        <v>0.9</v>
      </c>
      <c r="O76" s="36">
        <f t="shared" si="5"/>
        <v>12990</v>
      </c>
      <c r="P76" s="6" t="s">
        <v>16</v>
      </c>
    </row>
    <row r="77" spans="1:16" x14ac:dyDescent="0.35">
      <c r="A77" s="34" t="s">
        <v>6642</v>
      </c>
      <c r="B77" s="7">
        <f t="shared" si="3"/>
        <v>46086</v>
      </c>
      <c r="C77" s="7">
        <f t="shared" si="4"/>
        <v>46092</v>
      </c>
      <c r="D77" s="6">
        <v>3281</v>
      </c>
      <c r="E77" s="6">
        <v>337</v>
      </c>
      <c r="F77" s="6">
        <v>4</v>
      </c>
      <c r="G77" s="25">
        <v>1</v>
      </c>
      <c r="H77" s="25">
        <v>81676</v>
      </c>
      <c r="I77" s="6" t="s">
        <v>17</v>
      </c>
      <c r="J77" s="54">
        <v>83381453</v>
      </c>
      <c r="K77" s="54" t="s">
        <v>2699</v>
      </c>
      <c r="L77" s="54" t="s">
        <v>2701</v>
      </c>
      <c r="M77" s="55">
        <v>129900</v>
      </c>
      <c r="N77" s="37">
        <v>0.9</v>
      </c>
      <c r="O77" s="36">
        <f t="shared" si="5"/>
        <v>12990</v>
      </c>
      <c r="P77" s="6" t="s">
        <v>16</v>
      </c>
    </row>
    <row r="78" spans="1:16" x14ac:dyDescent="0.35">
      <c r="A78" s="34" t="s">
        <v>6642</v>
      </c>
      <c r="B78" s="7">
        <f t="shared" si="3"/>
        <v>46086</v>
      </c>
      <c r="C78" s="7">
        <f t="shared" si="4"/>
        <v>46092</v>
      </c>
      <c r="D78" s="6">
        <v>3281</v>
      </c>
      <c r="E78" s="6">
        <v>337</v>
      </c>
      <c r="F78" s="6">
        <v>4</v>
      </c>
      <c r="G78" s="25">
        <v>1</v>
      </c>
      <c r="H78" s="25">
        <v>81676</v>
      </c>
      <c r="I78" s="6" t="s">
        <v>17</v>
      </c>
      <c r="J78" s="54">
        <v>83381462</v>
      </c>
      <c r="K78" s="54" t="s">
        <v>2699</v>
      </c>
      <c r="L78" s="54" t="s">
        <v>2700</v>
      </c>
      <c r="M78" s="55">
        <v>129900</v>
      </c>
      <c r="N78" s="37">
        <v>0.9</v>
      </c>
      <c r="O78" s="36">
        <f t="shared" si="5"/>
        <v>12990</v>
      </c>
      <c r="P78" s="6" t="s">
        <v>16</v>
      </c>
    </row>
    <row r="79" spans="1:16" x14ac:dyDescent="0.35">
      <c r="A79" s="34" t="s">
        <v>6642</v>
      </c>
      <c r="B79" s="7">
        <f t="shared" si="3"/>
        <v>46086</v>
      </c>
      <c r="C79" s="7">
        <f t="shared" si="4"/>
        <v>46092</v>
      </c>
      <c r="D79" s="6">
        <v>3281</v>
      </c>
      <c r="E79" s="6">
        <v>337</v>
      </c>
      <c r="F79" s="6">
        <v>4</v>
      </c>
      <c r="G79" s="25">
        <v>1</v>
      </c>
      <c r="H79" s="25">
        <v>81676</v>
      </c>
      <c r="I79" s="6" t="s">
        <v>17</v>
      </c>
      <c r="J79" s="54">
        <v>83381480</v>
      </c>
      <c r="K79" s="54" t="s">
        <v>2699</v>
      </c>
      <c r="L79" s="54" t="s">
        <v>2698</v>
      </c>
      <c r="M79" s="55">
        <v>129900</v>
      </c>
      <c r="N79" s="37">
        <v>0.9</v>
      </c>
      <c r="O79" s="36">
        <f t="shared" si="5"/>
        <v>12990</v>
      </c>
      <c r="P79" s="6" t="s">
        <v>16</v>
      </c>
    </row>
    <row r="80" spans="1:16" x14ac:dyDescent="0.35">
      <c r="A80" s="34" t="s">
        <v>6642</v>
      </c>
      <c r="B80" s="7">
        <f t="shared" si="3"/>
        <v>46086</v>
      </c>
      <c r="C80" s="7">
        <f t="shared" si="4"/>
        <v>46092</v>
      </c>
      <c r="D80" s="6">
        <v>3281</v>
      </c>
      <c r="E80" s="6">
        <v>337</v>
      </c>
      <c r="F80" s="6">
        <v>4</v>
      </c>
      <c r="G80" s="25">
        <v>2</v>
      </c>
      <c r="H80" s="25">
        <v>80920</v>
      </c>
      <c r="I80" s="6" t="s">
        <v>17</v>
      </c>
      <c r="J80" s="54">
        <v>75737496</v>
      </c>
      <c r="K80" s="54" t="s">
        <v>159</v>
      </c>
      <c r="L80" s="54" t="s">
        <v>160</v>
      </c>
      <c r="M80" s="55">
        <v>279900</v>
      </c>
      <c r="N80" s="37">
        <v>0.9</v>
      </c>
      <c r="O80" s="36">
        <f t="shared" si="5"/>
        <v>27990</v>
      </c>
      <c r="P80" s="6" t="s">
        <v>16</v>
      </c>
    </row>
    <row r="81" spans="1:16" x14ac:dyDescent="0.35">
      <c r="A81" s="34" t="s">
        <v>6642</v>
      </c>
      <c r="B81" s="7">
        <f t="shared" si="3"/>
        <v>46086</v>
      </c>
      <c r="C81" s="7">
        <f t="shared" si="4"/>
        <v>46092</v>
      </c>
      <c r="D81" s="6">
        <v>3281</v>
      </c>
      <c r="E81" s="6">
        <v>337</v>
      </c>
      <c r="F81" s="6">
        <v>4</v>
      </c>
      <c r="G81" s="25">
        <v>2</v>
      </c>
      <c r="H81" s="25">
        <v>80920</v>
      </c>
      <c r="I81" s="6" t="s">
        <v>17</v>
      </c>
      <c r="J81" s="54">
        <v>75737503</v>
      </c>
      <c r="K81" s="54" t="s">
        <v>159</v>
      </c>
      <c r="L81" s="54" t="s">
        <v>161</v>
      </c>
      <c r="M81" s="55">
        <v>279900</v>
      </c>
      <c r="N81" s="37">
        <v>0.9</v>
      </c>
      <c r="O81" s="36">
        <f t="shared" si="5"/>
        <v>27990</v>
      </c>
      <c r="P81" s="6" t="s">
        <v>16</v>
      </c>
    </row>
    <row r="82" spans="1:16" x14ac:dyDescent="0.35">
      <c r="A82" s="34" t="s">
        <v>6642</v>
      </c>
      <c r="B82" s="7">
        <f t="shared" si="3"/>
        <v>46086</v>
      </c>
      <c r="C82" s="7">
        <f t="shared" si="4"/>
        <v>46092</v>
      </c>
      <c r="D82" s="6">
        <v>3281</v>
      </c>
      <c r="E82" s="6">
        <v>337</v>
      </c>
      <c r="F82" s="6">
        <v>4</v>
      </c>
      <c r="G82" s="25">
        <v>2</v>
      </c>
      <c r="H82" s="25">
        <v>80920</v>
      </c>
      <c r="I82" s="6" t="s">
        <v>17</v>
      </c>
      <c r="J82" s="54">
        <v>75738271</v>
      </c>
      <c r="K82" s="54" t="s">
        <v>162</v>
      </c>
      <c r="L82" s="54" t="s">
        <v>163</v>
      </c>
      <c r="M82" s="55">
        <v>279900</v>
      </c>
      <c r="N82" s="37">
        <v>0.9</v>
      </c>
      <c r="O82" s="36">
        <f t="shared" si="5"/>
        <v>27990</v>
      </c>
      <c r="P82" s="6" t="s">
        <v>16</v>
      </c>
    </row>
    <row r="83" spans="1:16" x14ac:dyDescent="0.35">
      <c r="A83" s="34" t="s">
        <v>6642</v>
      </c>
      <c r="B83" s="7">
        <f t="shared" si="3"/>
        <v>46086</v>
      </c>
      <c r="C83" s="7">
        <f t="shared" si="4"/>
        <v>46092</v>
      </c>
      <c r="D83" s="6">
        <v>3281</v>
      </c>
      <c r="E83" s="6">
        <v>337</v>
      </c>
      <c r="F83" s="6">
        <v>4</v>
      </c>
      <c r="G83" s="25">
        <v>2</v>
      </c>
      <c r="H83" s="25">
        <v>80920</v>
      </c>
      <c r="I83" s="6" t="s">
        <v>17</v>
      </c>
      <c r="J83" s="54">
        <v>75738280</v>
      </c>
      <c r="K83" s="54" t="s">
        <v>162</v>
      </c>
      <c r="L83" s="54" t="s">
        <v>164</v>
      </c>
      <c r="M83" s="55">
        <v>279900</v>
      </c>
      <c r="N83" s="37">
        <v>0.9</v>
      </c>
      <c r="O83" s="36">
        <f t="shared" si="5"/>
        <v>27990</v>
      </c>
      <c r="P83" s="6" t="s">
        <v>16</v>
      </c>
    </row>
    <row r="84" spans="1:16" x14ac:dyDescent="0.35">
      <c r="A84" s="34" t="s">
        <v>6642</v>
      </c>
      <c r="B84" s="7">
        <f t="shared" si="3"/>
        <v>46086</v>
      </c>
      <c r="C84" s="7">
        <f t="shared" si="4"/>
        <v>46092</v>
      </c>
      <c r="D84" s="6">
        <v>3281</v>
      </c>
      <c r="E84" s="6">
        <v>337</v>
      </c>
      <c r="F84" s="6">
        <v>4</v>
      </c>
      <c r="G84" s="25">
        <v>2</v>
      </c>
      <c r="H84" s="25">
        <v>80920</v>
      </c>
      <c r="I84" s="6" t="s">
        <v>17</v>
      </c>
      <c r="J84" s="54">
        <v>75738306</v>
      </c>
      <c r="K84" s="54" t="s">
        <v>162</v>
      </c>
      <c r="L84" s="54" t="s">
        <v>165</v>
      </c>
      <c r="M84" s="55">
        <v>279900</v>
      </c>
      <c r="N84" s="37">
        <v>0.9</v>
      </c>
      <c r="O84" s="36">
        <f t="shared" si="5"/>
        <v>27990</v>
      </c>
      <c r="P84" s="6" t="s">
        <v>16</v>
      </c>
    </row>
    <row r="85" spans="1:16" x14ac:dyDescent="0.35">
      <c r="A85" s="34" t="s">
        <v>6642</v>
      </c>
      <c r="B85" s="7">
        <f t="shared" si="3"/>
        <v>46086</v>
      </c>
      <c r="C85" s="7">
        <f t="shared" si="4"/>
        <v>46092</v>
      </c>
      <c r="D85" s="6">
        <v>3281</v>
      </c>
      <c r="E85" s="6">
        <v>337</v>
      </c>
      <c r="F85" s="6">
        <v>4</v>
      </c>
      <c r="G85" s="25">
        <v>3</v>
      </c>
      <c r="H85" s="25">
        <v>80994</v>
      </c>
      <c r="I85" s="6" t="s">
        <v>17</v>
      </c>
      <c r="J85" s="54">
        <v>75739412</v>
      </c>
      <c r="K85" s="54" t="s">
        <v>149</v>
      </c>
      <c r="L85" s="54" t="s">
        <v>150</v>
      </c>
      <c r="M85" s="55">
        <v>229900</v>
      </c>
      <c r="N85" s="37">
        <v>0.9</v>
      </c>
      <c r="O85" s="36">
        <f t="shared" si="5"/>
        <v>22990</v>
      </c>
      <c r="P85" s="6" t="s">
        <v>16</v>
      </c>
    </row>
    <row r="86" spans="1:16" x14ac:dyDescent="0.35">
      <c r="A86" s="34" t="s">
        <v>6642</v>
      </c>
      <c r="B86" s="7">
        <f t="shared" si="3"/>
        <v>46086</v>
      </c>
      <c r="C86" s="7">
        <f t="shared" si="4"/>
        <v>46092</v>
      </c>
      <c r="D86" s="6">
        <v>3281</v>
      </c>
      <c r="E86" s="6">
        <v>337</v>
      </c>
      <c r="F86" s="6">
        <v>4</v>
      </c>
      <c r="G86" s="25">
        <v>3</v>
      </c>
      <c r="H86" s="25">
        <v>80994</v>
      </c>
      <c r="I86" s="6" t="s">
        <v>17</v>
      </c>
      <c r="J86" s="54">
        <v>75739421</v>
      </c>
      <c r="K86" s="54" t="s">
        <v>149</v>
      </c>
      <c r="L86" s="54" t="s">
        <v>151</v>
      </c>
      <c r="M86" s="55">
        <v>229900</v>
      </c>
      <c r="N86" s="37">
        <v>0.9</v>
      </c>
      <c r="O86" s="36">
        <f t="shared" si="5"/>
        <v>22990</v>
      </c>
      <c r="P86" s="6" t="s">
        <v>16</v>
      </c>
    </row>
    <row r="87" spans="1:16" x14ac:dyDescent="0.35">
      <c r="A87" s="34" t="s">
        <v>6642</v>
      </c>
      <c r="B87" s="7">
        <f t="shared" si="3"/>
        <v>46086</v>
      </c>
      <c r="C87" s="7">
        <f t="shared" si="4"/>
        <v>46092</v>
      </c>
      <c r="D87" s="6">
        <v>3281</v>
      </c>
      <c r="E87" s="6">
        <v>337</v>
      </c>
      <c r="F87" s="6">
        <v>4</v>
      </c>
      <c r="G87" s="25">
        <v>3</v>
      </c>
      <c r="H87" s="25">
        <v>80994</v>
      </c>
      <c r="I87" s="6" t="s">
        <v>17</v>
      </c>
      <c r="J87" s="54">
        <v>75739430</v>
      </c>
      <c r="K87" s="54" t="s">
        <v>149</v>
      </c>
      <c r="L87" s="54" t="s">
        <v>152</v>
      </c>
      <c r="M87" s="55">
        <v>229900</v>
      </c>
      <c r="N87" s="37">
        <v>0.9</v>
      </c>
      <c r="O87" s="36">
        <f t="shared" si="5"/>
        <v>22990</v>
      </c>
      <c r="P87" s="6" t="s">
        <v>16</v>
      </c>
    </row>
    <row r="88" spans="1:16" x14ac:dyDescent="0.35">
      <c r="A88" s="34" t="s">
        <v>6642</v>
      </c>
      <c r="B88" s="7">
        <f t="shared" si="3"/>
        <v>46086</v>
      </c>
      <c r="C88" s="7">
        <f t="shared" si="4"/>
        <v>46092</v>
      </c>
      <c r="D88" s="6">
        <v>3281</v>
      </c>
      <c r="E88" s="6">
        <v>337</v>
      </c>
      <c r="F88" s="6">
        <v>4</v>
      </c>
      <c r="G88" s="25">
        <v>3</v>
      </c>
      <c r="H88" s="25">
        <v>80994</v>
      </c>
      <c r="I88" s="6" t="s">
        <v>17</v>
      </c>
      <c r="J88" s="54">
        <v>75739449</v>
      </c>
      <c r="K88" s="54" t="s">
        <v>149</v>
      </c>
      <c r="L88" s="54" t="s">
        <v>153</v>
      </c>
      <c r="M88" s="55">
        <v>229900</v>
      </c>
      <c r="N88" s="37">
        <v>0.9</v>
      </c>
      <c r="O88" s="36">
        <f t="shared" si="5"/>
        <v>22990</v>
      </c>
      <c r="P88" s="6" t="s">
        <v>16</v>
      </c>
    </row>
    <row r="89" spans="1:16" x14ac:dyDescent="0.35">
      <c r="A89" s="34" t="s">
        <v>6642</v>
      </c>
      <c r="B89" s="7">
        <f t="shared" si="3"/>
        <v>46086</v>
      </c>
      <c r="C89" s="7">
        <f t="shared" si="4"/>
        <v>46092</v>
      </c>
      <c r="D89" s="6">
        <v>3281</v>
      </c>
      <c r="E89" s="6">
        <v>337</v>
      </c>
      <c r="F89" s="6">
        <v>4</v>
      </c>
      <c r="G89" s="25">
        <v>3</v>
      </c>
      <c r="H89" s="25">
        <v>80994</v>
      </c>
      <c r="I89" s="6" t="s">
        <v>17</v>
      </c>
      <c r="J89" s="54">
        <v>75739556</v>
      </c>
      <c r="K89" s="54" t="s">
        <v>154</v>
      </c>
      <c r="L89" s="54" t="s">
        <v>155</v>
      </c>
      <c r="M89" s="55">
        <v>239900</v>
      </c>
      <c r="N89" s="37">
        <v>0.9</v>
      </c>
      <c r="O89" s="36">
        <f t="shared" si="5"/>
        <v>23990</v>
      </c>
      <c r="P89" s="6" t="s">
        <v>16</v>
      </c>
    </row>
    <row r="90" spans="1:16" x14ac:dyDescent="0.35">
      <c r="A90" s="34" t="s">
        <v>6642</v>
      </c>
      <c r="B90" s="7">
        <f t="shared" si="3"/>
        <v>46086</v>
      </c>
      <c r="C90" s="7">
        <f t="shared" si="4"/>
        <v>46092</v>
      </c>
      <c r="D90" s="6">
        <v>3281</v>
      </c>
      <c r="E90" s="6">
        <v>337</v>
      </c>
      <c r="F90" s="6">
        <v>4</v>
      </c>
      <c r="G90" s="25">
        <v>3</v>
      </c>
      <c r="H90" s="25">
        <v>80994</v>
      </c>
      <c r="I90" s="6" t="s">
        <v>17</v>
      </c>
      <c r="J90" s="54">
        <v>75739565</v>
      </c>
      <c r="K90" s="54" t="s">
        <v>154</v>
      </c>
      <c r="L90" s="54" t="s">
        <v>156</v>
      </c>
      <c r="M90" s="55">
        <v>239900</v>
      </c>
      <c r="N90" s="37">
        <v>0.9</v>
      </c>
      <c r="O90" s="36">
        <f t="shared" si="5"/>
        <v>23990</v>
      </c>
      <c r="P90" s="6" t="s">
        <v>16</v>
      </c>
    </row>
    <row r="91" spans="1:16" x14ac:dyDescent="0.35">
      <c r="A91" s="34" t="s">
        <v>6642</v>
      </c>
      <c r="B91" s="7">
        <f t="shared" si="3"/>
        <v>46086</v>
      </c>
      <c r="C91" s="7">
        <f t="shared" si="4"/>
        <v>46092</v>
      </c>
      <c r="D91" s="6">
        <v>3281</v>
      </c>
      <c r="E91" s="6">
        <v>337</v>
      </c>
      <c r="F91" s="6">
        <v>4</v>
      </c>
      <c r="G91" s="25">
        <v>3</v>
      </c>
      <c r="H91" s="25">
        <v>80994</v>
      </c>
      <c r="I91" s="6" t="s">
        <v>17</v>
      </c>
      <c r="J91" s="54">
        <v>75739574</v>
      </c>
      <c r="K91" s="54" t="s">
        <v>154</v>
      </c>
      <c r="L91" s="54" t="s">
        <v>157</v>
      </c>
      <c r="M91" s="55">
        <v>239900</v>
      </c>
      <c r="N91" s="37">
        <v>0.9</v>
      </c>
      <c r="O91" s="36">
        <f t="shared" si="5"/>
        <v>23990</v>
      </c>
      <c r="P91" s="6" t="s">
        <v>16</v>
      </c>
    </row>
    <row r="92" spans="1:16" x14ac:dyDescent="0.35">
      <c r="A92" s="34" t="s">
        <v>6642</v>
      </c>
      <c r="B92" s="7">
        <f t="shared" si="3"/>
        <v>46086</v>
      </c>
      <c r="C92" s="7">
        <f t="shared" si="4"/>
        <v>46092</v>
      </c>
      <c r="D92" s="6">
        <v>3281</v>
      </c>
      <c r="E92" s="6">
        <v>337</v>
      </c>
      <c r="F92" s="6">
        <v>4</v>
      </c>
      <c r="G92" s="25">
        <v>3</v>
      </c>
      <c r="H92" s="25">
        <v>80994</v>
      </c>
      <c r="I92" s="6" t="s">
        <v>17</v>
      </c>
      <c r="J92" s="54">
        <v>75739583</v>
      </c>
      <c r="K92" s="54" t="s">
        <v>154</v>
      </c>
      <c r="L92" s="54" t="s">
        <v>158</v>
      </c>
      <c r="M92" s="55">
        <v>239900</v>
      </c>
      <c r="N92" s="37">
        <v>0.9</v>
      </c>
      <c r="O92" s="36">
        <f t="shared" si="5"/>
        <v>23990</v>
      </c>
      <c r="P92" s="6" t="s">
        <v>16</v>
      </c>
    </row>
    <row r="93" spans="1:16" x14ac:dyDescent="0.35">
      <c r="A93" s="34" t="s">
        <v>6642</v>
      </c>
      <c r="B93" s="7">
        <f t="shared" si="3"/>
        <v>46086</v>
      </c>
      <c r="C93" s="7">
        <f t="shared" si="4"/>
        <v>46092</v>
      </c>
      <c r="D93" s="6">
        <v>3281</v>
      </c>
      <c r="E93" s="6">
        <v>337</v>
      </c>
      <c r="F93" s="6">
        <v>4</v>
      </c>
      <c r="G93" s="25">
        <v>3</v>
      </c>
      <c r="H93" s="25">
        <v>80994</v>
      </c>
      <c r="I93" s="6" t="s">
        <v>17</v>
      </c>
      <c r="J93" s="54">
        <v>76638618</v>
      </c>
      <c r="K93" s="54" t="s">
        <v>220</v>
      </c>
      <c r="L93" s="54" t="s">
        <v>221</v>
      </c>
      <c r="M93" s="55">
        <v>239900</v>
      </c>
      <c r="N93" s="37">
        <v>0.9</v>
      </c>
      <c r="O93" s="36">
        <f t="shared" si="5"/>
        <v>23990</v>
      </c>
      <c r="P93" s="6" t="s">
        <v>16</v>
      </c>
    </row>
    <row r="94" spans="1:16" x14ac:dyDescent="0.35">
      <c r="A94" s="34" t="s">
        <v>6642</v>
      </c>
      <c r="B94" s="7">
        <f t="shared" si="3"/>
        <v>46086</v>
      </c>
      <c r="C94" s="7">
        <f t="shared" si="4"/>
        <v>46092</v>
      </c>
      <c r="D94" s="6">
        <v>3281</v>
      </c>
      <c r="E94" s="6">
        <v>337</v>
      </c>
      <c r="F94" s="6">
        <v>4</v>
      </c>
      <c r="G94" s="25">
        <v>3</v>
      </c>
      <c r="H94" s="25">
        <v>80994</v>
      </c>
      <c r="I94" s="6" t="s">
        <v>17</v>
      </c>
      <c r="J94" s="54">
        <v>76638627</v>
      </c>
      <c r="K94" s="54" t="s">
        <v>220</v>
      </c>
      <c r="L94" s="54" t="s">
        <v>222</v>
      </c>
      <c r="M94" s="55">
        <v>239900</v>
      </c>
      <c r="N94" s="37">
        <v>0.9</v>
      </c>
      <c r="O94" s="36">
        <f t="shared" si="5"/>
        <v>23990</v>
      </c>
      <c r="P94" s="6" t="s">
        <v>16</v>
      </c>
    </row>
    <row r="95" spans="1:16" x14ac:dyDescent="0.35">
      <c r="A95" s="34" t="s">
        <v>6642</v>
      </c>
      <c r="B95" s="7">
        <f t="shared" si="3"/>
        <v>46086</v>
      </c>
      <c r="C95" s="7">
        <f t="shared" si="4"/>
        <v>46092</v>
      </c>
      <c r="D95" s="6">
        <v>3281</v>
      </c>
      <c r="E95" s="6">
        <v>337</v>
      </c>
      <c r="F95" s="6">
        <v>4</v>
      </c>
      <c r="G95" s="25">
        <v>3</v>
      </c>
      <c r="H95" s="25">
        <v>80994</v>
      </c>
      <c r="I95" s="6" t="s">
        <v>17</v>
      </c>
      <c r="J95" s="54">
        <v>76638636</v>
      </c>
      <c r="K95" s="54" t="s">
        <v>220</v>
      </c>
      <c r="L95" s="54" t="s">
        <v>223</v>
      </c>
      <c r="M95" s="55">
        <v>239900</v>
      </c>
      <c r="N95" s="37">
        <v>0.9</v>
      </c>
      <c r="O95" s="36">
        <f t="shared" si="5"/>
        <v>23990</v>
      </c>
      <c r="P95" s="6" t="s">
        <v>16</v>
      </c>
    </row>
    <row r="96" spans="1:16" x14ac:dyDescent="0.35">
      <c r="A96" s="34" t="s">
        <v>6642</v>
      </c>
      <c r="B96" s="7">
        <f t="shared" si="3"/>
        <v>46086</v>
      </c>
      <c r="C96" s="7">
        <f t="shared" si="4"/>
        <v>46092</v>
      </c>
      <c r="D96" s="6">
        <v>3281</v>
      </c>
      <c r="E96" s="6">
        <v>337</v>
      </c>
      <c r="F96" s="6">
        <v>4</v>
      </c>
      <c r="G96" s="25">
        <v>3</v>
      </c>
      <c r="H96" s="25">
        <v>80994</v>
      </c>
      <c r="I96" s="6" t="s">
        <v>17</v>
      </c>
      <c r="J96" s="54">
        <v>76638645</v>
      </c>
      <c r="K96" s="54" t="s">
        <v>220</v>
      </c>
      <c r="L96" s="54" t="s">
        <v>224</v>
      </c>
      <c r="M96" s="55">
        <v>239900</v>
      </c>
      <c r="N96" s="37">
        <v>0.9</v>
      </c>
      <c r="O96" s="36">
        <f t="shared" si="5"/>
        <v>23990</v>
      </c>
      <c r="P96" s="6" t="s">
        <v>16</v>
      </c>
    </row>
    <row r="97" spans="1:16" x14ac:dyDescent="0.35">
      <c r="A97" s="34" t="s">
        <v>6642</v>
      </c>
      <c r="B97" s="7">
        <f t="shared" si="3"/>
        <v>46086</v>
      </c>
      <c r="C97" s="7">
        <f t="shared" si="4"/>
        <v>46092</v>
      </c>
      <c r="D97" s="6">
        <v>3281</v>
      </c>
      <c r="E97" s="6">
        <v>337</v>
      </c>
      <c r="F97" s="6">
        <v>4</v>
      </c>
      <c r="G97" s="25">
        <v>3</v>
      </c>
      <c r="H97" s="25">
        <v>80994</v>
      </c>
      <c r="I97" s="6" t="s">
        <v>17</v>
      </c>
      <c r="J97" s="54">
        <v>83381284</v>
      </c>
      <c r="K97" s="54" t="s">
        <v>2697</v>
      </c>
      <c r="L97" s="54" t="s">
        <v>2696</v>
      </c>
      <c r="M97" s="55">
        <v>279900</v>
      </c>
      <c r="N97" s="37">
        <v>0.9</v>
      </c>
      <c r="O97" s="36">
        <f t="shared" si="5"/>
        <v>27990</v>
      </c>
      <c r="P97" s="6" t="s">
        <v>16</v>
      </c>
    </row>
    <row r="98" spans="1:16" x14ac:dyDescent="0.35">
      <c r="A98" s="34" t="s">
        <v>6642</v>
      </c>
      <c r="B98" s="7">
        <f t="shared" si="3"/>
        <v>46086</v>
      </c>
      <c r="C98" s="7">
        <f t="shared" si="4"/>
        <v>46092</v>
      </c>
      <c r="D98" s="6">
        <v>3281</v>
      </c>
      <c r="E98" s="6">
        <v>337</v>
      </c>
      <c r="F98" s="6">
        <v>4</v>
      </c>
      <c r="G98" s="25">
        <v>3</v>
      </c>
      <c r="H98" s="25">
        <v>81421</v>
      </c>
      <c r="I98" s="6" t="s">
        <v>17</v>
      </c>
      <c r="J98" s="54">
        <v>79528099</v>
      </c>
      <c r="K98" s="54" t="s">
        <v>259</v>
      </c>
      <c r="L98" s="54" t="s">
        <v>260</v>
      </c>
      <c r="M98" s="55">
        <v>279900</v>
      </c>
      <c r="N98" s="37">
        <v>0.9</v>
      </c>
      <c r="O98" s="36">
        <f t="shared" si="5"/>
        <v>27990</v>
      </c>
      <c r="P98" s="6" t="s">
        <v>16</v>
      </c>
    </row>
    <row r="99" spans="1:16" x14ac:dyDescent="0.35">
      <c r="A99" s="34" t="s">
        <v>6642</v>
      </c>
      <c r="B99" s="7">
        <f t="shared" si="3"/>
        <v>46086</v>
      </c>
      <c r="C99" s="7">
        <f t="shared" si="4"/>
        <v>46092</v>
      </c>
      <c r="D99" s="6">
        <v>3281</v>
      </c>
      <c r="E99" s="6">
        <v>337</v>
      </c>
      <c r="F99" s="6">
        <v>4</v>
      </c>
      <c r="G99" s="25">
        <v>3</v>
      </c>
      <c r="H99" s="25">
        <v>81421</v>
      </c>
      <c r="I99" s="6" t="s">
        <v>17</v>
      </c>
      <c r="J99" s="54">
        <v>79528106</v>
      </c>
      <c r="K99" s="54" t="s">
        <v>259</v>
      </c>
      <c r="L99" s="54" t="s">
        <v>261</v>
      </c>
      <c r="M99" s="55">
        <v>279900</v>
      </c>
      <c r="N99" s="37">
        <v>0.9</v>
      </c>
      <c r="O99" s="36">
        <f t="shared" si="5"/>
        <v>27990</v>
      </c>
      <c r="P99" s="6" t="s">
        <v>16</v>
      </c>
    </row>
    <row r="100" spans="1:16" x14ac:dyDescent="0.35">
      <c r="A100" s="34" t="s">
        <v>6642</v>
      </c>
      <c r="B100" s="7">
        <f t="shared" si="3"/>
        <v>46086</v>
      </c>
      <c r="C100" s="7">
        <f t="shared" si="4"/>
        <v>46092</v>
      </c>
      <c r="D100" s="6">
        <v>3281</v>
      </c>
      <c r="E100" s="6">
        <v>337</v>
      </c>
      <c r="F100" s="6">
        <v>4</v>
      </c>
      <c r="G100" s="25">
        <v>3</v>
      </c>
      <c r="H100" s="25">
        <v>81421</v>
      </c>
      <c r="I100" s="6" t="s">
        <v>17</v>
      </c>
      <c r="J100" s="54">
        <v>79528115</v>
      </c>
      <c r="K100" s="54" t="s">
        <v>259</v>
      </c>
      <c r="L100" s="54" t="s">
        <v>262</v>
      </c>
      <c r="M100" s="55">
        <v>279900</v>
      </c>
      <c r="N100" s="37">
        <v>0.9</v>
      </c>
      <c r="O100" s="36">
        <f t="shared" si="5"/>
        <v>27990</v>
      </c>
      <c r="P100" s="6" t="s">
        <v>16</v>
      </c>
    </row>
    <row r="101" spans="1:16" x14ac:dyDescent="0.35">
      <c r="A101" s="34" t="s">
        <v>6642</v>
      </c>
      <c r="B101" s="7">
        <f t="shared" si="3"/>
        <v>46086</v>
      </c>
      <c r="C101" s="7">
        <f t="shared" si="4"/>
        <v>46092</v>
      </c>
      <c r="D101" s="6">
        <v>3281</v>
      </c>
      <c r="E101" s="6">
        <v>337</v>
      </c>
      <c r="F101" s="6">
        <v>4</v>
      </c>
      <c r="G101" s="25">
        <v>3</v>
      </c>
      <c r="H101" s="25">
        <v>81421</v>
      </c>
      <c r="I101" s="6" t="s">
        <v>17</v>
      </c>
      <c r="J101" s="54">
        <v>79528375</v>
      </c>
      <c r="K101" s="54" t="s">
        <v>263</v>
      </c>
      <c r="L101" s="54" t="s">
        <v>264</v>
      </c>
      <c r="M101" s="55">
        <v>239900</v>
      </c>
      <c r="N101" s="37">
        <v>0.9</v>
      </c>
      <c r="O101" s="36">
        <f t="shared" si="5"/>
        <v>23990</v>
      </c>
      <c r="P101" s="6" t="s">
        <v>16</v>
      </c>
    </row>
    <row r="102" spans="1:16" x14ac:dyDescent="0.35">
      <c r="A102" s="34" t="s">
        <v>6642</v>
      </c>
      <c r="B102" s="7">
        <f t="shared" si="3"/>
        <v>46086</v>
      </c>
      <c r="C102" s="7">
        <f t="shared" si="4"/>
        <v>46092</v>
      </c>
      <c r="D102" s="6">
        <v>3281</v>
      </c>
      <c r="E102" s="6">
        <v>337</v>
      </c>
      <c r="F102" s="6">
        <v>4</v>
      </c>
      <c r="G102" s="25">
        <v>3</v>
      </c>
      <c r="H102" s="25">
        <v>81421</v>
      </c>
      <c r="I102" s="6" t="s">
        <v>17</v>
      </c>
      <c r="J102" s="54">
        <v>79528393</v>
      </c>
      <c r="K102" s="54" t="s">
        <v>263</v>
      </c>
      <c r="L102" s="54" t="s">
        <v>265</v>
      </c>
      <c r="M102" s="55">
        <v>239900</v>
      </c>
      <c r="N102" s="37">
        <v>0.9</v>
      </c>
      <c r="O102" s="36">
        <f t="shared" si="5"/>
        <v>23990</v>
      </c>
      <c r="P102" s="6" t="s">
        <v>16</v>
      </c>
    </row>
    <row r="103" spans="1:16" x14ac:dyDescent="0.35">
      <c r="A103" s="34" t="s">
        <v>6642</v>
      </c>
      <c r="B103" s="7">
        <f t="shared" si="3"/>
        <v>46086</v>
      </c>
      <c r="C103" s="7">
        <f t="shared" si="4"/>
        <v>46092</v>
      </c>
      <c r="D103" s="6">
        <v>3281</v>
      </c>
      <c r="E103" s="6">
        <v>337</v>
      </c>
      <c r="F103" s="6">
        <v>4</v>
      </c>
      <c r="G103" s="25">
        <v>3</v>
      </c>
      <c r="H103" s="25">
        <v>81421</v>
      </c>
      <c r="I103" s="6" t="s">
        <v>17</v>
      </c>
      <c r="J103" s="54">
        <v>79528400</v>
      </c>
      <c r="K103" s="54" t="s">
        <v>263</v>
      </c>
      <c r="L103" s="54" t="s">
        <v>266</v>
      </c>
      <c r="M103" s="55">
        <v>239900</v>
      </c>
      <c r="N103" s="37">
        <v>0.9</v>
      </c>
      <c r="O103" s="36">
        <f t="shared" si="5"/>
        <v>23990</v>
      </c>
      <c r="P103" s="6" t="s">
        <v>16</v>
      </c>
    </row>
    <row r="104" spans="1:16" x14ac:dyDescent="0.35">
      <c r="A104" s="34" t="s">
        <v>6642</v>
      </c>
      <c r="B104" s="7">
        <f t="shared" si="3"/>
        <v>46086</v>
      </c>
      <c r="C104" s="7">
        <f t="shared" si="4"/>
        <v>46092</v>
      </c>
      <c r="D104" s="6">
        <v>3281</v>
      </c>
      <c r="E104" s="6">
        <v>337</v>
      </c>
      <c r="F104" s="6">
        <v>4</v>
      </c>
      <c r="G104" s="25">
        <v>3</v>
      </c>
      <c r="H104" s="25">
        <v>81421</v>
      </c>
      <c r="I104" s="6" t="s">
        <v>17</v>
      </c>
      <c r="J104" s="54">
        <v>79528571</v>
      </c>
      <c r="K104" s="54" t="s">
        <v>232</v>
      </c>
      <c r="L104" s="54" t="s">
        <v>233</v>
      </c>
      <c r="M104" s="55">
        <v>229900</v>
      </c>
      <c r="N104" s="37">
        <v>0.9</v>
      </c>
      <c r="O104" s="36">
        <f t="shared" si="5"/>
        <v>22990</v>
      </c>
      <c r="P104" s="6" t="s">
        <v>16</v>
      </c>
    </row>
    <row r="105" spans="1:16" x14ac:dyDescent="0.35">
      <c r="A105" s="34" t="s">
        <v>6642</v>
      </c>
      <c r="B105" s="7">
        <f t="shared" si="3"/>
        <v>46086</v>
      </c>
      <c r="C105" s="7">
        <f t="shared" si="4"/>
        <v>46092</v>
      </c>
      <c r="D105" s="6">
        <v>3281</v>
      </c>
      <c r="E105" s="6">
        <v>337</v>
      </c>
      <c r="F105" s="6">
        <v>4</v>
      </c>
      <c r="G105" s="25">
        <v>3</v>
      </c>
      <c r="H105" s="25">
        <v>81421</v>
      </c>
      <c r="I105" s="6" t="s">
        <v>17</v>
      </c>
      <c r="J105" s="54">
        <v>79528624</v>
      </c>
      <c r="K105" s="54" t="s">
        <v>234</v>
      </c>
      <c r="L105" s="54" t="s">
        <v>235</v>
      </c>
      <c r="M105" s="55">
        <v>229900</v>
      </c>
      <c r="N105" s="37">
        <v>0.9</v>
      </c>
      <c r="O105" s="36">
        <f t="shared" si="5"/>
        <v>22990</v>
      </c>
      <c r="P105" s="6" t="s">
        <v>16</v>
      </c>
    </row>
    <row r="106" spans="1:16" x14ac:dyDescent="0.35">
      <c r="A106" s="34" t="s">
        <v>6642</v>
      </c>
      <c r="B106" s="7">
        <f t="shared" si="3"/>
        <v>46086</v>
      </c>
      <c r="C106" s="7">
        <f t="shared" si="4"/>
        <v>46092</v>
      </c>
      <c r="D106" s="6">
        <v>3281</v>
      </c>
      <c r="E106" s="6">
        <v>337</v>
      </c>
      <c r="F106" s="6">
        <v>4</v>
      </c>
      <c r="G106" s="25">
        <v>3</v>
      </c>
      <c r="H106" s="25">
        <v>81421</v>
      </c>
      <c r="I106" s="6" t="s">
        <v>17</v>
      </c>
      <c r="J106" s="54">
        <v>79528633</v>
      </c>
      <c r="K106" s="54" t="s">
        <v>234</v>
      </c>
      <c r="L106" s="54" t="s">
        <v>236</v>
      </c>
      <c r="M106" s="55">
        <v>229900</v>
      </c>
      <c r="N106" s="37">
        <v>0.9</v>
      </c>
      <c r="O106" s="36">
        <f t="shared" si="5"/>
        <v>22990</v>
      </c>
      <c r="P106" s="6" t="s">
        <v>16</v>
      </c>
    </row>
    <row r="107" spans="1:16" x14ac:dyDescent="0.35">
      <c r="A107" s="34" t="s">
        <v>6642</v>
      </c>
      <c r="B107" s="7">
        <f t="shared" si="3"/>
        <v>46086</v>
      </c>
      <c r="C107" s="7">
        <f t="shared" si="4"/>
        <v>46092</v>
      </c>
      <c r="D107" s="6">
        <v>3281</v>
      </c>
      <c r="E107" s="6">
        <v>337</v>
      </c>
      <c r="F107" s="6">
        <v>4</v>
      </c>
      <c r="G107" s="25">
        <v>3</v>
      </c>
      <c r="H107" s="25">
        <v>81421</v>
      </c>
      <c r="I107" s="6" t="s">
        <v>17</v>
      </c>
      <c r="J107" s="54">
        <v>79528704</v>
      </c>
      <c r="K107" s="54" t="s">
        <v>267</v>
      </c>
      <c r="L107" s="54" t="s">
        <v>268</v>
      </c>
      <c r="M107" s="55">
        <v>239900</v>
      </c>
      <c r="N107" s="37">
        <v>0.9</v>
      </c>
      <c r="O107" s="36">
        <f t="shared" si="5"/>
        <v>23990</v>
      </c>
      <c r="P107" s="6" t="s">
        <v>16</v>
      </c>
    </row>
    <row r="108" spans="1:16" x14ac:dyDescent="0.35">
      <c r="A108" s="34" t="s">
        <v>6642</v>
      </c>
      <c r="B108" s="7">
        <f t="shared" si="3"/>
        <v>46086</v>
      </c>
      <c r="C108" s="7">
        <f t="shared" si="4"/>
        <v>46092</v>
      </c>
      <c r="D108" s="6">
        <v>3281</v>
      </c>
      <c r="E108" s="6">
        <v>337</v>
      </c>
      <c r="F108" s="6">
        <v>4</v>
      </c>
      <c r="G108" s="25">
        <v>3</v>
      </c>
      <c r="H108" s="25">
        <v>81421</v>
      </c>
      <c r="I108" s="6" t="s">
        <v>17</v>
      </c>
      <c r="J108" s="54">
        <v>79528713</v>
      </c>
      <c r="K108" s="54" t="s">
        <v>267</v>
      </c>
      <c r="L108" s="54" t="s">
        <v>269</v>
      </c>
      <c r="M108" s="55">
        <v>239900</v>
      </c>
      <c r="N108" s="37">
        <v>0.9</v>
      </c>
      <c r="O108" s="36">
        <f t="shared" si="5"/>
        <v>23990</v>
      </c>
      <c r="P108" s="6" t="s">
        <v>16</v>
      </c>
    </row>
    <row r="109" spans="1:16" x14ac:dyDescent="0.35">
      <c r="A109" s="34" t="s">
        <v>6642</v>
      </c>
      <c r="B109" s="7">
        <f t="shared" si="3"/>
        <v>46086</v>
      </c>
      <c r="C109" s="7">
        <f t="shared" si="4"/>
        <v>46092</v>
      </c>
      <c r="D109" s="6">
        <v>3281</v>
      </c>
      <c r="E109" s="6">
        <v>337</v>
      </c>
      <c r="F109" s="6">
        <v>4</v>
      </c>
      <c r="G109" s="25">
        <v>3</v>
      </c>
      <c r="H109" s="25">
        <v>81421</v>
      </c>
      <c r="I109" s="6" t="s">
        <v>17</v>
      </c>
      <c r="J109" s="54">
        <v>86446360</v>
      </c>
      <c r="K109" s="54" t="s">
        <v>51</v>
      </c>
      <c r="L109" s="54" t="s">
        <v>52</v>
      </c>
      <c r="M109" s="55">
        <v>279900</v>
      </c>
      <c r="N109" s="37">
        <v>0.9</v>
      </c>
      <c r="O109" s="36">
        <f t="shared" si="5"/>
        <v>27990</v>
      </c>
      <c r="P109" s="6" t="s">
        <v>16</v>
      </c>
    </row>
    <row r="110" spans="1:16" x14ac:dyDescent="0.35">
      <c r="A110" s="34" t="s">
        <v>6642</v>
      </c>
      <c r="B110" s="7">
        <f t="shared" si="3"/>
        <v>46086</v>
      </c>
      <c r="C110" s="7">
        <f t="shared" si="4"/>
        <v>46092</v>
      </c>
      <c r="D110" s="6">
        <v>3281</v>
      </c>
      <c r="E110" s="6">
        <v>337</v>
      </c>
      <c r="F110" s="6">
        <v>4</v>
      </c>
      <c r="G110" s="25">
        <v>3</v>
      </c>
      <c r="H110" s="25">
        <v>81421</v>
      </c>
      <c r="I110" s="6" t="s">
        <v>17</v>
      </c>
      <c r="J110" s="54">
        <v>87434620</v>
      </c>
      <c r="K110" s="54" t="s">
        <v>110</v>
      </c>
      <c r="L110" s="54" t="s">
        <v>111</v>
      </c>
      <c r="M110" s="55">
        <v>239900</v>
      </c>
      <c r="N110" s="37">
        <v>0.9</v>
      </c>
      <c r="O110" s="36">
        <f t="shared" si="5"/>
        <v>23990</v>
      </c>
      <c r="P110" s="6" t="s">
        <v>16</v>
      </c>
    </row>
    <row r="111" spans="1:16" x14ac:dyDescent="0.35">
      <c r="A111" s="34" t="s">
        <v>6642</v>
      </c>
      <c r="B111" s="7">
        <f t="shared" si="3"/>
        <v>46086</v>
      </c>
      <c r="C111" s="7">
        <f t="shared" si="4"/>
        <v>46092</v>
      </c>
      <c r="D111" s="6">
        <v>3281</v>
      </c>
      <c r="E111" s="6">
        <v>337</v>
      </c>
      <c r="F111" s="6">
        <v>4</v>
      </c>
      <c r="G111" s="25">
        <v>3</v>
      </c>
      <c r="H111" s="25">
        <v>190</v>
      </c>
      <c r="I111" s="6" t="s">
        <v>17</v>
      </c>
      <c r="J111" s="54">
        <v>79528419</v>
      </c>
      <c r="K111" s="54" t="s">
        <v>225</v>
      </c>
      <c r="L111" s="54" t="s">
        <v>226</v>
      </c>
      <c r="M111" s="55">
        <v>229900</v>
      </c>
      <c r="N111" s="37">
        <v>0.9</v>
      </c>
      <c r="O111" s="36">
        <f t="shared" si="5"/>
        <v>22990</v>
      </c>
      <c r="P111" s="6" t="s">
        <v>16</v>
      </c>
    </row>
    <row r="112" spans="1:16" x14ac:dyDescent="0.35">
      <c r="A112" s="34" t="s">
        <v>6642</v>
      </c>
      <c r="B112" s="7">
        <f t="shared" si="3"/>
        <v>46086</v>
      </c>
      <c r="C112" s="7">
        <f t="shared" si="4"/>
        <v>46092</v>
      </c>
      <c r="D112" s="6">
        <v>3281</v>
      </c>
      <c r="E112" s="6">
        <v>337</v>
      </c>
      <c r="F112" s="6">
        <v>4</v>
      </c>
      <c r="G112" s="25">
        <v>3</v>
      </c>
      <c r="H112" s="25">
        <v>190</v>
      </c>
      <c r="I112" s="6" t="s">
        <v>17</v>
      </c>
      <c r="J112" s="54">
        <v>79528428</v>
      </c>
      <c r="K112" s="54" t="s">
        <v>225</v>
      </c>
      <c r="L112" s="54" t="s">
        <v>227</v>
      </c>
      <c r="M112" s="55">
        <v>229900</v>
      </c>
      <c r="N112" s="37">
        <v>0.9</v>
      </c>
      <c r="O112" s="36">
        <f t="shared" si="5"/>
        <v>22990</v>
      </c>
      <c r="P112" s="6" t="s">
        <v>16</v>
      </c>
    </row>
    <row r="113" spans="1:16" x14ac:dyDescent="0.35">
      <c r="A113" s="34" t="s">
        <v>6642</v>
      </c>
      <c r="B113" s="7">
        <f t="shared" si="3"/>
        <v>46086</v>
      </c>
      <c r="C113" s="7">
        <f t="shared" si="4"/>
        <v>46092</v>
      </c>
      <c r="D113" s="6">
        <v>3281</v>
      </c>
      <c r="E113" s="6">
        <v>337</v>
      </c>
      <c r="F113" s="6">
        <v>4</v>
      </c>
      <c r="G113" s="25">
        <v>3</v>
      </c>
      <c r="H113" s="25">
        <v>190</v>
      </c>
      <c r="I113" s="6" t="s">
        <v>17</v>
      </c>
      <c r="J113" s="54">
        <v>79528437</v>
      </c>
      <c r="K113" s="54" t="s">
        <v>225</v>
      </c>
      <c r="L113" s="54" t="s">
        <v>228</v>
      </c>
      <c r="M113" s="55">
        <v>229900</v>
      </c>
      <c r="N113" s="37">
        <v>0.9</v>
      </c>
      <c r="O113" s="36">
        <f t="shared" si="5"/>
        <v>22990</v>
      </c>
      <c r="P113" s="6" t="s">
        <v>16</v>
      </c>
    </row>
    <row r="114" spans="1:16" x14ac:dyDescent="0.35">
      <c r="A114" s="34" t="s">
        <v>6642</v>
      </c>
      <c r="B114" s="7">
        <f t="shared" si="3"/>
        <v>46086</v>
      </c>
      <c r="C114" s="7">
        <f t="shared" si="4"/>
        <v>46092</v>
      </c>
      <c r="D114" s="6">
        <v>3281</v>
      </c>
      <c r="E114" s="6">
        <v>337</v>
      </c>
      <c r="F114" s="6">
        <v>4</v>
      </c>
      <c r="G114" s="25">
        <v>3</v>
      </c>
      <c r="H114" s="25">
        <v>190</v>
      </c>
      <c r="I114" s="6" t="s">
        <v>17</v>
      </c>
      <c r="J114" s="54">
        <v>79647102</v>
      </c>
      <c r="K114" s="54" t="s">
        <v>225</v>
      </c>
      <c r="L114" s="54" t="s">
        <v>240</v>
      </c>
      <c r="M114" s="55">
        <v>229900</v>
      </c>
      <c r="N114" s="37">
        <v>0.9</v>
      </c>
      <c r="O114" s="36">
        <f t="shared" si="5"/>
        <v>22990</v>
      </c>
      <c r="P114" s="6" t="s">
        <v>16</v>
      </c>
    </row>
    <row r="115" spans="1:16" x14ac:dyDescent="0.35">
      <c r="A115" s="34" t="s">
        <v>6642</v>
      </c>
      <c r="B115" s="7">
        <f t="shared" si="3"/>
        <v>46086</v>
      </c>
      <c r="C115" s="7">
        <f t="shared" si="4"/>
        <v>46092</v>
      </c>
      <c r="D115" s="6">
        <v>3281</v>
      </c>
      <c r="E115" s="6">
        <v>337</v>
      </c>
      <c r="F115" s="6">
        <v>4</v>
      </c>
      <c r="G115" s="25">
        <v>3</v>
      </c>
      <c r="H115" s="25">
        <v>190</v>
      </c>
      <c r="I115" s="6" t="s">
        <v>17</v>
      </c>
      <c r="J115" s="54">
        <v>79528446</v>
      </c>
      <c r="K115" s="54" t="s">
        <v>229</v>
      </c>
      <c r="L115" s="54" t="s">
        <v>230</v>
      </c>
      <c r="M115" s="55">
        <v>229900</v>
      </c>
      <c r="N115" s="37">
        <v>0.9</v>
      </c>
      <c r="O115" s="36">
        <f t="shared" si="5"/>
        <v>22990</v>
      </c>
      <c r="P115" s="6" t="s">
        <v>16</v>
      </c>
    </row>
    <row r="116" spans="1:16" x14ac:dyDescent="0.35">
      <c r="A116" s="34" t="s">
        <v>6642</v>
      </c>
      <c r="B116" s="7">
        <f t="shared" si="3"/>
        <v>46086</v>
      </c>
      <c r="C116" s="7">
        <f t="shared" si="4"/>
        <v>46092</v>
      </c>
      <c r="D116" s="6">
        <v>3281</v>
      </c>
      <c r="E116" s="6">
        <v>337</v>
      </c>
      <c r="F116" s="6">
        <v>4</v>
      </c>
      <c r="G116" s="25">
        <v>3</v>
      </c>
      <c r="H116" s="25">
        <v>190</v>
      </c>
      <c r="I116" s="6" t="s">
        <v>17</v>
      </c>
      <c r="J116" s="54">
        <v>79528464</v>
      </c>
      <c r="K116" s="54" t="s">
        <v>229</v>
      </c>
      <c r="L116" s="54" t="s">
        <v>231</v>
      </c>
      <c r="M116" s="55">
        <v>229900</v>
      </c>
      <c r="N116" s="37">
        <v>0.9</v>
      </c>
      <c r="O116" s="36">
        <f t="shared" si="5"/>
        <v>22990</v>
      </c>
      <c r="P116" s="6" t="s">
        <v>16</v>
      </c>
    </row>
    <row r="117" spans="1:16" x14ac:dyDescent="0.35">
      <c r="A117" s="34" t="s">
        <v>6642</v>
      </c>
      <c r="B117" s="7">
        <f t="shared" si="3"/>
        <v>46086</v>
      </c>
      <c r="C117" s="7">
        <f t="shared" si="4"/>
        <v>46092</v>
      </c>
      <c r="D117" s="6">
        <v>3281</v>
      </c>
      <c r="E117" s="6">
        <v>337</v>
      </c>
      <c r="F117" s="6">
        <v>4</v>
      </c>
      <c r="G117" s="25">
        <v>3</v>
      </c>
      <c r="H117" s="25">
        <v>190</v>
      </c>
      <c r="I117" s="6" t="s">
        <v>17</v>
      </c>
      <c r="J117" s="54">
        <v>83478760</v>
      </c>
      <c r="K117" s="54" t="s">
        <v>4986</v>
      </c>
      <c r="L117" s="54" t="s">
        <v>4987</v>
      </c>
      <c r="M117" s="55">
        <v>229900</v>
      </c>
      <c r="N117" s="37">
        <v>0.9</v>
      </c>
      <c r="O117" s="36">
        <f t="shared" si="5"/>
        <v>22990</v>
      </c>
      <c r="P117" s="6" t="s">
        <v>16</v>
      </c>
    </row>
    <row r="118" spans="1:16" x14ac:dyDescent="0.35">
      <c r="A118" s="34" t="s">
        <v>6642</v>
      </c>
      <c r="B118" s="7">
        <f t="shared" si="3"/>
        <v>46086</v>
      </c>
      <c r="C118" s="7">
        <f t="shared" si="4"/>
        <v>46092</v>
      </c>
      <c r="D118" s="6">
        <v>3281</v>
      </c>
      <c r="E118" s="6">
        <v>337</v>
      </c>
      <c r="F118" s="6">
        <v>4</v>
      </c>
      <c r="G118" s="25">
        <v>3</v>
      </c>
      <c r="H118" s="25">
        <v>190</v>
      </c>
      <c r="I118" s="6" t="s">
        <v>17</v>
      </c>
      <c r="J118" s="54">
        <v>83478779</v>
      </c>
      <c r="K118" s="54" t="s">
        <v>4986</v>
      </c>
      <c r="L118" s="54" t="s">
        <v>4988</v>
      </c>
      <c r="M118" s="55">
        <v>229900</v>
      </c>
      <c r="N118" s="37">
        <v>0.9</v>
      </c>
      <c r="O118" s="36">
        <f t="shared" si="5"/>
        <v>22990</v>
      </c>
      <c r="P118" s="6" t="s">
        <v>16</v>
      </c>
    </row>
    <row r="119" spans="1:16" x14ac:dyDescent="0.35">
      <c r="A119" s="34" t="s">
        <v>6642</v>
      </c>
      <c r="B119" s="7">
        <f t="shared" si="3"/>
        <v>46086</v>
      </c>
      <c r="C119" s="7">
        <f t="shared" si="4"/>
        <v>46092</v>
      </c>
      <c r="D119" s="6">
        <v>3281</v>
      </c>
      <c r="E119" s="6">
        <v>337</v>
      </c>
      <c r="F119" s="6">
        <v>4</v>
      </c>
      <c r="G119" s="25">
        <v>3</v>
      </c>
      <c r="H119" s="25">
        <v>190</v>
      </c>
      <c r="I119" s="6" t="s">
        <v>17</v>
      </c>
      <c r="J119" s="54">
        <v>83478788</v>
      </c>
      <c r="K119" s="54" t="s">
        <v>4986</v>
      </c>
      <c r="L119" s="54" t="s">
        <v>4989</v>
      </c>
      <c r="M119" s="55">
        <v>229900</v>
      </c>
      <c r="N119" s="37">
        <v>0.9</v>
      </c>
      <c r="O119" s="36">
        <f t="shared" si="5"/>
        <v>22990</v>
      </c>
      <c r="P119" s="6" t="s">
        <v>16</v>
      </c>
    </row>
    <row r="120" spans="1:16" x14ac:dyDescent="0.35">
      <c r="A120" s="34" t="s">
        <v>6642</v>
      </c>
      <c r="B120" s="7">
        <f t="shared" si="3"/>
        <v>46086</v>
      </c>
      <c r="C120" s="7">
        <f t="shared" si="4"/>
        <v>46092</v>
      </c>
      <c r="D120" s="6">
        <v>3281</v>
      </c>
      <c r="E120" s="6">
        <v>337</v>
      </c>
      <c r="F120" s="6">
        <v>4</v>
      </c>
      <c r="G120" s="25">
        <v>3</v>
      </c>
      <c r="H120" s="25">
        <v>190</v>
      </c>
      <c r="I120" s="6" t="s">
        <v>17</v>
      </c>
      <c r="J120" s="54">
        <v>83478797</v>
      </c>
      <c r="K120" s="54" t="s">
        <v>4986</v>
      </c>
      <c r="L120" s="54" t="s">
        <v>4990</v>
      </c>
      <c r="M120" s="55">
        <v>229900</v>
      </c>
      <c r="N120" s="37">
        <v>0.9</v>
      </c>
      <c r="O120" s="36">
        <f t="shared" si="5"/>
        <v>22990</v>
      </c>
      <c r="P120" s="6" t="s">
        <v>16</v>
      </c>
    </row>
    <row r="121" spans="1:16" x14ac:dyDescent="0.35">
      <c r="A121" s="34" t="s">
        <v>6642</v>
      </c>
      <c r="B121" s="7">
        <f t="shared" si="3"/>
        <v>46086</v>
      </c>
      <c r="C121" s="7">
        <f t="shared" si="4"/>
        <v>46092</v>
      </c>
      <c r="D121" s="6">
        <v>3281</v>
      </c>
      <c r="E121" s="6">
        <v>337</v>
      </c>
      <c r="F121" s="6">
        <v>4</v>
      </c>
      <c r="G121" s="25">
        <v>3</v>
      </c>
      <c r="H121" s="25">
        <v>80920</v>
      </c>
      <c r="I121" s="6" t="s">
        <v>17</v>
      </c>
      <c r="J121" s="54">
        <v>79528642</v>
      </c>
      <c r="K121" s="54" t="s">
        <v>237</v>
      </c>
      <c r="L121" s="54" t="s">
        <v>238</v>
      </c>
      <c r="M121" s="55">
        <v>229900</v>
      </c>
      <c r="N121" s="37">
        <v>0.9</v>
      </c>
      <c r="O121" s="36">
        <f t="shared" si="5"/>
        <v>22990</v>
      </c>
      <c r="P121" s="6" t="s">
        <v>16</v>
      </c>
    </row>
    <row r="122" spans="1:16" x14ac:dyDescent="0.35">
      <c r="A122" s="34" t="s">
        <v>6642</v>
      </c>
      <c r="B122" s="7">
        <f t="shared" si="3"/>
        <v>46086</v>
      </c>
      <c r="C122" s="7">
        <f t="shared" si="4"/>
        <v>46092</v>
      </c>
      <c r="D122" s="6">
        <v>3281</v>
      </c>
      <c r="E122" s="6">
        <v>337</v>
      </c>
      <c r="F122" s="6">
        <v>4</v>
      </c>
      <c r="G122" s="25">
        <v>3</v>
      </c>
      <c r="H122" s="25">
        <v>80920</v>
      </c>
      <c r="I122" s="6" t="s">
        <v>17</v>
      </c>
      <c r="J122" s="54">
        <v>79528679</v>
      </c>
      <c r="K122" s="54" t="s">
        <v>237</v>
      </c>
      <c r="L122" s="54" t="s">
        <v>239</v>
      </c>
      <c r="M122" s="55">
        <v>229900</v>
      </c>
      <c r="N122" s="37">
        <v>0.9</v>
      </c>
      <c r="O122" s="36">
        <f t="shared" si="5"/>
        <v>22990</v>
      </c>
      <c r="P122" s="6" t="s">
        <v>16</v>
      </c>
    </row>
    <row r="123" spans="1:16" x14ac:dyDescent="0.35">
      <c r="A123" s="34" t="s">
        <v>6642</v>
      </c>
      <c r="B123" s="7">
        <f t="shared" si="3"/>
        <v>46086</v>
      </c>
      <c r="C123" s="7">
        <f t="shared" si="4"/>
        <v>46092</v>
      </c>
      <c r="D123" s="6">
        <v>3281</v>
      </c>
      <c r="E123" s="6">
        <v>337</v>
      </c>
      <c r="F123" s="6">
        <v>4</v>
      </c>
      <c r="G123" s="25">
        <v>4</v>
      </c>
      <c r="H123" s="25">
        <v>80994</v>
      </c>
      <c r="I123" s="6" t="s">
        <v>17</v>
      </c>
      <c r="J123" s="54">
        <v>75739832</v>
      </c>
      <c r="K123" s="54" t="s">
        <v>186</v>
      </c>
      <c r="L123" s="54" t="s">
        <v>187</v>
      </c>
      <c r="M123" s="55">
        <v>229900</v>
      </c>
      <c r="N123" s="37">
        <v>0.9</v>
      </c>
      <c r="O123" s="36">
        <f t="shared" si="5"/>
        <v>22990</v>
      </c>
      <c r="P123" s="6" t="s">
        <v>16</v>
      </c>
    </row>
    <row r="124" spans="1:16" x14ac:dyDescent="0.35">
      <c r="A124" s="34" t="s">
        <v>6642</v>
      </c>
      <c r="B124" s="7">
        <f t="shared" si="3"/>
        <v>46086</v>
      </c>
      <c r="C124" s="7">
        <f t="shared" si="4"/>
        <v>46092</v>
      </c>
      <c r="D124" s="6">
        <v>3281</v>
      </c>
      <c r="E124" s="6">
        <v>337</v>
      </c>
      <c r="F124" s="6">
        <v>4</v>
      </c>
      <c r="G124" s="25">
        <v>4</v>
      </c>
      <c r="H124" s="25">
        <v>80994</v>
      </c>
      <c r="I124" s="6" t="s">
        <v>17</v>
      </c>
      <c r="J124" s="54">
        <v>75739841</v>
      </c>
      <c r="K124" s="54" t="s">
        <v>186</v>
      </c>
      <c r="L124" s="54" t="s">
        <v>188</v>
      </c>
      <c r="M124" s="55">
        <v>229900</v>
      </c>
      <c r="N124" s="37">
        <v>0.9</v>
      </c>
      <c r="O124" s="36">
        <f t="shared" si="5"/>
        <v>22990</v>
      </c>
      <c r="P124" s="6" t="s">
        <v>16</v>
      </c>
    </row>
    <row r="125" spans="1:16" x14ac:dyDescent="0.35">
      <c r="A125" s="34" t="s">
        <v>6642</v>
      </c>
      <c r="B125" s="7">
        <f t="shared" si="3"/>
        <v>46086</v>
      </c>
      <c r="C125" s="7">
        <f t="shared" si="4"/>
        <v>46092</v>
      </c>
      <c r="D125" s="6">
        <v>3281</v>
      </c>
      <c r="E125" s="6">
        <v>337</v>
      </c>
      <c r="F125" s="6">
        <v>4</v>
      </c>
      <c r="G125" s="25">
        <v>4</v>
      </c>
      <c r="H125" s="25">
        <v>80994</v>
      </c>
      <c r="I125" s="6" t="s">
        <v>17</v>
      </c>
      <c r="J125" s="54">
        <v>75739850</v>
      </c>
      <c r="K125" s="54" t="s">
        <v>186</v>
      </c>
      <c r="L125" s="54" t="s">
        <v>189</v>
      </c>
      <c r="M125" s="55">
        <v>229900</v>
      </c>
      <c r="N125" s="37">
        <v>0.9</v>
      </c>
      <c r="O125" s="36">
        <f t="shared" si="5"/>
        <v>22990</v>
      </c>
      <c r="P125" s="6" t="s">
        <v>16</v>
      </c>
    </row>
    <row r="126" spans="1:16" x14ac:dyDescent="0.35">
      <c r="A126" s="34" t="s">
        <v>6642</v>
      </c>
      <c r="B126" s="7">
        <f t="shared" si="3"/>
        <v>46086</v>
      </c>
      <c r="C126" s="7">
        <f t="shared" si="4"/>
        <v>46092</v>
      </c>
      <c r="D126" s="6">
        <v>3281</v>
      </c>
      <c r="E126" s="6">
        <v>337</v>
      </c>
      <c r="F126" s="6">
        <v>4</v>
      </c>
      <c r="G126" s="25">
        <v>4</v>
      </c>
      <c r="H126" s="25">
        <v>80994</v>
      </c>
      <c r="I126" s="6" t="s">
        <v>17</v>
      </c>
      <c r="J126" s="54">
        <v>75739869</v>
      </c>
      <c r="K126" s="54" t="s">
        <v>186</v>
      </c>
      <c r="L126" s="54" t="s">
        <v>190</v>
      </c>
      <c r="M126" s="55">
        <v>229900</v>
      </c>
      <c r="N126" s="37">
        <v>0.9</v>
      </c>
      <c r="O126" s="36">
        <f t="shared" si="5"/>
        <v>22990</v>
      </c>
      <c r="P126" s="6" t="s">
        <v>16</v>
      </c>
    </row>
    <row r="127" spans="1:16" x14ac:dyDescent="0.35">
      <c r="A127" s="34" t="s">
        <v>6642</v>
      </c>
      <c r="B127" s="7">
        <f t="shared" si="3"/>
        <v>46086</v>
      </c>
      <c r="C127" s="7">
        <f t="shared" si="4"/>
        <v>46092</v>
      </c>
      <c r="D127" s="6">
        <v>3281</v>
      </c>
      <c r="E127" s="6">
        <v>337</v>
      </c>
      <c r="F127" s="6">
        <v>4</v>
      </c>
      <c r="G127" s="25">
        <v>4</v>
      </c>
      <c r="H127" s="25">
        <v>80994</v>
      </c>
      <c r="I127" s="6" t="s">
        <v>17</v>
      </c>
      <c r="J127" s="54">
        <v>75739878</v>
      </c>
      <c r="K127" s="54" t="s">
        <v>140</v>
      </c>
      <c r="L127" s="54" t="s">
        <v>141</v>
      </c>
      <c r="M127" s="55">
        <v>229900</v>
      </c>
      <c r="N127" s="37">
        <v>0.9</v>
      </c>
      <c r="O127" s="36">
        <f t="shared" si="5"/>
        <v>22990</v>
      </c>
      <c r="P127" s="6" t="s">
        <v>16</v>
      </c>
    </row>
    <row r="128" spans="1:16" x14ac:dyDescent="0.35">
      <c r="A128" s="34" t="s">
        <v>6642</v>
      </c>
      <c r="B128" s="7">
        <f t="shared" si="3"/>
        <v>46086</v>
      </c>
      <c r="C128" s="7">
        <f t="shared" si="4"/>
        <v>46092</v>
      </c>
      <c r="D128" s="6">
        <v>3281</v>
      </c>
      <c r="E128" s="6">
        <v>337</v>
      </c>
      <c r="F128" s="6">
        <v>4</v>
      </c>
      <c r="G128" s="25">
        <v>4</v>
      </c>
      <c r="H128" s="25">
        <v>80994</v>
      </c>
      <c r="I128" s="6" t="s">
        <v>17</v>
      </c>
      <c r="J128" s="54">
        <v>75739887</v>
      </c>
      <c r="K128" s="54" t="s">
        <v>140</v>
      </c>
      <c r="L128" s="54" t="s">
        <v>142</v>
      </c>
      <c r="M128" s="55">
        <v>229900</v>
      </c>
      <c r="N128" s="37">
        <v>0.9</v>
      </c>
      <c r="O128" s="36">
        <f t="shared" si="5"/>
        <v>22990</v>
      </c>
      <c r="P128" s="6" t="s">
        <v>16</v>
      </c>
    </row>
    <row r="129" spans="1:16" x14ac:dyDescent="0.35">
      <c r="A129" s="34" t="s">
        <v>6642</v>
      </c>
      <c r="B129" s="7">
        <f t="shared" si="3"/>
        <v>46086</v>
      </c>
      <c r="C129" s="7">
        <f t="shared" si="4"/>
        <v>46092</v>
      </c>
      <c r="D129" s="6">
        <v>3281</v>
      </c>
      <c r="E129" s="6">
        <v>337</v>
      </c>
      <c r="F129" s="6">
        <v>4</v>
      </c>
      <c r="G129" s="25">
        <v>4</v>
      </c>
      <c r="H129" s="25">
        <v>80994</v>
      </c>
      <c r="I129" s="6" t="s">
        <v>17</v>
      </c>
      <c r="J129" s="54">
        <v>75739896</v>
      </c>
      <c r="K129" s="54" t="s">
        <v>140</v>
      </c>
      <c r="L129" s="54" t="s">
        <v>143</v>
      </c>
      <c r="M129" s="55">
        <v>229900</v>
      </c>
      <c r="N129" s="37">
        <v>0.9</v>
      </c>
      <c r="O129" s="36">
        <f t="shared" si="5"/>
        <v>22990</v>
      </c>
      <c r="P129" s="6" t="s">
        <v>16</v>
      </c>
    </row>
    <row r="130" spans="1:16" x14ac:dyDescent="0.35">
      <c r="A130" s="34" t="s">
        <v>6642</v>
      </c>
      <c r="B130" s="7">
        <f t="shared" si="3"/>
        <v>46086</v>
      </c>
      <c r="C130" s="7">
        <f t="shared" si="4"/>
        <v>46092</v>
      </c>
      <c r="D130" s="6">
        <v>3281</v>
      </c>
      <c r="E130" s="6">
        <v>337</v>
      </c>
      <c r="F130" s="6">
        <v>4</v>
      </c>
      <c r="G130" s="25">
        <v>4</v>
      </c>
      <c r="H130" s="25">
        <v>80994</v>
      </c>
      <c r="I130" s="6" t="s">
        <v>17</v>
      </c>
      <c r="J130" s="54">
        <v>75739903</v>
      </c>
      <c r="K130" s="54" t="s">
        <v>140</v>
      </c>
      <c r="L130" s="54" t="s">
        <v>144</v>
      </c>
      <c r="M130" s="55">
        <v>229900</v>
      </c>
      <c r="N130" s="37">
        <v>0.9</v>
      </c>
      <c r="O130" s="36">
        <f t="shared" si="5"/>
        <v>22990</v>
      </c>
      <c r="P130" s="6" t="s">
        <v>16</v>
      </c>
    </row>
    <row r="131" spans="1:16" x14ac:dyDescent="0.35">
      <c r="A131" s="34" t="s">
        <v>6642</v>
      </c>
      <c r="B131" s="7">
        <f t="shared" si="3"/>
        <v>46086</v>
      </c>
      <c r="C131" s="7">
        <f t="shared" si="4"/>
        <v>46092</v>
      </c>
      <c r="D131" s="6">
        <v>3281</v>
      </c>
      <c r="E131" s="6">
        <v>337</v>
      </c>
      <c r="F131" s="6">
        <v>4</v>
      </c>
      <c r="G131" s="25">
        <v>4</v>
      </c>
      <c r="H131" s="25">
        <v>80994</v>
      </c>
      <c r="I131" s="6" t="s">
        <v>17</v>
      </c>
      <c r="J131" s="54">
        <v>76638654</v>
      </c>
      <c r="K131" s="54" t="s">
        <v>191</v>
      </c>
      <c r="L131" s="54" t="s">
        <v>192</v>
      </c>
      <c r="M131" s="55">
        <v>229900</v>
      </c>
      <c r="N131" s="37">
        <v>0.9</v>
      </c>
      <c r="O131" s="36">
        <f t="shared" si="5"/>
        <v>22990</v>
      </c>
      <c r="P131" s="6" t="s">
        <v>16</v>
      </c>
    </row>
    <row r="132" spans="1:16" x14ac:dyDescent="0.35">
      <c r="A132" s="34" t="s">
        <v>6642</v>
      </c>
      <c r="B132" s="7">
        <f t="shared" ref="B132:B195" si="6">B131</f>
        <v>46086</v>
      </c>
      <c r="C132" s="7">
        <f t="shared" ref="C132:C195" si="7">C131</f>
        <v>46092</v>
      </c>
      <c r="D132" s="6">
        <v>3281</v>
      </c>
      <c r="E132" s="6">
        <v>337</v>
      </c>
      <c r="F132" s="6">
        <v>4</v>
      </c>
      <c r="G132" s="25">
        <v>4</v>
      </c>
      <c r="H132" s="25">
        <v>80994</v>
      </c>
      <c r="I132" s="6" t="s">
        <v>17</v>
      </c>
      <c r="J132" s="54">
        <v>76638663</v>
      </c>
      <c r="K132" s="54" t="s">
        <v>191</v>
      </c>
      <c r="L132" s="54" t="s">
        <v>193</v>
      </c>
      <c r="M132" s="55">
        <v>229900</v>
      </c>
      <c r="N132" s="37">
        <v>0.9</v>
      </c>
      <c r="O132" s="36">
        <f t="shared" ref="O132:O195" si="8">M132-((90*M132)/100)</f>
        <v>22990</v>
      </c>
      <c r="P132" s="6" t="s">
        <v>16</v>
      </c>
    </row>
    <row r="133" spans="1:16" x14ac:dyDescent="0.35">
      <c r="A133" s="34" t="s">
        <v>6642</v>
      </c>
      <c r="B133" s="7">
        <f t="shared" si="6"/>
        <v>46086</v>
      </c>
      <c r="C133" s="7">
        <f t="shared" si="7"/>
        <v>46092</v>
      </c>
      <c r="D133" s="6">
        <v>3281</v>
      </c>
      <c r="E133" s="6">
        <v>337</v>
      </c>
      <c r="F133" s="6">
        <v>4</v>
      </c>
      <c r="G133" s="25">
        <v>4</v>
      </c>
      <c r="H133" s="25">
        <v>80994</v>
      </c>
      <c r="I133" s="6" t="s">
        <v>17</v>
      </c>
      <c r="J133" s="54">
        <v>76638672</v>
      </c>
      <c r="K133" s="54" t="s">
        <v>191</v>
      </c>
      <c r="L133" s="54" t="s">
        <v>194</v>
      </c>
      <c r="M133" s="55">
        <v>229900</v>
      </c>
      <c r="N133" s="37">
        <v>0.9</v>
      </c>
      <c r="O133" s="36">
        <f t="shared" si="8"/>
        <v>22990</v>
      </c>
      <c r="P133" s="6" t="s">
        <v>16</v>
      </c>
    </row>
    <row r="134" spans="1:16" x14ac:dyDescent="0.35">
      <c r="A134" s="34" t="s">
        <v>6642</v>
      </c>
      <c r="B134" s="7">
        <f t="shared" si="6"/>
        <v>46086</v>
      </c>
      <c r="C134" s="7">
        <f t="shared" si="7"/>
        <v>46092</v>
      </c>
      <c r="D134" s="6">
        <v>3281</v>
      </c>
      <c r="E134" s="6">
        <v>337</v>
      </c>
      <c r="F134" s="6">
        <v>4</v>
      </c>
      <c r="G134" s="25">
        <v>4</v>
      </c>
      <c r="H134" s="25">
        <v>80994</v>
      </c>
      <c r="I134" s="6" t="s">
        <v>17</v>
      </c>
      <c r="J134" s="54">
        <v>76638681</v>
      </c>
      <c r="K134" s="54" t="s">
        <v>191</v>
      </c>
      <c r="L134" s="54" t="s">
        <v>195</v>
      </c>
      <c r="M134" s="55">
        <v>229900</v>
      </c>
      <c r="N134" s="37">
        <v>0.9</v>
      </c>
      <c r="O134" s="36">
        <f t="shared" si="8"/>
        <v>22990</v>
      </c>
      <c r="P134" s="6" t="s">
        <v>16</v>
      </c>
    </row>
    <row r="135" spans="1:16" x14ac:dyDescent="0.35">
      <c r="A135" s="34" t="s">
        <v>6642</v>
      </c>
      <c r="B135" s="7">
        <f t="shared" si="6"/>
        <v>46086</v>
      </c>
      <c r="C135" s="7">
        <f t="shared" si="7"/>
        <v>46092</v>
      </c>
      <c r="D135" s="6">
        <v>3281</v>
      </c>
      <c r="E135" s="6">
        <v>337</v>
      </c>
      <c r="F135" s="6">
        <v>4</v>
      </c>
      <c r="G135" s="25">
        <v>4</v>
      </c>
      <c r="H135" s="25">
        <v>80994</v>
      </c>
      <c r="I135" s="6" t="s">
        <v>17</v>
      </c>
      <c r="J135" s="54">
        <v>83381293</v>
      </c>
      <c r="K135" s="54" t="s">
        <v>2692</v>
      </c>
      <c r="L135" s="54" t="s">
        <v>2695</v>
      </c>
      <c r="M135" s="55">
        <v>229900</v>
      </c>
      <c r="N135" s="37">
        <v>0.9</v>
      </c>
      <c r="O135" s="36">
        <f t="shared" si="8"/>
        <v>22990</v>
      </c>
      <c r="P135" s="6" t="s">
        <v>16</v>
      </c>
    </row>
    <row r="136" spans="1:16" x14ac:dyDescent="0.35">
      <c r="A136" s="34" t="s">
        <v>6642</v>
      </c>
      <c r="B136" s="7">
        <f t="shared" si="6"/>
        <v>46086</v>
      </c>
      <c r="C136" s="7">
        <f t="shared" si="7"/>
        <v>46092</v>
      </c>
      <c r="D136" s="6">
        <v>3281</v>
      </c>
      <c r="E136" s="6">
        <v>337</v>
      </c>
      <c r="F136" s="6">
        <v>4</v>
      </c>
      <c r="G136" s="25">
        <v>4</v>
      </c>
      <c r="H136" s="25">
        <v>80994</v>
      </c>
      <c r="I136" s="6" t="s">
        <v>17</v>
      </c>
      <c r="J136" s="54">
        <v>83381300</v>
      </c>
      <c r="K136" s="54" t="s">
        <v>2692</v>
      </c>
      <c r="L136" s="54" t="s">
        <v>2694</v>
      </c>
      <c r="M136" s="55">
        <v>229900</v>
      </c>
      <c r="N136" s="37">
        <v>0.9</v>
      </c>
      <c r="O136" s="36">
        <f t="shared" si="8"/>
        <v>22990</v>
      </c>
      <c r="P136" s="6" t="s">
        <v>16</v>
      </c>
    </row>
    <row r="137" spans="1:16" x14ac:dyDescent="0.35">
      <c r="A137" s="34" t="s">
        <v>6642</v>
      </c>
      <c r="B137" s="7">
        <f t="shared" si="6"/>
        <v>46086</v>
      </c>
      <c r="C137" s="7">
        <f t="shared" si="7"/>
        <v>46092</v>
      </c>
      <c r="D137" s="6">
        <v>3281</v>
      </c>
      <c r="E137" s="6">
        <v>337</v>
      </c>
      <c r="F137" s="6">
        <v>4</v>
      </c>
      <c r="G137" s="25">
        <v>4</v>
      </c>
      <c r="H137" s="25">
        <v>80994</v>
      </c>
      <c r="I137" s="6" t="s">
        <v>17</v>
      </c>
      <c r="J137" s="54">
        <v>83381319</v>
      </c>
      <c r="K137" s="54" t="s">
        <v>2692</v>
      </c>
      <c r="L137" s="54" t="s">
        <v>2693</v>
      </c>
      <c r="M137" s="55">
        <v>229900</v>
      </c>
      <c r="N137" s="37">
        <v>0.9</v>
      </c>
      <c r="O137" s="36">
        <f t="shared" si="8"/>
        <v>22990</v>
      </c>
      <c r="P137" s="6" t="s">
        <v>16</v>
      </c>
    </row>
    <row r="138" spans="1:16" x14ac:dyDescent="0.35">
      <c r="A138" s="34" t="s">
        <v>6642</v>
      </c>
      <c r="B138" s="7">
        <f t="shared" si="6"/>
        <v>46086</v>
      </c>
      <c r="C138" s="7">
        <f t="shared" si="7"/>
        <v>46092</v>
      </c>
      <c r="D138" s="6">
        <v>3281</v>
      </c>
      <c r="E138" s="6">
        <v>337</v>
      </c>
      <c r="F138" s="6">
        <v>4</v>
      </c>
      <c r="G138" s="25">
        <v>4</v>
      </c>
      <c r="H138" s="25">
        <v>80994</v>
      </c>
      <c r="I138" s="6" t="s">
        <v>17</v>
      </c>
      <c r="J138" s="54">
        <v>83381328</v>
      </c>
      <c r="K138" s="54" t="s">
        <v>2692</v>
      </c>
      <c r="L138" s="54" t="s">
        <v>2691</v>
      </c>
      <c r="M138" s="55">
        <v>229900</v>
      </c>
      <c r="N138" s="37">
        <v>0.9</v>
      </c>
      <c r="O138" s="36">
        <f t="shared" si="8"/>
        <v>22990</v>
      </c>
      <c r="P138" s="6" t="s">
        <v>16</v>
      </c>
    </row>
    <row r="139" spans="1:16" x14ac:dyDescent="0.35">
      <c r="A139" s="34" t="s">
        <v>6642</v>
      </c>
      <c r="B139" s="7">
        <f t="shared" si="6"/>
        <v>46086</v>
      </c>
      <c r="C139" s="7">
        <f t="shared" si="7"/>
        <v>46092</v>
      </c>
      <c r="D139" s="6">
        <v>3281</v>
      </c>
      <c r="E139" s="6">
        <v>337</v>
      </c>
      <c r="F139" s="6">
        <v>4</v>
      </c>
      <c r="G139" s="25">
        <v>4</v>
      </c>
      <c r="H139" s="25">
        <v>81146</v>
      </c>
      <c r="I139" s="6" t="s">
        <v>17</v>
      </c>
      <c r="J139" s="54">
        <v>81775540</v>
      </c>
      <c r="K139" s="54" t="s">
        <v>123</v>
      </c>
      <c r="L139" s="54" t="s">
        <v>124</v>
      </c>
      <c r="M139" s="55">
        <v>169900</v>
      </c>
      <c r="N139" s="37">
        <v>0.9</v>
      </c>
      <c r="O139" s="36">
        <f t="shared" si="8"/>
        <v>16990</v>
      </c>
      <c r="P139" s="6" t="s">
        <v>16</v>
      </c>
    </row>
    <row r="140" spans="1:16" x14ac:dyDescent="0.35">
      <c r="A140" s="34" t="s">
        <v>6642</v>
      </c>
      <c r="B140" s="7">
        <f t="shared" si="6"/>
        <v>46086</v>
      </c>
      <c r="C140" s="7">
        <f t="shared" si="7"/>
        <v>46092</v>
      </c>
      <c r="D140" s="6">
        <v>3281</v>
      </c>
      <c r="E140" s="6">
        <v>337</v>
      </c>
      <c r="F140" s="6">
        <v>4</v>
      </c>
      <c r="G140" s="25">
        <v>4</v>
      </c>
      <c r="H140" s="25">
        <v>81146</v>
      </c>
      <c r="I140" s="6" t="s">
        <v>17</v>
      </c>
      <c r="J140" s="54">
        <v>81775559</v>
      </c>
      <c r="K140" s="54" t="s">
        <v>123</v>
      </c>
      <c r="L140" s="54" t="s">
        <v>125</v>
      </c>
      <c r="M140" s="55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6642</v>
      </c>
      <c r="B141" s="7">
        <f t="shared" si="6"/>
        <v>46086</v>
      </c>
      <c r="C141" s="7">
        <f t="shared" si="7"/>
        <v>46092</v>
      </c>
      <c r="D141" s="6">
        <v>3281</v>
      </c>
      <c r="E141" s="6">
        <v>337</v>
      </c>
      <c r="F141" s="6">
        <v>4</v>
      </c>
      <c r="G141" s="25">
        <v>4</v>
      </c>
      <c r="H141" s="25">
        <v>81146</v>
      </c>
      <c r="I141" s="6" t="s">
        <v>17</v>
      </c>
      <c r="J141" s="54">
        <v>81775568</v>
      </c>
      <c r="K141" s="54" t="s">
        <v>123</v>
      </c>
      <c r="L141" s="54" t="s">
        <v>126</v>
      </c>
      <c r="M141" s="55">
        <v>169900</v>
      </c>
      <c r="N141" s="37">
        <v>0.9</v>
      </c>
      <c r="O141" s="36">
        <f t="shared" si="8"/>
        <v>16990</v>
      </c>
      <c r="P141" s="6" t="s">
        <v>16</v>
      </c>
    </row>
    <row r="142" spans="1:16" x14ac:dyDescent="0.35">
      <c r="A142" s="34" t="s">
        <v>6642</v>
      </c>
      <c r="B142" s="7">
        <f t="shared" si="6"/>
        <v>46086</v>
      </c>
      <c r="C142" s="7">
        <f t="shared" si="7"/>
        <v>46092</v>
      </c>
      <c r="D142" s="6">
        <v>3281</v>
      </c>
      <c r="E142" s="6">
        <v>337</v>
      </c>
      <c r="F142" s="6">
        <v>4</v>
      </c>
      <c r="G142" s="25">
        <v>4</v>
      </c>
      <c r="H142" s="25">
        <v>190</v>
      </c>
      <c r="I142" s="6" t="s">
        <v>17</v>
      </c>
      <c r="J142" s="54">
        <v>87434540</v>
      </c>
      <c r="K142" s="54" t="s">
        <v>64</v>
      </c>
      <c r="L142" s="54" t="s">
        <v>65</v>
      </c>
      <c r="M142" s="55">
        <v>249900</v>
      </c>
      <c r="N142" s="37">
        <v>0.9</v>
      </c>
      <c r="O142" s="36">
        <f t="shared" si="8"/>
        <v>24990</v>
      </c>
      <c r="P142" s="6" t="s">
        <v>16</v>
      </c>
    </row>
    <row r="143" spans="1:16" x14ac:dyDescent="0.35">
      <c r="A143" s="34" t="s">
        <v>6642</v>
      </c>
      <c r="B143" s="7">
        <f t="shared" si="6"/>
        <v>46086</v>
      </c>
      <c r="C143" s="7">
        <f t="shared" si="7"/>
        <v>46092</v>
      </c>
      <c r="D143" s="6">
        <v>3281</v>
      </c>
      <c r="E143" s="6">
        <v>337</v>
      </c>
      <c r="F143" s="6">
        <v>4</v>
      </c>
      <c r="G143" s="25">
        <v>4</v>
      </c>
      <c r="H143" s="25">
        <v>190</v>
      </c>
      <c r="I143" s="6" t="s">
        <v>17</v>
      </c>
      <c r="J143" s="54">
        <v>87434577</v>
      </c>
      <c r="K143" s="54" t="s">
        <v>64</v>
      </c>
      <c r="L143" s="54" t="s">
        <v>66</v>
      </c>
      <c r="M143" s="55">
        <v>249900</v>
      </c>
      <c r="N143" s="37">
        <v>0.9</v>
      </c>
      <c r="O143" s="36">
        <f t="shared" si="8"/>
        <v>24990</v>
      </c>
      <c r="P143" s="6" t="s">
        <v>16</v>
      </c>
    </row>
    <row r="144" spans="1:16" x14ac:dyDescent="0.35">
      <c r="A144" s="34" t="s">
        <v>6642</v>
      </c>
      <c r="B144" s="7">
        <f t="shared" si="6"/>
        <v>46086</v>
      </c>
      <c r="C144" s="7">
        <f t="shared" si="7"/>
        <v>46092</v>
      </c>
      <c r="D144" s="6">
        <v>3281</v>
      </c>
      <c r="E144" s="6">
        <v>337</v>
      </c>
      <c r="F144" s="6">
        <v>4</v>
      </c>
      <c r="G144" s="25">
        <v>4</v>
      </c>
      <c r="H144" s="25">
        <v>80920</v>
      </c>
      <c r="I144" s="6" t="s">
        <v>17</v>
      </c>
      <c r="J144" s="54">
        <v>75739805</v>
      </c>
      <c r="K144" s="54" t="s">
        <v>171</v>
      </c>
      <c r="L144" s="54" t="s">
        <v>172</v>
      </c>
      <c r="M144" s="55">
        <v>279900</v>
      </c>
      <c r="N144" s="37">
        <v>0.9</v>
      </c>
      <c r="O144" s="36">
        <f t="shared" si="8"/>
        <v>27990</v>
      </c>
      <c r="P144" s="6" t="s">
        <v>16</v>
      </c>
    </row>
    <row r="145" spans="1:16" x14ac:dyDescent="0.35">
      <c r="A145" s="34" t="s">
        <v>6642</v>
      </c>
      <c r="B145" s="7">
        <f t="shared" si="6"/>
        <v>46086</v>
      </c>
      <c r="C145" s="7">
        <f t="shared" si="7"/>
        <v>46092</v>
      </c>
      <c r="D145" s="6">
        <v>3281</v>
      </c>
      <c r="E145" s="6">
        <v>337</v>
      </c>
      <c r="F145" s="6">
        <v>4</v>
      </c>
      <c r="G145" s="25">
        <v>4</v>
      </c>
      <c r="H145" s="25">
        <v>80920</v>
      </c>
      <c r="I145" s="6" t="s">
        <v>17</v>
      </c>
      <c r="J145" s="54">
        <v>75739814</v>
      </c>
      <c r="K145" s="54" t="s">
        <v>171</v>
      </c>
      <c r="L145" s="54" t="s">
        <v>173</v>
      </c>
      <c r="M145" s="55">
        <v>279900</v>
      </c>
      <c r="N145" s="37">
        <v>0.9</v>
      </c>
      <c r="O145" s="36">
        <f t="shared" si="8"/>
        <v>27990</v>
      </c>
      <c r="P145" s="6" t="s">
        <v>16</v>
      </c>
    </row>
    <row r="146" spans="1:16" x14ac:dyDescent="0.35">
      <c r="A146" s="34" t="s">
        <v>6642</v>
      </c>
      <c r="B146" s="7">
        <f t="shared" si="6"/>
        <v>46086</v>
      </c>
      <c r="C146" s="7">
        <f t="shared" si="7"/>
        <v>46092</v>
      </c>
      <c r="D146" s="6">
        <v>3281</v>
      </c>
      <c r="E146" s="6">
        <v>337</v>
      </c>
      <c r="F146" s="6">
        <v>4</v>
      </c>
      <c r="G146" s="25">
        <v>4</v>
      </c>
      <c r="H146" s="25">
        <v>81736</v>
      </c>
      <c r="I146" s="6" t="s">
        <v>17</v>
      </c>
      <c r="J146" s="54">
        <v>13450741</v>
      </c>
      <c r="K146" s="54" t="s">
        <v>27</v>
      </c>
      <c r="L146" s="54" t="s">
        <v>29</v>
      </c>
      <c r="M146" s="55">
        <v>229900</v>
      </c>
      <c r="N146" s="37">
        <v>0.9</v>
      </c>
      <c r="O146" s="36">
        <f t="shared" si="8"/>
        <v>22990</v>
      </c>
      <c r="P146" s="6" t="s">
        <v>16</v>
      </c>
    </row>
    <row r="147" spans="1:16" x14ac:dyDescent="0.35">
      <c r="A147" s="34" t="s">
        <v>6642</v>
      </c>
      <c r="B147" s="7">
        <f t="shared" si="6"/>
        <v>46086</v>
      </c>
      <c r="C147" s="7">
        <f t="shared" si="7"/>
        <v>46092</v>
      </c>
      <c r="D147" s="6">
        <v>3281</v>
      </c>
      <c r="E147" s="6">
        <v>337</v>
      </c>
      <c r="F147" s="6">
        <v>4</v>
      </c>
      <c r="G147" s="25">
        <v>4</v>
      </c>
      <c r="H147" s="25">
        <v>81736</v>
      </c>
      <c r="I147" s="6" t="s">
        <v>17</v>
      </c>
      <c r="J147" s="54">
        <v>13450750</v>
      </c>
      <c r="K147" s="54" t="s">
        <v>27</v>
      </c>
      <c r="L147" s="54" t="s">
        <v>30</v>
      </c>
      <c r="M147" s="55">
        <v>229900</v>
      </c>
      <c r="N147" s="37">
        <v>0.9</v>
      </c>
      <c r="O147" s="36">
        <f t="shared" si="8"/>
        <v>22990</v>
      </c>
      <c r="P147" s="6" t="s">
        <v>16</v>
      </c>
    </row>
    <row r="148" spans="1:16" x14ac:dyDescent="0.35">
      <c r="A148" s="34" t="s">
        <v>6642</v>
      </c>
      <c r="B148" s="7">
        <f t="shared" si="6"/>
        <v>46086</v>
      </c>
      <c r="C148" s="7">
        <f t="shared" si="7"/>
        <v>46092</v>
      </c>
      <c r="D148" s="6">
        <v>3281</v>
      </c>
      <c r="E148" s="6">
        <v>337</v>
      </c>
      <c r="F148" s="6">
        <v>4</v>
      </c>
      <c r="G148" s="25">
        <v>4</v>
      </c>
      <c r="H148" s="25">
        <v>81736</v>
      </c>
      <c r="I148" s="6" t="s">
        <v>17</v>
      </c>
      <c r="J148" s="54">
        <v>13450769</v>
      </c>
      <c r="K148" s="54" t="s">
        <v>27</v>
      </c>
      <c r="L148" s="54" t="s">
        <v>31</v>
      </c>
      <c r="M148" s="55">
        <v>229900</v>
      </c>
      <c r="N148" s="37">
        <v>0.9</v>
      </c>
      <c r="O148" s="36">
        <f t="shared" si="8"/>
        <v>22990</v>
      </c>
      <c r="P148" s="6" t="s">
        <v>16</v>
      </c>
    </row>
    <row r="149" spans="1:16" x14ac:dyDescent="0.35">
      <c r="A149" s="34" t="s">
        <v>6642</v>
      </c>
      <c r="B149" s="7">
        <f t="shared" si="6"/>
        <v>46086</v>
      </c>
      <c r="C149" s="7">
        <f t="shared" si="7"/>
        <v>46092</v>
      </c>
      <c r="D149" s="6">
        <v>3281</v>
      </c>
      <c r="E149" s="6">
        <v>337</v>
      </c>
      <c r="F149" s="6">
        <v>4</v>
      </c>
      <c r="G149" s="25">
        <v>4</v>
      </c>
      <c r="H149" s="25">
        <v>81736</v>
      </c>
      <c r="I149" s="6" t="s">
        <v>17</v>
      </c>
      <c r="J149" s="54">
        <v>13450778</v>
      </c>
      <c r="K149" s="54" t="s">
        <v>27</v>
      </c>
      <c r="L149" s="54" t="s">
        <v>28</v>
      </c>
      <c r="M149" s="55">
        <v>229900</v>
      </c>
      <c r="N149" s="37">
        <v>0.9</v>
      </c>
      <c r="O149" s="36">
        <f t="shared" si="8"/>
        <v>22990</v>
      </c>
      <c r="P149" s="6" t="s">
        <v>16</v>
      </c>
    </row>
    <row r="150" spans="1:16" x14ac:dyDescent="0.35">
      <c r="A150" s="34" t="s">
        <v>6642</v>
      </c>
      <c r="B150" s="7">
        <f t="shared" si="6"/>
        <v>46086</v>
      </c>
      <c r="C150" s="7">
        <f t="shared" si="7"/>
        <v>46092</v>
      </c>
      <c r="D150" s="6">
        <v>3281</v>
      </c>
      <c r="E150" s="6">
        <v>337</v>
      </c>
      <c r="F150" s="6">
        <v>4</v>
      </c>
      <c r="G150" s="25">
        <v>4</v>
      </c>
      <c r="H150" s="25">
        <v>81574</v>
      </c>
      <c r="I150" s="6" t="s">
        <v>17</v>
      </c>
      <c r="J150" s="54">
        <v>79528268</v>
      </c>
      <c r="K150" s="54" t="s">
        <v>241</v>
      </c>
      <c r="L150" s="54" t="s">
        <v>242</v>
      </c>
      <c r="M150" s="55">
        <v>319900</v>
      </c>
      <c r="N150" s="37">
        <v>0.9</v>
      </c>
      <c r="O150" s="36">
        <f t="shared" si="8"/>
        <v>31990</v>
      </c>
      <c r="P150" s="6" t="s">
        <v>16</v>
      </c>
    </row>
    <row r="151" spans="1:16" x14ac:dyDescent="0.35">
      <c r="A151" s="34" t="s">
        <v>6642</v>
      </c>
      <c r="B151" s="7">
        <f t="shared" si="6"/>
        <v>46086</v>
      </c>
      <c r="C151" s="7">
        <f t="shared" si="7"/>
        <v>46092</v>
      </c>
      <c r="D151" s="6">
        <v>3281</v>
      </c>
      <c r="E151" s="6">
        <v>337</v>
      </c>
      <c r="F151" s="6">
        <v>4</v>
      </c>
      <c r="G151" s="25">
        <v>4</v>
      </c>
      <c r="H151" s="25">
        <v>81574</v>
      </c>
      <c r="I151" s="6" t="s">
        <v>17</v>
      </c>
      <c r="J151" s="54">
        <v>79528277</v>
      </c>
      <c r="K151" s="54" t="s">
        <v>241</v>
      </c>
      <c r="L151" s="54" t="s">
        <v>243</v>
      </c>
      <c r="M151" s="55">
        <v>319900</v>
      </c>
      <c r="N151" s="37">
        <v>0.9</v>
      </c>
      <c r="O151" s="36">
        <f t="shared" si="8"/>
        <v>31990</v>
      </c>
      <c r="P151" s="6" t="s">
        <v>16</v>
      </c>
    </row>
    <row r="152" spans="1:16" x14ac:dyDescent="0.35">
      <c r="A152" s="34" t="s">
        <v>6642</v>
      </c>
      <c r="B152" s="7">
        <f t="shared" si="6"/>
        <v>46086</v>
      </c>
      <c r="C152" s="7">
        <f t="shared" si="7"/>
        <v>46092</v>
      </c>
      <c r="D152" s="6">
        <v>3281</v>
      </c>
      <c r="E152" s="6">
        <v>337</v>
      </c>
      <c r="F152" s="6">
        <v>4</v>
      </c>
      <c r="G152" s="25">
        <v>4</v>
      </c>
      <c r="H152" s="25">
        <v>81574</v>
      </c>
      <c r="I152" s="6" t="s">
        <v>17</v>
      </c>
      <c r="J152" s="54">
        <v>79528286</v>
      </c>
      <c r="K152" s="54" t="s">
        <v>241</v>
      </c>
      <c r="L152" s="54" t="s">
        <v>244</v>
      </c>
      <c r="M152" s="55">
        <v>319900</v>
      </c>
      <c r="N152" s="37">
        <v>0.9</v>
      </c>
      <c r="O152" s="36">
        <f t="shared" si="8"/>
        <v>31990</v>
      </c>
      <c r="P152" s="6" t="s">
        <v>16</v>
      </c>
    </row>
    <row r="153" spans="1:16" x14ac:dyDescent="0.35">
      <c r="A153" s="34" t="s">
        <v>6642</v>
      </c>
      <c r="B153" s="7">
        <f t="shared" si="6"/>
        <v>46086</v>
      </c>
      <c r="C153" s="7">
        <f t="shared" si="7"/>
        <v>46092</v>
      </c>
      <c r="D153" s="6">
        <v>3281</v>
      </c>
      <c r="E153" s="6">
        <v>337</v>
      </c>
      <c r="F153" s="6">
        <v>4</v>
      </c>
      <c r="G153" s="25">
        <v>4</v>
      </c>
      <c r="H153" s="25">
        <v>81574</v>
      </c>
      <c r="I153" s="6" t="s">
        <v>17</v>
      </c>
      <c r="J153" s="54">
        <v>79532575</v>
      </c>
      <c r="K153" s="54" t="s">
        <v>166</v>
      </c>
      <c r="L153" s="54" t="s">
        <v>167</v>
      </c>
      <c r="M153" s="55">
        <v>319900</v>
      </c>
      <c r="N153" s="37">
        <v>0.9</v>
      </c>
      <c r="O153" s="36">
        <f t="shared" si="8"/>
        <v>31990</v>
      </c>
      <c r="P153" s="6" t="s">
        <v>16</v>
      </c>
    </row>
    <row r="154" spans="1:16" x14ac:dyDescent="0.35">
      <c r="A154" s="34" t="s">
        <v>6642</v>
      </c>
      <c r="B154" s="7">
        <f t="shared" si="6"/>
        <v>46086</v>
      </c>
      <c r="C154" s="7">
        <f t="shared" si="7"/>
        <v>46092</v>
      </c>
      <c r="D154" s="6">
        <v>3281</v>
      </c>
      <c r="E154" s="6">
        <v>337</v>
      </c>
      <c r="F154" s="6">
        <v>4</v>
      </c>
      <c r="G154" s="25">
        <v>4</v>
      </c>
      <c r="H154" s="25">
        <v>81574</v>
      </c>
      <c r="I154" s="6" t="s">
        <v>17</v>
      </c>
      <c r="J154" s="54">
        <v>79532584</v>
      </c>
      <c r="K154" s="54" t="s">
        <v>166</v>
      </c>
      <c r="L154" s="54" t="s">
        <v>168</v>
      </c>
      <c r="M154" s="55">
        <v>319900</v>
      </c>
      <c r="N154" s="37">
        <v>0.9</v>
      </c>
      <c r="O154" s="36">
        <f t="shared" si="8"/>
        <v>31990</v>
      </c>
      <c r="P154" s="6" t="s">
        <v>16</v>
      </c>
    </row>
    <row r="155" spans="1:16" x14ac:dyDescent="0.35">
      <c r="A155" s="34" t="s">
        <v>6642</v>
      </c>
      <c r="B155" s="7">
        <f t="shared" si="6"/>
        <v>46086</v>
      </c>
      <c r="C155" s="7">
        <f t="shared" si="7"/>
        <v>46092</v>
      </c>
      <c r="D155" s="6">
        <v>3281</v>
      </c>
      <c r="E155" s="6">
        <v>337</v>
      </c>
      <c r="F155" s="6">
        <v>4</v>
      </c>
      <c r="G155" s="25">
        <v>4</v>
      </c>
      <c r="H155" s="25">
        <v>81574</v>
      </c>
      <c r="I155" s="6" t="s">
        <v>17</v>
      </c>
      <c r="J155" s="54">
        <v>79532593</v>
      </c>
      <c r="K155" s="54" t="s">
        <v>166</v>
      </c>
      <c r="L155" s="54" t="s">
        <v>169</v>
      </c>
      <c r="M155" s="55">
        <v>319900</v>
      </c>
      <c r="N155" s="37">
        <v>0.9</v>
      </c>
      <c r="O155" s="36">
        <f t="shared" si="8"/>
        <v>31990</v>
      </c>
      <c r="P155" s="6" t="s">
        <v>16</v>
      </c>
    </row>
    <row r="156" spans="1:16" x14ac:dyDescent="0.35">
      <c r="A156" s="34" t="s">
        <v>6642</v>
      </c>
      <c r="B156" s="7">
        <f t="shared" si="6"/>
        <v>46086</v>
      </c>
      <c r="C156" s="7">
        <f t="shared" si="7"/>
        <v>46092</v>
      </c>
      <c r="D156" s="6">
        <v>3281</v>
      </c>
      <c r="E156" s="6">
        <v>337</v>
      </c>
      <c r="F156" s="6">
        <v>4</v>
      </c>
      <c r="G156" s="25">
        <v>4</v>
      </c>
      <c r="H156" s="25">
        <v>81574</v>
      </c>
      <c r="I156" s="6" t="s">
        <v>17</v>
      </c>
      <c r="J156" s="54">
        <v>79532600</v>
      </c>
      <c r="K156" s="54" t="s">
        <v>166</v>
      </c>
      <c r="L156" s="54" t="s">
        <v>170</v>
      </c>
      <c r="M156" s="55">
        <v>319900</v>
      </c>
      <c r="N156" s="37">
        <v>0.9</v>
      </c>
      <c r="O156" s="36">
        <f t="shared" si="8"/>
        <v>31990</v>
      </c>
      <c r="P156" s="6" t="s">
        <v>16</v>
      </c>
    </row>
    <row r="157" spans="1:16" x14ac:dyDescent="0.35">
      <c r="A157" s="34" t="s">
        <v>6642</v>
      </c>
      <c r="B157" s="7">
        <f t="shared" si="6"/>
        <v>46086</v>
      </c>
      <c r="C157" s="7">
        <f t="shared" si="7"/>
        <v>46092</v>
      </c>
      <c r="D157" s="6">
        <v>3281</v>
      </c>
      <c r="E157" s="6">
        <v>337</v>
      </c>
      <c r="F157" s="6">
        <v>4</v>
      </c>
      <c r="G157" s="25">
        <v>5</v>
      </c>
      <c r="H157" s="25">
        <v>80994</v>
      </c>
      <c r="I157" s="6" t="s">
        <v>17</v>
      </c>
      <c r="J157" s="54">
        <v>75739912</v>
      </c>
      <c r="K157" s="54" t="s">
        <v>196</v>
      </c>
      <c r="L157" s="54" t="s">
        <v>197</v>
      </c>
      <c r="M157" s="55">
        <v>259900</v>
      </c>
      <c r="N157" s="37">
        <v>0.9</v>
      </c>
      <c r="O157" s="36">
        <f t="shared" si="8"/>
        <v>25990</v>
      </c>
      <c r="P157" s="6" t="s">
        <v>16</v>
      </c>
    </row>
    <row r="158" spans="1:16" x14ac:dyDescent="0.35">
      <c r="A158" s="34" t="s">
        <v>6642</v>
      </c>
      <c r="B158" s="7">
        <f t="shared" si="6"/>
        <v>46086</v>
      </c>
      <c r="C158" s="7">
        <f t="shared" si="7"/>
        <v>46092</v>
      </c>
      <c r="D158" s="6">
        <v>3281</v>
      </c>
      <c r="E158" s="6">
        <v>337</v>
      </c>
      <c r="F158" s="6">
        <v>4</v>
      </c>
      <c r="G158" s="25">
        <v>5</v>
      </c>
      <c r="H158" s="25">
        <v>80994</v>
      </c>
      <c r="I158" s="6" t="s">
        <v>17</v>
      </c>
      <c r="J158" s="54">
        <v>75739921</v>
      </c>
      <c r="K158" s="54" t="s">
        <v>196</v>
      </c>
      <c r="L158" s="54" t="s">
        <v>198</v>
      </c>
      <c r="M158" s="55">
        <v>259900</v>
      </c>
      <c r="N158" s="37">
        <v>0.9</v>
      </c>
      <c r="O158" s="36">
        <f t="shared" si="8"/>
        <v>25990</v>
      </c>
      <c r="P158" s="6" t="s">
        <v>16</v>
      </c>
    </row>
    <row r="159" spans="1:16" x14ac:dyDescent="0.35">
      <c r="A159" s="34" t="s">
        <v>6642</v>
      </c>
      <c r="B159" s="7">
        <f t="shared" si="6"/>
        <v>46086</v>
      </c>
      <c r="C159" s="7">
        <f t="shared" si="7"/>
        <v>46092</v>
      </c>
      <c r="D159" s="6">
        <v>3281</v>
      </c>
      <c r="E159" s="6">
        <v>337</v>
      </c>
      <c r="F159" s="6">
        <v>4</v>
      </c>
      <c r="G159" s="25">
        <v>5</v>
      </c>
      <c r="H159" s="25">
        <v>80994</v>
      </c>
      <c r="I159" s="6" t="s">
        <v>17</v>
      </c>
      <c r="J159" s="54">
        <v>75739930</v>
      </c>
      <c r="K159" s="54" t="s">
        <v>196</v>
      </c>
      <c r="L159" s="54" t="s">
        <v>199</v>
      </c>
      <c r="M159" s="55">
        <v>259900</v>
      </c>
      <c r="N159" s="37">
        <v>0.9</v>
      </c>
      <c r="O159" s="36">
        <f t="shared" si="8"/>
        <v>25990</v>
      </c>
      <c r="P159" s="6" t="s">
        <v>16</v>
      </c>
    </row>
    <row r="160" spans="1:16" x14ac:dyDescent="0.35">
      <c r="A160" s="34" t="s">
        <v>6642</v>
      </c>
      <c r="B160" s="7">
        <f t="shared" si="6"/>
        <v>46086</v>
      </c>
      <c r="C160" s="7">
        <f t="shared" si="7"/>
        <v>46092</v>
      </c>
      <c r="D160" s="6">
        <v>3281</v>
      </c>
      <c r="E160" s="6">
        <v>337</v>
      </c>
      <c r="F160" s="6">
        <v>4</v>
      </c>
      <c r="G160" s="25">
        <v>5</v>
      </c>
      <c r="H160" s="25">
        <v>80994</v>
      </c>
      <c r="I160" s="6" t="s">
        <v>17</v>
      </c>
      <c r="J160" s="54">
        <v>75739949</v>
      </c>
      <c r="K160" s="54" t="s">
        <v>196</v>
      </c>
      <c r="L160" s="54" t="s">
        <v>200</v>
      </c>
      <c r="M160" s="55">
        <v>259900</v>
      </c>
      <c r="N160" s="37">
        <v>0.9</v>
      </c>
      <c r="O160" s="36">
        <f t="shared" si="8"/>
        <v>25990</v>
      </c>
      <c r="P160" s="6" t="s">
        <v>16</v>
      </c>
    </row>
    <row r="161" spans="1:16" x14ac:dyDescent="0.35">
      <c r="A161" s="34" t="s">
        <v>6642</v>
      </c>
      <c r="B161" s="7">
        <f t="shared" si="6"/>
        <v>46086</v>
      </c>
      <c r="C161" s="7">
        <f t="shared" si="7"/>
        <v>46092</v>
      </c>
      <c r="D161" s="6">
        <v>3281</v>
      </c>
      <c r="E161" s="6">
        <v>337</v>
      </c>
      <c r="F161" s="6">
        <v>4</v>
      </c>
      <c r="G161" s="25">
        <v>5</v>
      </c>
      <c r="H161" s="25">
        <v>80994</v>
      </c>
      <c r="I161" s="6" t="s">
        <v>17</v>
      </c>
      <c r="J161" s="54">
        <v>75739958</v>
      </c>
      <c r="K161" s="54" t="s">
        <v>201</v>
      </c>
      <c r="L161" s="54" t="s">
        <v>202</v>
      </c>
      <c r="M161" s="55">
        <v>259900</v>
      </c>
      <c r="N161" s="37">
        <v>0.9</v>
      </c>
      <c r="O161" s="36">
        <f t="shared" si="8"/>
        <v>25990</v>
      </c>
      <c r="P161" s="6" t="s">
        <v>16</v>
      </c>
    </row>
    <row r="162" spans="1:16" x14ac:dyDescent="0.35">
      <c r="A162" s="34" t="s">
        <v>6642</v>
      </c>
      <c r="B162" s="7">
        <f t="shared" si="6"/>
        <v>46086</v>
      </c>
      <c r="C162" s="7">
        <f t="shared" si="7"/>
        <v>46092</v>
      </c>
      <c r="D162" s="6">
        <v>3281</v>
      </c>
      <c r="E162" s="6">
        <v>337</v>
      </c>
      <c r="F162" s="6">
        <v>4</v>
      </c>
      <c r="G162" s="25">
        <v>5</v>
      </c>
      <c r="H162" s="25">
        <v>80994</v>
      </c>
      <c r="I162" s="6" t="s">
        <v>17</v>
      </c>
      <c r="J162" s="54">
        <v>75739976</v>
      </c>
      <c r="K162" s="54" t="s">
        <v>201</v>
      </c>
      <c r="L162" s="54" t="s">
        <v>203</v>
      </c>
      <c r="M162" s="55">
        <v>259900</v>
      </c>
      <c r="N162" s="37">
        <v>0.9</v>
      </c>
      <c r="O162" s="36">
        <f t="shared" si="8"/>
        <v>25990</v>
      </c>
      <c r="P162" s="6" t="s">
        <v>16</v>
      </c>
    </row>
    <row r="163" spans="1:16" x14ac:dyDescent="0.35">
      <c r="A163" s="34" t="s">
        <v>6642</v>
      </c>
      <c r="B163" s="7">
        <f t="shared" si="6"/>
        <v>46086</v>
      </c>
      <c r="C163" s="7">
        <f t="shared" si="7"/>
        <v>46092</v>
      </c>
      <c r="D163" s="6">
        <v>3281</v>
      </c>
      <c r="E163" s="6">
        <v>337</v>
      </c>
      <c r="F163" s="6">
        <v>4</v>
      </c>
      <c r="G163" s="25">
        <v>5</v>
      </c>
      <c r="H163" s="25">
        <v>80994</v>
      </c>
      <c r="I163" s="6" t="s">
        <v>17</v>
      </c>
      <c r="J163" s="54">
        <v>75739985</v>
      </c>
      <c r="K163" s="54" t="s">
        <v>201</v>
      </c>
      <c r="L163" s="54" t="s">
        <v>204</v>
      </c>
      <c r="M163" s="55">
        <v>259900</v>
      </c>
      <c r="N163" s="37">
        <v>0.9</v>
      </c>
      <c r="O163" s="36">
        <f t="shared" si="8"/>
        <v>25990</v>
      </c>
      <c r="P163" s="6" t="s">
        <v>16</v>
      </c>
    </row>
    <row r="164" spans="1:16" x14ac:dyDescent="0.35">
      <c r="A164" s="34" t="s">
        <v>6642</v>
      </c>
      <c r="B164" s="7">
        <f t="shared" si="6"/>
        <v>46086</v>
      </c>
      <c r="C164" s="7">
        <f t="shared" si="7"/>
        <v>46092</v>
      </c>
      <c r="D164" s="6">
        <v>3281</v>
      </c>
      <c r="E164" s="6">
        <v>337</v>
      </c>
      <c r="F164" s="6">
        <v>4</v>
      </c>
      <c r="G164" s="25">
        <v>5</v>
      </c>
      <c r="H164" s="25">
        <v>80994</v>
      </c>
      <c r="I164" s="6" t="s">
        <v>17</v>
      </c>
      <c r="J164" s="54">
        <v>76638752</v>
      </c>
      <c r="K164" s="54" t="s">
        <v>205</v>
      </c>
      <c r="L164" s="54" t="s">
        <v>206</v>
      </c>
      <c r="M164" s="55">
        <v>249900</v>
      </c>
      <c r="N164" s="37">
        <v>0.9</v>
      </c>
      <c r="O164" s="36">
        <f t="shared" si="8"/>
        <v>24990</v>
      </c>
      <c r="P164" s="6" t="s">
        <v>16</v>
      </c>
    </row>
    <row r="165" spans="1:16" x14ac:dyDescent="0.35">
      <c r="A165" s="34" t="s">
        <v>6642</v>
      </c>
      <c r="B165" s="7">
        <f t="shared" si="6"/>
        <v>46086</v>
      </c>
      <c r="C165" s="7">
        <f t="shared" si="7"/>
        <v>46092</v>
      </c>
      <c r="D165" s="6">
        <v>3281</v>
      </c>
      <c r="E165" s="6">
        <v>337</v>
      </c>
      <c r="F165" s="6">
        <v>4</v>
      </c>
      <c r="G165" s="25">
        <v>5</v>
      </c>
      <c r="H165" s="25">
        <v>80994</v>
      </c>
      <c r="I165" s="6" t="s">
        <v>17</v>
      </c>
      <c r="J165" s="54">
        <v>76638761</v>
      </c>
      <c r="K165" s="54" t="s">
        <v>205</v>
      </c>
      <c r="L165" s="54" t="s">
        <v>207</v>
      </c>
      <c r="M165" s="55">
        <v>249900</v>
      </c>
      <c r="N165" s="37">
        <v>0.9</v>
      </c>
      <c r="O165" s="36">
        <f t="shared" si="8"/>
        <v>24990</v>
      </c>
      <c r="P165" s="6" t="s">
        <v>16</v>
      </c>
    </row>
    <row r="166" spans="1:16" x14ac:dyDescent="0.35">
      <c r="A166" s="34" t="s">
        <v>6642</v>
      </c>
      <c r="B166" s="7">
        <f t="shared" si="6"/>
        <v>46086</v>
      </c>
      <c r="C166" s="7">
        <f t="shared" si="7"/>
        <v>46092</v>
      </c>
      <c r="D166" s="6">
        <v>3281</v>
      </c>
      <c r="E166" s="6">
        <v>337</v>
      </c>
      <c r="F166" s="6">
        <v>4</v>
      </c>
      <c r="G166" s="25">
        <v>5</v>
      </c>
      <c r="H166" s="25">
        <v>80994</v>
      </c>
      <c r="I166" s="6" t="s">
        <v>17</v>
      </c>
      <c r="J166" s="54">
        <v>76638789</v>
      </c>
      <c r="K166" s="54" t="s">
        <v>208</v>
      </c>
      <c r="L166" s="54" t="s">
        <v>209</v>
      </c>
      <c r="M166" s="55">
        <v>259900</v>
      </c>
      <c r="N166" s="37">
        <v>0.9</v>
      </c>
      <c r="O166" s="36">
        <f t="shared" si="8"/>
        <v>25990</v>
      </c>
      <c r="P166" s="6" t="s">
        <v>16</v>
      </c>
    </row>
    <row r="167" spans="1:16" x14ac:dyDescent="0.35">
      <c r="A167" s="34" t="s">
        <v>6642</v>
      </c>
      <c r="B167" s="7">
        <f t="shared" si="6"/>
        <v>46086</v>
      </c>
      <c r="C167" s="7">
        <f t="shared" si="7"/>
        <v>46092</v>
      </c>
      <c r="D167" s="6">
        <v>3281</v>
      </c>
      <c r="E167" s="6">
        <v>337</v>
      </c>
      <c r="F167" s="6">
        <v>4</v>
      </c>
      <c r="G167" s="25">
        <v>5</v>
      </c>
      <c r="H167" s="25">
        <v>80994</v>
      </c>
      <c r="I167" s="6" t="s">
        <v>17</v>
      </c>
      <c r="J167" s="54">
        <v>76638805</v>
      </c>
      <c r="K167" s="54" t="s">
        <v>208</v>
      </c>
      <c r="L167" s="54" t="s">
        <v>210</v>
      </c>
      <c r="M167" s="55">
        <v>259900</v>
      </c>
      <c r="N167" s="37">
        <v>0.9</v>
      </c>
      <c r="O167" s="36">
        <f t="shared" si="8"/>
        <v>25990</v>
      </c>
      <c r="P167" s="6" t="s">
        <v>16</v>
      </c>
    </row>
    <row r="168" spans="1:16" x14ac:dyDescent="0.35">
      <c r="A168" s="34" t="s">
        <v>6642</v>
      </c>
      <c r="B168" s="7">
        <f t="shared" si="6"/>
        <v>46086</v>
      </c>
      <c r="C168" s="7">
        <f t="shared" si="7"/>
        <v>46092</v>
      </c>
      <c r="D168" s="6">
        <v>3281</v>
      </c>
      <c r="E168" s="6">
        <v>337</v>
      </c>
      <c r="F168" s="6">
        <v>4</v>
      </c>
      <c r="G168" s="25">
        <v>5</v>
      </c>
      <c r="H168" s="25">
        <v>80994</v>
      </c>
      <c r="I168" s="6" t="s">
        <v>17</v>
      </c>
      <c r="J168" s="54">
        <v>83381337</v>
      </c>
      <c r="K168" s="54" t="s">
        <v>36</v>
      </c>
      <c r="L168" s="54" t="s">
        <v>38</v>
      </c>
      <c r="M168" s="55">
        <v>259900</v>
      </c>
      <c r="N168" s="37">
        <v>0.9</v>
      </c>
      <c r="O168" s="36">
        <f t="shared" si="8"/>
        <v>25990</v>
      </c>
      <c r="P168" s="6" t="s">
        <v>16</v>
      </c>
    </row>
    <row r="169" spans="1:16" x14ac:dyDescent="0.35">
      <c r="A169" s="34" t="s">
        <v>6642</v>
      </c>
      <c r="B169" s="7">
        <f t="shared" si="6"/>
        <v>46086</v>
      </c>
      <c r="C169" s="7">
        <f t="shared" si="7"/>
        <v>46092</v>
      </c>
      <c r="D169" s="6">
        <v>3281</v>
      </c>
      <c r="E169" s="6">
        <v>337</v>
      </c>
      <c r="F169" s="6">
        <v>4</v>
      </c>
      <c r="G169" s="25">
        <v>5</v>
      </c>
      <c r="H169" s="25">
        <v>80994</v>
      </c>
      <c r="I169" s="6" t="s">
        <v>17</v>
      </c>
      <c r="J169" s="54">
        <v>83381346</v>
      </c>
      <c r="K169" s="54" t="s">
        <v>36</v>
      </c>
      <c r="L169" s="54" t="s">
        <v>39</v>
      </c>
      <c r="M169" s="55">
        <v>259900</v>
      </c>
      <c r="N169" s="37">
        <v>0.9</v>
      </c>
      <c r="O169" s="36">
        <f t="shared" si="8"/>
        <v>25990</v>
      </c>
      <c r="P169" s="6" t="s">
        <v>16</v>
      </c>
    </row>
    <row r="170" spans="1:16" x14ac:dyDescent="0.35">
      <c r="A170" s="34" t="s">
        <v>6642</v>
      </c>
      <c r="B170" s="7">
        <f t="shared" si="6"/>
        <v>46086</v>
      </c>
      <c r="C170" s="7">
        <f t="shared" si="7"/>
        <v>46092</v>
      </c>
      <c r="D170" s="6">
        <v>3281</v>
      </c>
      <c r="E170" s="6">
        <v>337</v>
      </c>
      <c r="F170" s="6">
        <v>4</v>
      </c>
      <c r="G170" s="25">
        <v>5</v>
      </c>
      <c r="H170" s="25">
        <v>80994</v>
      </c>
      <c r="I170" s="6" t="s">
        <v>17</v>
      </c>
      <c r="J170" s="54">
        <v>83381355</v>
      </c>
      <c r="K170" s="54" t="s">
        <v>36</v>
      </c>
      <c r="L170" s="54" t="s">
        <v>40</v>
      </c>
      <c r="M170" s="55">
        <v>259900</v>
      </c>
      <c r="N170" s="37">
        <v>0.9</v>
      </c>
      <c r="O170" s="36">
        <f t="shared" si="8"/>
        <v>25990</v>
      </c>
      <c r="P170" s="6" t="s">
        <v>16</v>
      </c>
    </row>
    <row r="171" spans="1:16" x14ac:dyDescent="0.35">
      <c r="A171" s="34" t="s">
        <v>6642</v>
      </c>
      <c r="B171" s="7">
        <f t="shared" si="6"/>
        <v>46086</v>
      </c>
      <c r="C171" s="7">
        <f t="shared" si="7"/>
        <v>46092</v>
      </c>
      <c r="D171" s="6">
        <v>3281</v>
      </c>
      <c r="E171" s="6">
        <v>337</v>
      </c>
      <c r="F171" s="6">
        <v>4</v>
      </c>
      <c r="G171" s="25">
        <v>5</v>
      </c>
      <c r="H171" s="25">
        <v>80994</v>
      </c>
      <c r="I171" s="6" t="s">
        <v>17</v>
      </c>
      <c r="J171" s="54">
        <v>83381364</v>
      </c>
      <c r="K171" s="54" t="s">
        <v>36</v>
      </c>
      <c r="L171" s="54" t="s">
        <v>37</v>
      </c>
      <c r="M171" s="55">
        <v>259900</v>
      </c>
      <c r="N171" s="37">
        <v>0.9</v>
      </c>
      <c r="O171" s="36">
        <f t="shared" si="8"/>
        <v>25990</v>
      </c>
      <c r="P171" s="6" t="s">
        <v>16</v>
      </c>
    </row>
    <row r="172" spans="1:16" x14ac:dyDescent="0.35">
      <c r="A172" s="34" t="s">
        <v>6642</v>
      </c>
      <c r="B172" s="7">
        <f t="shared" si="6"/>
        <v>46086</v>
      </c>
      <c r="C172" s="7">
        <f t="shared" si="7"/>
        <v>46092</v>
      </c>
      <c r="D172" s="6">
        <v>3281</v>
      </c>
      <c r="E172" s="6">
        <v>337</v>
      </c>
      <c r="F172" s="6">
        <v>4</v>
      </c>
      <c r="G172" s="25">
        <v>5</v>
      </c>
      <c r="H172" s="25">
        <v>81146</v>
      </c>
      <c r="I172" s="6" t="s">
        <v>17</v>
      </c>
      <c r="J172" s="54">
        <v>81754723</v>
      </c>
      <c r="K172" s="54" t="s">
        <v>127</v>
      </c>
      <c r="L172" s="54" t="s">
        <v>128</v>
      </c>
      <c r="M172" s="55">
        <v>219900</v>
      </c>
      <c r="N172" s="37">
        <v>0.9</v>
      </c>
      <c r="O172" s="36">
        <f t="shared" si="8"/>
        <v>21990</v>
      </c>
      <c r="P172" s="6" t="s">
        <v>16</v>
      </c>
    </row>
    <row r="173" spans="1:16" x14ac:dyDescent="0.35">
      <c r="A173" s="34" t="s">
        <v>6642</v>
      </c>
      <c r="B173" s="7">
        <f t="shared" si="6"/>
        <v>46086</v>
      </c>
      <c r="C173" s="7">
        <f t="shared" si="7"/>
        <v>46092</v>
      </c>
      <c r="D173" s="6">
        <v>3281</v>
      </c>
      <c r="E173" s="6">
        <v>337</v>
      </c>
      <c r="F173" s="6">
        <v>4</v>
      </c>
      <c r="G173" s="25">
        <v>5</v>
      </c>
      <c r="H173" s="25">
        <v>81146</v>
      </c>
      <c r="I173" s="6" t="s">
        <v>17</v>
      </c>
      <c r="J173" s="54">
        <v>81754741</v>
      </c>
      <c r="K173" s="54" t="s">
        <v>127</v>
      </c>
      <c r="L173" s="54" t="s">
        <v>129</v>
      </c>
      <c r="M173" s="55">
        <v>219900</v>
      </c>
      <c r="N173" s="37">
        <v>0.9</v>
      </c>
      <c r="O173" s="36">
        <f t="shared" si="8"/>
        <v>21990</v>
      </c>
      <c r="P173" s="6" t="s">
        <v>16</v>
      </c>
    </row>
    <row r="174" spans="1:16" x14ac:dyDescent="0.35">
      <c r="A174" s="34" t="s">
        <v>6642</v>
      </c>
      <c r="B174" s="7">
        <f t="shared" si="6"/>
        <v>46086</v>
      </c>
      <c r="C174" s="7">
        <f t="shared" si="7"/>
        <v>46092</v>
      </c>
      <c r="D174" s="6">
        <v>3281</v>
      </c>
      <c r="E174" s="6">
        <v>337</v>
      </c>
      <c r="F174" s="6">
        <v>4</v>
      </c>
      <c r="G174" s="25">
        <v>5</v>
      </c>
      <c r="H174" s="25">
        <v>81146</v>
      </c>
      <c r="I174" s="6" t="s">
        <v>17</v>
      </c>
      <c r="J174" s="54">
        <v>81754750</v>
      </c>
      <c r="K174" s="54" t="s">
        <v>127</v>
      </c>
      <c r="L174" s="54" t="s">
        <v>130</v>
      </c>
      <c r="M174" s="55">
        <v>219900</v>
      </c>
      <c r="N174" s="37">
        <v>0.9</v>
      </c>
      <c r="O174" s="36">
        <f t="shared" si="8"/>
        <v>21990</v>
      </c>
      <c r="P174" s="6" t="s">
        <v>16</v>
      </c>
    </row>
    <row r="175" spans="1:16" x14ac:dyDescent="0.35">
      <c r="A175" s="34" t="s">
        <v>6642</v>
      </c>
      <c r="B175" s="7">
        <f t="shared" si="6"/>
        <v>46086</v>
      </c>
      <c r="C175" s="7">
        <f t="shared" si="7"/>
        <v>46092</v>
      </c>
      <c r="D175" s="6">
        <v>3281</v>
      </c>
      <c r="E175" s="6">
        <v>337</v>
      </c>
      <c r="F175" s="6">
        <v>4</v>
      </c>
      <c r="G175" s="25">
        <v>5</v>
      </c>
      <c r="H175" s="25">
        <v>81146</v>
      </c>
      <c r="I175" s="6" t="s">
        <v>17</v>
      </c>
      <c r="J175" s="54">
        <v>87434380</v>
      </c>
      <c r="K175" s="54" t="s">
        <v>41</v>
      </c>
      <c r="L175" s="54" t="s">
        <v>42</v>
      </c>
      <c r="M175" s="55">
        <v>289900</v>
      </c>
      <c r="N175" s="37">
        <v>0.9</v>
      </c>
      <c r="O175" s="36">
        <f t="shared" si="8"/>
        <v>28990</v>
      </c>
      <c r="P175" s="6" t="s">
        <v>16</v>
      </c>
    </row>
    <row r="176" spans="1:16" x14ac:dyDescent="0.35">
      <c r="A176" s="34" t="s">
        <v>6642</v>
      </c>
      <c r="B176" s="7">
        <f t="shared" si="6"/>
        <v>46086</v>
      </c>
      <c r="C176" s="7">
        <f t="shared" si="7"/>
        <v>46092</v>
      </c>
      <c r="D176" s="6">
        <v>3281</v>
      </c>
      <c r="E176" s="6">
        <v>337</v>
      </c>
      <c r="F176" s="6">
        <v>4</v>
      </c>
      <c r="G176" s="25">
        <v>5</v>
      </c>
      <c r="H176" s="25">
        <v>81146</v>
      </c>
      <c r="I176" s="6" t="s">
        <v>17</v>
      </c>
      <c r="J176" s="54">
        <v>87434399</v>
      </c>
      <c r="K176" s="54" t="s">
        <v>41</v>
      </c>
      <c r="L176" s="54" t="s">
        <v>43</v>
      </c>
      <c r="M176" s="55">
        <v>289900</v>
      </c>
      <c r="N176" s="37">
        <v>0.9</v>
      </c>
      <c r="O176" s="36">
        <f t="shared" si="8"/>
        <v>28990</v>
      </c>
      <c r="P176" s="6" t="s">
        <v>16</v>
      </c>
    </row>
    <row r="177" spans="1:16" x14ac:dyDescent="0.35">
      <c r="A177" s="34" t="s">
        <v>6642</v>
      </c>
      <c r="B177" s="7">
        <f t="shared" si="6"/>
        <v>46086</v>
      </c>
      <c r="C177" s="7">
        <f t="shared" si="7"/>
        <v>46092</v>
      </c>
      <c r="D177" s="6">
        <v>3281</v>
      </c>
      <c r="E177" s="6">
        <v>337</v>
      </c>
      <c r="F177" s="6">
        <v>4</v>
      </c>
      <c r="G177" s="25">
        <v>5</v>
      </c>
      <c r="H177" s="25">
        <v>81146</v>
      </c>
      <c r="I177" s="6" t="s">
        <v>17</v>
      </c>
      <c r="J177" s="54">
        <v>87434406</v>
      </c>
      <c r="K177" s="54" t="s">
        <v>41</v>
      </c>
      <c r="L177" s="54" t="s">
        <v>44</v>
      </c>
      <c r="M177" s="55">
        <v>289900</v>
      </c>
      <c r="N177" s="37">
        <v>0.9</v>
      </c>
      <c r="O177" s="36">
        <f t="shared" si="8"/>
        <v>28990</v>
      </c>
      <c r="P177" s="6" t="s">
        <v>16</v>
      </c>
    </row>
    <row r="178" spans="1:16" x14ac:dyDescent="0.35">
      <c r="A178" s="34" t="s">
        <v>6642</v>
      </c>
      <c r="B178" s="7">
        <f t="shared" si="6"/>
        <v>46086</v>
      </c>
      <c r="C178" s="7">
        <f t="shared" si="7"/>
        <v>46092</v>
      </c>
      <c r="D178" s="6">
        <v>3281</v>
      </c>
      <c r="E178" s="6">
        <v>337</v>
      </c>
      <c r="F178" s="6">
        <v>4</v>
      </c>
      <c r="G178" s="25">
        <v>5</v>
      </c>
      <c r="H178" s="25">
        <v>81146</v>
      </c>
      <c r="I178" s="6" t="s">
        <v>17</v>
      </c>
      <c r="J178" s="54">
        <v>87434415</v>
      </c>
      <c r="K178" s="54" t="s">
        <v>41</v>
      </c>
      <c r="L178" s="54" t="s">
        <v>45</v>
      </c>
      <c r="M178" s="55">
        <v>289900</v>
      </c>
      <c r="N178" s="37">
        <v>0.9</v>
      </c>
      <c r="O178" s="36">
        <f t="shared" si="8"/>
        <v>28990</v>
      </c>
      <c r="P178" s="6" t="s">
        <v>16</v>
      </c>
    </row>
    <row r="179" spans="1:16" x14ac:dyDescent="0.35">
      <c r="A179" s="34" t="s">
        <v>6642</v>
      </c>
      <c r="B179" s="7">
        <f t="shared" si="6"/>
        <v>46086</v>
      </c>
      <c r="C179" s="7">
        <f t="shared" si="7"/>
        <v>46092</v>
      </c>
      <c r="D179" s="6">
        <v>3281</v>
      </c>
      <c r="E179" s="6">
        <v>337</v>
      </c>
      <c r="F179" s="6">
        <v>4</v>
      </c>
      <c r="G179" s="25">
        <v>5</v>
      </c>
      <c r="H179" s="25">
        <v>81146</v>
      </c>
      <c r="I179" s="6" t="s">
        <v>17</v>
      </c>
      <c r="J179" s="54">
        <v>87434424</v>
      </c>
      <c r="K179" s="54" t="s">
        <v>46</v>
      </c>
      <c r="L179" s="54" t="s">
        <v>47</v>
      </c>
      <c r="M179" s="55">
        <v>299900</v>
      </c>
      <c r="N179" s="37">
        <v>0.9</v>
      </c>
      <c r="O179" s="36">
        <f t="shared" si="8"/>
        <v>29990</v>
      </c>
      <c r="P179" s="6" t="s">
        <v>16</v>
      </c>
    </row>
    <row r="180" spans="1:16" x14ac:dyDescent="0.35">
      <c r="A180" s="34" t="s">
        <v>6642</v>
      </c>
      <c r="B180" s="7">
        <f t="shared" si="6"/>
        <v>46086</v>
      </c>
      <c r="C180" s="7">
        <f t="shared" si="7"/>
        <v>46092</v>
      </c>
      <c r="D180" s="6">
        <v>3281</v>
      </c>
      <c r="E180" s="6">
        <v>337</v>
      </c>
      <c r="F180" s="6">
        <v>4</v>
      </c>
      <c r="G180" s="25">
        <v>5</v>
      </c>
      <c r="H180" s="25">
        <v>81146</v>
      </c>
      <c r="I180" s="6" t="s">
        <v>17</v>
      </c>
      <c r="J180" s="54">
        <v>87434433</v>
      </c>
      <c r="K180" s="54" t="s">
        <v>46</v>
      </c>
      <c r="L180" s="54" t="s">
        <v>48</v>
      </c>
      <c r="M180" s="55">
        <v>299900</v>
      </c>
      <c r="N180" s="37">
        <v>0.9</v>
      </c>
      <c r="O180" s="36">
        <f t="shared" si="8"/>
        <v>29990</v>
      </c>
      <c r="P180" s="6" t="s">
        <v>16</v>
      </c>
    </row>
    <row r="181" spans="1:16" x14ac:dyDescent="0.35">
      <c r="A181" s="34" t="s">
        <v>6642</v>
      </c>
      <c r="B181" s="7">
        <f t="shared" si="6"/>
        <v>46086</v>
      </c>
      <c r="C181" s="7">
        <f t="shared" si="7"/>
        <v>46092</v>
      </c>
      <c r="D181" s="6">
        <v>3281</v>
      </c>
      <c r="E181" s="6">
        <v>337</v>
      </c>
      <c r="F181" s="6">
        <v>4</v>
      </c>
      <c r="G181" s="25">
        <v>5</v>
      </c>
      <c r="H181" s="25">
        <v>81146</v>
      </c>
      <c r="I181" s="6" t="s">
        <v>17</v>
      </c>
      <c r="J181" s="54">
        <v>87434442</v>
      </c>
      <c r="K181" s="54" t="s">
        <v>46</v>
      </c>
      <c r="L181" s="54" t="s">
        <v>49</v>
      </c>
      <c r="M181" s="55">
        <v>299900</v>
      </c>
      <c r="N181" s="37">
        <v>0.9</v>
      </c>
      <c r="O181" s="36">
        <f t="shared" si="8"/>
        <v>29990</v>
      </c>
      <c r="P181" s="6" t="s">
        <v>16</v>
      </c>
    </row>
    <row r="182" spans="1:16" x14ac:dyDescent="0.35">
      <c r="A182" s="34" t="s">
        <v>6642</v>
      </c>
      <c r="B182" s="7">
        <f t="shared" si="6"/>
        <v>46086</v>
      </c>
      <c r="C182" s="7">
        <f t="shared" si="7"/>
        <v>46092</v>
      </c>
      <c r="D182" s="6">
        <v>3281</v>
      </c>
      <c r="E182" s="6">
        <v>337</v>
      </c>
      <c r="F182" s="6">
        <v>4</v>
      </c>
      <c r="G182" s="25">
        <v>5</v>
      </c>
      <c r="H182" s="25">
        <v>81146</v>
      </c>
      <c r="I182" s="6" t="s">
        <v>17</v>
      </c>
      <c r="J182" s="54">
        <v>87434451</v>
      </c>
      <c r="K182" s="54" t="s">
        <v>46</v>
      </c>
      <c r="L182" s="54" t="s">
        <v>50</v>
      </c>
      <c r="M182" s="55">
        <v>299900</v>
      </c>
      <c r="N182" s="37">
        <v>0.9</v>
      </c>
      <c r="O182" s="36">
        <f t="shared" si="8"/>
        <v>29990</v>
      </c>
      <c r="P182" s="6" t="s">
        <v>16</v>
      </c>
    </row>
    <row r="183" spans="1:16" x14ac:dyDescent="0.35">
      <c r="A183" s="34" t="s">
        <v>6642</v>
      </c>
      <c r="B183" s="7">
        <f t="shared" si="6"/>
        <v>46086</v>
      </c>
      <c r="C183" s="7">
        <f t="shared" si="7"/>
        <v>46092</v>
      </c>
      <c r="D183" s="6">
        <v>3281</v>
      </c>
      <c r="E183" s="6">
        <v>337</v>
      </c>
      <c r="F183" s="6">
        <v>4</v>
      </c>
      <c r="G183" s="25">
        <v>5</v>
      </c>
      <c r="H183" s="25">
        <v>81146</v>
      </c>
      <c r="I183" s="6" t="s">
        <v>17</v>
      </c>
      <c r="J183" s="54">
        <v>14608338</v>
      </c>
      <c r="K183" s="54" t="s">
        <v>115</v>
      </c>
      <c r="L183" s="54" t="s">
        <v>116</v>
      </c>
      <c r="M183" s="55">
        <v>219900</v>
      </c>
      <c r="N183" s="37">
        <v>0.9</v>
      </c>
      <c r="O183" s="36">
        <f t="shared" si="8"/>
        <v>21990</v>
      </c>
      <c r="P183" s="6" t="s">
        <v>16</v>
      </c>
    </row>
    <row r="184" spans="1:16" x14ac:dyDescent="0.35">
      <c r="A184" s="34" t="s">
        <v>6642</v>
      </c>
      <c r="B184" s="7">
        <f t="shared" si="6"/>
        <v>46086</v>
      </c>
      <c r="C184" s="7">
        <f t="shared" si="7"/>
        <v>46092</v>
      </c>
      <c r="D184" s="6">
        <v>3281</v>
      </c>
      <c r="E184" s="6">
        <v>337</v>
      </c>
      <c r="F184" s="6">
        <v>4</v>
      </c>
      <c r="G184" s="25">
        <v>5</v>
      </c>
      <c r="H184" s="25">
        <v>81146</v>
      </c>
      <c r="I184" s="6" t="s">
        <v>17</v>
      </c>
      <c r="J184" s="54">
        <v>14608347</v>
      </c>
      <c r="K184" s="54" t="s">
        <v>115</v>
      </c>
      <c r="L184" s="54" t="s">
        <v>117</v>
      </c>
      <c r="M184" s="55">
        <v>219900</v>
      </c>
      <c r="N184" s="37">
        <v>0.9</v>
      </c>
      <c r="O184" s="36">
        <f t="shared" si="8"/>
        <v>21990</v>
      </c>
      <c r="P184" s="6" t="s">
        <v>16</v>
      </c>
    </row>
    <row r="185" spans="1:16" x14ac:dyDescent="0.35">
      <c r="A185" s="34" t="s">
        <v>6642</v>
      </c>
      <c r="B185" s="7">
        <f t="shared" si="6"/>
        <v>46086</v>
      </c>
      <c r="C185" s="7">
        <f t="shared" si="7"/>
        <v>46092</v>
      </c>
      <c r="D185" s="6">
        <v>3281</v>
      </c>
      <c r="E185" s="6">
        <v>337</v>
      </c>
      <c r="F185" s="6">
        <v>4</v>
      </c>
      <c r="G185" s="25">
        <v>5</v>
      </c>
      <c r="H185" s="25">
        <v>81146</v>
      </c>
      <c r="I185" s="6" t="s">
        <v>17</v>
      </c>
      <c r="J185" s="54">
        <v>14608356</v>
      </c>
      <c r="K185" s="54" t="s">
        <v>118</v>
      </c>
      <c r="L185" s="54" t="s">
        <v>120</v>
      </c>
      <c r="M185" s="55">
        <v>249900</v>
      </c>
      <c r="N185" s="37">
        <v>0.9</v>
      </c>
      <c r="O185" s="36">
        <f t="shared" si="8"/>
        <v>24990</v>
      </c>
      <c r="P185" s="6" t="s">
        <v>16</v>
      </c>
    </row>
    <row r="186" spans="1:16" x14ac:dyDescent="0.35">
      <c r="A186" s="34" t="s">
        <v>6642</v>
      </c>
      <c r="B186" s="7">
        <f t="shared" si="6"/>
        <v>46086</v>
      </c>
      <c r="C186" s="7">
        <f t="shared" si="7"/>
        <v>46092</v>
      </c>
      <c r="D186" s="6">
        <v>3281</v>
      </c>
      <c r="E186" s="6">
        <v>337</v>
      </c>
      <c r="F186" s="6">
        <v>4</v>
      </c>
      <c r="G186" s="25">
        <v>5</v>
      </c>
      <c r="H186" s="25">
        <v>81146</v>
      </c>
      <c r="I186" s="6" t="s">
        <v>17</v>
      </c>
      <c r="J186" s="54">
        <v>14608365</v>
      </c>
      <c r="K186" s="54" t="s">
        <v>118</v>
      </c>
      <c r="L186" s="54" t="s">
        <v>121</v>
      </c>
      <c r="M186" s="55">
        <v>249900</v>
      </c>
      <c r="N186" s="37">
        <v>0.9</v>
      </c>
      <c r="O186" s="36">
        <f t="shared" si="8"/>
        <v>24990</v>
      </c>
      <c r="P186" s="6" t="s">
        <v>16</v>
      </c>
    </row>
    <row r="187" spans="1:16" x14ac:dyDescent="0.35">
      <c r="A187" s="34" t="s">
        <v>6642</v>
      </c>
      <c r="B187" s="7">
        <f t="shared" si="6"/>
        <v>46086</v>
      </c>
      <c r="C187" s="7">
        <f t="shared" si="7"/>
        <v>46092</v>
      </c>
      <c r="D187" s="6">
        <v>3281</v>
      </c>
      <c r="E187" s="6">
        <v>337</v>
      </c>
      <c r="F187" s="6">
        <v>4</v>
      </c>
      <c r="G187" s="25">
        <v>5</v>
      </c>
      <c r="H187" s="25">
        <v>81146</v>
      </c>
      <c r="I187" s="6" t="s">
        <v>17</v>
      </c>
      <c r="J187" s="54">
        <v>14608374</v>
      </c>
      <c r="K187" s="54" t="s">
        <v>118</v>
      </c>
      <c r="L187" s="54" t="s">
        <v>122</v>
      </c>
      <c r="M187" s="55">
        <v>249900</v>
      </c>
      <c r="N187" s="37">
        <v>0.9</v>
      </c>
      <c r="O187" s="36">
        <f t="shared" si="8"/>
        <v>24990</v>
      </c>
      <c r="P187" s="6" t="s">
        <v>16</v>
      </c>
    </row>
    <row r="188" spans="1:16" x14ac:dyDescent="0.35">
      <c r="A188" s="34" t="s">
        <v>6642</v>
      </c>
      <c r="B188" s="7">
        <f t="shared" si="6"/>
        <v>46086</v>
      </c>
      <c r="C188" s="7">
        <f t="shared" si="7"/>
        <v>46092</v>
      </c>
      <c r="D188" s="6">
        <v>3281</v>
      </c>
      <c r="E188" s="6">
        <v>337</v>
      </c>
      <c r="F188" s="6">
        <v>4</v>
      </c>
      <c r="G188" s="25">
        <v>5</v>
      </c>
      <c r="H188" s="25">
        <v>81146</v>
      </c>
      <c r="I188" s="6" t="s">
        <v>17</v>
      </c>
      <c r="J188" s="54">
        <v>14608383</v>
      </c>
      <c r="K188" s="54" t="s">
        <v>118</v>
      </c>
      <c r="L188" s="54" t="s">
        <v>119</v>
      </c>
      <c r="M188" s="55">
        <v>249900</v>
      </c>
      <c r="N188" s="37">
        <v>0.9</v>
      </c>
      <c r="O188" s="36">
        <f t="shared" si="8"/>
        <v>24990</v>
      </c>
      <c r="P188" s="6" t="s">
        <v>16</v>
      </c>
    </row>
    <row r="189" spans="1:16" x14ac:dyDescent="0.35">
      <c r="A189" s="34" t="s">
        <v>6642</v>
      </c>
      <c r="B189" s="7">
        <f t="shared" si="6"/>
        <v>46086</v>
      </c>
      <c r="C189" s="7">
        <f t="shared" si="7"/>
        <v>46092</v>
      </c>
      <c r="D189" s="6">
        <v>3281</v>
      </c>
      <c r="E189" s="6">
        <v>337</v>
      </c>
      <c r="F189" s="6">
        <v>4</v>
      </c>
      <c r="G189" s="25">
        <v>5</v>
      </c>
      <c r="H189" s="25">
        <v>81421</v>
      </c>
      <c r="I189" s="6" t="s">
        <v>17</v>
      </c>
      <c r="J189" s="54">
        <v>76638823</v>
      </c>
      <c r="K189" s="54" t="s">
        <v>211</v>
      </c>
      <c r="L189" s="54" t="s">
        <v>212</v>
      </c>
      <c r="M189" s="55">
        <v>169900</v>
      </c>
      <c r="N189" s="37">
        <v>0.9</v>
      </c>
      <c r="O189" s="36">
        <f t="shared" si="8"/>
        <v>16990</v>
      </c>
      <c r="P189" s="6" t="s">
        <v>16</v>
      </c>
    </row>
    <row r="190" spans="1:16" x14ac:dyDescent="0.35">
      <c r="A190" s="34" t="s">
        <v>6642</v>
      </c>
      <c r="B190" s="7">
        <f t="shared" si="6"/>
        <v>46086</v>
      </c>
      <c r="C190" s="7">
        <f t="shared" si="7"/>
        <v>46092</v>
      </c>
      <c r="D190" s="6">
        <v>3281</v>
      </c>
      <c r="E190" s="6">
        <v>337</v>
      </c>
      <c r="F190" s="6">
        <v>4</v>
      </c>
      <c r="G190" s="25">
        <v>5</v>
      </c>
      <c r="H190" s="25">
        <v>81421</v>
      </c>
      <c r="I190" s="6" t="s">
        <v>17</v>
      </c>
      <c r="J190" s="54">
        <v>79528517</v>
      </c>
      <c r="K190" s="54" t="s">
        <v>213</v>
      </c>
      <c r="L190" s="54" t="s">
        <v>214</v>
      </c>
      <c r="M190" s="55">
        <v>249900</v>
      </c>
      <c r="N190" s="37">
        <v>0.9</v>
      </c>
      <c r="O190" s="36">
        <f t="shared" si="8"/>
        <v>24990</v>
      </c>
      <c r="P190" s="6" t="s">
        <v>16</v>
      </c>
    </row>
    <row r="191" spans="1:16" x14ac:dyDescent="0.35">
      <c r="A191" s="34" t="s">
        <v>6642</v>
      </c>
      <c r="B191" s="7">
        <f t="shared" si="6"/>
        <v>46086</v>
      </c>
      <c r="C191" s="7">
        <f t="shared" si="7"/>
        <v>46092</v>
      </c>
      <c r="D191" s="6">
        <v>3281</v>
      </c>
      <c r="E191" s="6">
        <v>337</v>
      </c>
      <c r="F191" s="6">
        <v>4</v>
      </c>
      <c r="G191" s="25">
        <v>5</v>
      </c>
      <c r="H191" s="25">
        <v>81421</v>
      </c>
      <c r="I191" s="6" t="s">
        <v>17</v>
      </c>
      <c r="J191" s="54">
        <v>79647157</v>
      </c>
      <c r="K191" s="54" t="s">
        <v>213</v>
      </c>
      <c r="L191" s="54" t="s">
        <v>219</v>
      </c>
      <c r="M191" s="55">
        <v>249900</v>
      </c>
      <c r="N191" s="37">
        <v>0.9</v>
      </c>
      <c r="O191" s="36">
        <f t="shared" si="8"/>
        <v>24990</v>
      </c>
      <c r="P191" s="6" t="s">
        <v>16</v>
      </c>
    </row>
    <row r="192" spans="1:16" x14ac:dyDescent="0.35">
      <c r="A192" s="34" t="s">
        <v>6642</v>
      </c>
      <c r="B192" s="7">
        <f t="shared" si="6"/>
        <v>46086</v>
      </c>
      <c r="C192" s="7">
        <f t="shared" si="7"/>
        <v>46092</v>
      </c>
      <c r="D192" s="6">
        <v>3281</v>
      </c>
      <c r="E192" s="6">
        <v>337</v>
      </c>
      <c r="F192" s="6">
        <v>4</v>
      </c>
      <c r="G192" s="25">
        <v>5</v>
      </c>
      <c r="H192" s="25">
        <v>81421</v>
      </c>
      <c r="I192" s="6" t="s">
        <v>17</v>
      </c>
      <c r="J192" s="54">
        <v>79528535</v>
      </c>
      <c r="K192" s="54" t="s">
        <v>255</v>
      </c>
      <c r="L192" s="54" t="s">
        <v>256</v>
      </c>
      <c r="M192" s="55">
        <v>249900</v>
      </c>
      <c r="N192" s="37">
        <v>0.9</v>
      </c>
      <c r="O192" s="36">
        <f t="shared" si="8"/>
        <v>24990</v>
      </c>
      <c r="P192" s="6" t="s">
        <v>16</v>
      </c>
    </row>
    <row r="193" spans="1:16" x14ac:dyDescent="0.35">
      <c r="A193" s="34" t="s">
        <v>6642</v>
      </c>
      <c r="B193" s="7">
        <f t="shared" si="6"/>
        <v>46086</v>
      </c>
      <c r="C193" s="7">
        <f t="shared" si="7"/>
        <v>46092</v>
      </c>
      <c r="D193" s="6">
        <v>3281</v>
      </c>
      <c r="E193" s="6">
        <v>337</v>
      </c>
      <c r="F193" s="6">
        <v>4</v>
      </c>
      <c r="G193" s="25">
        <v>5</v>
      </c>
      <c r="H193" s="25">
        <v>81421</v>
      </c>
      <c r="I193" s="6" t="s">
        <v>17</v>
      </c>
      <c r="J193" s="54">
        <v>79528544</v>
      </c>
      <c r="K193" s="54" t="s">
        <v>255</v>
      </c>
      <c r="L193" s="54" t="s">
        <v>257</v>
      </c>
      <c r="M193" s="55">
        <v>249900</v>
      </c>
      <c r="N193" s="37">
        <v>0.9</v>
      </c>
      <c r="O193" s="36">
        <f t="shared" si="8"/>
        <v>24990</v>
      </c>
      <c r="P193" s="6" t="s">
        <v>16</v>
      </c>
    </row>
    <row r="194" spans="1:16" x14ac:dyDescent="0.35">
      <c r="A194" s="34" t="s">
        <v>6642</v>
      </c>
      <c r="B194" s="7">
        <f t="shared" si="6"/>
        <v>46086</v>
      </c>
      <c r="C194" s="7">
        <f t="shared" si="7"/>
        <v>46092</v>
      </c>
      <c r="D194" s="6">
        <v>3281</v>
      </c>
      <c r="E194" s="6">
        <v>337</v>
      </c>
      <c r="F194" s="6">
        <v>4</v>
      </c>
      <c r="G194" s="25">
        <v>5</v>
      </c>
      <c r="H194" s="25">
        <v>81421</v>
      </c>
      <c r="I194" s="6" t="s">
        <v>17</v>
      </c>
      <c r="J194" s="54">
        <v>79528553</v>
      </c>
      <c r="K194" s="54" t="s">
        <v>255</v>
      </c>
      <c r="L194" s="54" t="s">
        <v>258</v>
      </c>
      <c r="M194" s="55">
        <v>249900</v>
      </c>
      <c r="N194" s="37">
        <v>0.9</v>
      </c>
      <c r="O194" s="36">
        <f t="shared" si="8"/>
        <v>24990</v>
      </c>
      <c r="P194" s="6" t="s">
        <v>16</v>
      </c>
    </row>
    <row r="195" spans="1:16" x14ac:dyDescent="0.35">
      <c r="A195" s="34" t="s">
        <v>6642</v>
      </c>
      <c r="B195" s="7">
        <f t="shared" si="6"/>
        <v>46086</v>
      </c>
      <c r="C195" s="7">
        <f t="shared" si="7"/>
        <v>46092</v>
      </c>
      <c r="D195" s="6">
        <v>3281</v>
      </c>
      <c r="E195" s="6">
        <v>337</v>
      </c>
      <c r="F195" s="6">
        <v>4</v>
      </c>
      <c r="G195" s="25">
        <v>5</v>
      </c>
      <c r="H195" s="25">
        <v>81421</v>
      </c>
      <c r="I195" s="6" t="s">
        <v>17</v>
      </c>
      <c r="J195" s="54">
        <v>81792834</v>
      </c>
      <c r="K195" s="54" t="s">
        <v>2713</v>
      </c>
      <c r="L195" s="54" t="s">
        <v>2714</v>
      </c>
      <c r="M195" s="55">
        <v>179900</v>
      </c>
      <c r="N195" s="37">
        <v>0.9</v>
      </c>
      <c r="O195" s="36">
        <f t="shared" si="8"/>
        <v>17990</v>
      </c>
      <c r="P195" s="6" t="s">
        <v>16</v>
      </c>
    </row>
    <row r="196" spans="1:16" x14ac:dyDescent="0.35">
      <c r="A196" s="34" t="s">
        <v>6642</v>
      </c>
      <c r="B196" s="7">
        <f t="shared" ref="B196:B228" si="9">B195</f>
        <v>46086</v>
      </c>
      <c r="C196" s="7">
        <f t="shared" ref="C196:C228" si="10">C195</f>
        <v>46092</v>
      </c>
      <c r="D196" s="6">
        <v>3281</v>
      </c>
      <c r="E196" s="6">
        <v>337</v>
      </c>
      <c r="F196" s="6">
        <v>4</v>
      </c>
      <c r="G196" s="25">
        <v>5</v>
      </c>
      <c r="H196" s="25">
        <v>81421</v>
      </c>
      <c r="I196" s="6" t="s">
        <v>17</v>
      </c>
      <c r="J196" s="54">
        <v>81792861</v>
      </c>
      <c r="K196" s="54" t="s">
        <v>137</v>
      </c>
      <c r="L196" s="54" t="s">
        <v>138</v>
      </c>
      <c r="M196" s="55">
        <v>179900</v>
      </c>
      <c r="N196" s="37">
        <v>0.9</v>
      </c>
      <c r="O196" s="36">
        <f t="shared" ref="O196:O228" si="11">M196-((90*M196)/100)</f>
        <v>17990</v>
      </c>
      <c r="P196" s="6" t="s">
        <v>16</v>
      </c>
    </row>
    <row r="197" spans="1:16" x14ac:dyDescent="0.35">
      <c r="A197" s="34" t="s">
        <v>6642</v>
      </c>
      <c r="B197" s="7">
        <f t="shared" si="9"/>
        <v>46086</v>
      </c>
      <c r="C197" s="7">
        <f t="shared" si="10"/>
        <v>46092</v>
      </c>
      <c r="D197" s="6">
        <v>3281</v>
      </c>
      <c r="E197" s="6">
        <v>337</v>
      </c>
      <c r="F197" s="6">
        <v>4</v>
      </c>
      <c r="G197" s="25">
        <v>5</v>
      </c>
      <c r="H197" s="25">
        <v>81421</v>
      </c>
      <c r="I197" s="6" t="s">
        <v>17</v>
      </c>
      <c r="J197" s="54">
        <v>81792889</v>
      </c>
      <c r="K197" s="54" t="s">
        <v>137</v>
      </c>
      <c r="L197" s="54" t="s">
        <v>139</v>
      </c>
      <c r="M197" s="55">
        <v>179900</v>
      </c>
      <c r="N197" s="37">
        <v>0.9</v>
      </c>
      <c r="O197" s="36">
        <f t="shared" si="11"/>
        <v>17990</v>
      </c>
      <c r="P197" s="6" t="s">
        <v>16</v>
      </c>
    </row>
    <row r="198" spans="1:16" x14ac:dyDescent="0.35">
      <c r="A198" s="34" t="s">
        <v>6642</v>
      </c>
      <c r="B198" s="7">
        <f t="shared" si="9"/>
        <v>46086</v>
      </c>
      <c r="C198" s="7">
        <f t="shared" si="10"/>
        <v>46092</v>
      </c>
      <c r="D198" s="6">
        <v>3281</v>
      </c>
      <c r="E198" s="6">
        <v>337</v>
      </c>
      <c r="F198" s="6">
        <v>4</v>
      </c>
      <c r="G198" s="25">
        <v>5</v>
      </c>
      <c r="H198" s="25">
        <v>81421</v>
      </c>
      <c r="I198" s="6" t="s">
        <v>17</v>
      </c>
      <c r="J198" s="54">
        <v>86446440</v>
      </c>
      <c r="K198" s="54" t="s">
        <v>32</v>
      </c>
      <c r="L198" s="54" t="s">
        <v>33</v>
      </c>
      <c r="M198" s="55">
        <v>249900</v>
      </c>
      <c r="N198" s="37">
        <v>0.9</v>
      </c>
      <c r="O198" s="36">
        <f t="shared" si="11"/>
        <v>24990</v>
      </c>
      <c r="P198" s="6" t="s">
        <v>16</v>
      </c>
    </row>
    <row r="199" spans="1:16" x14ac:dyDescent="0.35">
      <c r="A199" s="34" t="s">
        <v>6642</v>
      </c>
      <c r="B199" s="7">
        <f t="shared" si="9"/>
        <v>46086</v>
      </c>
      <c r="C199" s="7">
        <f t="shared" si="10"/>
        <v>46092</v>
      </c>
      <c r="D199" s="6">
        <v>3281</v>
      </c>
      <c r="E199" s="6">
        <v>337</v>
      </c>
      <c r="F199" s="6">
        <v>4</v>
      </c>
      <c r="G199" s="25">
        <v>5</v>
      </c>
      <c r="H199" s="25">
        <v>81421</v>
      </c>
      <c r="I199" s="6" t="s">
        <v>17</v>
      </c>
      <c r="J199" s="54">
        <v>86446468</v>
      </c>
      <c r="K199" s="54" t="s">
        <v>32</v>
      </c>
      <c r="L199" s="54" t="s">
        <v>34</v>
      </c>
      <c r="M199" s="55">
        <v>249900</v>
      </c>
      <c r="N199" s="37">
        <v>0.9</v>
      </c>
      <c r="O199" s="36">
        <f t="shared" si="11"/>
        <v>24990</v>
      </c>
      <c r="P199" s="6" t="s">
        <v>16</v>
      </c>
    </row>
    <row r="200" spans="1:16" x14ac:dyDescent="0.35">
      <c r="A200" s="34" t="s">
        <v>6642</v>
      </c>
      <c r="B200" s="7">
        <f t="shared" si="9"/>
        <v>46086</v>
      </c>
      <c r="C200" s="7">
        <f t="shared" si="10"/>
        <v>46092</v>
      </c>
      <c r="D200" s="6">
        <v>3281</v>
      </c>
      <c r="E200" s="6">
        <v>337</v>
      </c>
      <c r="F200" s="6">
        <v>4</v>
      </c>
      <c r="G200" s="25">
        <v>5</v>
      </c>
      <c r="H200" s="25">
        <v>81421</v>
      </c>
      <c r="I200" s="6" t="s">
        <v>17</v>
      </c>
      <c r="J200" s="54">
        <v>86446477</v>
      </c>
      <c r="K200" s="54" t="s">
        <v>32</v>
      </c>
      <c r="L200" s="54" t="s">
        <v>35</v>
      </c>
      <c r="M200" s="55">
        <v>249900</v>
      </c>
      <c r="N200" s="37">
        <v>0.9</v>
      </c>
      <c r="O200" s="36">
        <f t="shared" si="11"/>
        <v>24990</v>
      </c>
      <c r="P200" s="6" t="s">
        <v>16</v>
      </c>
    </row>
    <row r="201" spans="1:16" x14ac:dyDescent="0.35">
      <c r="A201" s="34" t="s">
        <v>6642</v>
      </c>
      <c r="B201" s="7">
        <f t="shared" si="9"/>
        <v>46086</v>
      </c>
      <c r="C201" s="7">
        <f t="shared" si="10"/>
        <v>46092</v>
      </c>
      <c r="D201" s="6">
        <v>3281</v>
      </c>
      <c r="E201" s="6">
        <v>337</v>
      </c>
      <c r="F201" s="6">
        <v>4</v>
      </c>
      <c r="G201" s="25">
        <v>5</v>
      </c>
      <c r="H201" s="25">
        <v>81421</v>
      </c>
      <c r="I201" s="6" t="s">
        <v>17</v>
      </c>
      <c r="J201" s="54">
        <v>86446495</v>
      </c>
      <c r="K201" s="54" t="s">
        <v>67</v>
      </c>
      <c r="L201" s="54" t="s">
        <v>68</v>
      </c>
      <c r="M201" s="55">
        <v>249900</v>
      </c>
      <c r="N201" s="37">
        <v>0.9</v>
      </c>
      <c r="O201" s="36">
        <f t="shared" si="11"/>
        <v>24990</v>
      </c>
      <c r="P201" s="6" t="s">
        <v>16</v>
      </c>
    </row>
    <row r="202" spans="1:16" x14ac:dyDescent="0.35">
      <c r="A202" s="34" t="s">
        <v>6642</v>
      </c>
      <c r="B202" s="7">
        <f t="shared" si="9"/>
        <v>46086</v>
      </c>
      <c r="C202" s="7">
        <f t="shared" si="10"/>
        <v>46092</v>
      </c>
      <c r="D202" s="6">
        <v>3281</v>
      </c>
      <c r="E202" s="6">
        <v>337</v>
      </c>
      <c r="F202" s="6">
        <v>4</v>
      </c>
      <c r="G202" s="25">
        <v>5</v>
      </c>
      <c r="H202" s="25">
        <v>81421</v>
      </c>
      <c r="I202" s="6" t="s">
        <v>17</v>
      </c>
      <c r="J202" s="54">
        <v>86446502</v>
      </c>
      <c r="K202" s="54" t="s">
        <v>67</v>
      </c>
      <c r="L202" s="54" t="s">
        <v>69</v>
      </c>
      <c r="M202" s="55">
        <v>249900</v>
      </c>
      <c r="N202" s="37">
        <v>0.9</v>
      </c>
      <c r="O202" s="36">
        <f t="shared" si="11"/>
        <v>24990</v>
      </c>
      <c r="P202" s="6" t="s">
        <v>16</v>
      </c>
    </row>
    <row r="203" spans="1:16" x14ac:dyDescent="0.35">
      <c r="A203" s="34" t="s">
        <v>6642</v>
      </c>
      <c r="B203" s="7">
        <f t="shared" si="9"/>
        <v>46086</v>
      </c>
      <c r="C203" s="7">
        <f t="shared" si="10"/>
        <v>46092</v>
      </c>
      <c r="D203" s="6">
        <v>3281</v>
      </c>
      <c r="E203" s="6">
        <v>337</v>
      </c>
      <c r="F203" s="6">
        <v>4</v>
      </c>
      <c r="G203" s="25">
        <v>5</v>
      </c>
      <c r="H203" s="25">
        <v>81421</v>
      </c>
      <c r="I203" s="6" t="s">
        <v>17</v>
      </c>
      <c r="J203" s="54">
        <v>86446511</v>
      </c>
      <c r="K203" s="54" t="s">
        <v>67</v>
      </c>
      <c r="L203" s="54" t="s">
        <v>70</v>
      </c>
      <c r="M203" s="55">
        <v>249900</v>
      </c>
      <c r="N203" s="37">
        <v>0.9</v>
      </c>
      <c r="O203" s="36">
        <f t="shared" si="11"/>
        <v>24990</v>
      </c>
      <c r="P203" s="6" t="s">
        <v>16</v>
      </c>
    </row>
    <row r="204" spans="1:16" x14ac:dyDescent="0.35">
      <c r="A204" s="34" t="s">
        <v>6642</v>
      </c>
      <c r="B204" s="7">
        <f t="shared" si="9"/>
        <v>46086</v>
      </c>
      <c r="C204" s="7">
        <f t="shared" si="10"/>
        <v>46092</v>
      </c>
      <c r="D204" s="6">
        <v>3281</v>
      </c>
      <c r="E204" s="6">
        <v>337</v>
      </c>
      <c r="F204" s="6">
        <v>4</v>
      </c>
      <c r="G204" s="25">
        <v>5</v>
      </c>
      <c r="H204" s="25">
        <v>81421</v>
      </c>
      <c r="I204" s="6" t="s">
        <v>17</v>
      </c>
      <c r="J204" s="54">
        <v>86446619</v>
      </c>
      <c r="K204" s="54" t="s">
        <v>71</v>
      </c>
      <c r="L204" s="54" t="s">
        <v>72</v>
      </c>
      <c r="M204" s="55">
        <v>249900</v>
      </c>
      <c r="N204" s="37">
        <v>0.9</v>
      </c>
      <c r="O204" s="36">
        <f t="shared" si="11"/>
        <v>24990</v>
      </c>
      <c r="P204" s="6" t="s">
        <v>16</v>
      </c>
    </row>
    <row r="205" spans="1:16" x14ac:dyDescent="0.35">
      <c r="A205" s="34" t="s">
        <v>6642</v>
      </c>
      <c r="B205" s="7">
        <f t="shared" si="9"/>
        <v>46086</v>
      </c>
      <c r="C205" s="7">
        <f t="shared" si="10"/>
        <v>46092</v>
      </c>
      <c r="D205" s="6">
        <v>3281</v>
      </c>
      <c r="E205" s="6">
        <v>337</v>
      </c>
      <c r="F205" s="6">
        <v>4</v>
      </c>
      <c r="G205" s="25">
        <v>5</v>
      </c>
      <c r="H205" s="25">
        <v>81421</v>
      </c>
      <c r="I205" s="6" t="s">
        <v>17</v>
      </c>
      <c r="J205" s="54">
        <v>86446628</v>
      </c>
      <c r="K205" s="54" t="s">
        <v>71</v>
      </c>
      <c r="L205" s="54" t="s">
        <v>73</v>
      </c>
      <c r="M205" s="55">
        <v>249900</v>
      </c>
      <c r="N205" s="37">
        <v>0.9</v>
      </c>
      <c r="O205" s="36">
        <f t="shared" si="11"/>
        <v>24990</v>
      </c>
      <c r="P205" s="6" t="s">
        <v>16</v>
      </c>
    </row>
    <row r="206" spans="1:16" x14ac:dyDescent="0.35">
      <c r="A206" s="34" t="s">
        <v>6642</v>
      </c>
      <c r="B206" s="7">
        <f t="shared" si="9"/>
        <v>46086</v>
      </c>
      <c r="C206" s="7">
        <f t="shared" si="10"/>
        <v>46092</v>
      </c>
      <c r="D206" s="6">
        <v>3281</v>
      </c>
      <c r="E206" s="6">
        <v>337</v>
      </c>
      <c r="F206" s="6">
        <v>4</v>
      </c>
      <c r="G206" s="25">
        <v>5</v>
      </c>
      <c r="H206" s="25">
        <v>81421</v>
      </c>
      <c r="I206" s="6" t="s">
        <v>17</v>
      </c>
      <c r="J206" s="54">
        <v>86446637</v>
      </c>
      <c r="K206" s="54" t="s">
        <v>71</v>
      </c>
      <c r="L206" s="54" t="s">
        <v>74</v>
      </c>
      <c r="M206" s="55">
        <v>249900</v>
      </c>
      <c r="N206" s="37">
        <v>0.9</v>
      </c>
      <c r="O206" s="36">
        <f t="shared" si="11"/>
        <v>24990</v>
      </c>
      <c r="P206" s="6" t="s">
        <v>16</v>
      </c>
    </row>
    <row r="207" spans="1:16" x14ac:dyDescent="0.35">
      <c r="A207" s="34" t="s">
        <v>6642</v>
      </c>
      <c r="B207" s="7">
        <f t="shared" si="9"/>
        <v>46086</v>
      </c>
      <c r="C207" s="7">
        <f t="shared" si="10"/>
        <v>46092</v>
      </c>
      <c r="D207" s="6">
        <v>3281</v>
      </c>
      <c r="E207" s="6">
        <v>337</v>
      </c>
      <c r="F207" s="6">
        <v>4</v>
      </c>
      <c r="G207" s="25">
        <v>5</v>
      </c>
      <c r="H207" s="25">
        <v>190</v>
      </c>
      <c r="I207" s="6" t="s">
        <v>17</v>
      </c>
      <c r="J207" s="54">
        <v>73502706</v>
      </c>
      <c r="K207" s="54" t="s">
        <v>145</v>
      </c>
      <c r="L207" s="54" t="s">
        <v>146</v>
      </c>
      <c r="M207" s="55">
        <v>239900</v>
      </c>
      <c r="N207" s="37">
        <v>0.9</v>
      </c>
      <c r="O207" s="36">
        <f t="shared" si="11"/>
        <v>23990</v>
      </c>
      <c r="P207" s="6" t="s">
        <v>16</v>
      </c>
    </row>
    <row r="208" spans="1:16" x14ac:dyDescent="0.35">
      <c r="A208" s="34" t="s">
        <v>6642</v>
      </c>
      <c r="B208" s="7">
        <f t="shared" si="9"/>
        <v>46086</v>
      </c>
      <c r="C208" s="7">
        <f t="shared" si="10"/>
        <v>46092</v>
      </c>
      <c r="D208" s="6">
        <v>3281</v>
      </c>
      <c r="E208" s="6">
        <v>337</v>
      </c>
      <c r="F208" s="6">
        <v>4</v>
      </c>
      <c r="G208" s="25">
        <v>5</v>
      </c>
      <c r="H208" s="25">
        <v>190</v>
      </c>
      <c r="I208" s="6" t="s">
        <v>17</v>
      </c>
      <c r="J208" s="54">
        <v>79528848</v>
      </c>
      <c r="K208" s="54" t="s">
        <v>215</v>
      </c>
      <c r="L208" s="54" t="s">
        <v>216</v>
      </c>
      <c r="M208" s="55">
        <v>239900</v>
      </c>
      <c r="N208" s="37">
        <v>0.9</v>
      </c>
      <c r="O208" s="36">
        <f t="shared" si="11"/>
        <v>23990</v>
      </c>
      <c r="P208" s="6" t="s">
        <v>16</v>
      </c>
    </row>
    <row r="209" spans="1:16" x14ac:dyDescent="0.35">
      <c r="A209" s="34" t="s">
        <v>6642</v>
      </c>
      <c r="B209" s="7">
        <f t="shared" si="9"/>
        <v>46086</v>
      </c>
      <c r="C209" s="7">
        <f t="shared" si="10"/>
        <v>46092</v>
      </c>
      <c r="D209" s="6">
        <v>3281</v>
      </c>
      <c r="E209" s="6">
        <v>337</v>
      </c>
      <c r="F209" s="6">
        <v>4</v>
      </c>
      <c r="G209" s="25">
        <v>5</v>
      </c>
      <c r="H209" s="25">
        <v>190</v>
      </c>
      <c r="I209" s="6" t="s">
        <v>17</v>
      </c>
      <c r="J209" s="54">
        <v>79528857</v>
      </c>
      <c r="K209" s="54" t="s">
        <v>215</v>
      </c>
      <c r="L209" s="54" t="s">
        <v>217</v>
      </c>
      <c r="M209" s="55">
        <v>239900</v>
      </c>
      <c r="N209" s="37">
        <v>0.9</v>
      </c>
      <c r="O209" s="36">
        <f t="shared" si="11"/>
        <v>23990</v>
      </c>
      <c r="P209" s="6" t="s">
        <v>16</v>
      </c>
    </row>
    <row r="210" spans="1:16" x14ac:dyDescent="0.35">
      <c r="A210" s="34" t="s">
        <v>6642</v>
      </c>
      <c r="B210" s="7">
        <f t="shared" si="9"/>
        <v>46086</v>
      </c>
      <c r="C210" s="7">
        <f t="shared" si="10"/>
        <v>46092</v>
      </c>
      <c r="D210" s="6">
        <v>3281</v>
      </c>
      <c r="E210" s="6">
        <v>337</v>
      </c>
      <c r="F210" s="6">
        <v>4</v>
      </c>
      <c r="G210" s="25">
        <v>5</v>
      </c>
      <c r="H210" s="25">
        <v>190</v>
      </c>
      <c r="I210" s="6" t="s">
        <v>17</v>
      </c>
      <c r="J210" s="54">
        <v>79647139</v>
      </c>
      <c r="K210" s="54" t="s">
        <v>215</v>
      </c>
      <c r="L210" s="54" t="s">
        <v>218</v>
      </c>
      <c r="M210" s="55">
        <v>239900</v>
      </c>
      <c r="N210" s="37">
        <v>0.9</v>
      </c>
      <c r="O210" s="36">
        <f t="shared" si="11"/>
        <v>23990</v>
      </c>
      <c r="P210" s="6" t="s">
        <v>16</v>
      </c>
    </row>
    <row r="211" spans="1:16" x14ac:dyDescent="0.35">
      <c r="A211" s="34" t="s">
        <v>6642</v>
      </c>
      <c r="B211" s="7">
        <f t="shared" si="9"/>
        <v>46086</v>
      </c>
      <c r="C211" s="7">
        <f t="shared" si="10"/>
        <v>46092</v>
      </c>
      <c r="D211" s="6">
        <v>3281</v>
      </c>
      <c r="E211" s="6">
        <v>337</v>
      </c>
      <c r="F211" s="6">
        <v>4</v>
      </c>
      <c r="G211" s="25">
        <v>5</v>
      </c>
      <c r="H211" s="25">
        <v>190</v>
      </c>
      <c r="I211" s="6" t="s">
        <v>17</v>
      </c>
      <c r="J211" s="54">
        <v>80614359</v>
      </c>
      <c r="K211" s="54" t="s">
        <v>75</v>
      </c>
      <c r="L211" s="54" t="s">
        <v>76</v>
      </c>
      <c r="M211" s="55">
        <v>239900</v>
      </c>
      <c r="N211" s="37">
        <v>0.9</v>
      </c>
      <c r="O211" s="36">
        <f t="shared" si="11"/>
        <v>23990</v>
      </c>
      <c r="P211" s="6" t="s">
        <v>16</v>
      </c>
    </row>
    <row r="212" spans="1:16" x14ac:dyDescent="0.35">
      <c r="A212" s="34" t="s">
        <v>6642</v>
      </c>
      <c r="B212" s="7">
        <f t="shared" si="9"/>
        <v>46086</v>
      </c>
      <c r="C212" s="7">
        <f t="shared" si="10"/>
        <v>46092</v>
      </c>
      <c r="D212" s="6">
        <v>3281</v>
      </c>
      <c r="E212" s="6">
        <v>337</v>
      </c>
      <c r="F212" s="6">
        <v>4</v>
      </c>
      <c r="G212" s="25">
        <v>5</v>
      </c>
      <c r="H212" s="25">
        <v>190</v>
      </c>
      <c r="I212" s="6" t="s">
        <v>17</v>
      </c>
      <c r="J212" s="54">
        <v>80614377</v>
      </c>
      <c r="K212" s="54" t="s">
        <v>75</v>
      </c>
      <c r="L212" s="54" t="s">
        <v>77</v>
      </c>
      <c r="M212" s="55">
        <v>239900</v>
      </c>
      <c r="N212" s="37">
        <v>0.9</v>
      </c>
      <c r="O212" s="36">
        <f t="shared" si="11"/>
        <v>23990</v>
      </c>
      <c r="P212" s="6" t="s">
        <v>16</v>
      </c>
    </row>
    <row r="213" spans="1:16" x14ac:dyDescent="0.35">
      <c r="A213" s="34" t="s">
        <v>6642</v>
      </c>
      <c r="B213" s="7">
        <f t="shared" si="9"/>
        <v>46086</v>
      </c>
      <c r="C213" s="7">
        <f t="shared" si="10"/>
        <v>46092</v>
      </c>
      <c r="D213" s="6">
        <v>3281</v>
      </c>
      <c r="E213" s="6">
        <v>337</v>
      </c>
      <c r="F213" s="6">
        <v>4</v>
      </c>
      <c r="G213" s="25">
        <v>5</v>
      </c>
      <c r="H213" s="25">
        <v>190</v>
      </c>
      <c r="I213" s="6" t="s">
        <v>17</v>
      </c>
      <c r="J213" s="54">
        <v>86446520</v>
      </c>
      <c r="K213" s="54" t="s">
        <v>86</v>
      </c>
      <c r="L213" s="54" t="s">
        <v>87</v>
      </c>
      <c r="M213" s="55">
        <v>249900</v>
      </c>
      <c r="N213" s="37">
        <v>0.9</v>
      </c>
      <c r="O213" s="36">
        <f t="shared" si="11"/>
        <v>24990</v>
      </c>
      <c r="P213" s="6" t="s">
        <v>16</v>
      </c>
    </row>
    <row r="214" spans="1:16" x14ac:dyDescent="0.35">
      <c r="A214" s="34" t="s">
        <v>6642</v>
      </c>
      <c r="B214" s="7">
        <f t="shared" si="9"/>
        <v>46086</v>
      </c>
      <c r="C214" s="7">
        <f t="shared" si="10"/>
        <v>46092</v>
      </c>
      <c r="D214" s="6">
        <v>3281</v>
      </c>
      <c r="E214" s="6">
        <v>337</v>
      </c>
      <c r="F214" s="6">
        <v>4</v>
      </c>
      <c r="G214" s="25">
        <v>5</v>
      </c>
      <c r="H214" s="25">
        <v>190</v>
      </c>
      <c r="I214" s="6" t="s">
        <v>17</v>
      </c>
      <c r="J214" s="54">
        <v>86446566</v>
      </c>
      <c r="K214" s="54" t="s">
        <v>88</v>
      </c>
      <c r="L214" s="54" t="s">
        <v>89</v>
      </c>
      <c r="M214" s="55">
        <v>249900</v>
      </c>
      <c r="N214" s="37">
        <v>0.9</v>
      </c>
      <c r="O214" s="36">
        <f t="shared" si="11"/>
        <v>24990</v>
      </c>
      <c r="P214" s="6" t="s">
        <v>16</v>
      </c>
    </row>
    <row r="215" spans="1:16" x14ac:dyDescent="0.35">
      <c r="A215" s="34" t="s">
        <v>6642</v>
      </c>
      <c r="B215" s="7">
        <f t="shared" si="9"/>
        <v>46086</v>
      </c>
      <c r="C215" s="7">
        <f t="shared" si="10"/>
        <v>46092</v>
      </c>
      <c r="D215" s="6">
        <v>3281</v>
      </c>
      <c r="E215" s="6">
        <v>337</v>
      </c>
      <c r="F215" s="6">
        <v>4</v>
      </c>
      <c r="G215" s="25">
        <v>5</v>
      </c>
      <c r="H215" s="25">
        <v>190</v>
      </c>
      <c r="I215" s="6" t="s">
        <v>17</v>
      </c>
      <c r="J215" s="54">
        <v>87434513</v>
      </c>
      <c r="K215" s="54" t="s">
        <v>53</v>
      </c>
      <c r="L215" s="54" t="s">
        <v>54</v>
      </c>
      <c r="M215" s="55">
        <v>289900</v>
      </c>
      <c r="N215" s="37">
        <v>0.9</v>
      </c>
      <c r="O215" s="36">
        <f t="shared" si="11"/>
        <v>28990</v>
      </c>
      <c r="P215" s="6" t="s">
        <v>16</v>
      </c>
    </row>
    <row r="216" spans="1:16" x14ac:dyDescent="0.35">
      <c r="A216" s="34" t="s">
        <v>6642</v>
      </c>
      <c r="B216" s="7">
        <f t="shared" si="9"/>
        <v>46086</v>
      </c>
      <c r="C216" s="7">
        <f t="shared" si="10"/>
        <v>46092</v>
      </c>
      <c r="D216" s="6">
        <v>3281</v>
      </c>
      <c r="E216" s="6">
        <v>337</v>
      </c>
      <c r="F216" s="6">
        <v>4</v>
      </c>
      <c r="G216" s="25">
        <v>5</v>
      </c>
      <c r="H216" s="25">
        <v>190</v>
      </c>
      <c r="I216" s="6" t="s">
        <v>17</v>
      </c>
      <c r="J216" s="54">
        <v>87434522</v>
      </c>
      <c r="K216" s="54" t="s">
        <v>53</v>
      </c>
      <c r="L216" s="54" t="s">
        <v>55</v>
      </c>
      <c r="M216" s="55">
        <v>289900</v>
      </c>
      <c r="N216" s="37">
        <v>0.9</v>
      </c>
      <c r="O216" s="36">
        <f t="shared" si="11"/>
        <v>28990</v>
      </c>
      <c r="P216" s="6" t="s">
        <v>16</v>
      </c>
    </row>
    <row r="217" spans="1:16" x14ac:dyDescent="0.35">
      <c r="A217" s="34" t="s">
        <v>6642</v>
      </c>
      <c r="B217" s="7">
        <f t="shared" si="9"/>
        <v>46086</v>
      </c>
      <c r="C217" s="7">
        <f t="shared" si="10"/>
        <v>46092</v>
      </c>
      <c r="D217" s="6">
        <v>3281</v>
      </c>
      <c r="E217" s="6">
        <v>337</v>
      </c>
      <c r="F217" s="6">
        <v>4</v>
      </c>
      <c r="G217" s="25">
        <v>5</v>
      </c>
      <c r="H217" s="25">
        <v>190</v>
      </c>
      <c r="I217" s="6" t="s">
        <v>17</v>
      </c>
      <c r="J217" s="54">
        <v>87434531</v>
      </c>
      <c r="K217" s="54" t="s">
        <v>53</v>
      </c>
      <c r="L217" s="54" t="s">
        <v>56</v>
      </c>
      <c r="M217" s="55">
        <v>289900</v>
      </c>
      <c r="N217" s="37">
        <v>0.9</v>
      </c>
      <c r="O217" s="36">
        <f t="shared" si="11"/>
        <v>28990</v>
      </c>
      <c r="P217" s="6" t="s">
        <v>16</v>
      </c>
    </row>
    <row r="218" spans="1:16" x14ac:dyDescent="0.35">
      <c r="A218" s="34" t="s">
        <v>6642</v>
      </c>
      <c r="B218" s="7">
        <f t="shared" si="9"/>
        <v>46086</v>
      </c>
      <c r="C218" s="7">
        <f t="shared" si="10"/>
        <v>46092</v>
      </c>
      <c r="D218" s="6">
        <v>3281</v>
      </c>
      <c r="E218" s="6">
        <v>337</v>
      </c>
      <c r="F218" s="6">
        <v>4</v>
      </c>
      <c r="G218" s="25">
        <v>5</v>
      </c>
      <c r="H218" s="25">
        <v>190</v>
      </c>
      <c r="I218" s="6" t="s">
        <v>17</v>
      </c>
      <c r="J218" s="54">
        <v>13493286</v>
      </c>
      <c r="K218" s="54" t="s">
        <v>112</v>
      </c>
      <c r="L218" s="54" t="s">
        <v>113</v>
      </c>
      <c r="M218" s="55">
        <v>249900</v>
      </c>
      <c r="N218" s="37">
        <v>0.9</v>
      </c>
      <c r="O218" s="36">
        <f t="shared" si="11"/>
        <v>24990</v>
      </c>
      <c r="P218" s="6" t="s">
        <v>16</v>
      </c>
    </row>
    <row r="219" spans="1:16" x14ac:dyDescent="0.35">
      <c r="A219" s="34" t="s">
        <v>6642</v>
      </c>
      <c r="B219" s="7">
        <f t="shared" si="9"/>
        <v>46086</v>
      </c>
      <c r="C219" s="7">
        <f t="shared" si="10"/>
        <v>46092</v>
      </c>
      <c r="D219" s="6">
        <v>3281</v>
      </c>
      <c r="E219" s="6">
        <v>337</v>
      </c>
      <c r="F219" s="6">
        <v>4</v>
      </c>
      <c r="G219" s="25">
        <v>5</v>
      </c>
      <c r="H219" s="25">
        <v>190</v>
      </c>
      <c r="I219" s="6" t="s">
        <v>17</v>
      </c>
      <c r="J219" s="54">
        <v>13493302</v>
      </c>
      <c r="K219" s="54" t="s">
        <v>112</v>
      </c>
      <c r="L219" s="54" t="s">
        <v>114</v>
      </c>
      <c r="M219" s="55">
        <v>249900</v>
      </c>
      <c r="N219" s="37">
        <v>0.9</v>
      </c>
      <c r="O219" s="36">
        <f t="shared" si="11"/>
        <v>24990</v>
      </c>
      <c r="P219" s="6" t="s">
        <v>16</v>
      </c>
    </row>
    <row r="220" spans="1:16" x14ac:dyDescent="0.35">
      <c r="A220" s="34" t="s">
        <v>6642</v>
      </c>
      <c r="B220" s="7">
        <f t="shared" si="9"/>
        <v>46086</v>
      </c>
      <c r="C220" s="7">
        <f t="shared" si="10"/>
        <v>46092</v>
      </c>
      <c r="D220" s="6">
        <v>3281</v>
      </c>
      <c r="E220" s="6">
        <v>337</v>
      </c>
      <c r="F220" s="6">
        <v>4</v>
      </c>
      <c r="G220" s="25">
        <v>5</v>
      </c>
      <c r="H220" s="25">
        <v>190</v>
      </c>
      <c r="I220" s="6" t="s">
        <v>17</v>
      </c>
      <c r="J220" s="54">
        <v>13493366</v>
      </c>
      <c r="K220" s="54" t="s">
        <v>78</v>
      </c>
      <c r="L220" s="54" t="s">
        <v>79</v>
      </c>
      <c r="M220" s="55">
        <v>249900</v>
      </c>
      <c r="N220" s="37">
        <v>0.9</v>
      </c>
      <c r="O220" s="36">
        <f t="shared" si="11"/>
        <v>24990</v>
      </c>
      <c r="P220" s="6" t="s">
        <v>16</v>
      </c>
    </row>
    <row r="221" spans="1:16" x14ac:dyDescent="0.35">
      <c r="A221" s="34" t="s">
        <v>6642</v>
      </c>
      <c r="B221" s="7">
        <f t="shared" si="9"/>
        <v>46086</v>
      </c>
      <c r="C221" s="7">
        <f t="shared" si="10"/>
        <v>46092</v>
      </c>
      <c r="D221" s="6">
        <v>3281</v>
      </c>
      <c r="E221" s="6">
        <v>337</v>
      </c>
      <c r="F221" s="6">
        <v>4</v>
      </c>
      <c r="G221" s="25">
        <v>5</v>
      </c>
      <c r="H221" s="25">
        <v>190</v>
      </c>
      <c r="I221" s="6" t="s">
        <v>17</v>
      </c>
      <c r="J221" s="54">
        <v>13493375</v>
      </c>
      <c r="K221" s="54" t="s">
        <v>78</v>
      </c>
      <c r="L221" s="54" t="s">
        <v>80</v>
      </c>
      <c r="M221" s="55">
        <v>249900</v>
      </c>
      <c r="N221" s="37">
        <v>0.9</v>
      </c>
      <c r="O221" s="36">
        <f t="shared" si="11"/>
        <v>24990</v>
      </c>
      <c r="P221" s="6" t="s">
        <v>16</v>
      </c>
    </row>
    <row r="222" spans="1:16" x14ac:dyDescent="0.35">
      <c r="A222" s="34" t="s">
        <v>6642</v>
      </c>
      <c r="B222" s="7">
        <f t="shared" si="9"/>
        <v>46086</v>
      </c>
      <c r="C222" s="7">
        <f t="shared" si="10"/>
        <v>46092</v>
      </c>
      <c r="D222" s="6">
        <v>3281</v>
      </c>
      <c r="E222" s="6">
        <v>337</v>
      </c>
      <c r="F222" s="6">
        <v>4</v>
      </c>
      <c r="G222" s="25">
        <v>5</v>
      </c>
      <c r="H222" s="25">
        <v>190</v>
      </c>
      <c r="I222" s="6" t="s">
        <v>17</v>
      </c>
      <c r="J222" s="54">
        <v>14478774</v>
      </c>
      <c r="K222" s="54" t="s">
        <v>81</v>
      </c>
      <c r="L222" s="54" t="s">
        <v>82</v>
      </c>
      <c r="M222" s="55">
        <v>249900</v>
      </c>
      <c r="N222" s="37">
        <v>0.9</v>
      </c>
      <c r="O222" s="36">
        <f t="shared" si="11"/>
        <v>24990</v>
      </c>
      <c r="P222" s="6" t="s">
        <v>16</v>
      </c>
    </row>
    <row r="223" spans="1:16" x14ac:dyDescent="0.35">
      <c r="A223" s="34" t="s">
        <v>6642</v>
      </c>
      <c r="B223" s="7">
        <f t="shared" si="9"/>
        <v>46086</v>
      </c>
      <c r="C223" s="7">
        <f t="shared" si="10"/>
        <v>46092</v>
      </c>
      <c r="D223" s="6">
        <v>3281</v>
      </c>
      <c r="E223" s="6">
        <v>337</v>
      </c>
      <c r="F223" s="6">
        <v>4</v>
      </c>
      <c r="G223" s="25">
        <v>5</v>
      </c>
      <c r="H223" s="25">
        <v>190</v>
      </c>
      <c r="I223" s="6" t="s">
        <v>17</v>
      </c>
      <c r="J223" s="54">
        <v>14478783</v>
      </c>
      <c r="K223" s="54" t="s">
        <v>81</v>
      </c>
      <c r="L223" s="54" t="s">
        <v>83</v>
      </c>
      <c r="M223" s="55">
        <v>249900</v>
      </c>
      <c r="N223" s="37">
        <v>0.9</v>
      </c>
      <c r="O223" s="36">
        <f t="shared" si="11"/>
        <v>24990</v>
      </c>
      <c r="P223" s="6" t="s">
        <v>16</v>
      </c>
    </row>
    <row r="224" spans="1:16" x14ac:dyDescent="0.35">
      <c r="A224" s="34" t="s">
        <v>6642</v>
      </c>
      <c r="B224" s="7">
        <f t="shared" si="9"/>
        <v>46086</v>
      </c>
      <c r="C224" s="7">
        <f t="shared" si="10"/>
        <v>46092</v>
      </c>
      <c r="D224" s="6">
        <v>3281</v>
      </c>
      <c r="E224" s="6">
        <v>337</v>
      </c>
      <c r="F224" s="6">
        <v>4</v>
      </c>
      <c r="G224" s="25">
        <v>5</v>
      </c>
      <c r="H224" s="25">
        <v>80920</v>
      </c>
      <c r="I224" s="6" t="s">
        <v>17</v>
      </c>
      <c r="J224" s="54">
        <v>76638716</v>
      </c>
      <c r="K224" s="54" t="s">
        <v>147</v>
      </c>
      <c r="L224" s="54" t="s">
        <v>148</v>
      </c>
      <c r="M224" s="55">
        <v>259900</v>
      </c>
      <c r="N224" s="37">
        <v>0.9</v>
      </c>
      <c r="O224" s="36">
        <f t="shared" si="11"/>
        <v>25990</v>
      </c>
      <c r="P224" s="6" t="s">
        <v>16</v>
      </c>
    </row>
    <row r="225" spans="1:16" x14ac:dyDescent="0.35">
      <c r="A225" s="34" t="s">
        <v>6642</v>
      </c>
      <c r="B225" s="7">
        <f t="shared" si="9"/>
        <v>46086</v>
      </c>
      <c r="C225" s="7">
        <f t="shared" si="10"/>
        <v>46092</v>
      </c>
      <c r="D225" s="6">
        <v>3281</v>
      </c>
      <c r="E225" s="6">
        <v>337</v>
      </c>
      <c r="F225" s="6">
        <v>4</v>
      </c>
      <c r="G225" s="25">
        <v>5</v>
      </c>
      <c r="H225" s="25">
        <v>80920</v>
      </c>
      <c r="I225" s="6" t="s">
        <v>17</v>
      </c>
      <c r="J225" s="54">
        <v>79528302</v>
      </c>
      <c r="K225" s="54" t="s">
        <v>174</v>
      </c>
      <c r="L225" s="54" t="s">
        <v>175</v>
      </c>
      <c r="M225" s="55">
        <v>299900</v>
      </c>
      <c r="N225" s="37">
        <v>0.9</v>
      </c>
      <c r="O225" s="36">
        <f t="shared" si="11"/>
        <v>29990</v>
      </c>
      <c r="P225" s="6" t="s">
        <v>16</v>
      </c>
    </row>
    <row r="226" spans="1:16" x14ac:dyDescent="0.35">
      <c r="A226" s="34" t="s">
        <v>6642</v>
      </c>
      <c r="B226" s="7">
        <f t="shared" si="9"/>
        <v>46086</v>
      </c>
      <c r="C226" s="7">
        <f t="shared" si="10"/>
        <v>46092</v>
      </c>
      <c r="D226" s="6">
        <v>3281</v>
      </c>
      <c r="E226" s="6">
        <v>337</v>
      </c>
      <c r="F226" s="20">
        <v>4</v>
      </c>
      <c r="G226" s="56">
        <v>5</v>
      </c>
      <c r="H226" s="56">
        <v>80920</v>
      </c>
      <c r="I226" s="20" t="s">
        <v>17</v>
      </c>
      <c r="J226" s="54">
        <v>79528320</v>
      </c>
      <c r="K226" s="54" t="s">
        <v>174</v>
      </c>
      <c r="L226" s="54" t="s">
        <v>176</v>
      </c>
      <c r="M226" s="55">
        <v>299900</v>
      </c>
      <c r="N226" s="57">
        <v>0.9</v>
      </c>
      <c r="O226" s="21">
        <f t="shared" si="11"/>
        <v>29990</v>
      </c>
      <c r="P226" s="20" t="s">
        <v>16</v>
      </c>
    </row>
    <row r="227" spans="1:16" x14ac:dyDescent="0.35">
      <c r="A227" s="34" t="s">
        <v>6642</v>
      </c>
      <c r="B227" s="7">
        <f t="shared" si="9"/>
        <v>46086</v>
      </c>
      <c r="C227" s="7">
        <f t="shared" si="10"/>
        <v>46092</v>
      </c>
      <c r="D227" s="6">
        <v>3281</v>
      </c>
      <c r="E227" s="6">
        <v>337</v>
      </c>
      <c r="F227" s="34">
        <v>4</v>
      </c>
      <c r="G227" s="25">
        <v>5</v>
      </c>
      <c r="H227" s="25">
        <v>80920</v>
      </c>
      <c r="I227" s="34" t="s">
        <v>17</v>
      </c>
      <c r="J227" s="24">
        <v>79528339</v>
      </c>
      <c r="K227" s="24" t="s">
        <v>174</v>
      </c>
      <c r="L227" s="24" t="s">
        <v>177</v>
      </c>
      <c r="M227" s="58">
        <v>299900</v>
      </c>
      <c r="N227" s="37">
        <v>0.9</v>
      </c>
      <c r="O227" s="36">
        <f t="shared" si="11"/>
        <v>29990</v>
      </c>
      <c r="P227" s="34" t="s">
        <v>16</v>
      </c>
    </row>
    <row r="228" spans="1:16" x14ac:dyDescent="0.35">
      <c r="A228" s="34" t="s">
        <v>6642</v>
      </c>
      <c r="B228" s="7">
        <f t="shared" si="9"/>
        <v>46086</v>
      </c>
      <c r="C228" s="7">
        <f t="shared" si="10"/>
        <v>46092</v>
      </c>
      <c r="D228" s="6">
        <v>3281</v>
      </c>
      <c r="E228" s="6">
        <v>337</v>
      </c>
      <c r="F228" s="34">
        <v>4</v>
      </c>
      <c r="G228" s="25">
        <v>5</v>
      </c>
      <c r="H228" s="25">
        <v>81506</v>
      </c>
      <c r="I228" s="34" t="s">
        <v>17</v>
      </c>
      <c r="J228" s="24">
        <v>87434460</v>
      </c>
      <c r="K228" s="24" t="s">
        <v>57</v>
      </c>
      <c r="L228" s="24" t="s">
        <v>58</v>
      </c>
      <c r="M228" s="58">
        <v>299900</v>
      </c>
      <c r="N228" s="37">
        <v>0.9</v>
      </c>
      <c r="O228" s="36">
        <f t="shared" si="11"/>
        <v>29990</v>
      </c>
      <c r="P228" s="34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topLeftCell="B1" zoomScaleNormal="100" workbookViewId="0">
      <pane ySplit="1" topLeftCell="A280" activePane="bottomLeft" state="frozen"/>
      <selection activeCell="M23" sqref="M23"/>
      <selection pane="bottomLeft" activeCell="K290" sqref="K290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6741</v>
      </c>
      <c r="B2" s="7">
        <f>'2025 HILITE D80 - 3321'!B2</f>
        <v>46086</v>
      </c>
      <c r="C2" s="7">
        <f>'2025 HILITE D80 - 3321'!C2</f>
        <v>46092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4" t="s">
        <v>6741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7">
        <v>0.9</v>
      </c>
      <c r="O3" s="36">
        <f t="shared" ref="O3:O66" si="0">M3-((90*M3)/100)</f>
        <v>15990</v>
      </c>
      <c r="P3" s="6" t="s">
        <v>16</v>
      </c>
    </row>
    <row r="4" spans="1:16" x14ac:dyDescent="0.35">
      <c r="A4" s="34" t="s">
        <v>6741</v>
      </c>
      <c r="B4" s="7">
        <f t="shared" ref="B4:B67" si="1">B3</f>
        <v>46086</v>
      </c>
      <c r="C4" s="7">
        <f t="shared" ref="C4:C67" si="2">C3</f>
        <v>46092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7">
        <v>0.9</v>
      </c>
      <c r="O4" s="36">
        <f t="shared" si="0"/>
        <v>15990</v>
      </c>
      <c r="P4" s="6" t="s">
        <v>16</v>
      </c>
    </row>
    <row r="5" spans="1:16" x14ac:dyDescent="0.35">
      <c r="A5" s="34" t="s">
        <v>6741</v>
      </c>
      <c r="B5" s="7">
        <f t="shared" si="1"/>
        <v>46086</v>
      </c>
      <c r="C5" s="7">
        <f t="shared" si="2"/>
        <v>46092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7">
        <v>0.9</v>
      </c>
      <c r="O5" s="36">
        <f t="shared" si="0"/>
        <v>15990</v>
      </c>
      <c r="P5" s="6" t="s">
        <v>16</v>
      </c>
    </row>
    <row r="6" spans="1:16" x14ac:dyDescent="0.35">
      <c r="A6" s="34" t="s">
        <v>6741</v>
      </c>
      <c r="B6" s="7">
        <f t="shared" si="1"/>
        <v>46086</v>
      </c>
      <c r="C6" s="7">
        <f t="shared" si="2"/>
        <v>46092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7">
        <v>0.9</v>
      </c>
      <c r="O6" s="36">
        <f t="shared" si="0"/>
        <v>15990</v>
      </c>
      <c r="P6" s="6" t="s">
        <v>16</v>
      </c>
    </row>
    <row r="7" spans="1:16" x14ac:dyDescent="0.35">
      <c r="A7" s="34" t="s">
        <v>6741</v>
      </c>
      <c r="B7" s="7">
        <f t="shared" si="1"/>
        <v>46086</v>
      </c>
      <c r="C7" s="7">
        <f t="shared" si="2"/>
        <v>46092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7">
        <v>0.9</v>
      </c>
      <c r="O7" s="36">
        <f t="shared" si="0"/>
        <v>15990</v>
      </c>
      <c r="P7" s="6" t="s">
        <v>16</v>
      </c>
    </row>
    <row r="8" spans="1:16" x14ac:dyDescent="0.35">
      <c r="A8" s="34" t="s">
        <v>6741</v>
      </c>
      <c r="B8" s="7">
        <f t="shared" si="1"/>
        <v>46086</v>
      </c>
      <c r="C8" s="7">
        <f t="shared" si="2"/>
        <v>46092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7">
        <v>0.9</v>
      </c>
      <c r="O8" s="36">
        <f t="shared" si="0"/>
        <v>15990</v>
      </c>
      <c r="P8" s="6" t="s">
        <v>16</v>
      </c>
    </row>
    <row r="9" spans="1:16" x14ac:dyDescent="0.35">
      <c r="A9" s="34" t="s">
        <v>6741</v>
      </c>
      <c r="B9" s="7">
        <f t="shared" si="1"/>
        <v>46086</v>
      </c>
      <c r="C9" s="7">
        <f t="shared" si="2"/>
        <v>46092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7">
        <v>0.9</v>
      </c>
      <c r="O9" s="36">
        <f t="shared" si="0"/>
        <v>15990</v>
      </c>
      <c r="P9" s="6" t="s">
        <v>16</v>
      </c>
    </row>
    <row r="10" spans="1:16" x14ac:dyDescent="0.35">
      <c r="A10" s="34" t="s">
        <v>6741</v>
      </c>
      <c r="B10" s="7">
        <f t="shared" si="1"/>
        <v>46086</v>
      </c>
      <c r="C10" s="7">
        <f t="shared" si="2"/>
        <v>46092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7">
        <v>0.9</v>
      </c>
      <c r="O10" s="36">
        <f t="shared" si="0"/>
        <v>15990</v>
      </c>
      <c r="P10" s="6" t="s">
        <v>16</v>
      </c>
    </row>
    <row r="11" spans="1:16" x14ac:dyDescent="0.35">
      <c r="A11" s="34" t="s">
        <v>6741</v>
      </c>
      <c r="B11" s="7">
        <f t="shared" si="1"/>
        <v>46086</v>
      </c>
      <c r="C11" s="7">
        <f t="shared" si="2"/>
        <v>46092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7">
        <v>0.9</v>
      </c>
      <c r="O11" s="36">
        <f t="shared" si="0"/>
        <v>15990</v>
      </c>
      <c r="P11" s="6" t="s">
        <v>16</v>
      </c>
    </row>
    <row r="12" spans="1:16" x14ac:dyDescent="0.35">
      <c r="A12" s="34" t="s">
        <v>6741</v>
      </c>
      <c r="B12" s="7">
        <f t="shared" si="1"/>
        <v>46086</v>
      </c>
      <c r="C12" s="7">
        <f t="shared" si="2"/>
        <v>46092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7">
        <v>0.9</v>
      </c>
      <c r="O12" s="36">
        <f t="shared" si="0"/>
        <v>15990</v>
      </c>
      <c r="P12" s="6" t="s">
        <v>16</v>
      </c>
    </row>
    <row r="13" spans="1:16" x14ac:dyDescent="0.35">
      <c r="A13" s="34" t="s">
        <v>6741</v>
      </c>
      <c r="B13" s="7">
        <f t="shared" si="1"/>
        <v>46086</v>
      </c>
      <c r="C13" s="7">
        <f t="shared" si="2"/>
        <v>46092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7">
        <v>0.9</v>
      </c>
      <c r="O13" s="36">
        <f t="shared" si="0"/>
        <v>13990</v>
      </c>
      <c r="P13" s="6" t="s">
        <v>16</v>
      </c>
    </row>
    <row r="14" spans="1:16" x14ac:dyDescent="0.35">
      <c r="A14" s="34" t="s">
        <v>6741</v>
      </c>
      <c r="B14" s="7">
        <f t="shared" si="1"/>
        <v>46086</v>
      </c>
      <c r="C14" s="7">
        <f t="shared" si="2"/>
        <v>46092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7">
        <v>0.9</v>
      </c>
      <c r="O14" s="36">
        <f t="shared" si="0"/>
        <v>13990</v>
      </c>
      <c r="P14" s="6" t="s">
        <v>16</v>
      </c>
    </row>
    <row r="15" spans="1:16" x14ac:dyDescent="0.35">
      <c r="A15" s="34" t="s">
        <v>6741</v>
      </c>
      <c r="B15" s="7">
        <f t="shared" si="1"/>
        <v>46086</v>
      </c>
      <c r="C15" s="7">
        <f t="shared" si="2"/>
        <v>46092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7">
        <v>0.9</v>
      </c>
      <c r="O15" s="36">
        <f t="shared" si="0"/>
        <v>13990</v>
      </c>
      <c r="P15" s="6" t="s">
        <v>16</v>
      </c>
    </row>
    <row r="16" spans="1:16" x14ac:dyDescent="0.35">
      <c r="A16" s="34" t="s">
        <v>6741</v>
      </c>
      <c r="B16" s="7">
        <f t="shared" si="1"/>
        <v>46086</v>
      </c>
      <c r="C16" s="7">
        <f t="shared" si="2"/>
        <v>46092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7">
        <v>0.9</v>
      </c>
      <c r="O16" s="36">
        <f t="shared" si="0"/>
        <v>13990</v>
      </c>
      <c r="P16" s="6" t="s">
        <v>16</v>
      </c>
    </row>
    <row r="17" spans="1:16" x14ac:dyDescent="0.35">
      <c r="A17" s="34" t="s">
        <v>6741</v>
      </c>
      <c r="B17" s="7">
        <f t="shared" si="1"/>
        <v>46086</v>
      </c>
      <c r="C17" s="7">
        <f t="shared" si="2"/>
        <v>46092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7">
        <v>0.9</v>
      </c>
      <c r="O17" s="36">
        <f t="shared" si="0"/>
        <v>13990</v>
      </c>
      <c r="P17" s="6" t="s">
        <v>16</v>
      </c>
    </row>
    <row r="18" spans="1:16" x14ac:dyDescent="0.35">
      <c r="A18" s="34" t="s">
        <v>6741</v>
      </c>
      <c r="B18" s="7">
        <f t="shared" si="1"/>
        <v>46086</v>
      </c>
      <c r="C18" s="7">
        <f t="shared" si="2"/>
        <v>46092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7">
        <v>0.9</v>
      </c>
      <c r="O18" s="36">
        <f t="shared" si="0"/>
        <v>13990</v>
      </c>
      <c r="P18" s="6" t="s">
        <v>16</v>
      </c>
    </row>
    <row r="19" spans="1:16" x14ac:dyDescent="0.35">
      <c r="A19" s="34" t="s">
        <v>6741</v>
      </c>
      <c r="B19" s="7">
        <f t="shared" si="1"/>
        <v>46086</v>
      </c>
      <c r="C19" s="7">
        <f t="shared" si="2"/>
        <v>46092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7">
        <v>0.9</v>
      </c>
      <c r="O19" s="36">
        <f t="shared" si="0"/>
        <v>13990</v>
      </c>
      <c r="P19" s="6" t="s">
        <v>16</v>
      </c>
    </row>
    <row r="20" spans="1:16" x14ac:dyDescent="0.35">
      <c r="A20" s="34" t="s">
        <v>6741</v>
      </c>
      <c r="B20" s="7">
        <f t="shared" si="1"/>
        <v>46086</v>
      </c>
      <c r="C20" s="7">
        <f t="shared" si="2"/>
        <v>46092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7">
        <v>0.9</v>
      </c>
      <c r="O20" s="36">
        <f t="shared" si="0"/>
        <v>13990</v>
      </c>
      <c r="P20" s="6" t="s">
        <v>16</v>
      </c>
    </row>
    <row r="21" spans="1:16" x14ac:dyDescent="0.35">
      <c r="A21" s="34" t="s">
        <v>6741</v>
      </c>
      <c r="B21" s="7">
        <f t="shared" si="1"/>
        <v>46086</v>
      </c>
      <c r="C21" s="7">
        <f t="shared" si="2"/>
        <v>46092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7">
        <v>0.9</v>
      </c>
      <c r="O21" s="36">
        <f t="shared" si="0"/>
        <v>12990</v>
      </c>
      <c r="P21" s="6" t="s">
        <v>16</v>
      </c>
    </row>
    <row r="22" spans="1:16" x14ac:dyDescent="0.35">
      <c r="A22" s="34" t="s">
        <v>6741</v>
      </c>
      <c r="B22" s="7">
        <f t="shared" si="1"/>
        <v>46086</v>
      </c>
      <c r="C22" s="7">
        <f t="shared" si="2"/>
        <v>46092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7">
        <v>0.9</v>
      </c>
      <c r="O22" s="36">
        <f t="shared" si="0"/>
        <v>12990</v>
      </c>
      <c r="P22" s="6" t="s">
        <v>16</v>
      </c>
    </row>
    <row r="23" spans="1:16" x14ac:dyDescent="0.35">
      <c r="A23" s="34" t="s">
        <v>6741</v>
      </c>
      <c r="B23" s="7">
        <f t="shared" si="1"/>
        <v>46086</v>
      </c>
      <c r="C23" s="7">
        <f t="shared" si="2"/>
        <v>46092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7">
        <v>0.9</v>
      </c>
      <c r="O23" s="36">
        <f t="shared" si="0"/>
        <v>12990</v>
      </c>
      <c r="P23" s="6" t="s">
        <v>16</v>
      </c>
    </row>
    <row r="24" spans="1:16" x14ac:dyDescent="0.35">
      <c r="A24" s="34" t="s">
        <v>6741</v>
      </c>
      <c r="B24" s="7">
        <f t="shared" si="1"/>
        <v>46086</v>
      </c>
      <c r="C24" s="7">
        <f t="shared" si="2"/>
        <v>46092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7">
        <v>0.9</v>
      </c>
      <c r="O24" s="36">
        <f t="shared" si="0"/>
        <v>12990</v>
      </c>
      <c r="P24" s="6" t="s">
        <v>16</v>
      </c>
    </row>
    <row r="25" spans="1:16" x14ac:dyDescent="0.35">
      <c r="A25" s="34" t="s">
        <v>6741</v>
      </c>
      <c r="B25" s="7">
        <f t="shared" si="1"/>
        <v>46086</v>
      </c>
      <c r="C25" s="7">
        <f t="shared" si="2"/>
        <v>46092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6741</v>
      </c>
      <c r="B26" s="7">
        <f t="shared" si="1"/>
        <v>46086</v>
      </c>
      <c r="C26" s="7">
        <f t="shared" si="2"/>
        <v>46092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6741</v>
      </c>
      <c r="B27" s="7">
        <f t="shared" si="1"/>
        <v>46086</v>
      </c>
      <c r="C27" s="7">
        <f t="shared" si="2"/>
        <v>46092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6741</v>
      </c>
      <c r="B28" s="7">
        <f t="shared" si="1"/>
        <v>46086</v>
      </c>
      <c r="C28" s="7">
        <f t="shared" si="2"/>
        <v>46092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6741</v>
      </c>
      <c r="B29" s="7">
        <f t="shared" si="1"/>
        <v>46086</v>
      </c>
      <c r="C29" s="7">
        <f t="shared" si="2"/>
        <v>46092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6741</v>
      </c>
      <c r="B30" s="7">
        <f t="shared" si="1"/>
        <v>46086</v>
      </c>
      <c r="C30" s="7">
        <f t="shared" si="2"/>
        <v>46092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6741</v>
      </c>
      <c r="B31" s="7">
        <f t="shared" si="1"/>
        <v>46086</v>
      </c>
      <c r="C31" s="7">
        <f t="shared" si="2"/>
        <v>46092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6741</v>
      </c>
      <c r="B32" s="7">
        <f t="shared" si="1"/>
        <v>46086</v>
      </c>
      <c r="C32" s="7">
        <f t="shared" si="2"/>
        <v>46092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6741</v>
      </c>
      <c r="B33" s="7">
        <f t="shared" si="1"/>
        <v>46086</v>
      </c>
      <c r="C33" s="7">
        <f t="shared" si="2"/>
        <v>46092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6741</v>
      </c>
      <c r="B34" s="7">
        <f t="shared" si="1"/>
        <v>46086</v>
      </c>
      <c r="C34" s="7">
        <f t="shared" si="2"/>
        <v>46092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6741</v>
      </c>
      <c r="B35" s="7">
        <f t="shared" si="1"/>
        <v>46086</v>
      </c>
      <c r="C35" s="7">
        <f t="shared" si="2"/>
        <v>46092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7">
        <v>0.9</v>
      </c>
      <c r="O35" s="36">
        <f t="shared" si="0"/>
        <v>13990</v>
      </c>
      <c r="P35" s="6" t="s">
        <v>16</v>
      </c>
    </row>
    <row r="36" spans="1:16" x14ac:dyDescent="0.35">
      <c r="A36" s="34" t="s">
        <v>6741</v>
      </c>
      <c r="B36" s="7">
        <f t="shared" si="1"/>
        <v>46086</v>
      </c>
      <c r="C36" s="7">
        <f t="shared" si="2"/>
        <v>46092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7">
        <v>0.9</v>
      </c>
      <c r="O36" s="36">
        <f t="shared" si="0"/>
        <v>13990</v>
      </c>
      <c r="P36" s="6" t="s">
        <v>16</v>
      </c>
    </row>
    <row r="37" spans="1:16" x14ac:dyDescent="0.35">
      <c r="A37" s="34" t="s">
        <v>6741</v>
      </c>
      <c r="B37" s="7">
        <f t="shared" si="1"/>
        <v>46086</v>
      </c>
      <c r="C37" s="7">
        <f t="shared" si="2"/>
        <v>46092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7">
        <v>0.9</v>
      </c>
      <c r="O37" s="36">
        <f t="shared" si="0"/>
        <v>8990</v>
      </c>
      <c r="P37" s="6" t="s">
        <v>16</v>
      </c>
    </row>
    <row r="38" spans="1:16" x14ac:dyDescent="0.35">
      <c r="A38" s="34" t="s">
        <v>6741</v>
      </c>
      <c r="B38" s="7">
        <f t="shared" si="1"/>
        <v>46086</v>
      </c>
      <c r="C38" s="7">
        <f t="shared" si="2"/>
        <v>46092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7">
        <v>0.9</v>
      </c>
      <c r="O38" s="36">
        <f t="shared" si="0"/>
        <v>8990</v>
      </c>
      <c r="P38" s="6" t="s">
        <v>16</v>
      </c>
    </row>
    <row r="39" spans="1:16" x14ac:dyDescent="0.35">
      <c r="A39" s="34" t="s">
        <v>6741</v>
      </c>
      <c r="B39" s="7">
        <f t="shared" si="1"/>
        <v>46086</v>
      </c>
      <c r="C39" s="7">
        <f t="shared" si="2"/>
        <v>46092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7">
        <v>0.9</v>
      </c>
      <c r="O39" s="36">
        <f t="shared" si="0"/>
        <v>8990</v>
      </c>
      <c r="P39" s="6" t="s">
        <v>16</v>
      </c>
    </row>
    <row r="40" spans="1:16" x14ac:dyDescent="0.35">
      <c r="A40" s="34" t="s">
        <v>6741</v>
      </c>
      <c r="B40" s="7">
        <f t="shared" si="1"/>
        <v>46086</v>
      </c>
      <c r="C40" s="7">
        <f t="shared" si="2"/>
        <v>46092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7">
        <v>0.9</v>
      </c>
      <c r="O40" s="36">
        <f t="shared" si="0"/>
        <v>9990</v>
      </c>
      <c r="P40" s="6" t="s">
        <v>16</v>
      </c>
    </row>
    <row r="41" spans="1:16" x14ac:dyDescent="0.35">
      <c r="A41" s="34" t="s">
        <v>6741</v>
      </c>
      <c r="B41" s="7">
        <f t="shared" si="1"/>
        <v>46086</v>
      </c>
      <c r="C41" s="7">
        <f t="shared" si="2"/>
        <v>46092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7">
        <v>0.9</v>
      </c>
      <c r="O41" s="36">
        <f t="shared" si="0"/>
        <v>14990</v>
      </c>
      <c r="P41" s="6" t="s">
        <v>16</v>
      </c>
    </row>
    <row r="42" spans="1:16" x14ac:dyDescent="0.35">
      <c r="A42" s="34" t="s">
        <v>6741</v>
      </c>
      <c r="B42" s="7">
        <f t="shared" si="1"/>
        <v>46086</v>
      </c>
      <c r="C42" s="7">
        <f t="shared" si="2"/>
        <v>46092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7">
        <v>0.9</v>
      </c>
      <c r="O42" s="36">
        <f t="shared" si="0"/>
        <v>14990</v>
      </c>
      <c r="P42" s="6" t="s">
        <v>16</v>
      </c>
    </row>
    <row r="43" spans="1:16" x14ac:dyDescent="0.35">
      <c r="A43" s="34" t="s">
        <v>6741</v>
      </c>
      <c r="B43" s="7">
        <f t="shared" si="1"/>
        <v>46086</v>
      </c>
      <c r="C43" s="7">
        <f t="shared" si="2"/>
        <v>46092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7">
        <v>0.9</v>
      </c>
      <c r="O43" s="36">
        <f t="shared" si="0"/>
        <v>14990</v>
      </c>
      <c r="P43" s="6" t="s">
        <v>16</v>
      </c>
    </row>
    <row r="44" spans="1:16" x14ac:dyDescent="0.35">
      <c r="A44" s="34" t="s">
        <v>6741</v>
      </c>
      <c r="B44" s="7">
        <f t="shared" si="1"/>
        <v>46086</v>
      </c>
      <c r="C44" s="7">
        <f t="shared" si="2"/>
        <v>46092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6741</v>
      </c>
      <c r="B45" s="7">
        <f t="shared" si="1"/>
        <v>46086</v>
      </c>
      <c r="C45" s="7">
        <f t="shared" si="2"/>
        <v>46092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7">
        <v>0.9</v>
      </c>
      <c r="O45" s="36">
        <f t="shared" si="0"/>
        <v>14990</v>
      </c>
      <c r="P45" s="6" t="s">
        <v>16</v>
      </c>
    </row>
    <row r="46" spans="1:16" x14ac:dyDescent="0.35">
      <c r="A46" s="34" t="s">
        <v>6741</v>
      </c>
      <c r="B46" s="7">
        <f t="shared" si="1"/>
        <v>46086</v>
      </c>
      <c r="C46" s="7">
        <f t="shared" si="2"/>
        <v>46092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7">
        <v>0.9</v>
      </c>
      <c r="O46" s="36">
        <f t="shared" si="0"/>
        <v>14990</v>
      </c>
      <c r="P46" s="6" t="s">
        <v>16</v>
      </c>
    </row>
    <row r="47" spans="1:16" x14ac:dyDescent="0.35">
      <c r="A47" s="34" t="s">
        <v>6741</v>
      </c>
      <c r="B47" s="7">
        <f t="shared" si="1"/>
        <v>46086</v>
      </c>
      <c r="C47" s="7">
        <f t="shared" si="2"/>
        <v>46092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7">
        <v>0.9</v>
      </c>
      <c r="O47" s="36">
        <f t="shared" si="0"/>
        <v>14990</v>
      </c>
      <c r="P47" s="6" t="s">
        <v>16</v>
      </c>
    </row>
    <row r="48" spans="1:16" x14ac:dyDescent="0.35">
      <c r="A48" s="34" t="s">
        <v>6741</v>
      </c>
      <c r="B48" s="7">
        <f t="shared" si="1"/>
        <v>46086</v>
      </c>
      <c r="C48" s="7">
        <f t="shared" si="2"/>
        <v>46092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7">
        <v>0.9</v>
      </c>
      <c r="O48" s="36">
        <f t="shared" si="0"/>
        <v>13990</v>
      </c>
      <c r="P48" s="6" t="s">
        <v>16</v>
      </c>
    </row>
    <row r="49" spans="1:16" x14ac:dyDescent="0.35">
      <c r="A49" s="34" t="s">
        <v>6741</v>
      </c>
      <c r="B49" s="7">
        <f t="shared" si="1"/>
        <v>46086</v>
      </c>
      <c r="C49" s="7">
        <f t="shared" si="2"/>
        <v>46092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7">
        <v>0.9</v>
      </c>
      <c r="O49" s="36">
        <f t="shared" si="0"/>
        <v>15990</v>
      </c>
      <c r="P49" s="6" t="s">
        <v>16</v>
      </c>
    </row>
    <row r="50" spans="1:16" x14ac:dyDescent="0.35">
      <c r="A50" s="34" t="s">
        <v>6741</v>
      </c>
      <c r="B50" s="7">
        <f t="shared" si="1"/>
        <v>46086</v>
      </c>
      <c r="C50" s="7">
        <f t="shared" si="2"/>
        <v>46092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7">
        <v>0.9</v>
      </c>
      <c r="O50" s="36">
        <f t="shared" si="0"/>
        <v>15990</v>
      </c>
      <c r="P50" s="6" t="s">
        <v>16</v>
      </c>
    </row>
    <row r="51" spans="1:16" x14ac:dyDescent="0.35">
      <c r="A51" s="34" t="s">
        <v>6741</v>
      </c>
      <c r="B51" s="7">
        <f t="shared" si="1"/>
        <v>46086</v>
      </c>
      <c r="C51" s="7">
        <f t="shared" si="2"/>
        <v>46092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7">
        <v>0.9</v>
      </c>
      <c r="O51" s="36">
        <f t="shared" si="0"/>
        <v>15990</v>
      </c>
      <c r="P51" s="6" t="s">
        <v>16</v>
      </c>
    </row>
    <row r="52" spans="1:16" x14ac:dyDescent="0.35">
      <c r="A52" s="34" t="s">
        <v>6741</v>
      </c>
      <c r="B52" s="7">
        <f t="shared" si="1"/>
        <v>46086</v>
      </c>
      <c r="C52" s="7">
        <f t="shared" si="2"/>
        <v>46092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6741</v>
      </c>
      <c r="B53" s="7">
        <f t="shared" si="1"/>
        <v>46086</v>
      </c>
      <c r="C53" s="7">
        <f t="shared" si="2"/>
        <v>46092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7">
        <v>0.9</v>
      </c>
      <c r="O53" s="36">
        <f t="shared" si="0"/>
        <v>9990</v>
      </c>
      <c r="P53" s="6" t="s">
        <v>16</v>
      </c>
    </row>
    <row r="54" spans="1:16" x14ac:dyDescent="0.35">
      <c r="A54" s="34" t="s">
        <v>6741</v>
      </c>
      <c r="B54" s="7">
        <f t="shared" si="1"/>
        <v>46086</v>
      </c>
      <c r="C54" s="7">
        <f t="shared" si="2"/>
        <v>46092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7">
        <v>0.9</v>
      </c>
      <c r="O54" s="36">
        <f t="shared" si="0"/>
        <v>9990</v>
      </c>
      <c r="P54" s="6" t="s">
        <v>16</v>
      </c>
    </row>
    <row r="55" spans="1:16" x14ac:dyDescent="0.35">
      <c r="A55" s="34" t="s">
        <v>6741</v>
      </c>
      <c r="B55" s="7">
        <f t="shared" si="1"/>
        <v>46086</v>
      </c>
      <c r="C55" s="7">
        <f t="shared" si="2"/>
        <v>46092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7">
        <v>0.9</v>
      </c>
      <c r="O55" s="36">
        <f t="shared" si="0"/>
        <v>9990</v>
      </c>
      <c r="P55" s="6" t="s">
        <v>16</v>
      </c>
    </row>
    <row r="56" spans="1:16" x14ac:dyDescent="0.35">
      <c r="A56" s="34" t="s">
        <v>6741</v>
      </c>
      <c r="B56" s="7">
        <f t="shared" si="1"/>
        <v>46086</v>
      </c>
      <c r="C56" s="7">
        <f t="shared" si="2"/>
        <v>46092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7">
        <v>0.9</v>
      </c>
      <c r="O56" s="36">
        <f t="shared" si="0"/>
        <v>9990</v>
      </c>
      <c r="P56" s="6" t="s">
        <v>16</v>
      </c>
    </row>
    <row r="57" spans="1:16" x14ac:dyDescent="0.35">
      <c r="A57" s="34" t="s">
        <v>6741</v>
      </c>
      <c r="B57" s="7">
        <f t="shared" si="1"/>
        <v>46086</v>
      </c>
      <c r="C57" s="7">
        <f t="shared" si="2"/>
        <v>46092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7">
        <v>0.9</v>
      </c>
      <c r="O57" s="36">
        <f t="shared" si="0"/>
        <v>9990</v>
      </c>
      <c r="P57" s="6" t="s">
        <v>16</v>
      </c>
    </row>
    <row r="58" spans="1:16" x14ac:dyDescent="0.35">
      <c r="A58" s="34" t="s">
        <v>6741</v>
      </c>
      <c r="B58" s="7">
        <f t="shared" si="1"/>
        <v>46086</v>
      </c>
      <c r="C58" s="7">
        <f t="shared" si="2"/>
        <v>46092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6741</v>
      </c>
      <c r="B59" s="7">
        <f t="shared" si="1"/>
        <v>46086</v>
      </c>
      <c r="C59" s="7">
        <f t="shared" si="2"/>
        <v>46092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6741</v>
      </c>
      <c r="B60" s="7">
        <f t="shared" si="1"/>
        <v>46086</v>
      </c>
      <c r="C60" s="7">
        <f t="shared" si="2"/>
        <v>46092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7">
        <v>0.9</v>
      </c>
      <c r="O60" s="36">
        <f t="shared" si="0"/>
        <v>15990</v>
      </c>
      <c r="P60" s="6" t="s">
        <v>16</v>
      </c>
    </row>
    <row r="61" spans="1:16" x14ac:dyDescent="0.35">
      <c r="A61" s="34" t="s">
        <v>6741</v>
      </c>
      <c r="B61" s="7">
        <f t="shared" si="1"/>
        <v>46086</v>
      </c>
      <c r="C61" s="7">
        <f t="shared" si="2"/>
        <v>46092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7">
        <v>0.9</v>
      </c>
      <c r="O61" s="36">
        <f t="shared" si="0"/>
        <v>15990</v>
      </c>
      <c r="P61" s="6" t="s">
        <v>16</v>
      </c>
    </row>
    <row r="62" spans="1:16" x14ac:dyDescent="0.35">
      <c r="A62" s="34" t="s">
        <v>6741</v>
      </c>
      <c r="B62" s="7">
        <f t="shared" si="1"/>
        <v>46086</v>
      </c>
      <c r="C62" s="7">
        <f t="shared" si="2"/>
        <v>46092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7">
        <v>0.9</v>
      </c>
      <c r="O62" s="36">
        <f t="shared" si="0"/>
        <v>15990</v>
      </c>
      <c r="P62" s="6" t="s">
        <v>16</v>
      </c>
    </row>
    <row r="63" spans="1:16" x14ac:dyDescent="0.35">
      <c r="A63" s="34" t="s">
        <v>6741</v>
      </c>
      <c r="B63" s="7">
        <f t="shared" si="1"/>
        <v>46086</v>
      </c>
      <c r="C63" s="7">
        <f t="shared" si="2"/>
        <v>46092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6741</v>
      </c>
      <c r="B64" s="7">
        <f t="shared" si="1"/>
        <v>46086</v>
      </c>
      <c r="C64" s="7">
        <f t="shared" si="2"/>
        <v>46092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7">
        <v>0.9</v>
      </c>
      <c r="O64" s="36">
        <f t="shared" si="0"/>
        <v>14990</v>
      </c>
      <c r="P64" s="6" t="s">
        <v>16</v>
      </c>
    </row>
    <row r="65" spans="1:16" x14ac:dyDescent="0.35">
      <c r="A65" s="34" t="s">
        <v>6741</v>
      </c>
      <c r="B65" s="7">
        <f t="shared" si="1"/>
        <v>46086</v>
      </c>
      <c r="C65" s="7">
        <f t="shared" si="2"/>
        <v>46092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7">
        <v>0.9</v>
      </c>
      <c r="O65" s="36">
        <f t="shared" si="0"/>
        <v>14990</v>
      </c>
      <c r="P65" s="6" t="s">
        <v>16</v>
      </c>
    </row>
    <row r="66" spans="1:16" x14ac:dyDescent="0.35">
      <c r="A66" s="34" t="s">
        <v>6741</v>
      </c>
      <c r="B66" s="7">
        <f t="shared" si="1"/>
        <v>46086</v>
      </c>
      <c r="C66" s="7">
        <f t="shared" si="2"/>
        <v>46092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7">
        <v>0.9</v>
      </c>
      <c r="O66" s="36">
        <f t="shared" si="0"/>
        <v>14990</v>
      </c>
      <c r="P66" s="6" t="s">
        <v>16</v>
      </c>
    </row>
    <row r="67" spans="1:16" x14ac:dyDescent="0.35">
      <c r="A67" s="34" t="s">
        <v>6741</v>
      </c>
      <c r="B67" s="7">
        <f t="shared" si="1"/>
        <v>46086</v>
      </c>
      <c r="C67" s="7">
        <f t="shared" si="2"/>
        <v>46092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7">
        <v>0.9</v>
      </c>
      <c r="O67" s="36">
        <f t="shared" ref="O67:O130" si="3">M67-((90*M67)/100)</f>
        <v>14990</v>
      </c>
      <c r="P67" s="6" t="s">
        <v>16</v>
      </c>
    </row>
    <row r="68" spans="1:16" x14ac:dyDescent="0.35">
      <c r="A68" s="34" t="s">
        <v>6741</v>
      </c>
      <c r="B68" s="7">
        <f t="shared" ref="B68:B131" si="4">B67</f>
        <v>46086</v>
      </c>
      <c r="C68" s="7">
        <f t="shared" ref="C68:C131" si="5">C67</f>
        <v>46092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7">
        <v>0.9</v>
      </c>
      <c r="O68" s="36">
        <f t="shared" si="3"/>
        <v>14990</v>
      </c>
      <c r="P68" s="6" t="s">
        <v>16</v>
      </c>
    </row>
    <row r="69" spans="1:16" x14ac:dyDescent="0.35">
      <c r="A69" s="34" t="s">
        <v>6741</v>
      </c>
      <c r="B69" s="7">
        <f t="shared" si="4"/>
        <v>46086</v>
      </c>
      <c r="C69" s="7">
        <f t="shared" si="5"/>
        <v>46092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7">
        <v>0.9</v>
      </c>
      <c r="O69" s="36">
        <f t="shared" si="3"/>
        <v>14990</v>
      </c>
      <c r="P69" s="6" t="s">
        <v>16</v>
      </c>
    </row>
    <row r="70" spans="1:16" x14ac:dyDescent="0.35">
      <c r="A70" s="34" t="s">
        <v>6741</v>
      </c>
      <c r="B70" s="7">
        <f t="shared" si="4"/>
        <v>46086</v>
      </c>
      <c r="C70" s="7">
        <f t="shared" si="5"/>
        <v>46092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7">
        <v>0.9</v>
      </c>
      <c r="O70" s="36">
        <f t="shared" si="3"/>
        <v>14990</v>
      </c>
      <c r="P70" s="6" t="s">
        <v>16</v>
      </c>
    </row>
    <row r="71" spans="1:16" x14ac:dyDescent="0.35">
      <c r="A71" s="34" t="s">
        <v>6741</v>
      </c>
      <c r="B71" s="7">
        <f t="shared" si="4"/>
        <v>46086</v>
      </c>
      <c r="C71" s="7">
        <f t="shared" si="5"/>
        <v>46092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7">
        <v>0.9</v>
      </c>
      <c r="O71" s="36">
        <f t="shared" si="3"/>
        <v>14990</v>
      </c>
      <c r="P71" s="6" t="s">
        <v>16</v>
      </c>
    </row>
    <row r="72" spans="1:16" x14ac:dyDescent="0.35">
      <c r="A72" s="34" t="s">
        <v>6741</v>
      </c>
      <c r="B72" s="7">
        <f t="shared" si="4"/>
        <v>46086</v>
      </c>
      <c r="C72" s="7">
        <f t="shared" si="5"/>
        <v>46092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7">
        <v>0.9</v>
      </c>
      <c r="O72" s="36">
        <f t="shared" si="3"/>
        <v>13990</v>
      </c>
      <c r="P72" s="6" t="s">
        <v>16</v>
      </c>
    </row>
    <row r="73" spans="1:16" x14ac:dyDescent="0.35">
      <c r="A73" s="34" t="s">
        <v>6741</v>
      </c>
      <c r="B73" s="7">
        <f t="shared" si="4"/>
        <v>46086</v>
      </c>
      <c r="C73" s="7">
        <f t="shared" si="5"/>
        <v>46092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7">
        <v>0.9</v>
      </c>
      <c r="O73" s="36">
        <f t="shared" si="3"/>
        <v>13990</v>
      </c>
      <c r="P73" s="6" t="s">
        <v>16</v>
      </c>
    </row>
    <row r="74" spans="1:16" x14ac:dyDescent="0.35">
      <c r="A74" s="34" t="s">
        <v>6741</v>
      </c>
      <c r="B74" s="7">
        <f t="shared" si="4"/>
        <v>46086</v>
      </c>
      <c r="C74" s="7">
        <f t="shared" si="5"/>
        <v>46092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7">
        <v>0.9</v>
      </c>
      <c r="O74" s="36">
        <f t="shared" si="3"/>
        <v>13990</v>
      </c>
      <c r="P74" s="6" t="s">
        <v>16</v>
      </c>
    </row>
    <row r="75" spans="1:16" x14ac:dyDescent="0.35">
      <c r="A75" s="34" t="s">
        <v>6741</v>
      </c>
      <c r="B75" s="7">
        <f t="shared" si="4"/>
        <v>46086</v>
      </c>
      <c r="C75" s="7">
        <f t="shared" si="5"/>
        <v>46092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7">
        <v>0.9</v>
      </c>
      <c r="O75" s="36">
        <f t="shared" si="3"/>
        <v>15990</v>
      </c>
      <c r="P75" s="6" t="s">
        <v>16</v>
      </c>
    </row>
    <row r="76" spans="1:16" x14ac:dyDescent="0.35">
      <c r="A76" s="34" t="s">
        <v>6741</v>
      </c>
      <c r="B76" s="7">
        <f t="shared" si="4"/>
        <v>46086</v>
      </c>
      <c r="C76" s="7">
        <f t="shared" si="5"/>
        <v>46092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7">
        <v>0.9</v>
      </c>
      <c r="O76" s="36">
        <f t="shared" si="3"/>
        <v>15990</v>
      </c>
      <c r="P76" s="6" t="s">
        <v>16</v>
      </c>
    </row>
    <row r="77" spans="1:16" x14ac:dyDescent="0.35">
      <c r="A77" s="34" t="s">
        <v>6741</v>
      </c>
      <c r="B77" s="7">
        <f t="shared" si="4"/>
        <v>46086</v>
      </c>
      <c r="C77" s="7">
        <f t="shared" si="5"/>
        <v>46092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7">
        <v>0.9</v>
      </c>
      <c r="O77" s="36">
        <f t="shared" si="3"/>
        <v>15990</v>
      </c>
      <c r="P77" s="6" t="s">
        <v>16</v>
      </c>
    </row>
    <row r="78" spans="1:16" x14ac:dyDescent="0.35">
      <c r="A78" s="34" t="s">
        <v>6741</v>
      </c>
      <c r="B78" s="7">
        <f t="shared" si="4"/>
        <v>46086</v>
      </c>
      <c r="C78" s="7">
        <f t="shared" si="5"/>
        <v>46092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7">
        <v>0.9</v>
      </c>
      <c r="O78" s="36">
        <f t="shared" si="3"/>
        <v>15990</v>
      </c>
      <c r="P78" s="6" t="s">
        <v>16</v>
      </c>
    </row>
    <row r="79" spans="1:16" x14ac:dyDescent="0.35">
      <c r="A79" s="34" t="s">
        <v>6741</v>
      </c>
      <c r="B79" s="7">
        <f t="shared" si="4"/>
        <v>46086</v>
      </c>
      <c r="C79" s="7">
        <f t="shared" si="5"/>
        <v>46092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7">
        <v>0.9</v>
      </c>
      <c r="O79" s="36">
        <f t="shared" si="3"/>
        <v>15990</v>
      </c>
      <c r="P79" s="6" t="s">
        <v>16</v>
      </c>
    </row>
    <row r="80" spans="1:16" x14ac:dyDescent="0.35">
      <c r="A80" s="34" t="s">
        <v>6741</v>
      </c>
      <c r="B80" s="7">
        <f t="shared" si="4"/>
        <v>46086</v>
      </c>
      <c r="C80" s="7">
        <f t="shared" si="5"/>
        <v>46092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7">
        <v>0.9</v>
      </c>
      <c r="O80" s="36">
        <f t="shared" si="3"/>
        <v>15990</v>
      </c>
      <c r="P80" s="6" t="s">
        <v>16</v>
      </c>
    </row>
    <row r="81" spans="1:16" x14ac:dyDescent="0.35">
      <c r="A81" s="34" t="s">
        <v>6741</v>
      </c>
      <c r="B81" s="7">
        <f t="shared" si="4"/>
        <v>46086</v>
      </c>
      <c r="C81" s="7">
        <f t="shared" si="5"/>
        <v>46092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7">
        <v>0.9</v>
      </c>
      <c r="O81" s="36">
        <f t="shared" si="3"/>
        <v>15990</v>
      </c>
      <c r="P81" s="6" t="s">
        <v>16</v>
      </c>
    </row>
    <row r="82" spans="1:16" x14ac:dyDescent="0.35">
      <c r="A82" s="34" t="s">
        <v>6741</v>
      </c>
      <c r="B82" s="7">
        <f t="shared" si="4"/>
        <v>46086</v>
      </c>
      <c r="C82" s="7">
        <f t="shared" si="5"/>
        <v>46092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7">
        <v>0.9</v>
      </c>
      <c r="O82" s="36">
        <f t="shared" si="3"/>
        <v>15990</v>
      </c>
      <c r="P82" s="6" t="s">
        <v>16</v>
      </c>
    </row>
    <row r="83" spans="1:16" x14ac:dyDescent="0.35">
      <c r="A83" s="34" t="s">
        <v>6741</v>
      </c>
      <c r="B83" s="7">
        <f t="shared" si="4"/>
        <v>46086</v>
      </c>
      <c r="C83" s="7">
        <f t="shared" si="5"/>
        <v>46092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7">
        <v>0.9</v>
      </c>
      <c r="O83" s="36">
        <f t="shared" si="3"/>
        <v>15990</v>
      </c>
      <c r="P83" s="6" t="s">
        <v>16</v>
      </c>
    </row>
    <row r="84" spans="1:16" x14ac:dyDescent="0.35">
      <c r="A84" s="34" t="s">
        <v>6741</v>
      </c>
      <c r="B84" s="7">
        <f t="shared" si="4"/>
        <v>46086</v>
      </c>
      <c r="C84" s="7">
        <f t="shared" si="5"/>
        <v>46092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7">
        <v>0.9</v>
      </c>
      <c r="O84" s="36">
        <f t="shared" si="3"/>
        <v>15990</v>
      </c>
      <c r="P84" s="6" t="s">
        <v>16</v>
      </c>
    </row>
    <row r="85" spans="1:16" x14ac:dyDescent="0.35">
      <c r="A85" s="34" t="s">
        <v>6741</v>
      </c>
      <c r="B85" s="7">
        <f t="shared" si="4"/>
        <v>46086</v>
      </c>
      <c r="C85" s="7">
        <f t="shared" si="5"/>
        <v>46092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7">
        <v>0.9</v>
      </c>
      <c r="O85" s="36">
        <f t="shared" si="3"/>
        <v>15990</v>
      </c>
      <c r="P85" s="6" t="s">
        <v>16</v>
      </c>
    </row>
    <row r="86" spans="1:16" x14ac:dyDescent="0.35">
      <c r="A86" s="34" t="s">
        <v>6741</v>
      </c>
      <c r="B86" s="7">
        <f t="shared" si="4"/>
        <v>46086</v>
      </c>
      <c r="C86" s="7">
        <f t="shared" si="5"/>
        <v>46092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7">
        <v>0.9</v>
      </c>
      <c r="O86" s="36">
        <f t="shared" si="3"/>
        <v>15990</v>
      </c>
      <c r="P86" s="6" t="s">
        <v>16</v>
      </c>
    </row>
    <row r="87" spans="1:16" x14ac:dyDescent="0.35">
      <c r="A87" s="34" t="s">
        <v>6741</v>
      </c>
      <c r="B87" s="7">
        <f t="shared" si="4"/>
        <v>46086</v>
      </c>
      <c r="C87" s="7">
        <f t="shared" si="5"/>
        <v>46092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7">
        <v>0.9</v>
      </c>
      <c r="O87" s="36">
        <f t="shared" si="3"/>
        <v>15990</v>
      </c>
      <c r="P87" s="6" t="s">
        <v>16</v>
      </c>
    </row>
    <row r="88" spans="1:16" x14ac:dyDescent="0.35">
      <c r="A88" s="34" t="s">
        <v>6741</v>
      </c>
      <c r="B88" s="7">
        <f t="shared" si="4"/>
        <v>46086</v>
      </c>
      <c r="C88" s="7">
        <f t="shared" si="5"/>
        <v>46092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7">
        <v>0.9</v>
      </c>
      <c r="O88" s="36">
        <f t="shared" si="3"/>
        <v>15990</v>
      </c>
      <c r="P88" s="6" t="s">
        <v>16</v>
      </c>
    </row>
    <row r="89" spans="1:16" x14ac:dyDescent="0.35">
      <c r="A89" s="34" t="s">
        <v>6741</v>
      </c>
      <c r="B89" s="7">
        <f t="shared" si="4"/>
        <v>46086</v>
      </c>
      <c r="C89" s="7">
        <f t="shared" si="5"/>
        <v>46092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7">
        <v>0.9</v>
      </c>
      <c r="O89" s="36">
        <f t="shared" si="3"/>
        <v>15990</v>
      </c>
      <c r="P89" s="6" t="s">
        <v>16</v>
      </c>
    </row>
    <row r="90" spans="1:16" x14ac:dyDescent="0.35">
      <c r="A90" s="34" t="s">
        <v>6741</v>
      </c>
      <c r="B90" s="7">
        <f t="shared" si="4"/>
        <v>46086</v>
      </c>
      <c r="C90" s="7">
        <f t="shared" si="5"/>
        <v>46092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7">
        <v>0.9</v>
      </c>
      <c r="O90" s="36">
        <f t="shared" si="3"/>
        <v>15990</v>
      </c>
      <c r="P90" s="6" t="s">
        <v>16</v>
      </c>
    </row>
    <row r="91" spans="1:16" x14ac:dyDescent="0.35">
      <c r="A91" s="34" t="s">
        <v>6741</v>
      </c>
      <c r="B91" s="7">
        <f t="shared" si="4"/>
        <v>46086</v>
      </c>
      <c r="C91" s="7">
        <f t="shared" si="5"/>
        <v>46092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7">
        <v>0.9</v>
      </c>
      <c r="O91" s="36">
        <f t="shared" si="3"/>
        <v>22990</v>
      </c>
      <c r="P91" s="6" t="s">
        <v>16</v>
      </c>
    </row>
    <row r="92" spans="1:16" x14ac:dyDescent="0.35">
      <c r="A92" s="34" t="s">
        <v>6741</v>
      </c>
      <c r="B92" s="7">
        <f t="shared" si="4"/>
        <v>46086</v>
      </c>
      <c r="C92" s="7">
        <f t="shared" si="5"/>
        <v>46092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7">
        <v>0.9</v>
      </c>
      <c r="O92" s="36">
        <f t="shared" si="3"/>
        <v>22990</v>
      </c>
      <c r="P92" s="6" t="s">
        <v>16</v>
      </c>
    </row>
    <row r="93" spans="1:16" x14ac:dyDescent="0.35">
      <c r="A93" s="34" t="s">
        <v>6741</v>
      </c>
      <c r="B93" s="7">
        <f t="shared" si="4"/>
        <v>46086</v>
      </c>
      <c r="C93" s="7">
        <f t="shared" si="5"/>
        <v>46092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7">
        <v>0.9</v>
      </c>
      <c r="O93" s="36">
        <f t="shared" si="3"/>
        <v>22990</v>
      </c>
      <c r="P93" s="6" t="s">
        <v>16</v>
      </c>
    </row>
    <row r="94" spans="1:16" x14ac:dyDescent="0.35">
      <c r="A94" s="34" t="s">
        <v>6741</v>
      </c>
      <c r="B94" s="7">
        <f t="shared" si="4"/>
        <v>46086</v>
      </c>
      <c r="C94" s="7">
        <f t="shared" si="5"/>
        <v>46092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7">
        <v>0.9</v>
      </c>
      <c r="O94" s="36">
        <f t="shared" si="3"/>
        <v>22990</v>
      </c>
      <c r="P94" s="6" t="s">
        <v>16</v>
      </c>
    </row>
    <row r="95" spans="1:16" x14ac:dyDescent="0.35">
      <c r="A95" s="34" t="s">
        <v>6741</v>
      </c>
      <c r="B95" s="7">
        <f t="shared" si="4"/>
        <v>46086</v>
      </c>
      <c r="C95" s="7">
        <f t="shared" si="5"/>
        <v>46092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7">
        <v>0.9</v>
      </c>
      <c r="O95" s="36">
        <f t="shared" si="3"/>
        <v>22990</v>
      </c>
      <c r="P95" s="6" t="s">
        <v>16</v>
      </c>
    </row>
    <row r="96" spans="1:16" x14ac:dyDescent="0.35">
      <c r="A96" s="34" t="s">
        <v>6741</v>
      </c>
      <c r="B96" s="7">
        <f t="shared" si="4"/>
        <v>46086</v>
      </c>
      <c r="C96" s="7">
        <f t="shared" si="5"/>
        <v>46092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7">
        <v>0.9</v>
      </c>
      <c r="O96" s="36">
        <f t="shared" si="3"/>
        <v>22990</v>
      </c>
      <c r="P96" s="6" t="s">
        <v>16</v>
      </c>
    </row>
    <row r="97" spans="1:16" x14ac:dyDescent="0.35">
      <c r="A97" s="34" t="s">
        <v>6741</v>
      </c>
      <c r="B97" s="7">
        <f t="shared" si="4"/>
        <v>46086</v>
      </c>
      <c r="C97" s="7">
        <f t="shared" si="5"/>
        <v>46092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7">
        <v>0.9</v>
      </c>
      <c r="O97" s="36">
        <f t="shared" si="3"/>
        <v>22990</v>
      </c>
      <c r="P97" s="6" t="s">
        <v>16</v>
      </c>
    </row>
    <row r="98" spans="1:16" x14ac:dyDescent="0.35">
      <c r="A98" s="34" t="s">
        <v>6741</v>
      </c>
      <c r="B98" s="7">
        <f t="shared" si="4"/>
        <v>46086</v>
      </c>
      <c r="C98" s="7">
        <f t="shared" si="5"/>
        <v>46092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7">
        <v>0.9</v>
      </c>
      <c r="O98" s="36">
        <f t="shared" si="3"/>
        <v>22990</v>
      </c>
      <c r="P98" s="6" t="s">
        <v>16</v>
      </c>
    </row>
    <row r="99" spans="1:16" x14ac:dyDescent="0.35">
      <c r="A99" s="34" t="s">
        <v>6741</v>
      </c>
      <c r="B99" s="7">
        <f t="shared" si="4"/>
        <v>46086</v>
      </c>
      <c r="C99" s="7">
        <f t="shared" si="5"/>
        <v>46092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7">
        <v>0.9</v>
      </c>
      <c r="O99" s="36">
        <f t="shared" si="3"/>
        <v>23990</v>
      </c>
      <c r="P99" s="6" t="s">
        <v>16</v>
      </c>
    </row>
    <row r="100" spans="1:16" x14ac:dyDescent="0.35">
      <c r="A100" s="34" t="s">
        <v>6741</v>
      </c>
      <c r="B100" s="7">
        <f t="shared" si="4"/>
        <v>46086</v>
      </c>
      <c r="C100" s="7">
        <f t="shared" si="5"/>
        <v>46092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7">
        <v>0.9</v>
      </c>
      <c r="O100" s="36">
        <f t="shared" si="3"/>
        <v>23990</v>
      </c>
      <c r="P100" s="6" t="s">
        <v>16</v>
      </c>
    </row>
    <row r="101" spans="1:16" x14ac:dyDescent="0.35">
      <c r="A101" s="34" t="s">
        <v>6741</v>
      </c>
      <c r="B101" s="7">
        <f t="shared" si="4"/>
        <v>46086</v>
      </c>
      <c r="C101" s="7">
        <f t="shared" si="5"/>
        <v>46092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7">
        <v>0.9</v>
      </c>
      <c r="O101" s="36">
        <f t="shared" si="3"/>
        <v>23990</v>
      </c>
      <c r="P101" s="6" t="s">
        <v>16</v>
      </c>
    </row>
    <row r="102" spans="1:16" x14ac:dyDescent="0.35">
      <c r="A102" s="34" t="s">
        <v>6741</v>
      </c>
      <c r="B102" s="7">
        <f t="shared" si="4"/>
        <v>46086</v>
      </c>
      <c r="C102" s="7">
        <f t="shared" si="5"/>
        <v>46092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7">
        <v>0.9</v>
      </c>
      <c r="O102" s="36">
        <f t="shared" si="3"/>
        <v>23990</v>
      </c>
      <c r="P102" s="6" t="s">
        <v>16</v>
      </c>
    </row>
    <row r="103" spans="1:16" x14ac:dyDescent="0.35">
      <c r="A103" s="34" t="s">
        <v>6741</v>
      </c>
      <c r="B103" s="7">
        <f t="shared" si="4"/>
        <v>46086</v>
      </c>
      <c r="C103" s="7">
        <f t="shared" si="5"/>
        <v>46092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4991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6741</v>
      </c>
      <c r="B104" s="7">
        <f t="shared" si="4"/>
        <v>46086</v>
      </c>
      <c r="C104" s="7">
        <f t="shared" si="5"/>
        <v>46092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7">
        <v>0.9</v>
      </c>
      <c r="O104" s="36">
        <f t="shared" si="3"/>
        <v>26990</v>
      </c>
      <c r="P104" s="6" t="s">
        <v>16</v>
      </c>
    </row>
    <row r="105" spans="1:16" x14ac:dyDescent="0.35">
      <c r="A105" s="34" t="s">
        <v>6741</v>
      </c>
      <c r="B105" s="7">
        <f t="shared" si="4"/>
        <v>46086</v>
      </c>
      <c r="C105" s="7">
        <f t="shared" si="5"/>
        <v>46092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7">
        <v>0.9</v>
      </c>
      <c r="O105" s="36">
        <f t="shared" si="3"/>
        <v>26990</v>
      </c>
      <c r="P105" s="6" t="s">
        <v>16</v>
      </c>
    </row>
    <row r="106" spans="1:16" x14ac:dyDescent="0.35">
      <c r="A106" s="34" t="s">
        <v>6741</v>
      </c>
      <c r="B106" s="7">
        <f t="shared" si="4"/>
        <v>46086</v>
      </c>
      <c r="C106" s="7">
        <f t="shared" si="5"/>
        <v>46092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7">
        <v>0.9</v>
      </c>
      <c r="O106" s="36">
        <f t="shared" si="3"/>
        <v>26990</v>
      </c>
      <c r="P106" s="6" t="s">
        <v>16</v>
      </c>
    </row>
    <row r="107" spans="1:16" x14ac:dyDescent="0.35">
      <c r="A107" s="34" t="s">
        <v>6741</v>
      </c>
      <c r="B107" s="7">
        <f t="shared" si="4"/>
        <v>46086</v>
      </c>
      <c r="C107" s="7">
        <f t="shared" si="5"/>
        <v>46092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7">
        <v>0.9</v>
      </c>
      <c r="O107" s="36">
        <f t="shared" si="3"/>
        <v>26990</v>
      </c>
      <c r="P107" s="6" t="s">
        <v>16</v>
      </c>
    </row>
    <row r="108" spans="1:16" x14ac:dyDescent="0.35">
      <c r="A108" s="34" t="s">
        <v>6741</v>
      </c>
      <c r="B108" s="7">
        <f t="shared" si="4"/>
        <v>46086</v>
      </c>
      <c r="C108" s="7">
        <f t="shared" si="5"/>
        <v>46092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7">
        <v>0.9</v>
      </c>
      <c r="O108" s="36">
        <f t="shared" si="3"/>
        <v>19990</v>
      </c>
      <c r="P108" s="6" t="s">
        <v>16</v>
      </c>
    </row>
    <row r="109" spans="1:16" x14ac:dyDescent="0.35">
      <c r="A109" s="34" t="s">
        <v>6741</v>
      </c>
      <c r="B109" s="7">
        <f t="shared" si="4"/>
        <v>46086</v>
      </c>
      <c r="C109" s="7">
        <f t="shared" si="5"/>
        <v>46092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6741</v>
      </c>
      <c r="B110" s="7">
        <f t="shared" si="4"/>
        <v>46086</v>
      </c>
      <c r="C110" s="7">
        <f t="shared" si="5"/>
        <v>46092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6741</v>
      </c>
      <c r="B111" s="7">
        <f t="shared" si="4"/>
        <v>46086</v>
      </c>
      <c r="C111" s="7">
        <f t="shared" si="5"/>
        <v>46092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6741</v>
      </c>
      <c r="B112" s="7">
        <f t="shared" si="4"/>
        <v>46086</v>
      </c>
      <c r="C112" s="7">
        <f t="shared" si="5"/>
        <v>46092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7">
        <v>0.9</v>
      </c>
      <c r="O112" s="36">
        <f t="shared" si="3"/>
        <v>19990</v>
      </c>
      <c r="P112" s="6" t="s">
        <v>16</v>
      </c>
    </row>
    <row r="113" spans="1:16" x14ac:dyDescent="0.35">
      <c r="A113" s="34" t="s">
        <v>6741</v>
      </c>
      <c r="B113" s="7">
        <f t="shared" si="4"/>
        <v>46086</v>
      </c>
      <c r="C113" s="7">
        <f t="shared" si="5"/>
        <v>46092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7">
        <v>0.9</v>
      </c>
      <c r="O113" s="36">
        <f t="shared" si="3"/>
        <v>19990</v>
      </c>
      <c r="P113" s="6" t="s">
        <v>16</v>
      </c>
    </row>
    <row r="114" spans="1:16" x14ac:dyDescent="0.35">
      <c r="A114" s="34" t="s">
        <v>6741</v>
      </c>
      <c r="B114" s="7">
        <f t="shared" si="4"/>
        <v>46086</v>
      </c>
      <c r="C114" s="7">
        <f t="shared" si="5"/>
        <v>46092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7">
        <v>0.9</v>
      </c>
      <c r="O114" s="36">
        <f t="shared" si="3"/>
        <v>19990</v>
      </c>
      <c r="P114" s="6" t="s">
        <v>16</v>
      </c>
    </row>
    <row r="115" spans="1:16" x14ac:dyDescent="0.35">
      <c r="A115" s="34" t="s">
        <v>6741</v>
      </c>
      <c r="B115" s="7">
        <f t="shared" si="4"/>
        <v>46086</v>
      </c>
      <c r="C115" s="7">
        <f t="shared" si="5"/>
        <v>46092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7">
        <v>0.9</v>
      </c>
      <c r="O115" s="36">
        <f t="shared" si="3"/>
        <v>21990</v>
      </c>
      <c r="P115" s="6" t="s">
        <v>16</v>
      </c>
    </row>
    <row r="116" spans="1:16" x14ac:dyDescent="0.35">
      <c r="A116" s="34" t="s">
        <v>6741</v>
      </c>
      <c r="B116" s="7">
        <f t="shared" si="4"/>
        <v>46086</v>
      </c>
      <c r="C116" s="7">
        <f t="shared" si="5"/>
        <v>46092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7">
        <v>0.9</v>
      </c>
      <c r="O116" s="36">
        <f t="shared" si="3"/>
        <v>21990</v>
      </c>
      <c r="P116" s="6" t="s">
        <v>16</v>
      </c>
    </row>
    <row r="117" spans="1:16" x14ac:dyDescent="0.35">
      <c r="A117" s="34" t="s">
        <v>6741</v>
      </c>
      <c r="B117" s="7">
        <f t="shared" si="4"/>
        <v>46086</v>
      </c>
      <c r="C117" s="7">
        <f t="shared" si="5"/>
        <v>46092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7">
        <v>0.9</v>
      </c>
      <c r="O117" s="36">
        <f t="shared" si="3"/>
        <v>21990</v>
      </c>
      <c r="P117" s="6" t="s">
        <v>16</v>
      </c>
    </row>
    <row r="118" spans="1:16" x14ac:dyDescent="0.35">
      <c r="A118" s="34" t="s">
        <v>6741</v>
      </c>
      <c r="B118" s="7">
        <f t="shared" si="4"/>
        <v>46086</v>
      </c>
      <c r="C118" s="7">
        <f t="shared" si="5"/>
        <v>46092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7">
        <v>0.9</v>
      </c>
      <c r="O118" s="36">
        <f t="shared" si="3"/>
        <v>21990</v>
      </c>
      <c r="P118" s="6" t="s">
        <v>16</v>
      </c>
    </row>
    <row r="119" spans="1:16" x14ac:dyDescent="0.35">
      <c r="A119" s="34" t="s">
        <v>6741</v>
      </c>
      <c r="B119" s="7">
        <f t="shared" si="4"/>
        <v>46086</v>
      </c>
      <c r="C119" s="7">
        <f t="shared" si="5"/>
        <v>46092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7">
        <v>0.9</v>
      </c>
      <c r="O119" s="36">
        <f t="shared" si="3"/>
        <v>19990</v>
      </c>
      <c r="P119" s="6" t="s">
        <v>16</v>
      </c>
    </row>
    <row r="120" spans="1:16" x14ac:dyDescent="0.35">
      <c r="A120" s="34" t="s">
        <v>6741</v>
      </c>
      <c r="B120" s="7">
        <f t="shared" si="4"/>
        <v>46086</v>
      </c>
      <c r="C120" s="7">
        <f t="shared" si="5"/>
        <v>46092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7">
        <v>0.9</v>
      </c>
      <c r="O120" s="36">
        <f t="shared" si="3"/>
        <v>19990</v>
      </c>
      <c r="P120" s="6" t="s">
        <v>16</v>
      </c>
    </row>
    <row r="121" spans="1:16" x14ac:dyDescent="0.35">
      <c r="A121" s="34" t="s">
        <v>6741</v>
      </c>
      <c r="B121" s="7">
        <f t="shared" si="4"/>
        <v>46086</v>
      </c>
      <c r="C121" s="7">
        <f t="shared" si="5"/>
        <v>46092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7">
        <v>0.9</v>
      </c>
      <c r="O121" s="36">
        <f t="shared" si="3"/>
        <v>19990</v>
      </c>
      <c r="P121" s="6" t="s">
        <v>16</v>
      </c>
    </row>
    <row r="122" spans="1:16" x14ac:dyDescent="0.35">
      <c r="A122" s="34" t="s">
        <v>6741</v>
      </c>
      <c r="B122" s="7">
        <f t="shared" si="4"/>
        <v>46086</v>
      </c>
      <c r="C122" s="7">
        <f t="shared" si="5"/>
        <v>46092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7">
        <v>0.9</v>
      </c>
      <c r="O122" s="36">
        <f t="shared" si="3"/>
        <v>19990</v>
      </c>
      <c r="P122" s="6" t="s">
        <v>16</v>
      </c>
    </row>
    <row r="123" spans="1:16" x14ac:dyDescent="0.35">
      <c r="A123" s="34" t="s">
        <v>6741</v>
      </c>
      <c r="B123" s="7">
        <f t="shared" si="4"/>
        <v>46086</v>
      </c>
      <c r="C123" s="7">
        <f t="shared" si="5"/>
        <v>46092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7">
        <v>0.9</v>
      </c>
      <c r="O123" s="36">
        <f t="shared" si="3"/>
        <v>21990</v>
      </c>
      <c r="P123" s="6" t="s">
        <v>16</v>
      </c>
    </row>
    <row r="124" spans="1:16" x14ac:dyDescent="0.35">
      <c r="A124" s="34" t="s">
        <v>6741</v>
      </c>
      <c r="B124" s="7">
        <f t="shared" si="4"/>
        <v>46086</v>
      </c>
      <c r="C124" s="7">
        <f t="shared" si="5"/>
        <v>46092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7">
        <v>0.9</v>
      </c>
      <c r="O124" s="36">
        <f t="shared" si="3"/>
        <v>21990</v>
      </c>
      <c r="P124" s="6" t="s">
        <v>16</v>
      </c>
    </row>
    <row r="125" spans="1:16" x14ac:dyDescent="0.35">
      <c r="A125" s="34" t="s">
        <v>6741</v>
      </c>
      <c r="B125" s="7">
        <f t="shared" si="4"/>
        <v>46086</v>
      </c>
      <c r="C125" s="7">
        <f t="shared" si="5"/>
        <v>46092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7">
        <v>0.9</v>
      </c>
      <c r="O125" s="36">
        <f t="shared" si="3"/>
        <v>21990</v>
      </c>
      <c r="P125" s="6" t="s">
        <v>16</v>
      </c>
    </row>
    <row r="126" spans="1:16" x14ac:dyDescent="0.35">
      <c r="A126" s="34" t="s">
        <v>6741</v>
      </c>
      <c r="B126" s="7">
        <f t="shared" si="4"/>
        <v>46086</v>
      </c>
      <c r="C126" s="7">
        <f t="shared" si="5"/>
        <v>46092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7">
        <v>0.9</v>
      </c>
      <c r="O126" s="36">
        <f t="shared" si="3"/>
        <v>21990</v>
      </c>
      <c r="P126" s="6" t="s">
        <v>16</v>
      </c>
    </row>
    <row r="127" spans="1:16" x14ac:dyDescent="0.35">
      <c r="A127" s="34" t="s">
        <v>6741</v>
      </c>
      <c r="B127" s="7">
        <f t="shared" si="4"/>
        <v>46086</v>
      </c>
      <c r="C127" s="7">
        <f t="shared" si="5"/>
        <v>46092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7">
        <v>0.9</v>
      </c>
      <c r="O127" s="36">
        <f t="shared" si="3"/>
        <v>21990</v>
      </c>
      <c r="P127" s="6" t="s">
        <v>16</v>
      </c>
    </row>
    <row r="128" spans="1:16" x14ac:dyDescent="0.35">
      <c r="A128" s="34" t="s">
        <v>6741</v>
      </c>
      <c r="B128" s="7">
        <f t="shared" si="4"/>
        <v>46086</v>
      </c>
      <c r="C128" s="7">
        <f t="shared" si="5"/>
        <v>46092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7">
        <v>0.9</v>
      </c>
      <c r="O128" s="36">
        <f t="shared" si="3"/>
        <v>21990</v>
      </c>
      <c r="P128" s="6" t="s">
        <v>16</v>
      </c>
    </row>
    <row r="129" spans="1:16" x14ac:dyDescent="0.35">
      <c r="A129" s="34" t="s">
        <v>6741</v>
      </c>
      <c r="B129" s="7">
        <f t="shared" si="4"/>
        <v>46086</v>
      </c>
      <c r="C129" s="7">
        <f t="shared" si="5"/>
        <v>46092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7">
        <v>0.9</v>
      </c>
      <c r="O129" s="36">
        <f t="shared" si="3"/>
        <v>21990</v>
      </c>
      <c r="P129" s="6" t="s">
        <v>16</v>
      </c>
    </row>
    <row r="130" spans="1:16" x14ac:dyDescent="0.35">
      <c r="A130" s="34" t="s">
        <v>6741</v>
      </c>
      <c r="B130" s="7">
        <f t="shared" si="4"/>
        <v>46086</v>
      </c>
      <c r="C130" s="7">
        <f t="shared" si="5"/>
        <v>46092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7">
        <v>0.9</v>
      </c>
      <c r="O130" s="36">
        <f t="shared" si="3"/>
        <v>21990</v>
      </c>
      <c r="P130" s="6" t="s">
        <v>16</v>
      </c>
    </row>
    <row r="131" spans="1:16" x14ac:dyDescent="0.35">
      <c r="A131" s="34" t="s">
        <v>6741</v>
      </c>
      <c r="B131" s="7">
        <f t="shared" si="4"/>
        <v>46086</v>
      </c>
      <c r="C131" s="7">
        <f t="shared" si="5"/>
        <v>46092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7">
        <v>0.9</v>
      </c>
      <c r="O131" s="36">
        <f t="shared" ref="O131:O194" si="6">M131-((90*M131)/100)</f>
        <v>21990</v>
      </c>
      <c r="P131" s="6" t="s">
        <v>16</v>
      </c>
    </row>
    <row r="132" spans="1:16" x14ac:dyDescent="0.35">
      <c r="A132" s="34" t="s">
        <v>6741</v>
      </c>
      <c r="B132" s="7">
        <f t="shared" ref="B132:B195" si="7">B131</f>
        <v>46086</v>
      </c>
      <c r="C132" s="7">
        <f t="shared" ref="C132:C195" si="8">C131</f>
        <v>46092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7">
        <v>0.9</v>
      </c>
      <c r="O132" s="36">
        <f t="shared" si="6"/>
        <v>21990</v>
      </c>
      <c r="P132" s="6" t="s">
        <v>16</v>
      </c>
    </row>
    <row r="133" spans="1:16" x14ac:dyDescent="0.35">
      <c r="A133" s="34" t="s">
        <v>6741</v>
      </c>
      <c r="B133" s="7">
        <f t="shared" si="7"/>
        <v>46086</v>
      </c>
      <c r="C133" s="7">
        <f t="shared" si="8"/>
        <v>46092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7">
        <v>0.9</v>
      </c>
      <c r="O133" s="36">
        <f t="shared" si="6"/>
        <v>21990</v>
      </c>
      <c r="P133" s="6" t="s">
        <v>16</v>
      </c>
    </row>
    <row r="134" spans="1:16" x14ac:dyDescent="0.35">
      <c r="A134" s="34" t="s">
        <v>6741</v>
      </c>
      <c r="B134" s="7">
        <f t="shared" si="7"/>
        <v>46086</v>
      </c>
      <c r="C134" s="7">
        <f t="shared" si="8"/>
        <v>46092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6741</v>
      </c>
      <c r="B135" s="7">
        <f t="shared" si="7"/>
        <v>46086</v>
      </c>
      <c r="C135" s="7">
        <f t="shared" si="8"/>
        <v>46092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7">
        <v>0.9</v>
      </c>
      <c r="O135" s="36">
        <f t="shared" si="6"/>
        <v>19990</v>
      </c>
      <c r="P135" s="6" t="s">
        <v>16</v>
      </c>
    </row>
    <row r="136" spans="1:16" x14ac:dyDescent="0.35">
      <c r="A136" s="34" t="s">
        <v>6741</v>
      </c>
      <c r="B136" s="7">
        <f t="shared" si="7"/>
        <v>46086</v>
      </c>
      <c r="C136" s="7">
        <f t="shared" si="8"/>
        <v>46092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7">
        <v>0.9</v>
      </c>
      <c r="O136" s="36">
        <f t="shared" si="6"/>
        <v>22990</v>
      </c>
      <c r="P136" s="6" t="s">
        <v>16</v>
      </c>
    </row>
    <row r="137" spans="1:16" x14ac:dyDescent="0.35">
      <c r="A137" s="34" t="s">
        <v>6741</v>
      </c>
      <c r="B137" s="7">
        <f t="shared" si="7"/>
        <v>46086</v>
      </c>
      <c r="C137" s="7">
        <f t="shared" si="8"/>
        <v>46092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7">
        <v>0.9</v>
      </c>
      <c r="O137" s="36">
        <f t="shared" si="6"/>
        <v>22990</v>
      </c>
      <c r="P137" s="6" t="s">
        <v>16</v>
      </c>
    </row>
    <row r="138" spans="1:16" x14ac:dyDescent="0.35">
      <c r="A138" s="34" t="s">
        <v>6741</v>
      </c>
      <c r="B138" s="7">
        <f t="shared" si="7"/>
        <v>46086</v>
      </c>
      <c r="C138" s="7">
        <f t="shared" si="8"/>
        <v>46092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7">
        <v>0.9</v>
      </c>
      <c r="O138" s="36">
        <f t="shared" si="6"/>
        <v>22990</v>
      </c>
      <c r="P138" s="6" t="s">
        <v>16</v>
      </c>
    </row>
    <row r="139" spans="1:16" x14ac:dyDescent="0.35">
      <c r="A139" s="34" t="s">
        <v>6741</v>
      </c>
      <c r="B139" s="7">
        <f t="shared" si="7"/>
        <v>46086</v>
      </c>
      <c r="C139" s="7">
        <f t="shared" si="8"/>
        <v>46092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7">
        <v>0.9</v>
      </c>
      <c r="O139" s="36">
        <f t="shared" si="6"/>
        <v>22990</v>
      </c>
      <c r="P139" s="6" t="s">
        <v>16</v>
      </c>
    </row>
    <row r="140" spans="1:16" x14ac:dyDescent="0.35">
      <c r="A140" s="34" t="s">
        <v>6741</v>
      </c>
      <c r="B140" s="7">
        <f t="shared" si="7"/>
        <v>46086</v>
      </c>
      <c r="C140" s="7">
        <f t="shared" si="8"/>
        <v>46092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6741</v>
      </c>
      <c r="B141" s="7">
        <f t="shared" si="7"/>
        <v>46086</v>
      </c>
      <c r="C141" s="7">
        <f t="shared" si="8"/>
        <v>46092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7">
        <v>0.9</v>
      </c>
      <c r="O141" s="36">
        <f t="shared" si="6"/>
        <v>21990</v>
      </c>
      <c r="P141" s="6" t="s">
        <v>16</v>
      </c>
    </row>
    <row r="142" spans="1:16" x14ac:dyDescent="0.35">
      <c r="A142" s="34" t="s">
        <v>6741</v>
      </c>
      <c r="B142" s="7">
        <f t="shared" si="7"/>
        <v>46086</v>
      </c>
      <c r="C142" s="7">
        <f t="shared" si="8"/>
        <v>46092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7">
        <v>0.9</v>
      </c>
      <c r="O142" s="36">
        <f t="shared" si="6"/>
        <v>21990</v>
      </c>
      <c r="P142" s="6" t="s">
        <v>16</v>
      </c>
    </row>
    <row r="143" spans="1:16" x14ac:dyDescent="0.35">
      <c r="A143" s="34" t="s">
        <v>6741</v>
      </c>
      <c r="B143" s="7">
        <f t="shared" si="7"/>
        <v>46086</v>
      </c>
      <c r="C143" s="7">
        <f t="shared" si="8"/>
        <v>46092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7">
        <v>0.9</v>
      </c>
      <c r="O143" s="36">
        <f t="shared" si="6"/>
        <v>21990</v>
      </c>
      <c r="P143" s="6" t="s">
        <v>16</v>
      </c>
    </row>
    <row r="144" spans="1:16" x14ac:dyDescent="0.35">
      <c r="A144" s="34" t="s">
        <v>6741</v>
      </c>
      <c r="B144" s="7">
        <f t="shared" si="7"/>
        <v>46086</v>
      </c>
      <c r="C144" s="7">
        <f t="shared" si="8"/>
        <v>46092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7">
        <v>0.9</v>
      </c>
      <c r="O144" s="36">
        <f t="shared" si="6"/>
        <v>21990</v>
      </c>
      <c r="P144" s="6" t="s">
        <v>16</v>
      </c>
    </row>
    <row r="145" spans="1:16" x14ac:dyDescent="0.35">
      <c r="A145" s="34" t="s">
        <v>6741</v>
      </c>
      <c r="B145" s="7">
        <f t="shared" si="7"/>
        <v>46086</v>
      </c>
      <c r="C145" s="7">
        <f t="shared" si="8"/>
        <v>46092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7">
        <v>0.9</v>
      </c>
      <c r="O145" s="36">
        <f t="shared" si="6"/>
        <v>21990</v>
      </c>
      <c r="P145" s="6" t="s">
        <v>16</v>
      </c>
    </row>
    <row r="146" spans="1:16" x14ac:dyDescent="0.35">
      <c r="A146" s="34" t="s">
        <v>6741</v>
      </c>
      <c r="B146" s="7">
        <f t="shared" si="7"/>
        <v>46086</v>
      </c>
      <c r="C146" s="7">
        <f t="shared" si="8"/>
        <v>46092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7">
        <v>0.9</v>
      </c>
      <c r="O146" s="36">
        <f t="shared" si="6"/>
        <v>21990</v>
      </c>
      <c r="P146" s="6" t="s">
        <v>16</v>
      </c>
    </row>
    <row r="147" spans="1:16" x14ac:dyDescent="0.35">
      <c r="A147" s="34" t="s">
        <v>6741</v>
      </c>
      <c r="B147" s="7">
        <f t="shared" si="7"/>
        <v>46086</v>
      </c>
      <c r="C147" s="7">
        <f t="shared" si="8"/>
        <v>46092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7">
        <v>0.9</v>
      </c>
      <c r="O147" s="36">
        <f t="shared" si="6"/>
        <v>21990</v>
      </c>
      <c r="P147" s="6" t="s">
        <v>16</v>
      </c>
    </row>
    <row r="148" spans="1:16" x14ac:dyDescent="0.35">
      <c r="A148" s="34" t="s">
        <v>6741</v>
      </c>
      <c r="B148" s="7">
        <f t="shared" si="7"/>
        <v>46086</v>
      </c>
      <c r="C148" s="7">
        <f t="shared" si="8"/>
        <v>46092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7">
        <v>0.9</v>
      </c>
      <c r="O148" s="36">
        <f t="shared" si="6"/>
        <v>22990</v>
      </c>
      <c r="P148" s="6" t="s">
        <v>16</v>
      </c>
    </row>
    <row r="149" spans="1:16" x14ac:dyDescent="0.35">
      <c r="A149" s="34" t="s">
        <v>6741</v>
      </c>
      <c r="B149" s="7">
        <f t="shared" si="7"/>
        <v>46086</v>
      </c>
      <c r="C149" s="7">
        <f t="shared" si="8"/>
        <v>46092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7">
        <v>0.9</v>
      </c>
      <c r="O149" s="36">
        <f t="shared" si="6"/>
        <v>22990</v>
      </c>
      <c r="P149" s="6" t="s">
        <v>16</v>
      </c>
    </row>
    <row r="150" spans="1:16" x14ac:dyDescent="0.35">
      <c r="A150" s="34" t="s">
        <v>6741</v>
      </c>
      <c r="B150" s="7">
        <f t="shared" si="7"/>
        <v>46086</v>
      </c>
      <c r="C150" s="7">
        <f t="shared" si="8"/>
        <v>46092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7">
        <v>0.9</v>
      </c>
      <c r="O150" s="36">
        <f t="shared" si="6"/>
        <v>22990</v>
      </c>
      <c r="P150" s="6" t="s">
        <v>16</v>
      </c>
    </row>
    <row r="151" spans="1:16" x14ac:dyDescent="0.35">
      <c r="A151" s="34" t="s">
        <v>6741</v>
      </c>
      <c r="B151" s="7">
        <f t="shared" si="7"/>
        <v>46086</v>
      </c>
      <c r="C151" s="7">
        <f t="shared" si="8"/>
        <v>46092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7">
        <v>0.9</v>
      </c>
      <c r="O151" s="36">
        <f t="shared" si="6"/>
        <v>22990</v>
      </c>
      <c r="P151" s="6" t="s">
        <v>16</v>
      </c>
    </row>
    <row r="152" spans="1:16" x14ac:dyDescent="0.35">
      <c r="A152" s="34" t="s">
        <v>6741</v>
      </c>
      <c r="B152" s="7">
        <f t="shared" si="7"/>
        <v>46086</v>
      </c>
      <c r="C152" s="7">
        <f t="shared" si="8"/>
        <v>46092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7">
        <v>0.9</v>
      </c>
      <c r="O152" s="36">
        <f t="shared" si="6"/>
        <v>23990</v>
      </c>
      <c r="P152" s="6" t="s">
        <v>16</v>
      </c>
    </row>
    <row r="153" spans="1:16" x14ac:dyDescent="0.35">
      <c r="A153" s="34" t="s">
        <v>6741</v>
      </c>
      <c r="B153" s="7">
        <f t="shared" si="7"/>
        <v>46086</v>
      </c>
      <c r="C153" s="7">
        <f t="shared" si="8"/>
        <v>46092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7">
        <v>0.9</v>
      </c>
      <c r="O153" s="36">
        <f t="shared" si="6"/>
        <v>23990</v>
      </c>
      <c r="P153" s="6" t="s">
        <v>16</v>
      </c>
    </row>
    <row r="154" spans="1:16" x14ac:dyDescent="0.35">
      <c r="A154" s="34" t="s">
        <v>6741</v>
      </c>
      <c r="B154" s="7">
        <f t="shared" si="7"/>
        <v>46086</v>
      </c>
      <c r="C154" s="7">
        <f t="shared" si="8"/>
        <v>46092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7">
        <v>0.9</v>
      </c>
      <c r="O154" s="36">
        <f t="shared" si="6"/>
        <v>23990</v>
      </c>
      <c r="P154" s="6" t="s">
        <v>16</v>
      </c>
    </row>
    <row r="155" spans="1:16" x14ac:dyDescent="0.35">
      <c r="A155" s="34" t="s">
        <v>6741</v>
      </c>
      <c r="B155" s="7">
        <f t="shared" si="7"/>
        <v>46086</v>
      </c>
      <c r="C155" s="7">
        <f t="shared" si="8"/>
        <v>46092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7">
        <v>0.9</v>
      </c>
      <c r="O155" s="36">
        <f t="shared" si="6"/>
        <v>23990</v>
      </c>
      <c r="P155" s="6" t="s">
        <v>16</v>
      </c>
    </row>
    <row r="156" spans="1:16" x14ac:dyDescent="0.35">
      <c r="A156" s="34" t="s">
        <v>6741</v>
      </c>
      <c r="B156" s="7">
        <f t="shared" si="7"/>
        <v>46086</v>
      </c>
      <c r="C156" s="7">
        <f t="shared" si="8"/>
        <v>46092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4992</v>
      </c>
      <c r="M156" s="8">
        <v>199900</v>
      </c>
      <c r="N156" s="37">
        <v>0.9</v>
      </c>
      <c r="O156" s="36">
        <f t="shared" si="6"/>
        <v>19990</v>
      </c>
      <c r="P156" s="6" t="s">
        <v>16</v>
      </c>
    </row>
    <row r="157" spans="1:16" x14ac:dyDescent="0.35">
      <c r="A157" s="34" t="s">
        <v>6741</v>
      </c>
      <c r="B157" s="7">
        <f t="shared" si="7"/>
        <v>46086</v>
      </c>
      <c r="C157" s="7">
        <f t="shared" si="8"/>
        <v>46092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4993</v>
      </c>
      <c r="M157" s="8">
        <v>199900</v>
      </c>
      <c r="N157" s="37">
        <v>0.9</v>
      </c>
      <c r="O157" s="36">
        <f t="shared" si="6"/>
        <v>19990</v>
      </c>
      <c r="P157" s="6" t="s">
        <v>16</v>
      </c>
    </row>
    <row r="158" spans="1:16" x14ac:dyDescent="0.35">
      <c r="A158" s="34" t="s">
        <v>6741</v>
      </c>
      <c r="B158" s="7">
        <f t="shared" si="7"/>
        <v>46086</v>
      </c>
      <c r="C158" s="7">
        <f t="shared" si="8"/>
        <v>46092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4994</v>
      </c>
      <c r="M158" s="8">
        <v>199900</v>
      </c>
      <c r="N158" s="37">
        <v>0.9</v>
      </c>
      <c r="O158" s="36">
        <f t="shared" si="6"/>
        <v>19990</v>
      </c>
      <c r="P158" s="6" t="s">
        <v>16</v>
      </c>
    </row>
    <row r="159" spans="1:16" x14ac:dyDescent="0.35">
      <c r="A159" s="34" t="s">
        <v>6741</v>
      </c>
      <c r="B159" s="7">
        <f t="shared" si="7"/>
        <v>46086</v>
      </c>
      <c r="C159" s="7">
        <f t="shared" si="8"/>
        <v>46092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6741</v>
      </c>
      <c r="B160" s="7">
        <f t="shared" si="7"/>
        <v>46086</v>
      </c>
      <c r="C160" s="7">
        <f t="shared" si="8"/>
        <v>46092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7">
        <v>0.9</v>
      </c>
      <c r="O160" s="36">
        <f t="shared" si="6"/>
        <v>19990</v>
      </c>
      <c r="P160" s="6" t="s">
        <v>16</v>
      </c>
    </row>
    <row r="161" spans="1:16" x14ac:dyDescent="0.35">
      <c r="A161" s="34" t="s">
        <v>6741</v>
      </c>
      <c r="B161" s="7">
        <f t="shared" si="7"/>
        <v>46086</v>
      </c>
      <c r="C161" s="7">
        <f t="shared" si="8"/>
        <v>46092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6741</v>
      </c>
      <c r="B162" s="7">
        <f t="shared" si="7"/>
        <v>46086</v>
      </c>
      <c r="C162" s="7">
        <f t="shared" si="8"/>
        <v>46092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6741</v>
      </c>
      <c r="B163" s="7">
        <f t="shared" si="7"/>
        <v>46086</v>
      </c>
      <c r="C163" s="7">
        <f t="shared" si="8"/>
        <v>46092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7">
        <v>0.9</v>
      </c>
      <c r="O163" s="36">
        <f t="shared" si="6"/>
        <v>17990</v>
      </c>
      <c r="P163" s="6" t="s">
        <v>16</v>
      </c>
    </row>
    <row r="164" spans="1:16" x14ac:dyDescent="0.35">
      <c r="A164" s="34" t="s">
        <v>6741</v>
      </c>
      <c r="B164" s="7">
        <f t="shared" si="7"/>
        <v>46086</v>
      </c>
      <c r="C164" s="7">
        <f t="shared" si="8"/>
        <v>46092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7">
        <v>0.9</v>
      </c>
      <c r="O164" s="36">
        <f t="shared" si="6"/>
        <v>17990</v>
      </c>
      <c r="P164" s="6" t="s">
        <v>16</v>
      </c>
    </row>
    <row r="165" spans="1:16" x14ac:dyDescent="0.35">
      <c r="A165" s="34" t="s">
        <v>6741</v>
      </c>
      <c r="B165" s="7">
        <f t="shared" si="7"/>
        <v>46086</v>
      </c>
      <c r="C165" s="7">
        <f t="shared" si="8"/>
        <v>46092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7">
        <v>0.9</v>
      </c>
      <c r="O165" s="36">
        <f t="shared" si="6"/>
        <v>17990</v>
      </c>
      <c r="P165" s="6" t="s">
        <v>16</v>
      </c>
    </row>
    <row r="166" spans="1:16" x14ac:dyDescent="0.35">
      <c r="A166" s="34" t="s">
        <v>6741</v>
      </c>
      <c r="B166" s="7">
        <f t="shared" si="7"/>
        <v>46086</v>
      </c>
      <c r="C166" s="7">
        <f t="shared" si="8"/>
        <v>46092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7">
        <v>0.9</v>
      </c>
      <c r="O166" s="36">
        <f t="shared" si="6"/>
        <v>17990</v>
      </c>
      <c r="P166" s="6" t="s">
        <v>16</v>
      </c>
    </row>
    <row r="167" spans="1:16" x14ac:dyDescent="0.35">
      <c r="A167" s="34" t="s">
        <v>6741</v>
      </c>
      <c r="B167" s="7">
        <f t="shared" si="7"/>
        <v>46086</v>
      </c>
      <c r="C167" s="7">
        <f t="shared" si="8"/>
        <v>46092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7">
        <v>0.9</v>
      </c>
      <c r="O167" s="36">
        <f t="shared" si="6"/>
        <v>17990</v>
      </c>
      <c r="P167" s="6" t="s">
        <v>16</v>
      </c>
    </row>
    <row r="168" spans="1:16" x14ac:dyDescent="0.35">
      <c r="A168" s="34" t="s">
        <v>6741</v>
      </c>
      <c r="B168" s="7">
        <f t="shared" si="7"/>
        <v>46086</v>
      </c>
      <c r="C168" s="7">
        <f t="shared" si="8"/>
        <v>46092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7">
        <v>0.9</v>
      </c>
      <c r="O168" s="36">
        <f t="shared" si="6"/>
        <v>17990</v>
      </c>
      <c r="P168" s="6" t="s">
        <v>16</v>
      </c>
    </row>
    <row r="169" spans="1:16" x14ac:dyDescent="0.35">
      <c r="A169" s="34" t="s">
        <v>6741</v>
      </c>
      <c r="B169" s="7">
        <f t="shared" si="7"/>
        <v>46086</v>
      </c>
      <c r="C169" s="7">
        <f t="shared" si="8"/>
        <v>46092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7">
        <v>0.9</v>
      </c>
      <c r="O169" s="36">
        <f t="shared" si="6"/>
        <v>19990</v>
      </c>
      <c r="P169" s="6" t="s">
        <v>16</v>
      </c>
    </row>
    <row r="170" spans="1:16" x14ac:dyDescent="0.35">
      <c r="A170" s="34" t="s">
        <v>6741</v>
      </c>
      <c r="B170" s="7">
        <f t="shared" si="7"/>
        <v>46086</v>
      </c>
      <c r="C170" s="7">
        <f t="shared" si="8"/>
        <v>46092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7">
        <v>0.9</v>
      </c>
      <c r="O170" s="36">
        <f t="shared" si="6"/>
        <v>19990</v>
      </c>
      <c r="P170" s="6" t="s">
        <v>16</v>
      </c>
    </row>
    <row r="171" spans="1:16" x14ac:dyDescent="0.35">
      <c r="A171" s="34" t="s">
        <v>6741</v>
      </c>
      <c r="B171" s="7">
        <f t="shared" si="7"/>
        <v>46086</v>
      </c>
      <c r="C171" s="7">
        <f t="shared" si="8"/>
        <v>46092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7">
        <v>0.9</v>
      </c>
      <c r="O171" s="36">
        <f t="shared" si="6"/>
        <v>19990</v>
      </c>
      <c r="P171" s="6" t="s">
        <v>16</v>
      </c>
    </row>
    <row r="172" spans="1:16" x14ac:dyDescent="0.35">
      <c r="A172" s="34" t="s">
        <v>6741</v>
      </c>
      <c r="B172" s="7">
        <f t="shared" si="7"/>
        <v>46086</v>
      </c>
      <c r="C172" s="7">
        <f t="shared" si="8"/>
        <v>46092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7">
        <v>0.9</v>
      </c>
      <c r="O172" s="36">
        <f t="shared" si="6"/>
        <v>19990</v>
      </c>
      <c r="P172" s="6" t="s">
        <v>16</v>
      </c>
    </row>
    <row r="173" spans="1:16" x14ac:dyDescent="0.35">
      <c r="A173" s="34" t="s">
        <v>6741</v>
      </c>
      <c r="B173" s="7">
        <f t="shared" si="7"/>
        <v>46086</v>
      </c>
      <c r="C173" s="7">
        <f t="shared" si="8"/>
        <v>46092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6741</v>
      </c>
      <c r="B174" s="7">
        <f t="shared" si="7"/>
        <v>46086</v>
      </c>
      <c r="C174" s="7">
        <f t="shared" si="8"/>
        <v>46092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6741</v>
      </c>
      <c r="B175" s="7">
        <f t="shared" si="7"/>
        <v>46086</v>
      </c>
      <c r="C175" s="7">
        <f t="shared" si="8"/>
        <v>46092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7">
        <v>0.9</v>
      </c>
      <c r="O175" s="36">
        <f t="shared" si="6"/>
        <v>19990</v>
      </c>
      <c r="P175" s="6" t="s">
        <v>16</v>
      </c>
    </row>
    <row r="176" spans="1:16" x14ac:dyDescent="0.35">
      <c r="A176" s="34" t="s">
        <v>6741</v>
      </c>
      <c r="B176" s="7">
        <f t="shared" si="7"/>
        <v>46086</v>
      </c>
      <c r="C176" s="7">
        <f t="shared" si="8"/>
        <v>46092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7">
        <v>0.9</v>
      </c>
      <c r="O176" s="36">
        <f t="shared" si="6"/>
        <v>19990</v>
      </c>
      <c r="P176" s="6" t="s">
        <v>16</v>
      </c>
    </row>
    <row r="177" spans="1:16" x14ac:dyDescent="0.35">
      <c r="A177" s="34" t="s">
        <v>6741</v>
      </c>
      <c r="B177" s="7">
        <f t="shared" si="7"/>
        <v>46086</v>
      </c>
      <c r="C177" s="7">
        <f t="shared" si="8"/>
        <v>46092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7">
        <v>0.9</v>
      </c>
      <c r="O177" s="36">
        <f t="shared" si="6"/>
        <v>19990</v>
      </c>
      <c r="P177" s="6" t="s">
        <v>16</v>
      </c>
    </row>
    <row r="178" spans="1:16" x14ac:dyDescent="0.35">
      <c r="A178" s="34" t="s">
        <v>6741</v>
      </c>
      <c r="B178" s="7">
        <f t="shared" si="7"/>
        <v>46086</v>
      </c>
      <c r="C178" s="7">
        <f t="shared" si="8"/>
        <v>46092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6741</v>
      </c>
      <c r="B179" s="7">
        <f t="shared" si="7"/>
        <v>46086</v>
      </c>
      <c r="C179" s="7">
        <f t="shared" si="8"/>
        <v>46092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6741</v>
      </c>
      <c r="B180" s="7">
        <f t="shared" si="7"/>
        <v>46086</v>
      </c>
      <c r="C180" s="7">
        <f t="shared" si="8"/>
        <v>46092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6741</v>
      </c>
      <c r="B181" s="7">
        <f t="shared" si="7"/>
        <v>46086</v>
      </c>
      <c r="C181" s="7">
        <f t="shared" si="8"/>
        <v>46092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7">
        <v>0.9</v>
      </c>
      <c r="O181" s="36">
        <f t="shared" si="6"/>
        <v>19990</v>
      </c>
      <c r="P181" s="6" t="s">
        <v>16</v>
      </c>
    </row>
    <row r="182" spans="1:16" x14ac:dyDescent="0.35">
      <c r="A182" s="34" t="s">
        <v>6741</v>
      </c>
      <c r="B182" s="7">
        <f t="shared" si="7"/>
        <v>46086</v>
      </c>
      <c r="C182" s="7">
        <f t="shared" si="8"/>
        <v>46092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7">
        <v>0.9</v>
      </c>
      <c r="O182" s="36">
        <f t="shared" si="6"/>
        <v>19990</v>
      </c>
      <c r="P182" s="6" t="s">
        <v>16</v>
      </c>
    </row>
    <row r="183" spans="1:16" x14ac:dyDescent="0.35">
      <c r="A183" s="34" t="s">
        <v>6741</v>
      </c>
      <c r="B183" s="7">
        <f t="shared" si="7"/>
        <v>46086</v>
      </c>
      <c r="C183" s="7">
        <f t="shared" si="8"/>
        <v>46092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7">
        <v>0.9</v>
      </c>
      <c r="O183" s="36">
        <f t="shared" si="6"/>
        <v>19990</v>
      </c>
      <c r="P183" s="6" t="s">
        <v>16</v>
      </c>
    </row>
    <row r="184" spans="1:16" x14ac:dyDescent="0.35">
      <c r="A184" s="34" t="s">
        <v>6741</v>
      </c>
      <c r="B184" s="7">
        <f t="shared" si="7"/>
        <v>46086</v>
      </c>
      <c r="C184" s="7">
        <f t="shared" si="8"/>
        <v>46092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7">
        <v>0.9</v>
      </c>
      <c r="O184" s="36">
        <f t="shared" si="6"/>
        <v>19990</v>
      </c>
      <c r="P184" s="6" t="s">
        <v>16</v>
      </c>
    </row>
    <row r="185" spans="1:16" x14ac:dyDescent="0.35">
      <c r="A185" s="34" t="s">
        <v>6741</v>
      </c>
      <c r="B185" s="7">
        <f t="shared" si="7"/>
        <v>46086</v>
      </c>
      <c r="C185" s="7">
        <f t="shared" si="8"/>
        <v>46092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7">
        <v>0.9</v>
      </c>
      <c r="O185" s="36">
        <f t="shared" si="6"/>
        <v>21990</v>
      </c>
      <c r="P185" s="6" t="s">
        <v>16</v>
      </c>
    </row>
    <row r="186" spans="1:16" x14ac:dyDescent="0.35">
      <c r="A186" s="34" t="s">
        <v>6741</v>
      </c>
      <c r="B186" s="7">
        <f t="shared" si="7"/>
        <v>46086</v>
      </c>
      <c r="C186" s="7">
        <f t="shared" si="8"/>
        <v>46092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7">
        <v>0.9</v>
      </c>
      <c r="O186" s="36">
        <f t="shared" si="6"/>
        <v>21990</v>
      </c>
      <c r="P186" s="6" t="s">
        <v>16</v>
      </c>
    </row>
    <row r="187" spans="1:16" x14ac:dyDescent="0.35">
      <c r="A187" s="34" t="s">
        <v>6741</v>
      </c>
      <c r="B187" s="7">
        <f t="shared" si="7"/>
        <v>46086</v>
      </c>
      <c r="C187" s="7">
        <f t="shared" si="8"/>
        <v>46092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7">
        <v>0.9</v>
      </c>
      <c r="O187" s="36">
        <f t="shared" si="6"/>
        <v>21990</v>
      </c>
      <c r="P187" s="6" t="s">
        <v>16</v>
      </c>
    </row>
    <row r="188" spans="1:16" x14ac:dyDescent="0.35">
      <c r="A188" s="34" t="s">
        <v>6741</v>
      </c>
      <c r="B188" s="7">
        <f t="shared" si="7"/>
        <v>46086</v>
      </c>
      <c r="C188" s="7">
        <f t="shared" si="8"/>
        <v>46092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7">
        <v>0.9</v>
      </c>
      <c r="O188" s="36">
        <f t="shared" si="6"/>
        <v>21990</v>
      </c>
      <c r="P188" s="6" t="s">
        <v>16</v>
      </c>
    </row>
    <row r="189" spans="1:16" x14ac:dyDescent="0.35">
      <c r="A189" s="34" t="s">
        <v>6741</v>
      </c>
      <c r="B189" s="7">
        <f t="shared" si="7"/>
        <v>46086</v>
      </c>
      <c r="C189" s="7">
        <f t="shared" si="8"/>
        <v>46092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7">
        <v>0.9</v>
      </c>
      <c r="O189" s="36">
        <f t="shared" si="6"/>
        <v>21990</v>
      </c>
      <c r="P189" s="6" t="s">
        <v>16</v>
      </c>
    </row>
    <row r="190" spans="1:16" x14ac:dyDescent="0.35">
      <c r="A190" s="34" t="s">
        <v>6741</v>
      </c>
      <c r="B190" s="7">
        <f t="shared" si="7"/>
        <v>46086</v>
      </c>
      <c r="C190" s="7">
        <f t="shared" si="8"/>
        <v>46092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7">
        <v>0.9</v>
      </c>
      <c r="O190" s="36">
        <f t="shared" si="6"/>
        <v>21990</v>
      </c>
      <c r="P190" s="6" t="s">
        <v>16</v>
      </c>
    </row>
    <row r="191" spans="1:16" x14ac:dyDescent="0.35">
      <c r="A191" s="34" t="s">
        <v>6741</v>
      </c>
      <c r="B191" s="7">
        <f t="shared" si="7"/>
        <v>46086</v>
      </c>
      <c r="C191" s="7">
        <f t="shared" si="8"/>
        <v>46092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6741</v>
      </c>
      <c r="B192" s="7">
        <f t="shared" si="7"/>
        <v>46086</v>
      </c>
      <c r="C192" s="7">
        <f t="shared" si="8"/>
        <v>46092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6741</v>
      </c>
      <c r="B193" s="7">
        <f t="shared" si="7"/>
        <v>46086</v>
      </c>
      <c r="C193" s="7">
        <f t="shared" si="8"/>
        <v>46092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4995</v>
      </c>
      <c r="M193" s="8">
        <v>199900</v>
      </c>
      <c r="N193" s="37">
        <v>0.9</v>
      </c>
      <c r="O193" s="36">
        <f t="shared" si="6"/>
        <v>19990</v>
      </c>
      <c r="P193" s="6" t="s">
        <v>16</v>
      </c>
    </row>
    <row r="194" spans="1:16" x14ac:dyDescent="0.35">
      <c r="A194" s="34" t="s">
        <v>6741</v>
      </c>
      <c r="B194" s="7">
        <f t="shared" si="7"/>
        <v>46086</v>
      </c>
      <c r="C194" s="7">
        <f t="shared" si="8"/>
        <v>46092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4996</v>
      </c>
      <c r="M194" s="8">
        <v>199900</v>
      </c>
      <c r="N194" s="37">
        <v>0.9</v>
      </c>
      <c r="O194" s="36">
        <f t="shared" si="6"/>
        <v>19990</v>
      </c>
      <c r="P194" s="6" t="s">
        <v>16</v>
      </c>
    </row>
    <row r="195" spans="1:16" x14ac:dyDescent="0.35">
      <c r="A195" s="34" t="s">
        <v>6741</v>
      </c>
      <c r="B195" s="7">
        <f t="shared" si="7"/>
        <v>46086</v>
      </c>
      <c r="C195" s="7">
        <f t="shared" si="8"/>
        <v>46092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4997</v>
      </c>
      <c r="M195" s="8">
        <v>199900</v>
      </c>
      <c r="N195" s="37">
        <v>0.9</v>
      </c>
      <c r="O195" s="36">
        <f t="shared" ref="O195:O258" si="9">M195-((90*M195)/100)</f>
        <v>19990</v>
      </c>
      <c r="P195" s="6" t="s">
        <v>16</v>
      </c>
    </row>
    <row r="196" spans="1:16" x14ac:dyDescent="0.35">
      <c r="A196" s="34" t="s">
        <v>6741</v>
      </c>
      <c r="B196" s="7">
        <f t="shared" ref="B196:B259" si="10">B195</f>
        <v>46086</v>
      </c>
      <c r="C196" s="7">
        <f t="shared" ref="C196:C259" si="11">C195</f>
        <v>46092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7">
        <v>0.9</v>
      </c>
      <c r="O196" s="36">
        <f t="shared" si="9"/>
        <v>14990</v>
      </c>
      <c r="P196" s="6" t="s">
        <v>16</v>
      </c>
    </row>
    <row r="197" spans="1:16" x14ac:dyDescent="0.35">
      <c r="A197" s="34" t="s">
        <v>6741</v>
      </c>
      <c r="B197" s="7">
        <f t="shared" si="10"/>
        <v>46086</v>
      </c>
      <c r="C197" s="7">
        <f t="shared" si="11"/>
        <v>46092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7">
        <v>0.9</v>
      </c>
      <c r="O197" s="36">
        <f t="shared" si="9"/>
        <v>14990</v>
      </c>
      <c r="P197" s="6" t="s">
        <v>16</v>
      </c>
    </row>
    <row r="198" spans="1:16" x14ac:dyDescent="0.35">
      <c r="A198" s="34" t="s">
        <v>6741</v>
      </c>
      <c r="B198" s="7">
        <f t="shared" si="10"/>
        <v>46086</v>
      </c>
      <c r="C198" s="7">
        <f t="shared" si="11"/>
        <v>46092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7">
        <v>0.9</v>
      </c>
      <c r="O198" s="36">
        <f t="shared" si="9"/>
        <v>14990</v>
      </c>
      <c r="P198" s="6" t="s">
        <v>16</v>
      </c>
    </row>
    <row r="199" spans="1:16" x14ac:dyDescent="0.35">
      <c r="A199" s="34" t="s">
        <v>6741</v>
      </c>
      <c r="B199" s="7">
        <f t="shared" si="10"/>
        <v>46086</v>
      </c>
      <c r="C199" s="7">
        <f t="shared" si="11"/>
        <v>46092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6741</v>
      </c>
      <c r="B200" s="7">
        <f t="shared" si="10"/>
        <v>46086</v>
      </c>
      <c r="C200" s="7">
        <f t="shared" si="11"/>
        <v>46092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6741</v>
      </c>
      <c r="B201" s="7">
        <f t="shared" si="10"/>
        <v>46086</v>
      </c>
      <c r="C201" s="7">
        <f t="shared" si="11"/>
        <v>46092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6741</v>
      </c>
      <c r="B202" s="7">
        <f t="shared" si="10"/>
        <v>46086</v>
      </c>
      <c r="C202" s="7">
        <f t="shared" si="11"/>
        <v>46092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7">
        <v>0.9</v>
      </c>
      <c r="O202" s="36">
        <f t="shared" si="9"/>
        <v>19990</v>
      </c>
      <c r="P202" s="6" t="s">
        <v>16</v>
      </c>
    </row>
    <row r="203" spans="1:16" x14ac:dyDescent="0.35">
      <c r="A203" s="34" t="s">
        <v>6741</v>
      </c>
      <c r="B203" s="7">
        <f t="shared" si="10"/>
        <v>46086</v>
      </c>
      <c r="C203" s="7">
        <f t="shared" si="11"/>
        <v>46092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7">
        <v>0.9</v>
      </c>
      <c r="O203" s="36">
        <f t="shared" si="9"/>
        <v>16990</v>
      </c>
      <c r="P203" s="6" t="s">
        <v>16</v>
      </c>
    </row>
    <row r="204" spans="1:16" x14ac:dyDescent="0.35">
      <c r="A204" s="34" t="s">
        <v>6741</v>
      </c>
      <c r="B204" s="7">
        <f t="shared" si="10"/>
        <v>46086</v>
      </c>
      <c r="C204" s="7">
        <f t="shared" si="11"/>
        <v>46092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7">
        <v>0.9</v>
      </c>
      <c r="O204" s="36">
        <f t="shared" si="9"/>
        <v>16990</v>
      </c>
      <c r="P204" s="6" t="s">
        <v>16</v>
      </c>
    </row>
    <row r="205" spans="1:16" x14ac:dyDescent="0.35">
      <c r="A205" s="34" t="s">
        <v>6741</v>
      </c>
      <c r="B205" s="7">
        <f t="shared" si="10"/>
        <v>46086</v>
      </c>
      <c r="C205" s="7">
        <f t="shared" si="11"/>
        <v>46092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7">
        <v>0.9</v>
      </c>
      <c r="O205" s="36">
        <f t="shared" si="9"/>
        <v>16990</v>
      </c>
      <c r="P205" s="6" t="s">
        <v>16</v>
      </c>
    </row>
    <row r="206" spans="1:16" x14ac:dyDescent="0.35">
      <c r="A206" s="34" t="s">
        <v>6741</v>
      </c>
      <c r="B206" s="7">
        <f t="shared" si="10"/>
        <v>46086</v>
      </c>
      <c r="C206" s="7">
        <f t="shared" si="11"/>
        <v>46092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7">
        <v>0.9</v>
      </c>
      <c r="O206" s="36">
        <f t="shared" si="9"/>
        <v>16990</v>
      </c>
      <c r="P206" s="6" t="s">
        <v>16</v>
      </c>
    </row>
    <row r="207" spans="1:16" x14ac:dyDescent="0.35">
      <c r="A207" s="34" t="s">
        <v>6741</v>
      </c>
      <c r="B207" s="7">
        <f t="shared" si="10"/>
        <v>46086</v>
      </c>
      <c r="C207" s="7">
        <f t="shared" si="11"/>
        <v>46092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7">
        <v>0.9</v>
      </c>
      <c r="O207" s="36">
        <f t="shared" si="9"/>
        <v>19990</v>
      </c>
      <c r="P207" s="6" t="s">
        <v>16</v>
      </c>
    </row>
    <row r="208" spans="1:16" x14ac:dyDescent="0.35">
      <c r="A208" s="34" t="s">
        <v>6741</v>
      </c>
      <c r="B208" s="7">
        <f t="shared" si="10"/>
        <v>46086</v>
      </c>
      <c r="C208" s="7">
        <f t="shared" si="11"/>
        <v>46092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6741</v>
      </c>
      <c r="B209" s="7">
        <f t="shared" si="10"/>
        <v>46086</v>
      </c>
      <c r="C209" s="7">
        <f t="shared" si="11"/>
        <v>46092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6741</v>
      </c>
      <c r="B210" s="7">
        <f t="shared" si="10"/>
        <v>46086</v>
      </c>
      <c r="C210" s="7">
        <f t="shared" si="11"/>
        <v>46092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6741</v>
      </c>
      <c r="B211" s="7">
        <f t="shared" si="10"/>
        <v>46086</v>
      </c>
      <c r="C211" s="7">
        <f t="shared" si="11"/>
        <v>46092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7">
        <v>0.9</v>
      </c>
      <c r="O211" s="36">
        <f t="shared" si="9"/>
        <v>24990</v>
      </c>
      <c r="P211" s="6" t="s">
        <v>16</v>
      </c>
    </row>
    <row r="212" spans="1:16" x14ac:dyDescent="0.35">
      <c r="A212" s="34" t="s">
        <v>6741</v>
      </c>
      <c r="B212" s="7">
        <f t="shared" si="10"/>
        <v>46086</v>
      </c>
      <c r="C212" s="7">
        <f t="shared" si="11"/>
        <v>46092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7">
        <v>0.9</v>
      </c>
      <c r="O212" s="36">
        <f t="shared" si="9"/>
        <v>24990</v>
      </c>
      <c r="P212" s="6" t="s">
        <v>16</v>
      </c>
    </row>
    <row r="213" spans="1:16" x14ac:dyDescent="0.35">
      <c r="A213" s="34" t="s">
        <v>6741</v>
      </c>
      <c r="B213" s="7">
        <f t="shared" si="10"/>
        <v>46086</v>
      </c>
      <c r="C213" s="7">
        <f t="shared" si="11"/>
        <v>46092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7">
        <v>0.9</v>
      </c>
      <c r="O213" s="36">
        <f t="shared" si="9"/>
        <v>24990</v>
      </c>
      <c r="P213" s="6" t="s">
        <v>16</v>
      </c>
    </row>
    <row r="214" spans="1:16" x14ac:dyDescent="0.35">
      <c r="A214" s="34" t="s">
        <v>6741</v>
      </c>
      <c r="B214" s="7">
        <f t="shared" si="10"/>
        <v>46086</v>
      </c>
      <c r="C214" s="7">
        <f t="shared" si="11"/>
        <v>46092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7">
        <v>0.9</v>
      </c>
      <c r="O214" s="36">
        <f t="shared" si="9"/>
        <v>24990</v>
      </c>
      <c r="P214" s="6" t="s">
        <v>16</v>
      </c>
    </row>
    <row r="215" spans="1:16" x14ac:dyDescent="0.35">
      <c r="A215" s="34" t="s">
        <v>6741</v>
      </c>
      <c r="B215" s="7">
        <f t="shared" si="10"/>
        <v>46086</v>
      </c>
      <c r="C215" s="7">
        <f t="shared" si="11"/>
        <v>46092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7">
        <v>0.9</v>
      </c>
      <c r="O215" s="36">
        <f t="shared" si="9"/>
        <v>28990</v>
      </c>
      <c r="P215" s="6" t="s">
        <v>16</v>
      </c>
    </row>
    <row r="216" spans="1:16" x14ac:dyDescent="0.35">
      <c r="A216" s="34" t="s">
        <v>6741</v>
      </c>
      <c r="B216" s="7">
        <f t="shared" si="10"/>
        <v>46086</v>
      </c>
      <c r="C216" s="7">
        <f t="shared" si="11"/>
        <v>46092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7">
        <v>0.9</v>
      </c>
      <c r="O216" s="36">
        <f t="shared" si="9"/>
        <v>28990</v>
      </c>
      <c r="P216" s="6" t="s">
        <v>16</v>
      </c>
    </row>
    <row r="217" spans="1:16" x14ac:dyDescent="0.35">
      <c r="A217" s="34" t="s">
        <v>6741</v>
      </c>
      <c r="B217" s="7">
        <f t="shared" si="10"/>
        <v>46086</v>
      </c>
      <c r="C217" s="7">
        <f t="shared" si="11"/>
        <v>46092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7">
        <v>0.9</v>
      </c>
      <c r="O217" s="36">
        <f t="shared" si="9"/>
        <v>28990</v>
      </c>
      <c r="P217" s="6" t="s">
        <v>16</v>
      </c>
    </row>
    <row r="218" spans="1:16" x14ac:dyDescent="0.35">
      <c r="A218" s="34" t="s">
        <v>6741</v>
      </c>
      <c r="B218" s="7">
        <f t="shared" si="10"/>
        <v>46086</v>
      </c>
      <c r="C218" s="7">
        <f t="shared" si="11"/>
        <v>46092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7">
        <v>0.9</v>
      </c>
      <c r="O218" s="36">
        <f t="shared" si="9"/>
        <v>28990</v>
      </c>
      <c r="P218" s="6" t="s">
        <v>16</v>
      </c>
    </row>
    <row r="219" spans="1:16" x14ac:dyDescent="0.35">
      <c r="A219" s="34" t="s">
        <v>6741</v>
      </c>
      <c r="B219" s="7">
        <f t="shared" si="10"/>
        <v>46086</v>
      </c>
      <c r="C219" s="7">
        <f t="shared" si="11"/>
        <v>46092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7">
        <v>0.9</v>
      </c>
      <c r="O219" s="36">
        <f t="shared" si="9"/>
        <v>23990</v>
      </c>
      <c r="P219" s="6" t="s">
        <v>16</v>
      </c>
    </row>
    <row r="220" spans="1:16" x14ac:dyDescent="0.35">
      <c r="A220" s="34" t="s">
        <v>6741</v>
      </c>
      <c r="B220" s="7">
        <f t="shared" si="10"/>
        <v>46086</v>
      </c>
      <c r="C220" s="7">
        <f t="shared" si="11"/>
        <v>46092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7">
        <v>0.9</v>
      </c>
      <c r="O220" s="36">
        <f t="shared" si="9"/>
        <v>23990</v>
      </c>
      <c r="P220" s="6" t="s">
        <v>16</v>
      </c>
    </row>
    <row r="221" spans="1:16" x14ac:dyDescent="0.35">
      <c r="A221" s="34" t="s">
        <v>6741</v>
      </c>
      <c r="B221" s="7">
        <f t="shared" si="10"/>
        <v>46086</v>
      </c>
      <c r="C221" s="7">
        <f t="shared" si="11"/>
        <v>46092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7">
        <v>0.9</v>
      </c>
      <c r="O221" s="36">
        <f t="shared" si="9"/>
        <v>23990</v>
      </c>
      <c r="P221" s="6" t="s">
        <v>16</v>
      </c>
    </row>
    <row r="222" spans="1:16" x14ac:dyDescent="0.35">
      <c r="A222" s="34" t="s">
        <v>6741</v>
      </c>
      <c r="B222" s="7">
        <f t="shared" si="10"/>
        <v>46086</v>
      </c>
      <c r="C222" s="7">
        <f t="shared" si="11"/>
        <v>46092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7">
        <v>0.9</v>
      </c>
      <c r="O222" s="36">
        <f t="shared" si="9"/>
        <v>22990</v>
      </c>
      <c r="P222" s="6" t="s">
        <v>16</v>
      </c>
    </row>
    <row r="223" spans="1:16" x14ac:dyDescent="0.35">
      <c r="A223" s="34" t="s">
        <v>6741</v>
      </c>
      <c r="B223" s="7">
        <f t="shared" si="10"/>
        <v>46086</v>
      </c>
      <c r="C223" s="7">
        <f t="shared" si="11"/>
        <v>46092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7">
        <v>0.9</v>
      </c>
      <c r="O223" s="36">
        <f t="shared" si="9"/>
        <v>22990</v>
      </c>
      <c r="P223" s="6" t="s">
        <v>16</v>
      </c>
    </row>
    <row r="224" spans="1:16" x14ac:dyDescent="0.35">
      <c r="A224" s="34" t="s">
        <v>6741</v>
      </c>
      <c r="B224" s="7">
        <f t="shared" si="10"/>
        <v>46086</v>
      </c>
      <c r="C224" s="7">
        <f t="shared" si="11"/>
        <v>46092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7">
        <v>0.9</v>
      </c>
      <c r="O224" s="36">
        <f t="shared" si="9"/>
        <v>22990</v>
      </c>
      <c r="P224" s="6" t="s">
        <v>16</v>
      </c>
    </row>
    <row r="225" spans="1:16" x14ac:dyDescent="0.35">
      <c r="A225" s="34" t="s">
        <v>6741</v>
      </c>
      <c r="B225" s="7">
        <f t="shared" si="10"/>
        <v>46086</v>
      </c>
      <c r="C225" s="7">
        <f t="shared" si="11"/>
        <v>46092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7">
        <v>0.9</v>
      </c>
      <c r="O225" s="36">
        <f t="shared" si="9"/>
        <v>22990</v>
      </c>
      <c r="P225" s="6" t="s">
        <v>16</v>
      </c>
    </row>
    <row r="226" spans="1:16" x14ac:dyDescent="0.35">
      <c r="A226" s="34" t="s">
        <v>6741</v>
      </c>
      <c r="B226" s="7">
        <f t="shared" si="10"/>
        <v>46086</v>
      </c>
      <c r="C226" s="7">
        <f t="shared" si="11"/>
        <v>46092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7">
        <v>0.9</v>
      </c>
      <c r="O226" s="36">
        <f t="shared" si="9"/>
        <v>22990</v>
      </c>
      <c r="P226" s="6" t="s">
        <v>16</v>
      </c>
    </row>
    <row r="227" spans="1:16" x14ac:dyDescent="0.35">
      <c r="A227" s="34" t="s">
        <v>6741</v>
      </c>
      <c r="B227" s="7">
        <f t="shared" si="10"/>
        <v>46086</v>
      </c>
      <c r="C227" s="7">
        <f t="shared" si="11"/>
        <v>46092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7">
        <v>0.9</v>
      </c>
      <c r="O227" s="36">
        <f t="shared" si="9"/>
        <v>23990</v>
      </c>
      <c r="P227" s="6" t="s">
        <v>16</v>
      </c>
    </row>
    <row r="228" spans="1:16" x14ac:dyDescent="0.35">
      <c r="A228" s="34" t="s">
        <v>6741</v>
      </c>
      <c r="B228" s="7">
        <f t="shared" si="10"/>
        <v>46086</v>
      </c>
      <c r="C228" s="7">
        <f t="shared" si="11"/>
        <v>46092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7">
        <v>0.9</v>
      </c>
      <c r="O228" s="36">
        <f t="shared" si="9"/>
        <v>23990</v>
      </c>
      <c r="P228" s="6" t="s">
        <v>16</v>
      </c>
    </row>
    <row r="229" spans="1:16" x14ac:dyDescent="0.35">
      <c r="A229" s="34" t="s">
        <v>6741</v>
      </c>
      <c r="B229" s="7">
        <f t="shared" si="10"/>
        <v>46086</v>
      </c>
      <c r="C229" s="7">
        <f t="shared" si="11"/>
        <v>46092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7">
        <v>0.9</v>
      </c>
      <c r="O229" s="36">
        <f t="shared" si="9"/>
        <v>23990</v>
      </c>
      <c r="P229" s="6" t="s">
        <v>16</v>
      </c>
    </row>
    <row r="230" spans="1:16" x14ac:dyDescent="0.35">
      <c r="A230" s="34" t="s">
        <v>6741</v>
      </c>
      <c r="B230" s="7">
        <f t="shared" si="10"/>
        <v>46086</v>
      </c>
      <c r="C230" s="7">
        <f t="shared" si="11"/>
        <v>46092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7">
        <v>0.9</v>
      </c>
      <c r="O230" s="36">
        <f t="shared" si="9"/>
        <v>23990</v>
      </c>
      <c r="P230" s="6" t="s">
        <v>16</v>
      </c>
    </row>
    <row r="231" spans="1:16" x14ac:dyDescent="0.35">
      <c r="A231" s="34" t="s">
        <v>6741</v>
      </c>
      <c r="B231" s="7">
        <f t="shared" si="10"/>
        <v>46086</v>
      </c>
      <c r="C231" s="7">
        <f t="shared" si="11"/>
        <v>46092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7">
        <v>0.9</v>
      </c>
      <c r="O231" s="36">
        <f t="shared" si="9"/>
        <v>24990</v>
      </c>
      <c r="P231" s="6" t="s">
        <v>16</v>
      </c>
    </row>
    <row r="232" spans="1:16" x14ac:dyDescent="0.35">
      <c r="A232" s="34" t="s">
        <v>6741</v>
      </c>
      <c r="B232" s="7">
        <f t="shared" si="10"/>
        <v>46086</v>
      </c>
      <c r="C232" s="7">
        <f t="shared" si="11"/>
        <v>46092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7">
        <v>0.9</v>
      </c>
      <c r="O232" s="36">
        <f t="shared" si="9"/>
        <v>24990</v>
      </c>
      <c r="P232" s="6" t="s">
        <v>16</v>
      </c>
    </row>
    <row r="233" spans="1:16" x14ac:dyDescent="0.35">
      <c r="A233" s="34" t="s">
        <v>6741</v>
      </c>
      <c r="B233" s="7">
        <f t="shared" si="10"/>
        <v>46086</v>
      </c>
      <c r="C233" s="7">
        <f t="shared" si="11"/>
        <v>46092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7">
        <v>0.9</v>
      </c>
      <c r="O233" s="36">
        <f t="shared" si="9"/>
        <v>24990</v>
      </c>
      <c r="P233" s="6" t="s">
        <v>16</v>
      </c>
    </row>
    <row r="234" spans="1:16" x14ac:dyDescent="0.35">
      <c r="A234" s="34" t="s">
        <v>6741</v>
      </c>
      <c r="B234" s="7">
        <f t="shared" si="10"/>
        <v>46086</v>
      </c>
      <c r="C234" s="7">
        <f t="shared" si="11"/>
        <v>46092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7">
        <v>0.9</v>
      </c>
      <c r="O234" s="36">
        <f t="shared" si="9"/>
        <v>22990</v>
      </c>
      <c r="P234" s="6" t="s">
        <v>16</v>
      </c>
    </row>
    <row r="235" spans="1:16" x14ac:dyDescent="0.35">
      <c r="A235" s="34" t="s">
        <v>6741</v>
      </c>
      <c r="B235" s="7">
        <f t="shared" si="10"/>
        <v>46086</v>
      </c>
      <c r="C235" s="7">
        <f t="shared" si="11"/>
        <v>46092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7">
        <v>0.9</v>
      </c>
      <c r="O235" s="36">
        <f t="shared" si="9"/>
        <v>22990</v>
      </c>
      <c r="P235" s="6" t="s">
        <v>16</v>
      </c>
    </row>
    <row r="236" spans="1:16" x14ac:dyDescent="0.35">
      <c r="A236" s="34" t="s">
        <v>6741</v>
      </c>
      <c r="B236" s="7">
        <f t="shared" si="10"/>
        <v>46086</v>
      </c>
      <c r="C236" s="7">
        <f t="shared" si="11"/>
        <v>46092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7">
        <v>0.9</v>
      </c>
      <c r="O236" s="36">
        <f t="shared" si="9"/>
        <v>22990</v>
      </c>
      <c r="P236" s="6" t="s">
        <v>16</v>
      </c>
    </row>
    <row r="237" spans="1:16" x14ac:dyDescent="0.35">
      <c r="A237" s="34" t="s">
        <v>6741</v>
      </c>
      <c r="B237" s="7">
        <f t="shared" si="10"/>
        <v>46086</v>
      </c>
      <c r="C237" s="7">
        <f t="shared" si="11"/>
        <v>46092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7">
        <v>0.9</v>
      </c>
      <c r="O237" s="36">
        <f t="shared" si="9"/>
        <v>23990</v>
      </c>
      <c r="P237" s="6" t="s">
        <v>16</v>
      </c>
    </row>
    <row r="238" spans="1:16" x14ac:dyDescent="0.35">
      <c r="A238" s="34" t="s">
        <v>6741</v>
      </c>
      <c r="B238" s="7">
        <f t="shared" si="10"/>
        <v>46086</v>
      </c>
      <c r="C238" s="7">
        <f t="shared" si="11"/>
        <v>46092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7">
        <v>0.9</v>
      </c>
      <c r="O238" s="36">
        <f t="shared" si="9"/>
        <v>23990</v>
      </c>
      <c r="P238" s="6" t="s">
        <v>16</v>
      </c>
    </row>
    <row r="239" spans="1:16" x14ac:dyDescent="0.35">
      <c r="A239" s="34" t="s">
        <v>6741</v>
      </c>
      <c r="B239" s="7">
        <f t="shared" si="10"/>
        <v>46086</v>
      </c>
      <c r="C239" s="7">
        <f t="shared" si="11"/>
        <v>46092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7">
        <v>0.9</v>
      </c>
      <c r="O239" s="36">
        <f t="shared" si="9"/>
        <v>23990</v>
      </c>
      <c r="P239" s="6" t="s">
        <v>16</v>
      </c>
    </row>
    <row r="240" spans="1:16" x14ac:dyDescent="0.35">
      <c r="A240" s="34" t="s">
        <v>6741</v>
      </c>
      <c r="B240" s="7">
        <f t="shared" si="10"/>
        <v>46086</v>
      </c>
      <c r="C240" s="7">
        <f t="shared" si="11"/>
        <v>46092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7">
        <v>0.9</v>
      </c>
      <c r="O240" s="36">
        <f t="shared" si="9"/>
        <v>23990</v>
      </c>
      <c r="P240" s="6" t="s">
        <v>16</v>
      </c>
    </row>
    <row r="241" spans="1:16" x14ac:dyDescent="0.35">
      <c r="A241" s="34" t="s">
        <v>6741</v>
      </c>
      <c r="B241" s="7">
        <f t="shared" si="10"/>
        <v>46086</v>
      </c>
      <c r="C241" s="7">
        <f t="shared" si="11"/>
        <v>46092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7">
        <v>0.9</v>
      </c>
      <c r="O241" s="36">
        <f t="shared" si="9"/>
        <v>24990</v>
      </c>
      <c r="P241" s="6" t="s">
        <v>16</v>
      </c>
    </row>
    <row r="242" spans="1:16" x14ac:dyDescent="0.35">
      <c r="A242" s="34" t="s">
        <v>6741</v>
      </c>
      <c r="B242" s="7">
        <f t="shared" si="10"/>
        <v>46086</v>
      </c>
      <c r="C242" s="7">
        <f t="shared" si="11"/>
        <v>46092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7">
        <v>0.9</v>
      </c>
      <c r="O242" s="36">
        <f t="shared" si="9"/>
        <v>24990</v>
      </c>
      <c r="P242" s="6" t="s">
        <v>16</v>
      </c>
    </row>
    <row r="243" spans="1:16" x14ac:dyDescent="0.35">
      <c r="A243" s="34" t="s">
        <v>6741</v>
      </c>
      <c r="B243" s="7">
        <f t="shared" si="10"/>
        <v>46086</v>
      </c>
      <c r="C243" s="7">
        <f t="shared" si="11"/>
        <v>46092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7">
        <v>0.9</v>
      </c>
      <c r="O243" s="36">
        <f t="shared" si="9"/>
        <v>24990</v>
      </c>
      <c r="P243" s="6" t="s">
        <v>16</v>
      </c>
    </row>
    <row r="244" spans="1:16" x14ac:dyDescent="0.35">
      <c r="A244" s="34" t="s">
        <v>6741</v>
      </c>
      <c r="B244" s="7">
        <f t="shared" si="10"/>
        <v>46086</v>
      </c>
      <c r="C244" s="7">
        <f t="shared" si="11"/>
        <v>46092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4998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6741</v>
      </c>
      <c r="B245" s="7">
        <f t="shared" si="10"/>
        <v>46086</v>
      </c>
      <c r="C245" s="7">
        <f t="shared" si="11"/>
        <v>46092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4999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6741</v>
      </c>
      <c r="B246" s="7">
        <f t="shared" si="10"/>
        <v>46086</v>
      </c>
      <c r="C246" s="7">
        <f t="shared" si="11"/>
        <v>46092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5000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6741</v>
      </c>
      <c r="B247" s="7">
        <f t="shared" si="10"/>
        <v>46086</v>
      </c>
      <c r="C247" s="7">
        <f t="shared" si="11"/>
        <v>46092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5001</v>
      </c>
      <c r="M247" s="8">
        <v>229900</v>
      </c>
      <c r="N247" s="37">
        <v>0.9</v>
      </c>
      <c r="O247" s="36">
        <f t="shared" si="9"/>
        <v>22990</v>
      </c>
      <c r="P247" s="6" t="s">
        <v>16</v>
      </c>
    </row>
    <row r="248" spans="1:16" x14ac:dyDescent="0.35">
      <c r="A248" s="34" t="s">
        <v>6741</v>
      </c>
      <c r="B248" s="7">
        <f t="shared" si="10"/>
        <v>46086</v>
      </c>
      <c r="C248" s="7">
        <f t="shared" si="11"/>
        <v>46092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7">
        <v>0.9</v>
      </c>
      <c r="O248" s="36">
        <f t="shared" si="9"/>
        <v>24990</v>
      </c>
      <c r="P248" s="6" t="s">
        <v>16</v>
      </c>
    </row>
    <row r="249" spans="1:16" x14ac:dyDescent="0.35">
      <c r="A249" s="34" t="s">
        <v>6741</v>
      </c>
      <c r="B249" s="7">
        <f t="shared" si="10"/>
        <v>46086</v>
      </c>
      <c r="C249" s="7">
        <f t="shared" si="11"/>
        <v>46092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7">
        <v>0.9</v>
      </c>
      <c r="O249" s="36">
        <f t="shared" si="9"/>
        <v>24990</v>
      </c>
      <c r="P249" s="6" t="s">
        <v>16</v>
      </c>
    </row>
    <row r="250" spans="1:16" x14ac:dyDescent="0.35">
      <c r="A250" s="34" t="s">
        <v>6741</v>
      </c>
      <c r="B250" s="7">
        <f t="shared" si="10"/>
        <v>46086</v>
      </c>
      <c r="C250" s="7">
        <f t="shared" si="11"/>
        <v>46092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7">
        <v>0.9</v>
      </c>
      <c r="O250" s="36">
        <f t="shared" si="9"/>
        <v>23990</v>
      </c>
      <c r="P250" s="6" t="s">
        <v>16</v>
      </c>
    </row>
    <row r="251" spans="1:16" x14ac:dyDescent="0.35">
      <c r="A251" s="34" t="s">
        <v>6741</v>
      </c>
      <c r="B251" s="7">
        <f t="shared" si="10"/>
        <v>46086</v>
      </c>
      <c r="C251" s="7">
        <f t="shared" si="11"/>
        <v>46092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7">
        <v>0.9</v>
      </c>
      <c r="O251" s="36">
        <f t="shared" si="9"/>
        <v>23990</v>
      </c>
      <c r="P251" s="6" t="s">
        <v>16</v>
      </c>
    </row>
    <row r="252" spans="1:16" x14ac:dyDescent="0.35">
      <c r="A252" s="34" t="s">
        <v>6741</v>
      </c>
      <c r="B252" s="7">
        <f t="shared" si="10"/>
        <v>46086</v>
      </c>
      <c r="C252" s="7">
        <f t="shared" si="11"/>
        <v>46092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7">
        <v>0.9</v>
      </c>
      <c r="O252" s="36">
        <f t="shared" si="9"/>
        <v>23990</v>
      </c>
      <c r="P252" s="6" t="s">
        <v>16</v>
      </c>
    </row>
    <row r="253" spans="1:16" x14ac:dyDescent="0.35">
      <c r="A253" s="34" t="s">
        <v>6741</v>
      </c>
      <c r="B253" s="7">
        <f t="shared" si="10"/>
        <v>46086</v>
      </c>
      <c r="C253" s="7">
        <f t="shared" si="11"/>
        <v>46092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7">
        <v>0.9</v>
      </c>
      <c r="O253" s="36">
        <f t="shared" si="9"/>
        <v>23990</v>
      </c>
      <c r="P253" s="6" t="s">
        <v>16</v>
      </c>
    </row>
    <row r="254" spans="1:16" x14ac:dyDescent="0.35">
      <c r="A254" s="34" t="s">
        <v>6741</v>
      </c>
      <c r="B254" s="7">
        <f t="shared" si="10"/>
        <v>46086</v>
      </c>
      <c r="C254" s="7">
        <f t="shared" si="11"/>
        <v>46092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7">
        <v>0.9</v>
      </c>
      <c r="O254" s="36">
        <f t="shared" si="9"/>
        <v>23990</v>
      </c>
      <c r="P254" s="6" t="s">
        <v>16</v>
      </c>
    </row>
    <row r="255" spans="1:16" x14ac:dyDescent="0.35">
      <c r="A255" s="34" t="s">
        <v>6741</v>
      </c>
      <c r="B255" s="7">
        <f t="shared" si="10"/>
        <v>46086</v>
      </c>
      <c r="C255" s="7">
        <f t="shared" si="11"/>
        <v>46092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7">
        <v>0.9</v>
      </c>
      <c r="O255" s="36">
        <f t="shared" si="9"/>
        <v>23990</v>
      </c>
      <c r="P255" s="6" t="s">
        <v>16</v>
      </c>
    </row>
    <row r="256" spans="1:16" x14ac:dyDescent="0.35">
      <c r="A256" s="34" t="s">
        <v>6741</v>
      </c>
      <c r="B256" s="7">
        <f t="shared" si="10"/>
        <v>46086</v>
      </c>
      <c r="C256" s="7">
        <f t="shared" si="11"/>
        <v>46092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7">
        <v>0.9</v>
      </c>
      <c r="O256" s="36">
        <f t="shared" si="9"/>
        <v>22990</v>
      </c>
      <c r="P256" s="6" t="s">
        <v>16</v>
      </c>
    </row>
    <row r="257" spans="1:16" x14ac:dyDescent="0.35">
      <c r="A257" s="34" t="s">
        <v>6741</v>
      </c>
      <c r="B257" s="7">
        <f t="shared" si="10"/>
        <v>46086</v>
      </c>
      <c r="C257" s="7">
        <f t="shared" si="11"/>
        <v>46092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7">
        <v>0.9</v>
      </c>
      <c r="O257" s="36">
        <f t="shared" si="9"/>
        <v>22990</v>
      </c>
      <c r="P257" s="6" t="s">
        <v>16</v>
      </c>
    </row>
    <row r="258" spans="1:16" x14ac:dyDescent="0.35">
      <c r="A258" s="34" t="s">
        <v>6741</v>
      </c>
      <c r="B258" s="7">
        <f t="shared" si="10"/>
        <v>46086</v>
      </c>
      <c r="C258" s="7">
        <f t="shared" si="11"/>
        <v>46092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7">
        <v>0.9</v>
      </c>
      <c r="O258" s="36">
        <f t="shared" si="9"/>
        <v>22990</v>
      </c>
      <c r="P258" s="6" t="s">
        <v>16</v>
      </c>
    </row>
    <row r="259" spans="1:16" x14ac:dyDescent="0.35">
      <c r="A259" s="34" t="s">
        <v>6741</v>
      </c>
      <c r="B259" s="7">
        <f t="shared" si="10"/>
        <v>46086</v>
      </c>
      <c r="C259" s="7">
        <f t="shared" si="11"/>
        <v>46092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7">
        <v>0.9</v>
      </c>
      <c r="O259" s="36">
        <f t="shared" ref="O259:O297" si="12">M259-((90*M259)/100)</f>
        <v>22990</v>
      </c>
      <c r="P259" s="6" t="s">
        <v>16</v>
      </c>
    </row>
    <row r="260" spans="1:16" x14ac:dyDescent="0.35">
      <c r="A260" s="34" t="s">
        <v>6741</v>
      </c>
      <c r="B260" s="7">
        <f t="shared" ref="B260:B297" si="13">B259</f>
        <v>46086</v>
      </c>
      <c r="C260" s="7">
        <f t="shared" ref="C260:C297" si="14">C259</f>
        <v>46092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7">
        <v>0.9</v>
      </c>
      <c r="O260" s="36">
        <f t="shared" si="12"/>
        <v>22990</v>
      </c>
      <c r="P260" s="6" t="s">
        <v>16</v>
      </c>
    </row>
    <row r="261" spans="1:16" x14ac:dyDescent="0.35">
      <c r="A261" s="34" t="s">
        <v>6741</v>
      </c>
      <c r="B261" s="7">
        <f t="shared" si="13"/>
        <v>46086</v>
      </c>
      <c r="C261" s="7">
        <f t="shared" si="14"/>
        <v>46092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7">
        <v>0.9</v>
      </c>
      <c r="O261" s="36">
        <f t="shared" si="12"/>
        <v>22990</v>
      </c>
      <c r="P261" s="6" t="s">
        <v>16</v>
      </c>
    </row>
    <row r="262" spans="1:16" x14ac:dyDescent="0.35">
      <c r="A262" s="34" t="s">
        <v>6741</v>
      </c>
      <c r="B262" s="7">
        <f t="shared" si="13"/>
        <v>46086</v>
      </c>
      <c r="C262" s="7">
        <f t="shared" si="14"/>
        <v>46092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7">
        <v>0.9</v>
      </c>
      <c r="O262" s="36">
        <f t="shared" si="12"/>
        <v>23990</v>
      </c>
      <c r="P262" s="6" t="s">
        <v>16</v>
      </c>
    </row>
    <row r="263" spans="1:16" x14ac:dyDescent="0.35">
      <c r="A263" s="34" t="s">
        <v>6741</v>
      </c>
      <c r="B263" s="7">
        <f t="shared" si="13"/>
        <v>46086</v>
      </c>
      <c r="C263" s="7">
        <f t="shared" si="14"/>
        <v>46092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7">
        <v>0.9</v>
      </c>
      <c r="O263" s="36">
        <f t="shared" si="12"/>
        <v>23990</v>
      </c>
      <c r="P263" s="6" t="s">
        <v>16</v>
      </c>
    </row>
    <row r="264" spans="1:16" x14ac:dyDescent="0.35">
      <c r="A264" s="34" t="s">
        <v>6741</v>
      </c>
      <c r="B264" s="7">
        <f t="shared" si="13"/>
        <v>46086</v>
      </c>
      <c r="C264" s="7">
        <f t="shared" si="14"/>
        <v>46092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7">
        <v>0.9</v>
      </c>
      <c r="O264" s="36">
        <f t="shared" si="12"/>
        <v>23990</v>
      </c>
      <c r="P264" s="6" t="s">
        <v>16</v>
      </c>
    </row>
    <row r="265" spans="1:16" x14ac:dyDescent="0.35">
      <c r="A265" s="34" t="s">
        <v>6741</v>
      </c>
      <c r="B265" s="7">
        <f t="shared" si="13"/>
        <v>46086</v>
      </c>
      <c r="C265" s="7">
        <f t="shared" si="14"/>
        <v>46092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7">
        <v>0.9</v>
      </c>
      <c r="O265" s="36">
        <f t="shared" si="12"/>
        <v>23990</v>
      </c>
      <c r="P265" s="6" t="s">
        <v>16</v>
      </c>
    </row>
    <row r="266" spans="1:16" x14ac:dyDescent="0.35">
      <c r="A266" s="34" t="s">
        <v>6741</v>
      </c>
      <c r="B266" s="7">
        <f t="shared" si="13"/>
        <v>46086</v>
      </c>
      <c r="C266" s="7">
        <f t="shared" si="14"/>
        <v>46092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7">
        <v>0.9</v>
      </c>
      <c r="O266" s="36">
        <f t="shared" si="12"/>
        <v>23990</v>
      </c>
      <c r="P266" s="6" t="s">
        <v>16</v>
      </c>
    </row>
    <row r="267" spans="1:16" x14ac:dyDescent="0.35">
      <c r="A267" s="34" t="s">
        <v>6741</v>
      </c>
      <c r="B267" s="7">
        <f t="shared" si="13"/>
        <v>46086</v>
      </c>
      <c r="C267" s="7">
        <f t="shared" si="14"/>
        <v>46092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7">
        <v>0.9</v>
      </c>
      <c r="O267" s="36">
        <f t="shared" si="12"/>
        <v>22990</v>
      </c>
      <c r="P267" s="6" t="s">
        <v>16</v>
      </c>
    </row>
    <row r="268" spans="1:16" x14ac:dyDescent="0.35">
      <c r="A268" s="34" t="s">
        <v>6741</v>
      </c>
      <c r="B268" s="7">
        <f t="shared" si="13"/>
        <v>46086</v>
      </c>
      <c r="C268" s="7">
        <f t="shared" si="14"/>
        <v>46092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7">
        <v>0.9</v>
      </c>
      <c r="O268" s="36">
        <f t="shared" si="12"/>
        <v>13990</v>
      </c>
      <c r="P268" s="6" t="s">
        <v>16</v>
      </c>
    </row>
    <row r="269" spans="1:16" x14ac:dyDescent="0.35">
      <c r="A269" s="34" t="s">
        <v>6741</v>
      </c>
      <c r="B269" s="7">
        <f t="shared" si="13"/>
        <v>46086</v>
      </c>
      <c r="C269" s="7">
        <f t="shared" si="14"/>
        <v>46092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7">
        <v>0.9</v>
      </c>
      <c r="O269" s="36">
        <f t="shared" si="12"/>
        <v>13990</v>
      </c>
      <c r="P269" s="6" t="s">
        <v>16</v>
      </c>
    </row>
    <row r="270" spans="1:16" x14ac:dyDescent="0.35">
      <c r="A270" s="34" t="s">
        <v>6741</v>
      </c>
      <c r="B270" s="7">
        <f t="shared" si="13"/>
        <v>46086</v>
      </c>
      <c r="C270" s="7">
        <f t="shared" si="14"/>
        <v>46092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7">
        <v>0.9</v>
      </c>
      <c r="O270" s="36">
        <f t="shared" si="12"/>
        <v>23990</v>
      </c>
      <c r="P270" s="6" t="s">
        <v>16</v>
      </c>
    </row>
    <row r="271" spans="1:16" x14ac:dyDescent="0.35">
      <c r="A271" s="34" t="s">
        <v>6741</v>
      </c>
      <c r="B271" s="7">
        <f t="shared" si="13"/>
        <v>46086</v>
      </c>
      <c r="C271" s="7">
        <f t="shared" si="14"/>
        <v>46092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7">
        <v>0.9</v>
      </c>
      <c r="O271" s="36">
        <f t="shared" si="12"/>
        <v>23990</v>
      </c>
      <c r="P271" s="6" t="s">
        <v>16</v>
      </c>
    </row>
    <row r="272" spans="1:16" x14ac:dyDescent="0.35">
      <c r="A272" s="34" t="s">
        <v>6741</v>
      </c>
      <c r="B272" s="7">
        <f t="shared" si="13"/>
        <v>46086</v>
      </c>
      <c r="C272" s="7">
        <f t="shared" si="14"/>
        <v>46092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7">
        <v>0.9</v>
      </c>
      <c r="O272" s="36">
        <f t="shared" si="12"/>
        <v>16990</v>
      </c>
      <c r="P272" s="6" t="s">
        <v>16</v>
      </c>
    </row>
    <row r="273" spans="1:16" x14ac:dyDescent="0.35">
      <c r="A273" s="34" t="s">
        <v>6741</v>
      </c>
      <c r="B273" s="7">
        <f t="shared" si="13"/>
        <v>46086</v>
      </c>
      <c r="C273" s="7">
        <f t="shared" si="14"/>
        <v>46092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7">
        <v>0.9</v>
      </c>
      <c r="O273" s="36">
        <f t="shared" si="12"/>
        <v>16990</v>
      </c>
      <c r="P273" s="6" t="s">
        <v>16</v>
      </c>
    </row>
    <row r="274" spans="1:16" x14ac:dyDescent="0.35">
      <c r="A274" s="34" t="s">
        <v>6741</v>
      </c>
      <c r="B274" s="7">
        <f t="shared" si="13"/>
        <v>46086</v>
      </c>
      <c r="C274" s="7">
        <f t="shared" si="14"/>
        <v>46092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7">
        <v>0.9</v>
      </c>
      <c r="O274" s="36">
        <f t="shared" si="12"/>
        <v>16990</v>
      </c>
      <c r="P274" s="6" t="s">
        <v>16</v>
      </c>
    </row>
    <row r="275" spans="1:16" x14ac:dyDescent="0.35">
      <c r="A275" s="34" t="s">
        <v>6741</v>
      </c>
      <c r="B275" s="7">
        <f t="shared" si="13"/>
        <v>46086</v>
      </c>
      <c r="C275" s="7">
        <f t="shared" si="14"/>
        <v>46092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7">
        <v>0.9</v>
      </c>
      <c r="O275" s="36">
        <f t="shared" si="12"/>
        <v>16990</v>
      </c>
      <c r="P275" s="6" t="s">
        <v>16</v>
      </c>
    </row>
    <row r="276" spans="1:16" x14ac:dyDescent="0.35">
      <c r="A276" s="34" t="s">
        <v>6741</v>
      </c>
      <c r="B276" s="7">
        <f t="shared" si="13"/>
        <v>46086</v>
      </c>
      <c r="C276" s="7">
        <f t="shared" si="14"/>
        <v>46092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7">
        <v>0.9</v>
      </c>
      <c r="O276" s="36">
        <f t="shared" si="12"/>
        <v>16990</v>
      </c>
      <c r="P276" s="6" t="s">
        <v>16</v>
      </c>
    </row>
    <row r="277" spans="1:16" x14ac:dyDescent="0.35">
      <c r="A277" s="34" t="s">
        <v>6741</v>
      </c>
      <c r="B277" s="7">
        <f t="shared" si="13"/>
        <v>46086</v>
      </c>
      <c r="C277" s="7">
        <f t="shared" si="14"/>
        <v>46092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7">
        <v>0.9</v>
      </c>
      <c r="O277" s="36">
        <f t="shared" si="12"/>
        <v>16990</v>
      </c>
      <c r="P277" s="6" t="s">
        <v>16</v>
      </c>
    </row>
    <row r="278" spans="1:16" x14ac:dyDescent="0.35">
      <c r="A278" s="34" t="s">
        <v>6741</v>
      </c>
      <c r="B278" s="7">
        <f t="shared" si="13"/>
        <v>46086</v>
      </c>
      <c r="C278" s="7">
        <f t="shared" si="14"/>
        <v>46092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7">
        <v>0.9</v>
      </c>
      <c r="O278" s="36">
        <f t="shared" si="12"/>
        <v>23990</v>
      </c>
      <c r="P278" s="6" t="s">
        <v>16</v>
      </c>
    </row>
    <row r="279" spans="1:16" x14ac:dyDescent="0.35">
      <c r="A279" s="34" t="s">
        <v>6741</v>
      </c>
      <c r="B279" s="7">
        <f t="shared" si="13"/>
        <v>46086</v>
      </c>
      <c r="C279" s="7">
        <f t="shared" si="14"/>
        <v>46092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7">
        <v>0.9</v>
      </c>
      <c r="O279" s="36">
        <f t="shared" si="12"/>
        <v>23990</v>
      </c>
      <c r="P279" s="6" t="s">
        <v>16</v>
      </c>
    </row>
    <row r="280" spans="1:16" x14ac:dyDescent="0.35">
      <c r="A280" s="34" t="s">
        <v>6741</v>
      </c>
      <c r="B280" s="7">
        <f t="shared" si="13"/>
        <v>46086</v>
      </c>
      <c r="C280" s="7">
        <f t="shared" si="14"/>
        <v>46092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7">
        <v>0.9</v>
      </c>
      <c r="O280" s="36">
        <f t="shared" si="12"/>
        <v>13990</v>
      </c>
      <c r="P280" s="6" t="s">
        <v>16</v>
      </c>
    </row>
    <row r="281" spans="1:16" x14ac:dyDescent="0.35">
      <c r="A281" s="34" t="s">
        <v>6741</v>
      </c>
      <c r="B281" s="7">
        <f t="shared" si="13"/>
        <v>46086</v>
      </c>
      <c r="C281" s="7">
        <f t="shared" si="14"/>
        <v>46092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7">
        <v>0.9</v>
      </c>
      <c r="O281" s="36">
        <f t="shared" si="12"/>
        <v>13990</v>
      </c>
      <c r="P281" s="6" t="s">
        <v>16</v>
      </c>
    </row>
    <row r="282" spans="1:16" x14ac:dyDescent="0.35">
      <c r="A282" s="34" t="s">
        <v>6741</v>
      </c>
      <c r="B282" s="7">
        <f t="shared" si="13"/>
        <v>46086</v>
      </c>
      <c r="C282" s="7">
        <f t="shared" si="14"/>
        <v>46092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7">
        <v>0.9</v>
      </c>
      <c r="O282" s="36">
        <f t="shared" si="12"/>
        <v>13990</v>
      </c>
      <c r="P282" s="6" t="s">
        <v>16</v>
      </c>
    </row>
    <row r="283" spans="1:16" x14ac:dyDescent="0.35">
      <c r="A283" s="34" t="s">
        <v>6741</v>
      </c>
      <c r="B283" s="7">
        <f t="shared" si="13"/>
        <v>46086</v>
      </c>
      <c r="C283" s="7">
        <f t="shared" si="14"/>
        <v>46092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7">
        <v>0.9</v>
      </c>
      <c r="O283" s="36">
        <f t="shared" si="12"/>
        <v>22990</v>
      </c>
      <c r="P283" s="6" t="s">
        <v>16</v>
      </c>
    </row>
    <row r="284" spans="1:16" x14ac:dyDescent="0.35">
      <c r="A284" s="34" t="s">
        <v>6741</v>
      </c>
      <c r="B284" s="7">
        <f t="shared" si="13"/>
        <v>46086</v>
      </c>
      <c r="C284" s="7">
        <f t="shared" si="14"/>
        <v>46092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7">
        <v>0.9</v>
      </c>
      <c r="O284" s="36">
        <f t="shared" si="12"/>
        <v>22990</v>
      </c>
      <c r="P284" s="6" t="s">
        <v>16</v>
      </c>
    </row>
    <row r="285" spans="1:16" x14ac:dyDescent="0.35">
      <c r="A285" s="34" t="s">
        <v>6741</v>
      </c>
      <c r="B285" s="7">
        <f t="shared" si="13"/>
        <v>46086</v>
      </c>
      <c r="C285" s="7">
        <f t="shared" si="14"/>
        <v>46092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7">
        <v>0.9</v>
      </c>
      <c r="O285" s="36">
        <f t="shared" si="12"/>
        <v>22990</v>
      </c>
      <c r="P285" s="6" t="s">
        <v>16</v>
      </c>
    </row>
    <row r="286" spans="1:16" x14ac:dyDescent="0.35">
      <c r="A286" s="34" t="s">
        <v>6741</v>
      </c>
      <c r="B286" s="7">
        <f t="shared" si="13"/>
        <v>46086</v>
      </c>
      <c r="C286" s="7">
        <f t="shared" si="14"/>
        <v>46092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7">
        <v>0.9</v>
      </c>
      <c r="O286" s="36">
        <f t="shared" si="12"/>
        <v>22990</v>
      </c>
      <c r="P286" s="6" t="s">
        <v>16</v>
      </c>
    </row>
    <row r="287" spans="1:16" x14ac:dyDescent="0.35">
      <c r="A287" s="34" t="s">
        <v>6741</v>
      </c>
      <c r="B287" s="7">
        <f t="shared" si="13"/>
        <v>46086</v>
      </c>
      <c r="C287" s="7">
        <f t="shared" si="14"/>
        <v>46092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7">
        <v>0.9</v>
      </c>
      <c r="O287" s="36">
        <f t="shared" si="12"/>
        <v>23990</v>
      </c>
      <c r="P287" s="6" t="s">
        <v>16</v>
      </c>
    </row>
    <row r="288" spans="1:16" x14ac:dyDescent="0.35">
      <c r="A288" s="34" t="s">
        <v>6741</v>
      </c>
      <c r="B288" s="7">
        <f t="shared" si="13"/>
        <v>46086</v>
      </c>
      <c r="C288" s="7">
        <f t="shared" si="14"/>
        <v>46092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7">
        <v>0.9</v>
      </c>
      <c r="O288" s="36">
        <f t="shared" si="12"/>
        <v>23990</v>
      </c>
      <c r="P288" s="6" t="s">
        <v>16</v>
      </c>
    </row>
    <row r="289" spans="1:16" x14ac:dyDescent="0.35">
      <c r="A289" s="34" t="s">
        <v>6741</v>
      </c>
      <c r="B289" s="7">
        <f t="shared" si="13"/>
        <v>46086</v>
      </c>
      <c r="C289" s="7">
        <f t="shared" si="14"/>
        <v>46092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7">
        <v>0.9</v>
      </c>
      <c r="O289" s="36">
        <f t="shared" si="12"/>
        <v>23990</v>
      </c>
      <c r="P289" s="6" t="s">
        <v>16</v>
      </c>
    </row>
    <row r="290" spans="1:16" x14ac:dyDescent="0.35">
      <c r="A290" s="34" t="s">
        <v>6741</v>
      </c>
      <c r="B290" s="7">
        <f t="shared" si="13"/>
        <v>46086</v>
      </c>
      <c r="C290" s="7">
        <f t="shared" si="14"/>
        <v>46092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7">
        <v>0.9</v>
      </c>
      <c r="O290" s="36">
        <f t="shared" si="12"/>
        <v>23990</v>
      </c>
      <c r="P290" s="6" t="s">
        <v>16</v>
      </c>
    </row>
    <row r="291" spans="1:16" x14ac:dyDescent="0.35">
      <c r="A291" s="34" t="s">
        <v>6741</v>
      </c>
      <c r="B291" s="7">
        <f t="shared" si="13"/>
        <v>46086</v>
      </c>
      <c r="C291" s="7">
        <f t="shared" si="14"/>
        <v>46092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7">
        <v>0.9</v>
      </c>
      <c r="O291" s="36">
        <f t="shared" si="12"/>
        <v>23990</v>
      </c>
      <c r="P291" s="6" t="s">
        <v>16</v>
      </c>
    </row>
    <row r="292" spans="1:16" x14ac:dyDescent="0.35">
      <c r="A292" s="34" t="s">
        <v>6741</v>
      </c>
      <c r="B292" s="7">
        <f t="shared" si="13"/>
        <v>46086</v>
      </c>
      <c r="C292" s="7">
        <f t="shared" si="14"/>
        <v>46092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7">
        <v>0.9</v>
      </c>
      <c r="O292" s="36">
        <f t="shared" si="12"/>
        <v>23990</v>
      </c>
      <c r="P292" s="6" t="s">
        <v>16</v>
      </c>
    </row>
    <row r="293" spans="1:16" x14ac:dyDescent="0.35">
      <c r="A293" s="34" t="s">
        <v>6741</v>
      </c>
      <c r="B293" s="7">
        <f t="shared" si="13"/>
        <v>46086</v>
      </c>
      <c r="C293" s="7">
        <f t="shared" si="14"/>
        <v>46092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7">
        <v>0.9</v>
      </c>
      <c r="O293" s="36">
        <f t="shared" si="12"/>
        <v>23990</v>
      </c>
      <c r="P293" s="6" t="s">
        <v>16</v>
      </c>
    </row>
    <row r="294" spans="1:16" x14ac:dyDescent="0.35">
      <c r="A294" s="34" t="s">
        <v>6741</v>
      </c>
      <c r="B294" s="7">
        <f t="shared" si="13"/>
        <v>46086</v>
      </c>
      <c r="C294" s="7">
        <f t="shared" si="14"/>
        <v>46092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7">
        <v>0.9</v>
      </c>
      <c r="O294" s="36">
        <f t="shared" si="12"/>
        <v>23990</v>
      </c>
      <c r="P294" s="6" t="s">
        <v>16</v>
      </c>
    </row>
    <row r="295" spans="1:16" x14ac:dyDescent="0.35">
      <c r="A295" s="34" t="s">
        <v>6741</v>
      </c>
      <c r="B295" s="7">
        <f t="shared" si="13"/>
        <v>46086</v>
      </c>
      <c r="C295" s="7">
        <f t="shared" si="14"/>
        <v>46092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7">
        <v>0.9</v>
      </c>
      <c r="O295" s="36">
        <f t="shared" si="12"/>
        <v>23990</v>
      </c>
      <c r="P295" s="6" t="s">
        <v>16</v>
      </c>
    </row>
    <row r="296" spans="1:16" x14ac:dyDescent="0.35">
      <c r="A296" s="34" t="s">
        <v>6741</v>
      </c>
      <c r="B296" s="7">
        <f t="shared" si="13"/>
        <v>46086</v>
      </c>
      <c r="C296" s="7">
        <f t="shared" si="14"/>
        <v>46092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7">
        <v>0.9</v>
      </c>
      <c r="O296" s="36">
        <f t="shared" si="12"/>
        <v>23990</v>
      </c>
      <c r="P296" s="6" t="s">
        <v>16</v>
      </c>
    </row>
    <row r="297" spans="1:16" x14ac:dyDescent="0.35">
      <c r="A297" s="34" t="s">
        <v>6741</v>
      </c>
      <c r="B297" s="7">
        <f t="shared" si="13"/>
        <v>46086</v>
      </c>
      <c r="C297" s="7">
        <f t="shared" si="14"/>
        <v>46092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7">
        <v>0.9</v>
      </c>
      <c r="O297" s="36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38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6740</v>
      </c>
      <c r="B2" s="7">
        <f>'2025 HILITE D80 - 3321'!B2</f>
        <v>46086</v>
      </c>
      <c r="C2" s="7">
        <f>'2025 HILITE D80 - 3321'!C2</f>
        <v>46092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6740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7">
        <v>0.9</v>
      </c>
      <c r="O3" s="36">
        <f t="shared" ref="O3:O66" si="0">M3-((90*M3)/100)</f>
        <v>13990</v>
      </c>
      <c r="P3" s="6" t="s">
        <v>16</v>
      </c>
    </row>
    <row r="4" spans="1:16" x14ac:dyDescent="0.35">
      <c r="A4" s="34" t="s">
        <v>6740</v>
      </c>
      <c r="B4" s="7">
        <f t="shared" ref="B4:B67" si="1">B3</f>
        <v>46086</v>
      </c>
      <c r="C4" s="7">
        <f t="shared" ref="C4:C67" si="2">C3</f>
        <v>46092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7">
        <v>0.9</v>
      </c>
      <c r="O4" s="36">
        <f t="shared" si="0"/>
        <v>13990</v>
      </c>
      <c r="P4" s="6" t="s">
        <v>16</v>
      </c>
    </row>
    <row r="5" spans="1:16" x14ac:dyDescent="0.35">
      <c r="A5" s="34" t="s">
        <v>6740</v>
      </c>
      <c r="B5" s="7">
        <f t="shared" si="1"/>
        <v>46086</v>
      </c>
      <c r="C5" s="7">
        <f t="shared" si="2"/>
        <v>46092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7">
        <v>0.9</v>
      </c>
      <c r="O5" s="36">
        <f t="shared" si="0"/>
        <v>13990</v>
      </c>
      <c r="P5" s="6" t="s">
        <v>16</v>
      </c>
    </row>
    <row r="6" spans="1:16" x14ac:dyDescent="0.35">
      <c r="A6" s="34" t="s">
        <v>6740</v>
      </c>
      <c r="B6" s="7">
        <f t="shared" si="1"/>
        <v>46086</v>
      </c>
      <c r="C6" s="7">
        <f t="shared" si="2"/>
        <v>46092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7">
        <v>0.9</v>
      </c>
      <c r="O6" s="36">
        <f t="shared" si="0"/>
        <v>13990</v>
      </c>
      <c r="P6" s="6" t="s">
        <v>16</v>
      </c>
    </row>
    <row r="7" spans="1:16" x14ac:dyDescent="0.35">
      <c r="A7" s="34" t="s">
        <v>6740</v>
      </c>
      <c r="B7" s="7">
        <f t="shared" si="1"/>
        <v>46086</v>
      </c>
      <c r="C7" s="7">
        <f t="shared" si="2"/>
        <v>46092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7">
        <v>0.9</v>
      </c>
      <c r="O7" s="36">
        <f t="shared" si="0"/>
        <v>13990</v>
      </c>
      <c r="P7" s="6" t="s">
        <v>16</v>
      </c>
    </row>
    <row r="8" spans="1:16" x14ac:dyDescent="0.35">
      <c r="A8" s="34" t="s">
        <v>6740</v>
      </c>
      <c r="B8" s="7">
        <f t="shared" si="1"/>
        <v>46086</v>
      </c>
      <c r="C8" s="7">
        <f t="shared" si="2"/>
        <v>46092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7">
        <v>0.9</v>
      </c>
      <c r="O8" s="36">
        <f t="shared" si="0"/>
        <v>13990</v>
      </c>
      <c r="P8" s="6" t="s">
        <v>16</v>
      </c>
    </row>
    <row r="9" spans="1:16" x14ac:dyDescent="0.35">
      <c r="A9" s="34" t="s">
        <v>6740</v>
      </c>
      <c r="B9" s="7">
        <f t="shared" si="1"/>
        <v>46086</v>
      </c>
      <c r="C9" s="7">
        <f t="shared" si="2"/>
        <v>46092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7">
        <v>0.9</v>
      </c>
      <c r="O9" s="36">
        <f t="shared" si="0"/>
        <v>12990</v>
      </c>
      <c r="P9" s="6" t="s">
        <v>16</v>
      </c>
    </row>
    <row r="10" spans="1:16" x14ac:dyDescent="0.35">
      <c r="A10" s="34" t="s">
        <v>6740</v>
      </c>
      <c r="B10" s="7">
        <f t="shared" si="1"/>
        <v>46086</v>
      </c>
      <c r="C10" s="7">
        <f t="shared" si="2"/>
        <v>46092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7">
        <v>0.9</v>
      </c>
      <c r="O10" s="36">
        <f t="shared" si="0"/>
        <v>12990</v>
      </c>
      <c r="P10" s="6" t="s">
        <v>16</v>
      </c>
    </row>
    <row r="11" spans="1:16" x14ac:dyDescent="0.35">
      <c r="A11" s="34" t="s">
        <v>6740</v>
      </c>
      <c r="B11" s="7">
        <f t="shared" si="1"/>
        <v>46086</v>
      </c>
      <c r="C11" s="7">
        <f t="shared" si="2"/>
        <v>46092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7">
        <v>0.9</v>
      </c>
      <c r="O11" s="36">
        <f t="shared" si="0"/>
        <v>12990</v>
      </c>
      <c r="P11" s="6" t="s">
        <v>16</v>
      </c>
    </row>
    <row r="12" spans="1:16" x14ac:dyDescent="0.35">
      <c r="A12" s="34" t="s">
        <v>6740</v>
      </c>
      <c r="B12" s="7">
        <f t="shared" si="1"/>
        <v>46086</v>
      </c>
      <c r="C12" s="7">
        <f t="shared" si="2"/>
        <v>46092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7">
        <v>0.9</v>
      </c>
      <c r="O12" s="36">
        <f t="shared" si="0"/>
        <v>12990</v>
      </c>
      <c r="P12" s="6" t="s">
        <v>16</v>
      </c>
    </row>
    <row r="13" spans="1:16" x14ac:dyDescent="0.35">
      <c r="A13" s="34" t="s">
        <v>6740</v>
      </c>
      <c r="B13" s="7">
        <f t="shared" si="1"/>
        <v>46086</v>
      </c>
      <c r="C13" s="7">
        <f t="shared" si="2"/>
        <v>46092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7">
        <v>0.9</v>
      </c>
      <c r="O13" s="36">
        <f t="shared" si="0"/>
        <v>12990</v>
      </c>
      <c r="P13" s="6" t="s">
        <v>16</v>
      </c>
    </row>
    <row r="14" spans="1:16" x14ac:dyDescent="0.35">
      <c r="A14" s="34" t="s">
        <v>6740</v>
      </c>
      <c r="B14" s="7">
        <f t="shared" si="1"/>
        <v>46086</v>
      </c>
      <c r="C14" s="7">
        <f t="shared" si="2"/>
        <v>46092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6740</v>
      </c>
      <c r="B15" s="7">
        <f t="shared" si="1"/>
        <v>46086</v>
      </c>
      <c r="C15" s="7">
        <f t="shared" si="2"/>
        <v>46092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7">
        <v>0.9</v>
      </c>
      <c r="O15" s="36">
        <f t="shared" si="0"/>
        <v>12990</v>
      </c>
      <c r="P15" s="6" t="s">
        <v>16</v>
      </c>
    </row>
    <row r="16" spans="1:16" x14ac:dyDescent="0.35">
      <c r="A16" s="34" t="s">
        <v>6740</v>
      </c>
      <c r="B16" s="7">
        <f t="shared" si="1"/>
        <v>46086</v>
      </c>
      <c r="C16" s="7">
        <f t="shared" si="2"/>
        <v>46092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7">
        <v>0.9</v>
      </c>
      <c r="O16" s="36">
        <f t="shared" si="0"/>
        <v>12990</v>
      </c>
      <c r="P16" s="6" t="s">
        <v>16</v>
      </c>
    </row>
    <row r="17" spans="1:16" x14ac:dyDescent="0.35">
      <c r="A17" s="34" t="s">
        <v>6740</v>
      </c>
      <c r="B17" s="7">
        <f t="shared" si="1"/>
        <v>46086</v>
      </c>
      <c r="C17" s="7">
        <f t="shared" si="2"/>
        <v>46092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7">
        <v>0.9</v>
      </c>
      <c r="O17" s="36">
        <f t="shared" si="0"/>
        <v>12990</v>
      </c>
      <c r="P17" s="6" t="s">
        <v>16</v>
      </c>
    </row>
    <row r="18" spans="1:16" x14ac:dyDescent="0.35">
      <c r="A18" s="34" t="s">
        <v>6740</v>
      </c>
      <c r="B18" s="7">
        <f t="shared" si="1"/>
        <v>46086</v>
      </c>
      <c r="C18" s="7">
        <f t="shared" si="2"/>
        <v>46092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6740</v>
      </c>
      <c r="B19" s="7">
        <f t="shared" si="1"/>
        <v>46086</v>
      </c>
      <c r="C19" s="7">
        <f t="shared" si="2"/>
        <v>46092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6740</v>
      </c>
      <c r="B20" s="7">
        <f t="shared" si="1"/>
        <v>46086</v>
      </c>
      <c r="C20" s="7">
        <f t="shared" si="2"/>
        <v>46092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7">
        <v>0.9</v>
      </c>
      <c r="O20" s="36">
        <f t="shared" si="0"/>
        <v>15990</v>
      </c>
      <c r="P20" s="6" t="s">
        <v>16</v>
      </c>
    </row>
    <row r="21" spans="1:16" x14ac:dyDescent="0.35">
      <c r="A21" s="34" t="s">
        <v>6740</v>
      </c>
      <c r="B21" s="7">
        <f t="shared" si="1"/>
        <v>46086</v>
      </c>
      <c r="C21" s="7">
        <f t="shared" si="2"/>
        <v>46092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6740</v>
      </c>
      <c r="B22" s="7">
        <f t="shared" si="1"/>
        <v>46086</v>
      </c>
      <c r="C22" s="7">
        <f t="shared" si="2"/>
        <v>46092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7">
        <v>0.9</v>
      </c>
      <c r="O22" s="36">
        <f t="shared" si="0"/>
        <v>13990</v>
      </c>
      <c r="P22" s="6" t="s">
        <v>16</v>
      </c>
    </row>
    <row r="23" spans="1:16" x14ac:dyDescent="0.35">
      <c r="A23" s="34" t="s">
        <v>6740</v>
      </c>
      <c r="B23" s="7">
        <f t="shared" si="1"/>
        <v>46086</v>
      </c>
      <c r="C23" s="7">
        <f t="shared" si="2"/>
        <v>46092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7">
        <v>0.9</v>
      </c>
      <c r="O23" s="36">
        <f t="shared" si="0"/>
        <v>14990</v>
      </c>
      <c r="P23" s="6" t="s">
        <v>16</v>
      </c>
    </row>
    <row r="24" spans="1:16" x14ac:dyDescent="0.35">
      <c r="A24" s="34" t="s">
        <v>6740</v>
      </c>
      <c r="B24" s="7">
        <f t="shared" si="1"/>
        <v>46086</v>
      </c>
      <c r="C24" s="7">
        <f t="shared" si="2"/>
        <v>46092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7">
        <v>0.9</v>
      </c>
      <c r="O24" s="36">
        <f t="shared" si="0"/>
        <v>14990</v>
      </c>
      <c r="P24" s="6" t="s">
        <v>16</v>
      </c>
    </row>
    <row r="25" spans="1:16" x14ac:dyDescent="0.35">
      <c r="A25" s="34" t="s">
        <v>6740</v>
      </c>
      <c r="B25" s="7">
        <f t="shared" si="1"/>
        <v>46086</v>
      </c>
      <c r="C25" s="7">
        <f t="shared" si="2"/>
        <v>46092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6740</v>
      </c>
      <c r="B26" s="7">
        <f t="shared" si="1"/>
        <v>46086</v>
      </c>
      <c r="C26" s="7">
        <f t="shared" si="2"/>
        <v>46092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6740</v>
      </c>
      <c r="B27" s="7">
        <f t="shared" si="1"/>
        <v>46086</v>
      </c>
      <c r="C27" s="7">
        <f t="shared" si="2"/>
        <v>46092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6740</v>
      </c>
      <c r="B28" s="7">
        <f t="shared" si="1"/>
        <v>46086</v>
      </c>
      <c r="C28" s="7">
        <f t="shared" si="2"/>
        <v>46092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6740</v>
      </c>
      <c r="B29" s="7">
        <f t="shared" si="1"/>
        <v>46086</v>
      </c>
      <c r="C29" s="7">
        <f t="shared" si="2"/>
        <v>46092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7">
        <v>0.9</v>
      </c>
      <c r="O29" s="36">
        <f t="shared" si="0"/>
        <v>6990</v>
      </c>
      <c r="P29" s="6" t="s">
        <v>16</v>
      </c>
    </row>
    <row r="30" spans="1:16" x14ac:dyDescent="0.35">
      <c r="A30" s="34" t="s">
        <v>6740</v>
      </c>
      <c r="B30" s="7">
        <f t="shared" si="1"/>
        <v>46086</v>
      </c>
      <c r="C30" s="7">
        <f t="shared" si="2"/>
        <v>46092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7">
        <v>0.9</v>
      </c>
      <c r="O30" s="36">
        <f t="shared" si="0"/>
        <v>9990</v>
      </c>
      <c r="P30" s="6" t="s">
        <v>16</v>
      </c>
    </row>
    <row r="31" spans="1:16" x14ac:dyDescent="0.35">
      <c r="A31" s="34" t="s">
        <v>6740</v>
      </c>
      <c r="B31" s="7">
        <f t="shared" si="1"/>
        <v>46086</v>
      </c>
      <c r="C31" s="7">
        <f t="shared" si="2"/>
        <v>46092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7">
        <v>0.9</v>
      </c>
      <c r="O31" s="36">
        <f t="shared" si="0"/>
        <v>9990</v>
      </c>
      <c r="P31" s="6" t="s">
        <v>16</v>
      </c>
    </row>
    <row r="32" spans="1:16" x14ac:dyDescent="0.35">
      <c r="A32" s="34" t="s">
        <v>6740</v>
      </c>
      <c r="B32" s="7">
        <f t="shared" si="1"/>
        <v>46086</v>
      </c>
      <c r="C32" s="7">
        <f t="shared" si="2"/>
        <v>46092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6740</v>
      </c>
      <c r="B33" s="7">
        <f t="shared" si="1"/>
        <v>46086</v>
      </c>
      <c r="C33" s="7">
        <f t="shared" si="2"/>
        <v>46092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6740</v>
      </c>
      <c r="B34" s="7">
        <f t="shared" si="1"/>
        <v>46086</v>
      </c>
      <c r="C34" s="7">
        <f t="shared" si="2"/>
        <v>46092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6740</v>
      </c>
      <c r="B35" s="7">
        <f t="shared" si="1"/>
        <v>46086</v>
      </c>
      <c r="C35" s="7">
        <f t="shared" si="2"/>
        <v>46092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7">
        <v>0.9</v>
      </c>
      <c r="O35" s="36">
        <f t="shared" si="0"/>
        <v>6990</v>
      </c>
      <c r="P35" s="6" t="s">
        <v>16</v>
      </c>
    </row>
    <row r="36" spans="1:16" x14ac:dyDescent="0.35">
      <c r="A36" s="34" t="s">
        <v>6740</v>
      </c>
      <c r="B36" s="7">
        <f t="shared" si="1"/>
        <v>46086</v>
      </c>
      <c r="C36" s="7">
        <f t="shared" si="2"/>
        <v>46092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7">
        <v>0.9</v>
      </c>
      <c r="O36" s="36">
        <f t="shared" si="0"/>
        <v>6990</v>
      </c>
      <c r="P36" s="6" t="s">
        <v>16</v>
      </c>
    </row>
    <row r="37" spans="1:16" x14ac:dyDescent="0.35">
      <c r="A37" s="34" t="s">
        <v>6740</v>
      </c>
      <c r="B37" s="7">
        <f t="shared" si="1"/>
        <v>46086</v>
      </c>
      <c r="C37" s="7">
        <f t="shared" si="2"/>
        <v>46092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7">
        <v>0.9</v>
      </c>
      <c r="O37" s="36">
        <f t="shared" si="0"/>
        <v>6990</v>
      </c>
      <c r="P37" s="6" t="s">
        <v>16</v>
      </c>
    </row>
    <row r="38" spans="1:16" x14ac:dyDescent="0.35">
      <c r="A38" s="34" t="s">
        <v>6740</v>
      </c>
      <c r="B38" s="7">
        <f t="shared" si="1"/>
        <v>46086</v>
      </c>
      <c r="C38" s="7">
        <f t="shared" si="2"/>
        <v>46092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7">
        <v>0.9</v>
      </c>
      <c r="O38" s="36">
        <f t="shared" si="0"/>
        <v>6990</v>
      </c>
      <c r="P38" s="6" t="s">
        <v>16</v>
      </c>
    </row>
    <row r="39" spans="1:16" x14ac:dyDescent="0.35">
      <c r="A39" s="34" t="s">
        <v>6740</v>
      </c>
      <c r="B39" s="7">
        <f t="shared" si="1"/>
        <v>46086</v>
      </c>
      <c r="C39" s="7">
        <f t="shared" si="2"/>
        <v>46092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7">
        <v>0.9</v>
      </c>
      <c r="O39" s="36">
        <f t="shared" si="0"/>
        <v>6990</v>
      </c>
      <c r="P39" s="6" t="s">
        <v>16</v>
      </c>
    </row>
    <row r="40" spans="1:16" x14ac:dyDescent="0.35">
      <c r="A40" s="34" t="s">
        <v>6740</v>
      </c>
      <c r="B40" s="7">
        <f t="shared" si="1"/>
        <v>46086</v>
      </c>
      <c r="C40" s="7">
        <f t="shared" si="2"/>
        <v>46092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7">
        <v>0.9</v>
      </c>
      <c r="O40" s="36">
        <f t="shared" si="0"/>
        <v>6990</v>
      </c>
      <c r="P40" s="6" t="s">
        <v>16</v>
      </c>
    </row>
    <row r="41" spans="1:16" x14ac:dyDescent="0.35">
      <c r="A41" s="34" t="s">
        <v>6740</v>
      </c>
      <c r="B41" s="7">
        <f t="shared" si="1"/>
        <v>46086</v>
      </c>
      <c r="C41" s="7">
        <f t="shared" si="2"/>
        <v>46092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7">
        <v>0.9</v>
      </c>
      <c r="O41" s="36">
        <f t="shared" si="0"/>
        <v>6990</v>
      </c>
      <c r="P41" s="6" t="s">
        <v>16</v>
      </c>
    </row>
    <row r="42" spans="1:16" x14ac:dyDescent="0.35">
      <c r="A42" s="34" t="s">
        <v>6740</v>
      </c>
      <c r="B42" s="7">
        <f t="shared" si="1"/>
        <v>46086</v>
      </c>
      <c r="C42" s="7">
        <f t="shared" si="2"/>
        <v>46092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7">
        <v>0.9</v>
      </c>
      <c r="O42" s="36">
        <f t="shared" si="0"/>
        <v>6990</v>
      </c>
      <c r="P42" s="6" t="s">
        <v>16</v>
      </c>
    </row>
    <row r="43" spans="1:16" x14ac:dyDescent="0.35">
      <c r="A43" s="34" t="s">
        <v>6740</v>
      </c>
      <c r="B43" s="7">
        <f t="shared" si="1"/>
        <v>46086</v>
      </c>
      <c r="C43" s="7">
        <f t="shared" si="2"/>
        <v>46092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7">
        <v>0.9</v>
      </c>
      <c r="O43" s="36">
        <f t="shared" si="0"/>
        <v>6990</v>
      </c>
      <c r="P43" s="6" t="s">
        <v>16</v>
      </c>
    </row>
    <row r="44" spans="1:16" x14ac:dyDescent="0.35">
      <c r="A44" s="34" t="s">
        <v>6740</v>
      </c>
      <c r="B44" s="7">
        <f t="shared" si="1"/>
        <v>46086</v>
      </c>
      <c r="C44" s="7">
        <f t="shared" si="2"/>
        <v>46092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7">
        <v>0.9</v>
      </c>
      <c r="O44" s="36">
        <f t="shared" si="0"/>
        <v>6990</v>
      </c>
      <c r="P44" s="6" t="s">
        <v>16</v>
      </c>
    </row>
    <row r="45" spans="1:16" x14ac:dyDescent="0.35">
      <c r="A45" s="34" t="s">
        <v>6740</v>
      </c>
      <c r="B45" s="7">
        <f t="shared" si="1"/>
        <v>46086</v>
      </c>
      <c r="C45" s="7">
        <f t="shared" si="2"/>
        <v>46092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7">
        <v>0.9</v>
      </c>
      <c r="O45" s="36">
        <f t="shared" si="0"/>
        <v>6990</v>
      </c>
      <c r="P45" s="6" t="s">
        <v>16</v>
      </c>
    </row>
    <row r="46" spans="1:16" x14ac:dyDescent="0.35">
      <c r="A46" s="34" t="s">
        <v>6740</v>
      </c>
      <c r="B46" s="7">
        <f t="shared" si="1"/>
        <v>46086</v>
      </c>
      <c r="C46" s="7">
        <f t="shared" si="2"/>
        <v>46092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7">
        <v>0.9</v>
      </c>
      <c r="O46" s="36">
        <f t="shared" si="0"/>
        <v>9990</v>
      </c>
      <c r="P46" s="6" t="s">
        <v>16</v>
      </c>
    </row>
    <row r="47" spans="1:16" x14ac:dyDescent="0.35">
      <c r="A47" s="34" t="s">
        <v>6740</v>
      </c>
      <c r="B47" s="7">
        <f t="shared" si="1"/>
        <v>46086</v>
      </c>
      <c r="C47" s="7">
        <f t="shared" si="2"/>
        <v>46092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7">
        <v>0.9</v>
      </c>
      <c r="O47" s="36">
        <f t="shared" si="0"/>
        <v>9990</v>
      </c>
      <c r="P47" s="6" t="s">
        <v>16</v>
      </c>
    </row>
    <row r="48" spans="1:16" x14ac:dyDescent="0.35">
      <c r="A48" s="34" t="s">
        <v>6740</v>
      </c>
      <c r="B48" s="7">
        <f t="shared" si="1"/>
        <v>46086</v>
      </c>
      <c r="C48" s="7">
        <f t="shared" si="2"/>
        <v>46092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7">
        <v>0.9</v>
      </c>
      <c r="O48" s="36">
        <f t="shared" si="0"/>
        <v>8990</v>
      </c>
      <c r="P48" s="6" t="s">
        <v>16</v>
      </c>
    </row>
    <row r="49" spans="1:16" x14ac:dyDescent="0.35">
      <c r="A49" s="34" t="s">
        <v>6740</v>
      </c>
      <c r="B49" s="7">
        <f t="shared" si="1"/>
        <v>46086</v>
      </c>
      <c r="C49" s="7">
        <f t="shared" si="2"/>
        <v>46092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5002</v>
      </c>
      <c r="M49" s="8">
        <v>89900</v>
      </c>
      <c r="N49" s="37">
        <v>0.9</v>
      </c>
      <c r="O49" s="36">
        <f t="shared" si="0"/>
        <v>8990</v>
      </c>
      <c r="P49" s="6" t="s">
        <v>16</v>
      </c>
    </row>
    <row r="50" spans="1:16" x14ac:dyDescent="0.35">
      <c r="A50" s="34" t="s">
        <v>6740</v>
      </c>
      <c r="B50" s="7">
        <f t="shared" si="1"/>
        <v>46086</v>
      </c>
      <c r="C50" s="7">
        <f t="shared" si="2"/>
        <v>46092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7">
        <v>0.9</v>
      </c>
      <c r="O50" s="36">
        <f t="shared" si="0"/>
        <v>8990</v>
      </c>
      <c r="P50" s="6" t="s">
        <v>16</v>
      </c>
    </row>
    <row r="51" spans="1:16" x14ac:dyDescent="0.35">
      <c r="A51" s="34" t="s">
        <v>6740</v>
      </c>
      <c r="B51" s="7">
        <f t="shared" si="1"/>
        <v>46086</v>
      </c>
      <c r="C51" s="7">
        <f t="shared" si="2"/>
        <v>46092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7">
        <v>0.9</v>
      </c>
      <c r="O51" s="36">
        <f t="shared" si="0"/>
        <v>8990</v>
      </c>
      <c r="P51" s="6" t="s">
        <v>16</v>
      </c>
    </row>
    <row r="52" spans="1:16" x14ac:dyDescent="0.35">
      <c r="A52" s="34" t="s">
        <v>6740</v>
      </c>
      <c r="B52" s="7">
        <f t="shared" si="1"/>
        <v>46086</v>
      </c>
      <c r="C52" s="7">
        <f t="shared" si="2"/>
        <v>46092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7">
        <v>0.9</v>
      </c>
      <c r="O52" s="36">
        <f t="shared" si="0"/>
        <v>8990</v>
      </c>
      <c r="P52" s="6" t="s">
        <v>16</v>
      </c>
    </row>
    <row r="53" spans="1:16" x14ac:dyDescent="0.35">
      <c r="A53" s="34" t="s">
        <v>6740</v>
      </c>
      <c r="B53" s="7">
        <f t="shared" si="1"/>
        <v>46086</v>
      </c>
      <c r="C53" s="7">
        <f t="shared" si="2"/>
        <v>46092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7">
        <v>0.9</v>
      </c>
      <c r="O53" s="36">
        <f t="shared" si="0"/>
        <v>8990</v>
      </c>
      <c r="P53" s="6" t="s">
        <v>16</v>
      </c>
    </row>
    <row r="54" spans="1:16" x14ac:dyDescent="0.35">
      <c r="A54" s="34" t="s">
        <v>6740</v>
      </c>
      <c r="B54" s="7">
        <f t="shared" si="1"/>
        <v>46086</v>
      </c>
      <c r="C54" s="7">
        <f t="shared" si="2"/>
        <v>46092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7">
        <v>0.9</v>
      </c>
      <c r="O54" s="36">
        <f t="shared" si="0"/>
        <v>8990</v>
      </c>
      <c r="P54" s="6" t="s">
        <v>16</v>
      </c>
    </row>
    <row r="55" spans="1:16" x14ac:dyDescent="0.35">
      <c r="A55" s="34" t="s">
        <v>6740</v>
      </c>
      <c r="B55" s="7">
        <f t="shared" si="1"/>
        <v>46086</v>
      </c>
      <c r="C55" s="7">
        <f t="shared" si="2"/>
        <v>46092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7">
        <v>0.9</v>
      </c>
      <c r="O55" s="36">
        <f t="shared" si="0"/>
        <v>8990</v>
      </c>
      <c r="P55" s="6" t="s">
        <v>16</v>
      </c>
    </row>
    <row r="56" spans="1:16" x14ac:dyDescent="0.35">
      <c r="A56" s="34" t="s">
        <v>6740</v>
      </c>
      <c r="B56" s="7">
        <f t="shared" si="1"/>
        <v>46086</v>
      </c>
      <c r="C56" s="7">
        <f t="shared" si="2"/>
        <v>46092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7">
        <v>0.9</v>
      </c>
      <c r="O56" s="36">
        <f t="shared" si="0"/>
        <v>11990</v>
      </c>
      <c r="P56" s="6" t="s">
        <v>16</v>
      </c>
    </row>
    <row r="57" spans="1:16" x14ac:dyDescent="0.35">
      <c r="A57" s="34" t="s">
        <v>6740</v>
      </c>
      <c r="B57" s="7">
        <f t="shared" si="1"/>
        <v>46086</v>
      </c>
      <c r="C57" s="7">
        <f t="shared" si="2"/>
        <v>46092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7">
        <v>0.9</v>
      </c>
      <c r="O57" s="36">
        <f t="shared" si="0"/>
        <v>11990</v>
      </c>
      <c r="P57" s="6" t="s">
        <v>16</v>
      </c>
    </row>
    <row r="58" spans="1:16" x14ac:dyDescent="0.35">
      <c r="A58" s="34" t="s">
        <v>6740</v>
      </c>
      <c r="B58" s="7">
        <f t="shared" si="1"/>
        <v>46086</v>
      </c>
      <c r="C58" s="7">
        <f t="shared" si="2"/>
        <v>46092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6740</v>
      </c>
      <c r="B59" s="7">
        <f t="shared" si="1"/>
        <v>46086</v>
      </c>
      <c r="C59" s="7">
        <f t="shared" si="2"/>
        <v>46092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6740</v>
      </c>
      <c r="B60" s="7">
        <f t="shared" si="1"/>
        <v>46086</v>
      </c>
      <c r="C60" s="7">
        <f t="shared" si="2"/>
        <v>46092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7">
        <v>0.9</v>
      </c>
      <c r="O60" s="36">
        <f t="shared" si="0"/>
        <v>8990</v>
      </c>
      <c r="P60" s="6" t="s">
        <v>16</v>
      </c>
    </row>
    <row r="61" spans="1:16" x14ac:dyDescent="0.35">
      <c r="A61" s="34" t="s">
        <v>6740</v>
      </c>
      <c r="B61" s="7">
        <f t="shared" si="1"/>
        <v>46086</v>
      </c>
      <c r="C61" s="7">
        <f t="shared" si="2"/>
        <v>46092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7">
        <v>0.9</v>
      </c>
      <c r="O61" s="36">
        <f t="shared" si="0"/>
        <v>8990</v>
      </c>
      <c r="P61" s="6" t="s">
        <v>16</v>
      </c>
    </row>
    <row r="62" spans="1:16" x14ac:dyDescent="0.35">
      <c r="A62" s="34" t="s">
        <v>6740</v>
      </c>
      <c r="B62" s="7">
        <f t="shared" si="1"/>
        <v>46086</v>
      </c>
      <c r="C62" s="7">
        <f t="shared" si="2"/>
        <v>46092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7">
        <v>0.9</v>
      </c>
      <c r="O62" s="36">
        <f t="shared" si="0"/>
        <v>7990</v>
      </c>
      <c r="P62" s="6" t="s">
        <v>16</v>
      </c>
    </row>
    <row r="63" spans="1:16" x14ac:dyDescent="0.35">
      <c r="A63" s="34" t="s">
        <v>6740</v>
      </c>
      <c r="B63" s="7">
        <f t="shared" si="1"/>
        <v>46086</v>
      </c>
      <c r="C63" s="7">
        <f t="shared" si="2"/>
        <v>46092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7">
        <v>0.9</v>
      </c>
      <c r="O63" s="36">
        <f t="shared" si="0"/>
        <v>7990</v>
      </c>
      <c r="P63" s="6" t="s">
        <v>16</v>
      </c>
    </row>
    <row r="64" spans="1:16" x14ac:dyDescent="0.35">
      <c r="A64" s="34" t="s">
        <v>6740</v>
      </c>
      <c r="B64" s="7">
        <f t="shared" si="1"/>
        <v>46086</v>
      </c>
      <c r="C64" s="7">
        <f t="shared" si="2"/>
        <v>46092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7">
        <v>0.9</v>
      </c>
      <c r="O64" s="36">
        <f t="shared" si="0"/>
        <v>7990</v>
      </c>
      <c r="P64" s="6" t="s">
        <v>16</v>
      </c>
    </row>
    <row r="65" spans="1:16" x14ac:dyDescent="0.35">
      <c r="A65" s="34" t="s">
        <v>6740</v>
      </c>
      <c r="B65" s="7">
        <f t="shared" si="1"/>
        <v>46086</v>
      </c>
      <c r="C65" s="7">
        <f t="shared" si="2"/>
        <v>46092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7">
        <v>0.9</v>
      </c>
      <c r="O65" s="36">
        <f t="shared" si="0"/>
        <v>7990</v>
      </c>
      <c r="P65" s="6" t="s">
        <v>16</v>
      </c>
    </row>
    <row r="66" spans="1:16" x14ac:dyDescent="0.35">
      <c r="A66" s="34" t="s">
        <v>6740</v>
      </c>
      <c r="B66" s="7">
        <f t="shared" si="1"/>
        <v>46086</v>
      </c>
      <c r="C66" s="7">
        <f t="shared" si="2"/>
        <v>46092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7">
        <v>0.9</v>
      </c>
      <c r="O66" s="36">
        <f t="shared" si="0"/>
        <v>7990</v>
      </c>
      <c r="P66" s="6" t="s">
        <v>16</v>
      </c>
    </row>
    <row r="67" spans="1:16" x14ac:dyDescent="0.35">
      <c r="A67" s="34" t="s">
        <v>6740</v>
      </c>
      <c r="B67" s="7">
        <f t="shared" si="1"/>
        <v>46086</v>
      </c>
      <c r="C67" s="7">
        <f t="shared" si="2"/>
        <v>46092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7">
        <v>0.9</v>
      </c>
      <c r="O67" s="36">
        <f t="shared" ref="O67:O130" si="3">M67-((90*M67)/100)</f>
        <v>7990</v>
      </c>
      <c r="P67" s="6" t="s">
        <v>16</v>
      </c>
    </row>
    <row r="68" spans="1:16" x14ac:dyDescent="0.35">
      <c r="A68" s="34" t="s">
        <v>6740</v>
      </c>
      <c r="B68" s="7">
        <f t="shared" ref="B68:B131" si="4">B67</f>
        <v>46086</v>
      </c>
      <c r="C68" s="7">
        <f t="shared" ref="C68:C131" si="5">C67</f>
        <v>46092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7">
        <v>0.9</v>
      </c>
      <c r="O68" s="36">
        <f t="shared" si="3"/>
        <v>7990</v>
      </c>
      <c r="P68" s="6" t="s">
        <v>16</v>
      </c>
    </row>
    <row r="69" spans="1:16" x14ac:dyDescent="0.35">
      <c r="A69" s="34" t="s">
        <v>6740</v>
      </c>
      <c r="B69" s="7">
        <f t="shared" si="4"/>
        <v>46086</v>
      </c>
      <c r="C69" s="7">
        <f t="shared" si="5"/>
        <v>46092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7">
        <v>0.9</v>
      </c>
      <c r="O69" s="36">
        <f t="shared" si="3"/>
        <v>11990</v>
      </c>
      <c r="P69" s="6" t="s">
        <v>16</v>
      </c>
    </row>
    <row r="70" spans="1:16" x14ac:dyDescent="0.35">
      <c r="A70" s="34" t="s">
        <v>6740</v>
      </c>
      <c r="B70" s="7">
        <f t="shared" si="4"/>
        <v>46086</v>
      </c>
      <c r="C70" s="7">
        <f t="shared" si="5"/>
        <v>46092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6740</v>
      </c>
      <c r="B71" s="7">
        <f t="shared" si="4"/>
        <v>46086</v>
      </c>
      <c r="C71" s="7">
        <f t="shared" si="5"/>
        <v>46092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6740</v>
      </c>
      <c r="B72" s="7">
        <f t="shared" si="4"/>
        <v>46086</v>
      </c>
      <c r="C72" s="7">
        <f t="shared" si="5"/>
        <v>46092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6740</v>
      </c>
      <c r="B73" s="7">
        <f t="shared" si="4"/>
        <v>46086</v>
      </c>
      <c r="C73" s="7">
        <f t="shared" si="5"/>
        <v>46092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7">
        <v>0.9</v>
      </c>
      <c r="O73" s="36">
        <f t="shared" si="3"/>
        <v>15990</v>
      </c>
      <c r="P73" s="6" t="s">
        <v>16</v>
      </c>
    </row>
    <row r="74" spans="1:16" x14ac:dyDescent="0.35">
      <c r="A74" s="34" t="s">
        <v>6740</v>
      </c>
      <c r="B74" s="7">
        <f t="shared" si="4"/>
        <v>46086</v>
      </c>
      <c r="C74" s="7">
        <f t="shared" si="5"/>
        <v>46092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7">
        <v>0.9</v>
      </c>
      <c r="O74" s="36">
        <f t="shared" si="3"/>
        <v>16990</v>
      </c>
      <c r="P74" s="6" t="s">
        <v>16</v>
      </c>
    </row>
    <row r="75" spans="1:16" x14ac:dyDescent="0.35">
      <c r="A75" s="34" t="s">
        <v>6740</v>
      </c>
      <c r="B75" s="7">
        <f t="shared" si="4"/>
        <v>46086</v>
      </c>
      <c r="C75" s="7">
        <f t="shared" si="5"/>
        <v>46092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7">
        <v>0.9</v>
      </c>
      <c r="O75" s="36">
        <f t="shared" si="3"/>
        <v>16990</v>
      </c>
      <c r="P75" s="6" t="s">
        <v>16</v>
      </c>
    </row>
    <row r="76" spans="1:16" x14ac:dyDescent="0.35">
      <c r="A76" s="34" t="s">
        <v>6740</v>
      </c>
      <c r="B76" s="7">
        <f t="shared" si="4"/>
        <v>46086</v>
      </c>
      <c r="C76" s="7">
        <f t="shared" si="5"/>
        <v>46092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7">
        <v>0.9</v>
      </c>
      <c r="O76" s="36">
        <f t="shared" si="3"/>
        <v>16990</v>
      </c>
      <c r="P76" s="6" t="s">
        <v>16</v>
      </c>
    </row>
    <row r="77" spans="1:16" x14ac:dyDescent="0.35">
      <c r="A77" s="34" t="s">
        <v>6740</v>
      </c>
      <c r="B77" s="7">
        <f t="shared" si="4"/>
        <v>46086</v>
      </c>
      <c r="C77" s="7">
        <f t="shared" si="5"/>
        <v>46092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7">
        <v>0.9</v>
      </c>
      <c r="O77" s="36">
        <f t="shared" si="3"/>
        <v>16990</v>
      </c>
      <c r="P77" s="6" t="s">
        <v>16</v>
      </c>
    </row>
    <row r="78" spans="1:16" x14ac:dyDescent="0.35">
      <c r="A78" s="34" t="s">
        <v>6740</v>
      </c>
      <c r="B78" s="7">
        <f t="shared" si="4"/>
        <v>46086</v>
      </c>
      <c r="C78" s="7">
        <f t="shared" si="5"/>
        <v>46092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7">
        <v>0.9</v>
      </c>
      <c r="O78" s="36">
        <f t="shared" si="3"/>
        <v>16990</v>
      </c>
      <c r="P78" s="6" t="s">
        <v>16</v>
      </c>
    </row>
    <row r="79" spans="1:16" x14ac:dyDescent="0.35">
      <c r="A79" s="34" t="s">
        <v>6740</v>
      </c>
      <c r="B79" s="7">
        <f t="shared" si="4"/>
        <v>46086</v>
      </c>
      <c r="C79" s="7">
        <f t="shared" si="5"/>
        <v>46092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7">
        <v>0.9</v>
      </c>
      <c r="O79" s="36">
        <f t="shared" si="3"/>
        <v>14990</v>
      </c>
      <c r="P79" s="6" t="s">
        <v>16</v>
      </c>
    </row>
    <row r="80" spans="1:16" x14ac:dyDescent="0.35">
      <c r="A80" s="34" t="s">
        <v>6740</v>
      </c>
      <c r="B80" s="7">
        <f t="shared" si="4"/>
        <v>46086</v>
      </c>
      <c r="C80" s="7">
        <f t="shared" si="5"/>
        <v>46092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7">
        <v>0.9</v>
      </c>
      <c r="O80" s="36">
        <f t="shared" si="3"/>
        <v>14990</v>
      </c>
      <c r="P80" s="6" t="s">
        <v>16</v>
      </c>
    </row>
    <row r="81" spans="1:16" x14ac:dyDescent="0.35">
      <c r="A81" s="34" t="s">
        <v>6740</v>
      </c>
      <c r="B81" s="7">
        <f t="shared" si="4"/>
        <v>46086</v>
      </c>
      <c r="C81" s="7">
        <f t="shared" si="5"/>
        <v>46092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7">
        <v>0.9</v>
      </c>
      <c r="O81" s="36">
        <f t="shared" si="3"/>
        <v>14990</v>
      </c>
      <c r="P81" s="6" t="s">
        <v>16</v>
      </c>
    </row>
    <row r="82" spans="1:16" x14ac:dyDescent="0.35">
      <c r="A82" s="34" t="s">
        <v>6740</v>
      </c>
      <c r="B82" s="7">
        <f t="shared" si="4"/>
        <v>46086</v>
      </c>
      <c r="C82" s="7">
        <f t="shared" si="5"/>
        <v>46092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6740</v>
      </c>
      <c r="B83" s="7">
        <f t="shared" si="4"/>
        <v>46086</v>
      </c>
      <c r="C83" s="7">
        <f t="shared" si="5"/>
        <v>46092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6740</v>
      </c>
      <c r="B84" s="7">
        <f t="shared" si="4"/>
        <v>46086</v>
      </c>
      <c r="C84" s="7">
        <f t="shared" si="5"/>
        <v>46092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6740</v>
      </c>
      <c r="B85" s="7">
        <f t="shared" si="4"/>
        <v>46086</v>
      </c>
      <c r="C85" s="7">
        <f t="shared" si="5"/>
        <v>46092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6740</v>
      </c>
      <c r="B86" s="7">
        <f t="shared" si="4"/>
        <v>46086</v>
      </c>
      <c r="C86" s="7">
        <f t="shared" si="5"/>
        <v>46092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7">
        <v>0.9</v>
      </c>
      <c r="O86" s="36">
        <f t="shared" si="3"/>
        <v>14990</v>
      </c>
      <c r="P86" s="6" t="s">
        <v>16</v>
      </c>
    </row>
    <row r="87" spans="1:16" x14ac:dyDescent="0.35">
      <c r="A87" s="34" t="s">
        <v>6740</v>
      </c>
      <c r="B87" s="7">
        <f t="shared" si="4"/>
        <v>46086</v>
      </c>
      <c r="C87" s="7">
        <f t="shared" si="5"/>
        <v>46092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7">
        <v>0.9</v>
      </c>
      <c r="O87" s="36">
        <f t="shared" si="3"/>
        <v>21990</v>
      </c>
      <c r="P87" s="6" t="s">
        <v>16</v>
      </c>
    </row>
    <row r="88" spans="1:16" x14ac:dyDescent="0.35">
      <c r="A88" s="34" t="s">
        <v>6740</v>
      </c>
      <c r="B88" s="7">
        <f t="shared" si="4"/>
        <v>46086</v>
      </c>
      <c r="C88" s="7">
        <f t="shared" si="5"/>
        <v>46092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7">
        <v>0.9</v>
      </c>
      <c r="O88" s="36">
        <f t="shared" si="3"/>
        <v>22990</v>
      </c>
      <c r="P88" s="6" t="s">
        <v>16</v>
      </c>
    </row>
    <row r="89" spans="1:16" x14ac:dyDescent="0.35">
      <c r="A89" s="34" t="s">
        <v>6740</v>
      </c>
      <c r="B89" s="7">
        <f t="shared" si="4"/>
        <v>46086</v>
      </c>
      <c r="C89" s="7">
        <f t="shared" si="5"/>
        <v>46092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7">
        <v>0.9</v>
      </c>
      <c r="O89" s="36">
        <f t="shared" si="3"/>
        <v>22990</v>
      </c>
      <c r="P89" s="6" t="s">
        <v>16</v>
      </c>
    </row>
    <row r="90" spans="1:16" x14ac:dyDescent="0.35">
      <c r="A90" s="34" t="s">
        <v>6740</v>
      </c>
      <c r="B90" s="7">
        <f t="shared" si="4"/>
        <v>46086</v>
      </c>
      <c r="C90" s="7">
        <f t="shared" si="5"/>
        <v>46092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7">
        <v>0.9</v>
      </c>
      <c r="O90" s="36">
        <f t="shared" si="3"/>
        <v>22990</v>
      </c>
      <c r="P90" s="6" t="s">
        <v>16</v>
      </c>
    </row>
    <row r="91" spans="1:16" x14ac:dyDescent="0.35">
      <c r="A91" s="34" t="s">
        <v>6740</v>
      </c>
      <c r="B91" s="7">
        <f t="shared" si="4"/>
        <v>46086</v>
      </c>
      <c r="C91" s="7">
        <f t="shared" si="5"/>
        <v>46092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7">
        <v>0.9</v>
      </c>
      <c r="O91" s="36">
        <f t="shared" si="3"/>
        <v>21990</v>
      </c>
      <c r="P91" s="6" t="s">
        <v>16</v>
      </c>
    </row>
    <row r="92" spans="1:16" x14ac:dyDescent="0.35">
      <c r="A92" s="34" t="s">
        <v>6740</v>
      </c>
      <c r="B92" s="7">
        <f t="shared" si="4"/>
        <v>46086</v>
      </c>
      <c r="C92" s="7">
        <f t="shared" si="5"/>
        <v>46092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7">
        <v>0.9</v>
      </c>
      <c r="O92" s="36">
        <f t="shared" si="3"/>
        <v>21990</v>
      </c>
      <c r="P92" s="6" t="s">
        <v>16</v>
      </c>
    </row>
    <row r="93" spans="1:16" x14ac:dyDescent="0.35">
      <c r="A93" s="34" t="s">
        <v>6740</v>
      </c>
      <c r="B93" s="7">
        <f t="shared" si="4"/>
        <v>46086</v>
      </c>
      <c r="C93" s="7">
        <f t="shared" si="5"/>
        <v>46092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7">
        <v>0.9</v>
      </c>
      <c r="O93" s="36">
        <f t="shared" si="3"/>
        <v>21990</v>
      </c>
      <c r="P93" s="6" t="s">
        <v>16</v>
      </c>
    </row>
    <row r="94" spans="1:16" x14ac:dyDescent="0.35">
      <c r="A94" s="34" t="s">
        <v>6740</v>
      </c>
      <c r="B94" s="7">
        <f t="shared" si="4"/>
        <v>46086</v>
      </c>
      <c r="C94" s="7">
        <f t="shared" si="5"/>
        <v>46092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7">
        <v>0.9</v>
      </c>
      <c r="O94" s="36">
        <f t="shared" si="3"/>
        <v>21990</v>
      </c>
      <c r="P94" s="6" t="s">
        <v>16</v>
      </c>
    </row>
    <row r="95" spans="1:16" x14ac:dyDescent="0.35">
      <c r="A95" s="34" t="s">
        <v>6740</v>
      </c>
      <c r="B95" s="7">
        <f t="shared" si="4"/>
        <v>46086</v>
      </c>
      <c r="C95" s="7">
        <f t="shared" si="5"/>
        <v>46092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7">
        <v>0.9</v>
      </c>
      <c r="O95" s="36">
        <f t="shared" si="3"/>
        <v>24990</v>
      </c>
      <c r="P95" s="6" t="s">
        <v>16</v>
      </c>
    </row>
    <row r="96" spans="1:16" x14ac:dyDescent="0.35">
      <c r="A96" s="34" t="s">
        <v>6740</v>
      </c>
      <c r="B96" s="7">
        <f t="shared" si="4"/>
        <v>46086</v>
      </c>
      <c r="C96" s="7">
        <f t="shared" si="5"/>
        <v>46092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7">
        <v>0.9</v>
      </c>
      <c r="O96" s="36">
        <f t="shared" si="3"/>
        <v>24990</v>
      </c>
      <c r="P96" s="6" t="s">
        <v>16</v>
      </c>
    </row>
    <row r="97" spans="1:16" x14ac:dyDescent="0.35">
      <c r="A97" s="34" t="s">
        <v>6740</v>
      </c>
      <c r="B97" s="7">
        <f t="shared" si="4"/>
        <v>46086</v>
      </c>
      <c r="C97" s="7">
        <f t="shared" si="5"/>
        <v>46092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7">
        <v>0.9</v>
      </c>
      <c r="O97" s="36">
        <f t="shared" si="3"/>
        <v>24990</v>
      </c>
      <c r="P97" s="6" t="s">
        <v>16</v>
      </c>
    </row>
    <row r="98" spans="1:16" x14ac:dyDescent="0.35">
      <c r="A98" s="34" t="s">
        <v>6740</v>
      </c>
      <c r="B98" s="7">
        <f t="shared" si="4"/>
        <v>46086</v>
      </c>
      <c r="C98" s="7">
        <f t="shared" si="5"/>
        <v>46092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7">
        <v>0.9</v>
      </c>
      <c r="O98" s="36">
        <f t="shared" si="3"/>
        <v>21990</v>
      </c>
      <c r="P98" s="6" t="s">
        <v>16</v>
      </c>
    </row>
    <row r="99" spans="1:16" x14ac:dyDescent="0.35">
      <c r="A99" s="34" t="s">
        <v>6740</v>
      </c>
      <c r="B99" s="7">
        <f t="shared" si="4"/>
        <v>46086</v>
      </c>
      <c r="C99" s="7">
        <f t="shared" si="5"/>
        <v>46092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7">
        <v>0.9</v>
      </c>
      <c r="O99" s="36">
        <f t="shared" si="3"/>
        <v>21990</v>
      </c>
      <c r="P99" s="6" t="s">
        <v>16</v>
      </c>
    </row>
    <row r="100" spans="1:16" x14ac:dyDescent="0.35">
      <c r="A100" s="34" t="s">
        <v>6740</v>
      </c>
      <c r="B100" s="7">
        <f t="shared" si="4"/>
        <v>46086</v>
      </c>
      <c r="C100" s="7">
        <f t="shared" si="5"/>
        <v>46092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7">
        <v>0.9</v>
      </c>
      <c r="O100" s="36">
        <f t="shared" si="3"/>
        <v>21990</v>
      </c>
      <c r="P100" s="6" t="s">
        <v>16</v>
      </c>
    </row>
    <row r="101" spans="1:16" x14ac:dyDescent="0.35">
      <c r="A101" s="34" t="s">
        <v>6740</v>
      </c>
      <c r="B101" s="7">
        <f t="shared" si="4"/>
        <v>46086</v>
      </c>
      <c r="C101" s="7">
        <f t="shared" si="5"/>
        <v>46092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6740</v>
      </c>
      <c r="B102" s="7">
        <f t="shared" si="4"/>
        <v>46086</v>
      </c>
      <c r="C102" s="7">
        <f t="shared" si="5"/>
        <v>46092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6740</v>
      </c>
      <c r="B103" s="7">
        <f t="shared" si="4"/>
        <v>46086</v>
      </c>
      <c r="C103" s="7">
        <f t="shared" si="5"/>
        <v>46092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7">
        <v>0.9</v>
      </c>
      <c r="O103" s="36">
        <f t="shared" si="3"/>
        <v>18990</v>
      </c>
      <c r="P103" s="6" t="s">
        <v>16</v>
      </c>
    </row>
    <row r="104" spans="1:16" x14ac:dyDescent="0.35">
      <c r="A104" s="34" t="s">
        <v>6740</v>
      </c>
      <c r="B104" s="7">
        <f t="shared" si="4"/>
        <v>46086</v>
      </c>
      <c r="C104" s="7">
        <f t="shared" si="5"/>
        <v>46092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7">
        <v>0.9</v>
      </c>
      <c r="O104" s="36">
        <f t="shared" si="3"/>
        <v>19990</v>
      </c>
      <c r="P104" s="6" t="s">
        <v>16</v>
      </c>
    </row>
    <row r="105" spans="1:16" x14ac:dyDescent="0.35">
      <c r="A105" s="34" t="s">
        <v>6740</v>
      </c>
      <c r="B105" s="7">
        <f t="shared" si="4"/>
        <v>46086</v>
      </c>
      <c r="C105" s="7">
        <f t="shared" si="5"/>
        <v>46092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7">
        <v>0.9</v>
      </c>
      <c r="O105" s="36">
        <f t="shared" si="3"/>
        <v>19990</v>
      </c>
      <c r="P105" s="6" t="s">
        <v>16</v>
      </c>
    </row>
    <row r="106" spans="1:16" x14ac:dyDescent="0.35">
      <c r="A106" s="34" t="s">
        <v>6740</v>
      </c>
      <c r="B106" s="7">
        <f t="shared" si="4"/>
        <v>46086</v>
      </c>
      <c r="C106" s="7">
        <f t="shared" si="5"/>
        <v>46092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7">
        <v>0.9</v>
      </c>
      <c r="O106" s="36">
        <f t="shared" si="3"/>
        <v>19990</v>
      </c>
      <c r="P106" s="6" t="s">
        <v>16</v>
      </c>
    </row>
    <row r="107" spans="1:16" x14ac:dyDescent="0.35">
      <c r="A107" s="34" t="s">
        <v>6740</v>
      </c>
      <c r="B107" s="7">
        <f t="shared" si="4"/>
        <v>46086</v>
      </c>
      <c r="C107" s="7">
        <f t="shared" si="5"/>
        <v>46092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7">
        <v>0.9</v>
      </c>
      <c r="O107" s="36">
        <f t="shared" si="3"/>
        <v>19990</v>
      </c>
      <c r="P107" s="6" t="s">
        <v>16</v>
      </c>
    </row>
    <row r="108" spans="1:16" x14ac:dyDescent="0.35">
      <c r="A108" s="34" t="s">
        <v>6740</v>
      </c>
      <c r="B108" s="7">
        <f t="shared" si="4"/>
        <v>46086</v>
      </c>
      <c r="C108" s="7">
        <f t="shared" si="5"/>
        <v>46092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7">
        <v>0.9</v>
      </c>
      <c r="O108" s="36">
        <f t="shared" si="3"/>
        <v>18990</v>
      </c>
      <c r="P108" s="6" t="s">
        <v>16</v>
      </c>
    </row>
    <row r="109" spans="1:16" x14ac:dyDescent="0.35">
      <c r="A109" s="34" t="s">
        <v>6740</v>
      </c>
      <c r="B109" s="7">
        <f t="shared" si="4"/>
        <v>46086</v>
      </c>
      <c r="C109" s="7">
        <f t="shared" si="5"/>
        <v>46092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7">
        <v>0.9</v>
      </c>
      <c r="O109" s="36">
        <f t="shared" si="3"/>
        <v>18990</v>
      </c>
      <c r="P109" s="6" t="s">
        <v>16</v>
      </c>
    </row>
    <row r="110" spans="1:16" x14ac:dyDescent="0.35">
      <c r="A110" s="34" t="s">
        <v>6740</v>
      </c>
      <c r="B110" s="7">
        <f t="shared" si="4"/>
        <v>46086</v>
      </c>
      <c r="C110" s="7">
        <f t="shared" si="5"/>
        <v>46092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6740</v>
      </c>
      <c r="B111" s="7">
        <f t="shared" si="4"/>
        <v>46086</v>
      </c>
      <c r="C111" s="7">
        <f t="shared" si="5"/>
        <v>46092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6740</v>
      </c>
      <c r="B112" s="7">
        <f t="shared" si="4"/>
        <v>46086</v>
      </c>
      <c r="C112" s="7">
        <f t="shared" si="5"/>
        <v>46092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6740</v>
      </c>
      <c r="B113" s="7">
        <f t="shared" si="4"/>
        <v>46086</v>
      </c>
      <c r="C113" s="7">
        <f t="shared" si="5"/>
        <v>46092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6740</v>
      </c>
      <c r="B114" s="7">
        <f t="shared" si="4"/>
        <v>46086</v>
      </c>
      <c r="C114" s="7">
        <f t="shared" si="5"/>
        <v>46092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6740</v>
      </c>
      <c r="B115" s="7">
        <f t="shared" si="4"/>
        <v>46086</v>
      </c>
      <c r="C115" s="7">
        <f t="shared" si="5"/>
        <v>46092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6740</v>
      </c>
      <c r="B116" s="7">
        <f t="shared" si="4"/>
        <v>46086</v>
      </c>
      <c r="C116" s="7">
        <f t="shared" si="5"/>
        <v>46092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6740</v>
      </c>
      <c r="B117" s="7">
        <f t="shared" si="4"/>
        <v>46086</v>
      </c>
      <c r="C117" s="7">
        <f t="shared" si="5"/>
        <v>46092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6740</v>
      </c>
      <c r="B118" s="7">
        <f t="shared" si="4"/>
        <v>46086</v>
      </c>
      <c r="C118" s="7">
        <f t="shared" si="5"/>
        <v>46092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7">
        <v>0.9</v>
      </c>
      <c r="O118" s="36">
        <f t="shared" si="3"/>
        <v>26990</v>
      </c>
      <c r="P118" s="6" t="s">
        <v>16</v>
      </c>
    </row>
    <row r="119" spans="1:16" x14ac:dyDescent="0.35">
      <c r="A119" s="34" t="s">
        <v>6740</v>
      </c>
      <c r="B119" s="7">
        <f t="shared" si="4"/>
        <v>46086</v>
      </c>
      <c r="C119" s="7">
        <f t="shared" si="5"/>
        <v>46092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6740</v>
      </c>
      <c r="B120" s="7">
        <f t="shared" si="4"/>
        <v>46086</v>
      </c>
      <c r="C120" s="7">
        <f t="shared" si="5"/>
        <v>46092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7">
        <v>0.9</v>
      </c>
      <c r="O120" s="36">
        <f t="shared" si="3"/>
        <v>18990</v>
      </c>
      <c r="P120" s="6" t="s">
        <v>16</v>
      </c>
    </row>
    <row r="121" spans="1:16" x14ac:dyDescent="0.35">
      <c r="A121" s="34" t="s">
        <v>6740</v>
      </c>
      <c r="B121" s="7">
        <f t="shared" si="4"/>
        <v>46086</v>
      </c>
      <c r="C121" s="7">
        <f t="shared" si="5"/>
        <v>46092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7">
        <v>0.9</v>
      </c>
      <c r="O121" s="36">
        <f t="shared" si="3"/>
        <v>17990</v>
      </c>
      <c r="P121" s="6" t="s">
        <v>16</v>
      </c>
    </row>
    <row r="122" spans="1:16" x14ac:dyDescent="0.35">
      <c r="A122" s="34" t="s">
        <v>6740</v>
      </c>
      <c r="B122" s="7">
        <f t="shared" si="4"/>
        <v>46086</v>
      </c>
      <c r="C122" s="7">
        <f t="shared" si="5"/>
        <v>46092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7">
        <v>0.9</v>
      </c>
      <c r="O122" s="36">
        <f t="shared" si="3"/>
        <v>17990</v>
      </c>
      <c r="P122" s="6" t="s">
        <v>16</v>
      </c>
    </row>
    <row r="123" spans="1:16" x14ac:dyDescent="0.35">
      <c r="A123" s="34" t="s">
        <v>6740</v>
      </c>
      <c r="B123" s="7">
        <f t="shared" si="4"/>
        <v>46086</v>
      </c>
      <c r="C123" s="7">
        <f t="shared" si="5"/>
        <v>46092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7">
        <v>0.9</v>
      </c>
      <c r="O123" s="36">
        <f t="shared" si="3"/>
        <v>16990</v>
      </c>
      <c r="P123" s="6" t="s">
        <v>16</v>
      </c>
    </row>
    <row r="124" spans="1:16" x14ac:dyDescent="0.35">
      <c r="A124" s="34" t="s">
        <v>6740</v>
      </c>
      <c r="B124" s="7">
        <f t="shared" si="4"/>
        <v>46086</v>
      </c>
      <c r="C124" s="7">
        <f t="shared" si="5"/>
        <v>46092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7">
        <v>0.9</v>
      </c>
      <c r="O124" s="36">
        <f t="shared" si="3"/>
        <v>16990</v>
      </c>
      <c r="P124" s="6" t="s">
        <v>16</v>
      </c>
    </row>
    <row r="125" spans="1:16" x14ac:dyDescent="0.35">
      <c r="A125" s="34" t="s">
        <v>6740</v>
      </c>
      <c r="B125" s="7">
        <f t="shared" si="4"/>
        <v>46086</v>
      </c>
      <c r="C125" s="7">
        <f t="shared" si="5"/>
        <v>46092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7">
        <v>0.9</v>
      </c>
      <c r="O125" s="36">
        <f t="shared" si="3"/>
        <v>19990</v>
      </c>
      <c r="P125" s="6" t="s">
        <v>16</v>
      </c>
    </row>
    <row r="126" spans="1:16" x14ac:dyDescent="0.35">
      <c r="A126" s="34" t="s">
        <v>6740</v>
      </c>
      <c r="B126" s="7">
        <f t="shared" si="4"/>
        <v>46086</v>
      </c>
      <c r="C126" s="7">
        <f t="shared" si="5"/>
        <v>46092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7">
        <v>0.9</v>
      </c>
      <c r="O126" s="36">
        <f t="shared" si="3"/>
        <v>19990</v>
      </c>
      <c r="P126" s="6" t="s">
        <v>16</v>
      </c>
    </row>
    <row r="127" spans="1:16" x14ac:dyDescent="0.35">
      <c r="A127" s="34" t="s">
        <v>6740</v>
      </c>
      <c r="B127" s="7">
        <f t="shared" si="4"/>
        <v>46086</v>
      </c>
      <c r="C127" s="7">
        <f t="shared" si="5"/>
        <v>46092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7">
        <v>0.9</v>
      </c>
      <c r="O127" s="36">
        <f t="shared" si="3"/>
        <v>19990</v>
      </c>
      <c r="P127" s="6" t="s">
        <v>16</v>
      </c>
    </row>
    <row r="128" spans="1:16" x14ac:dyDescent="0.35">
      <c r="A128" s="34" t="s">
        <v>6740</v>
      </c>
      <c r="B128" s="7">
        <f t="shared" si="4"/>
        <v>46086</v>
      </c>
      <c r="C128" s="7">
        <f t="shared" si="5"/>
        <v>46092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7">
        <v>0.9</v>
      </c>
      <c r="O128" s="36">
        <f t="shared" si="3"/>
        <v>17990</v>
      </c>
      <c r="P128" s="6" t="s">
        <v>16</v>
      </c>
    </row>
    <row r="129" spans="1:16" x14ac:dyDescent="0.35">
      <c r="A129" s="34" t="s">
        <v>6740</v>
      </c>
      <c r="B129" s="7">
        <f t="shared" si="4"/>
        <v>46086</v>
      </c>
      <c r="C129" s="7">
        <f t="shared" si="5"/>
        <v>46092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7">
        <v>0.9</v>
      </c>
      <c r="O129" s="36">
        <f t="shared" si="3"/>
        <v>19990</v>
      </c>
      <c r="P129" s="6" t="s">
        <v>16</v>
      </c>
    </row>
    <row r="130" spans="1:16" x14ac:dyDescent="0.35">
      <c r="A130" s="34" t="s">
        <v>6740</v>
      </c>
      <c r="B130" s="7">
        <f t="shared" si="4"/>
        <v>46086</v>
      </c>
      <c r="C130" s="7">
        <f t="shared" si="5"/>
        <v>46092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7">
        <v>0.9</v>
      </c>
      <c r="O130" s="36">
        <f t="shared" si="3"/>
        <v>19990</v>
      </c>
      <c r="P130" s="6" t="s">
        <v>16</v>
      </c>
    </row>
    <row r="131" spans="1:16" x14ac:dyDescent="0.35">
      <c r="A131" s="34" t="s">
        <v>6740</v>
      </c>
      <c r="B131" s="7">
        <f t="shared" si="4"/>
        <v>46086</v>
      </c>
      <c r="C131" s="7">
        <f t="shared" si="5"/>
        <v>46092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7">
        <v>0.9</v>
      </c>
      <c r="O131" s="36">
        <f t="shared" ref="O131:O194" si="6">M131-((90*M131)/100)</f>
        <v>19990</v>
      </c>
      <c r="P131" s="6" t="s">
        <v>16</v>
      </c>
    </row>
    <row r="132" spans="1:16" x14ac:dyDescent="0.35">
      <c r="A132" s="34" t="s">
        <v>6740</v>
      </c>
      <c r="B132" s="7">
        <f t="shared" ref="B132:B195" si="7">B131</f>
        <v>46086</v>
      </c>
      <c r="C132" s="7">
        <f t="shared" ref="C132:C195" si="8">C131</f>
        <v>46092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7">
        <v>0.9</v>
      </c>
      <c r="O132" s="36">
        <f t="shared" si="6"/>
        <v>19990</v>
      </c>
      <c r="P132" s="6" t="s">
        <v>16</v>
      </c>
    </row>
    <row r="133" spans="1:16" x14ac:dyDescent="0.35">
      <c r="A133" s="34" t="s">
        <v>6740</v>
      </c>
      <c r="B133" s="7">
        <f t="shared" si="7"/>
        <v>46086</v>
      </c>
      <c r="C133" s="7">
        <f t="shared" si="8"/>
        <v>46092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7">
        <v>0.9</v>
      </c>
      <c r="O133" s="36">
        <f t="shared" si="6"/>
        <v>19990</v>
      </c>
      <c r="P133" s="6" t="s">
        <v>16</v>
      </c>
    </row>
    <row r="134" spans="1:16" x14ac:dyDescent="0.35">
      <c r="A134" s="34" t="s">
        <v>6740</v>
      </c>
      <c r="B134" s="7">
        <f t="shared" si="7"/>
        <v>46086</v>
      </c>
      <c r="C134" s="7">
        <f t="shared" si="8"/>
        <v>46092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6740</v>
      </c>
      <c r="B135" s="7">
        <f t="shared" si="7"/>
        <v>46086</v>
      </c>
      <c r="C135" s="7">
        <f t="shared" si="8"/>
        <v>46092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7">
        <v>0.9</v>
      </c>
      <c r="O135" s="36">
        <f t="shared" si="6"/>
        <v>18990</v>
      </c>
      <c r="P135" s="6" t="s">
        <v>16</v>
      </c>
    </row>
    <row r="136" spans="1:16" x14ac:dyDescent="0.35">
      <c r="A136" s="34" t="s">
        <v>6740</v>
      </c>
      <c r="B136" s="7">
        <f t="shared" si="7"/>
        <v>46086</v>
      </c>
      <c r="C136" s="7">
        <f t="shared" si="8"/>
        <v>46092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7">
        <v>0.9</v>
      </c>
      <c r="O136" s="36">
        <f t="shared" si="6"/>
        <v>18990</v>
      </c>
      <c r="P136" s="6" t="s">
        <v>16</v>
      </c>
    </row>
    <row r="137" spans="1:16" x14ac:dyDescent="0.35">
      <c r="A137" s="34" t="s">
        <v>6740</v>
      </c>
      <c r="B137" s="7">
        <f t="shared" si="7"/>
        <v>46086</v>
      </c>
      <c r="C137" s="7">
        <f t="shared" si="8"/>
        <v>46092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7">
        <v>0.9</v>
      </c>
      <c r="O137" s="36">
        <f t="shared" si="6"/>
        <v>18990</v>
      </c>
      <c r="P137" s="6" t="s">
        <v>16</v>
      </c>
    </row>
    <row r="138" spans="1:16" x14ac:dyDescent="0.35">
      <c r="A138" s="34" t="s">
        <v>6740</v>
      </c>
      <c r="B138" s="7">
        <f t="shared" si="7"/>
        <v>46086</v>
      </c>
      <c r="C138" s="7">
        <f t="shared" si="8"/>
        <v>46092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5003</v>
      </c>
      <c r="M138" s="8">
        <v>199900</v>
      </c>
      <c r="N138" s="37">
        <v>0.9</v>
      </c>
      <c r="O138" s="36">
        <f t="shared" si="6"/>
        <v>19990</v>
      </c>
      <c r="P138" s="6" t="s">
        <v>16</v>
      </c>
    </row>
    <row r="139" spans="1:16" x14ac:dyDescent="0.35">
      <c r="A139" s="34" t="s">
        <v>6740</v>
      </c>
      <c r="B139" s="7">
        <f t="shared" si="7"/>
        <v>46086</v>
      </c>
      <c r="C139" s="7">
        <f t="shared" si="8"/>
        <v>46092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7">
        <v>0.9</v>
      </c>
      <c r="O139" s="36">
        <f t="shared" si="6"/>
        <v>19990</v>
      </c>
      <c r="P139" s="6" t="s">
        <v>16</v>
      </c>
    </row>
    <row r="140" spans="1:16" x14ac:dyDescent="0.35">
      <c r="A140" s="34" t="s">
        <v>6740</v>
      </c>
      <c r="B140" s="7">
        <f t="shared" si="7"/>
        <v>46086</v>
      </c>
      <c r="C140" s="7">
        <f t="shared" si="8"/>
        <v>46092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6740</v>
      </c>
      <c r="B141" s="7">
        <f t="shared" si="7"/>
        <v>46086</v>
      </c>
      <c r="C141" s="7">
        <f t="shared" si="8"/>
        <v>46092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6740</v>
      </c>
      <c r="B142" s="7">
        <f t="shared" si="7"/>
        <v>46086</v>
      </c>
      <c r="C142" s="7">
        <f t="shared" si="8"/>
        <v>46092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7">
        <v>0.9</v>
      </c>
      <c r="O142" s="36">
        <f t="shared" si="6"/>
        <v>18990</v>
      </c>
      <c r="P142" s="6" t="s">
        <v>16</v>
      </c>
    </row>
    <row r="143" spans="1:16" x14ac:dyDescent="0.35">
      <c r="A143" s="34" t="s">
        <v>6740</v>
      </c>
      <c r="B143" s="7">
        <f t="shared" si="7"/>
        <v>46086</v>
      </c>
      <c r="C143" s="7">
        <f t="shared" si="8"/>
        <v>46092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6740</v>
      </c>
      <c r="B144" s="7">
        <f t="shared" si="7"/>
        <v>46086</v>
      </c>
      <c r="C144" s="7">
        <f t="shared" si="8"/>
        <v>46092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7">
        <v>0.9</v>
      </c>
      <c r="O144" s="36">
        <f t="shared" si="6"/>
        <v>17990</v>
      </c>
      <c r="P144" s="6" t="s">
        <v>16</v>
      </c>
    </row>
    <row r="145" spans="1:16" x14ac:dyDescent="0.35">
      <c r="A145" s="34" t="s">
        <v>6740</v>
      </c>
      <c r="B145" s="7">
        <f t="shared" si="7"/>
        <v>46086</v>
      </c>
      <c r="C145" s="7">
        <f t="shared" si="8"/>
        <v>46092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7">
        <v>0.9</v>
      </c>
      <c r="O145" s="36">
        <f t="shared" si="6"/>
        <v>17990</v>
      </c>
      <c r="P145" s="6" t="s">
        <v>16</v>
      </c>
    </row>
    <row r="146" spans="1:16" x14ac:dyDescent="0.35">
      <c r="A146" s="34" t="s">
        <v>6740</v>
      </c>
      <c r="B146" s="7">
        <f t="shared" si="7"/>
        <v>46086</v>
      </c>
      <c r="C146" s="7">
        <f t="shared" si="8"/>
        <v>46092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7">
        <v>0.9</v>
      </c>
      <c r="O146" s="36">
        <f t="shared" si="6"/>
        <v>17990</v>
      </c>
      <c r="P146" s="6" t="s">
        <v>16</v>
      </c>
    </row>
    <row r="147" spans="1:16" x14ac:dyDescent="0.35">
      <c r="A147" s="34" t="s">
        <v>6740</v>
      </c>
      <c r="B147" s="7">
        <f t="shared" si="7"/>
        <v>46086</v>
      </c>
      <c r="C147" s="7">
        <f t="shared" si="8"/>
        <v>46092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7">
        <v>0.9</v>
      </c>
      <c r="O147" s="36">
        <f t="shared" si="6"/>
        <v>17990</v>
      </c>
      <c r="P147" s="6" t="s">
        <v>16</v>
      </c>
    </row>
    <row r="148" spans="1:16" x14ac:dyDescent="0.35">
      <c r="A148" s="34" t="s">
        <v>6740</v>
      </c>
      <c r="B148" s="7">
        <f t="shared" si="7"/>
        <v>46086</v>
      </c>
      <c r="C148" s="7">
        <f t="shared" si="8"/>
        <v>46092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7">
        <v>0.9</v>
      </c>
      <c r="O148" s="36">
        <f t="shared" si="6"/>
        <v>17990</v>
      </c>
      <c r="P148" s="6" t="s">
        <v>16</v>
      </c>
    </row>
    <row r="149" spans="1:16" x14ac:dyDescent="0.35">
      <c r="A149" s="34" t="s">
        <v>6740</v>
      </c>
      <c r="B149" s="7">
        <f t="shared" si="7"/>
        <v>46086</v>
      </c>
      <c r="C149" s="7">
        <f t="shared" si="8"/>
        <v>46092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7">
        <v>0.9</v>
      </c>
      <c r="O149" s="36">
        <f t="shared" si="6"/>
        <v>17990</v>
      </c>
      <c r="P149" s="6" t="s">
        <v>16</v>
      </c>
    </row>
    <row r="150" spans="1:16" x14ac:dyDescent="0.35">
      <c r="A150" s="34" t="s">
        <v>6740</v>
      </c>
      <c r="B150" s="7">
        <f t="shared" si="7"/>
        <v>46086</v>
      </c>
      <c r="C150" s="7">
        <f t="shared" si="8"/>
        <v>46092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7">
        <v>0.9</v>
      </c>
      <c r="O150" s="36">
        <f t="shared" si="6"/>
        <v>17990</v>
      </c>
      <c r="P150" s="6" t="s">
        <v>16</v>
      </c>
    </row>
    <row r="151" spans="1:16" x14ac:dyDescent="0.35">
      <c r="A151" s="34" t="s">
        <v>6740</v>
      </c>
      <c r="B151" s="7">
        <f t="shared" si="7"/>
        <v>46086</v>
      </c>
      <c r="C151" s="7">
        <f t="shared" si="8"/>
        <v>46092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7">
        <v>0.9</v>
      </c>
      <c r="O151" s="36">
        <f t="shared" si="6"/>
        <v>15990</v>
      </c>
      <c r="P151" s="6" t="s">
        <v>16</v>
      </c>
    </row>
    <row r="152" spans="1:16" x14ac:dyDescent="0.35">
      <c r="A152" s="34" t="s">
        <v>6740</v>
      </c>
      <c r="B152" s="7">
        <f t="shared" si="7"/>
        <v>46086</v>
      </c>
      <c r="C152" s="7">
        <f t="shared" si="8"/>
        <v>46092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7">
        <v>0.9</v>
      </c>
      <c r="O152" s="36">
        <f t="shared" si="6"/>
        <v>15990</v>
      </c>
      <c r="P152" s="6" t="s">
        <v>16</v>
      </c>
    </row>
    <row r="153" spans="1:16" x14ac:dyDescent="0.35">
      <c r="A153" s="34" t="s">
        <v>6740</v>
      </c>
      <c r="B153" s="7">
        <f t="shared" si="7"/>
        <v>46086</v>
      </c>
      <c r="C153" s="7">
        <f t="shared" si="8"/>
        <v>46092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6740</v>
      </c>
      <c r="B154" s="7">
        <f t="shared" si="7"/>
        <v>46086</v>
      </c>
      <c r="C154" s="7">
        <f t="shared" si="8"/>
        <v>46092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6740</v>
      </c>
      <c r="B155" s="7">
        <f t="shared" si="7"/>
        <v>46086</v>
      </c>
      <c r="C155" s="7">
        <f t="shared" si="8"/>
        <v>46092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7">
        <v>0.9</v>
      </c>
      <c r="O155" s="36">
        <f t="shared" si="6"/>
        <v>19990</v>
      </c>
      <c r="P155" s="6" t="s">
        <v>16</v>
      </c>
    </row>
    <row r="156" spans="1:16" x14ac:dyDescent="0.35">
      <c r="A156" s="34" t="s">
        <v>6740</v>
      </c>
      <c r="B156" s="7">
        <f t="shared" si="7"/>
        <v>46086</v>
      </c>
      <c r="C156" s="7">
        <f t="shared" si="8"/>
        <v>46092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7">
        <v>0.9</v>
      </c>
      <c r="O156" s="36">
        <f t="shared" si="6"/>
        <v>18990</v>
      </c>
      <c r="P156" s="6" t="s">
        <v>16</v>
      </c>
    </row>
    <row r="157" spans="1:16" x14ac:dyDescent="0.35">
      <c r="A157" s="34" t="s">
        <v>6740</v>
      </c>
      <c r="B157" s="7">
        <f t="shared" si="7"/>
        <v>46086</v>
      </c>
      <c r="C157" s="7">
        <f t="shared" si="8"/>
        <v>46092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7">
        <v>0.9</v>
      </c>
      <c r="O157" s="36">
        <f t="shared" si="6"/>
        <v>18990</v>
      </c>
      <c r="P157" s="6" t="s">
        <v>16</v>
      </c>
    </row>
    <row r="158" spans="1:16" x14ac:dyDescent="0.35">
      <c r="A158" s="34" t="s">
        <v>6740</v>
      </c>
      <c r="B158" s="7">
        <f t="shared" si="7"/>
        <v>46086</v>
      </c>
      <c r="C158" s="7">
        <f t="shared" si="8"/>
        <v>46092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7">
        <v>0.9</v>
      </c>
      <c r="O158" s="36">
        <f t="shared" si="6"/>
        <v>18990</v>
      </c>
      <c r="P158" s="6" t="s">
        <v>16</v>
      </c>
    </row>
    <row r="159" spans="1:16" x14ac:dyDescent="0.35">
      <c r="A159" s="34" t="s">
        <v>6740</v>
      </c>
      <c r="B159" s="7">
        <f t="shared" si="7"/>
        <v>46086</v>
      </c>
      <c r="C159" s="7">
        <f t="shared" si="8"/>
        <v>46092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7">
        <v>0.9</v>
      </c>
      <c r="O159" s="36">
        <f t="shared" si="6"/>
        <v>18990</v>
      </c>
      <c r="P159" s="6" t="s">
        <v>16</v>
      </c>
    </row>
    <row r="160" spans="1:16" x14ac:dyDescent="0.35">
      <c r="A160" s="34" t="s">
        <v>6740</v>
      </c>
      <c r="B160" s="7">
        <f t="shared" si="7"/>
        <v>46086</v>
      </c>
      <c r="C160" s="7">
        <f t="shared" si="8"/>
        <v>46092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7">
        <v>0.9</v>
      </c>
      <c r="O160" s="36">
        <f t="shared" si="6"/>
        <v>18990</v>
      </c>
      <c r="P160" s="6" t="s">
        <v>16</v>
      </c>
    </row>
    <row r="161" spans="1:16" x14ac:dyDescent="0.35">
      <c r="A161" s="34" t="s">
        <v>6740</v>
      </c>
      <c r="B161" s="7">
        <f t="shared" si="7"/>
        <v>46086</v>
      </c>
      <c r="C161" s="7">
        <f t="shared" si="8"/>
        <v>46092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6740</v>
      </c>
      <c r="B162" s="7">
        <f t="shared" si="7"/>
        <v>46086</v>
      </c>
      <c r="C162" s="7">
        <f t="shared" si="8"/>
        <v>46092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6740</v>
      </c>
      <c r="B163" s="7">
        <f t="shared" si="7"/>
        <v>46086</v>
      </c>
      <c r="C163" s="7">
        <f t="shared" si="8"/>
        <v>46092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7">
        <v>0.9</v>
      </c>
      <c r="O163" s="36">
        <f t="shared" si="6"/>
        <v>12990</v>
      </c>
      <c r="P163" s="6" t="s">
        <v>16</v>
      </c>
    </row>
    <row r="164" spans="1:16" x14ac:dyDescent="0.35">
      <c r="A164" s="34" t="s">
        <v>6740</v>
      </c>
      <c r="B164" s="7">
        <f t="shared" si="7"/>
        <v>46086</v>
      </c>
      <c r="C164" s="7">
        <f t="shared" si="8"/>
        <v>46092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7">
        <v>0.9</v>
      </c>
      <c r="O164" s="36">
        <f t="shared" si="6"/>
        <v>12990</v>
      </c>
      <c r="P164" s="6" t="s">
        <v>16</v>
      </c>
    </row>
    <row r="165" spans="1:16" x14ac:dyDescent="0.35">
      <c r="A165" s="34" t="s">
        <v>6740</v>
      </c>
      <c r="B165" s="7">
        <f t="shared" si="7"/>
        <v>46086</v>
      </c>
      <c r="C165" s="7">
        <f t="shared" si="8"/>
        <v>46092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7">
        <v>0.9</v>
      </c>
      <c r="O165" s="36">
        <f t="shared" si="6"/>
        <v>12990</v>
      </c>
      <c r="P165" s="6" t="s">
        <v>16</v>
      </c>
    </row>
    <row r="166" spans="1:16" x14ac:dyDescent="0.35">
      <c r="A166" s="34" t="s">
        <v>6740</v>
      </c>
      <c r="B166" s="7">
        <f t="shared" si="7"/>
        <v>46086</v>
      </c>
      <c r="C166" s="7">
        <f t="shared" si="8"/>
        <v>46092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7">
        <v>0.9</v>
      </c>
      <c r="O166" s="36">
        <f t="shared" si="6"/>
        <v>19990</v>
      </c>
      <c r="P166" s="6" t="s">
        <v>16</v>
      </c>
    </row>
    <row r="167" spans="1:16" x14ac:dyDescent="0.35">
      <c r="A167" s="34" t="s">
        <v>6740</v>
      </c>
      <c r="B167" s="7">
        <f t="shared" si="7"/>
        <v>46086</v>
      </c>
      <c r="C167" s="7">
        <f t="shared" si="8"/>
        <v>46092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7">
        <v>0.9</v>
      </c>
      <c r="O167" s="36">
        <f t="shared" si="6"/>
        <v>19990</v>
      </c>
      <c r="P167" s="6" t="s">
        <v>16</v>
      </c>
    </row>
    <row r="168" spans="1:16" x14ac:dyDescent="0.35">
      <c r="A168" s="34" t="s">
        <v>6740</v>
      </c>
      <c r="B168" s="7">
        <f t="shared" si="7"/>
        <v>46086</v>
      </c>
      <c r="C168" s="7">
        <f t="shared" si="8"/>
        <v>46092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7">
        <v>0.9</v>
      </c>
      <c r="O168" s="36">
        <f t="shared" si="6"/>
        <v>19990</v>
      </c>
      <c r="P168" s="6" t="s">
        <v>16</v>
      </c>
    </row>
    <row r="169" spans="1:16" x14ac:dyDescent="0.35">
      <c r="A169" s="34" t="s">
        <v>6740</v>
      </c>
      <c r="B169" s="7">
        <f t="shared" si="7"/>
        <v>46086</v>
      </c>
      <c r="C169" s="7">
        <f t="shared" si="8"/>
        <v>46092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7">
        <v>0.9</v>
      </c>
      <c r="O169" s="36">
        <f t="shared" si="6"/>
        <v>16990</v>
      </c>
      <c r="P169" s="6" t="s">
        <v>16</v>
      </c>
    </row>
    <row r="170" spans="1:16" x14ac:dyDescent="0.35">
      <c r="A170" s="34" t="s">
        <v>6740</v>
      </c>
      <c r="B170" s="7">
        <f t="shared" si="7"/>
        <v>46086</v>
      </c>
      <c r="C170" s="7">
        <f t="shared" si="8"/>
        <v>46092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7">
        <v>0.9</v>
      </c>
      <c r="O170" s="36">
        <f t="shared" si="6"/>
        <v>16990</v>
      </c>
      <c r="P170" s="6" t="s">
        <v>16</v>
      </c>
    </row>
    <row r="171" spans="1:16" x14ac:dyDescent="0.35">
      <c r="A171" s="34" t="s">
        <v>6740</v>
      </c>
      <c r="B171" s="7">
        <f t="shared" si="7"/>
        <v>46086</v>
      </c>
      <c r="C171" s="7">
        <f t="shared" si="8"/>
        <v>46092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7">
        <v>0.9</v>
      </c>
      <c r="O171" s="36">
        <f t="shared" si="6"/>
        <v>16990</v>
      </c>
      <c r="P171" s="6" t="s">
        <v>16</v>
      </c>
    </row>
    <row r="172" spans="1:16" x14ac:dyDescent="0.35">
      <c r="A172" s="34" t="s">
        <v>6740</v>
      </c>
      <c r="B172" s="7">
        <f t="shared" si="7"/>
        <v>46086</v>
      </c>
      <c r="C172" s="7">
        <f t="shared" si="8"/>
        <v>46092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7">
        <v>0.9</v>
      </c>
      <c r="O172" s="36">
        <f t="shared" si="6"/>
        <v>18990</v>
      </c>
      <c r="P172" s="6" t="s">
        <v>16</v>
      </c>
    </row>
    <row r="173" spans="1:16" x14ac:dyDescent="0.35">
      <c r="A173" s="34" t="s">
        <v>6740</v>
      </c>
      <c r="B173" s="7">
        <f t="shared" si="7"/>
        <v>46086</v>
      </c>
      <c r="C173" s="7">
        <f t="shared" si="8"/>
        <v>46092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7">
        <v>0.9</v>
      </c>
      <c r="O173" s="36">
        <f t="shared" si="6"/>
        <v>18990</v>
      </c>
      <c r="P173" s="6" t="s">
        <v>16</v>
      </c>
    </row>
    <row r="174" spans="1:16" x14ac:dyDescent="0.35">
      <c r="A174" s="34" t="s">
        <v>6740</v>
      </c>
      <c r="B174" s="7">
        <f t="shared" si="7"/>
        <v>46086</v>
      </c>
      <c r="C174" s="7">
        <f t="shared" si="8"/>
        <v>46092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7">
        <v>0.9</v>
      </c>
      <c r="O174" s="36">
        <f t="shared" si="6"/>
        <v>18990</v>
      </c>
      <c r="P174" s="6" t="s">
        <v>16</v>
      </c>
    </row>
    <row r="175" spans="1:16" x14ac:dyDescent="0.35">
      <c r="A175" s="34" t="s">
        <v>6740</v>
      </c>
      <c r="B175" s="7">
        <f t="shared" si="7"/>
        <v>46086</v>
      </c>
      <c r="C175" s="7">
        <f t="shared" si="8"/>
        <v>46092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7">
        <v>0.9</v>
      </c>
      <c r="O175" s="36">
        <f t="shared" si="6"/>
        <v>16990</v>
      </c>
      <c r="P175" s="6" t="s">
        <v>16</v>
      </c>
    </row>
    <row r="176" spans="1:16" x14ac:dyDescent="0.35">
      <c r="A176" s="34" t="s">
        <v>6740</v>
      </c>
      <c r="B176" s="7">
        <f t="shared" si="7"/>
        <v>46086</v>
      </c>
      <c r="C176" s="7">
        <f t="shared" si="8"/>
        <v>46092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7">
        <v>0.9</v>
      </c>
      <c r="O176" s="36">
        <f t="shared" si="6"/>
        <v>16990</v>
      </c>
      <c r="P176" s="6" t="s">
        <v>16</v>
      </c>
    </row>
    <row r="177" spans="1:16" x14ac:dyDescent="0.35">
      <c r="A177" s="34" t="s">
        <v>6740</v>
      </c>
      <c r="B177" s="7">
        <f t="shared" si="7"/>
        <v>46086</v>
      </c>
      <c r="C177" s="7">
        <f t="shared" si="8"/>
        <v>46092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6740</v>
      </c>
      <c r="B178" s="7">
        <f t="shared" si="7"/>
        <v>46086</v>
      </c>
      <c r="C178" s="7">
        <f t="shared" si="8"/>
        <v>46092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6740</v>
      </c>
      <c r="B179" s="7">
        <f t="shared" si="7"/>
        <v>46086</v>
      </c>
      <c r="C179" s="7">
        <f t="shared" si="8"/>
        <v>46092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6740</v>
      </c>
      <c r="B180" s="7">
        <f t="shared" si="7"/>
        <v>46086</v>
      </c>
      <c r="C180" s="7">
        <f t="shared" si="8"/>
        <v>46092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6740</v>
      </c>
      <c r="B181" s="7">
        <f t="shared" si="7"/>
        <v>46086</v>
      </c>
      <c r="C181" s="7">
        <f t="shared" si="8"/>
        <v>46092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6740</v>
      </c>
      <c r="B182" s="7">
        <f t="shared" si="7"/>
        <v>46086</v>
      </c>
      <c r="C182" s="7">
        <f t="shared" si="8"/>
        <v>46092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7">
        <v>0.9</v>
      </c>
      <c r="O182" s="36">
        <f t="shared" si="6"/>
        <v>17990</v>
      </c>
      <c r="P182" s="6" t="s">
        <v>16</v>
      </c>
    </row>
    <row r="183" spans="1:16" x14ac:dyDescent="0.35">
      <c r="A183" s="34" t="s">
        <v>6740</v>
      </c>
      <c r="B183" s="7">
        <f t="shared" si="7"/>
        <v>46086</v>
      </c>
      <c r="C183" s="7">
        <f t="shared" si="8"/>
        <v>46092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7">
        <v>0.9</v>
      </c>
      <c r="O183" s="36">
        <f t="shared" si="6"/>
        <v>22990</v>
      </c>
      <c r="P183" s="6" t="s">
        <v>16</v>
      </c>
    </row>
    <row r="184" spans="1:16" x14ac:dyDescent="0.35">
      <c r="A184" s="34" t="s">
        <v>6740</v>
      </c>
      <c r="B184" s="7">
        <f t="shared" si="7"/>
        <v>46086</v>
      </c>
      <c r="C184" s="7">
        <f t="shared" si="8"/>
        <v>46092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7">
        <v>0.9</v>
      </c>
      <c r="O184" s="36">
        <f t="shared" si="6"/>
        <v>22990</v>
      </c>
      <c r="P184" s="6" t="s">
        <v>16</v>
      </c>
    </row>
    <row r="185" spans="1:16" x14ac:dyDescent="0.35">
      <c r="A185" s="34" t="s">
        <v>6740</v>
      </c>
      <c r="B185" s="7">
        <f t="shared" si="7"/>
        <v>46086</v>
      </c>
      <c r="C185" s="7">
        <f t="shared" si="8"/>
        <v>46092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7">
        <v>0.9</v>
      </c>
      <c r="O185" s="36">
        <f t="shared" si="6"/>
        <v>22990</v>
      </c>
      <c r="P185" s="6" t="s">
        <v>16</v>
      </c>
    </row>
    <row r="186" spans="1:16" x14ac:dyDescent="0.35">
      <c r="A186" s="34" t="s">
        <v>6740</v>
      </c>
      <c r="B186" s="7">
        <f t="shared" si="7"/>
        <v>46086</v>
      </c>
      <c r="C186" s="7">
        <f t="shared" si="8"/>
        <v>46092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7">
        <v>0.9</v>
      </c>
      <c r="O186" s="36">
        <f t="shared" si="6"/>
        <v>26990</v>
      </c>
      <c r="P186" s="6" t="s">
        <v>16</v>
      </c>
    </row>
    <row r="187" spans="1:16" x14ac:dyDescent="0.35">
      <c r="A187" s="34" t="s">
        <v>6740</v>
      </c>
      <c r="B187" s="7">
        <f t="shared" si="7"/>
        <v>46086</v>
      </c>
      <c r="C187" s="7">
        <f t="shared" si="8"/>
        <v>46092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7">
        <v>0.9</v>
      </c>
      <c r="O187" s="36">
        <f t="shared" si="6"/>
        <v>26990</v>
      </c>
      <c r="P187" s="6" t="s">
        <v>16</v>
      </c>
    </row>
    <row r="188" spans="1:16" x14ac:dyDescent="0.35">
      <c r="A188" s="34" t="s">
        <v>6740</v>
      </c>
      <c r="B188" s="7">
        <f t="shared" si="7"/>
        <v>46086</v>
      </c>
      <c r="C188" s="7">
        <f t="shared" si="8"/>
        <v>46092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7">
        <v>0.9</v>
      </c>
      <c r="O188" s="36">
        <f t="shared" si="6"/>
        <v>22990</v>
      </c>
      <c r="P188" s="6" t="s">
        <v>16</v>
      </c>
    </row>
    <row r="189" spans="1:16" x14ac:dyDescent="0.35">
      <c r="A189" s="34" t="s">
        <v>6740</v>
      </c>
      <c r="B189" s="7">
        <f t="shared" si="7"/>
        <v>46086</v>
      </c>
      <c r="C189" s="7">
        <f t="shared" si="8"/>
        <v>46092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7">
        <v>0.9</v>
      </c>
      <c r="O189" s="36">
        <f t="shared" si="6"/>
        <v>22990</v>
      </c>
      <c r="P189" s="6" t="s">
        <v>16</v>
      </c>
    </row>
    <row r="190" spans="1:16" x14ac:dyDescent="0.35">
      <c r="A190" s="34" t="s">
        <v>6740</v>
      </c>
      <c r="B190" s="7">
        <f t="shared" si="7"/>
        <v>46086</v>
      </c>
      <c r="C190" s="7">
        <f t="shared" si="8"/>
        <v>46092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7">
        <v>0.9</v>
      </c>
      <c r="O190" s="36">
        <f t="shared" si="6"/>
        <v>22990</v>
      </c>
      <c r="P190" s="6" t="s">
        <v>16</v>
      </c>
    </row>
    <row r="191" spans="1:16" x14ac:dyDescent="0.35">
      <c r="A191" s="34" t="s">
        <v>6740</v>
      </c>
      <c r="B191" s="7">
        <f t="shared" si="7"/>
        <v>46086</v>
      </c>
      <c r="C191" s="7">
        <f t="shared" si="8"/>
        <v>46092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6740</v>
      </c>
      <c r="B192" s="7">
        <f t="shared" si="7"/>
        <v>46086</v>
      </c>
      <c r="C192" s="7">
        <f t="shared" si="8"/>
        <v>46092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6740</v>
      </c>
      <c r="B193" s="7">
        <f t="shared" si="7"/>
        <v>46086</v>
      </c>
      <c r="C193" s="7">
        <f t="shared" si="8"/>
        <v>46092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7">
        <v>0.9</v>
      </c>
      <c r="O193" s="36">
        <f t="shared" si="6"/>
        <v>21990</v>
      </c>
      <c r="P193" s="6" t="s">
        <v>16</v>
      </c>
    </row>
    <row r="194" spans="1:16" x14ac:dyDescent="0.35">
      <c r="A194" s="34" t="s">
        <v>6740</v>
      </c>
      <c r="B194" s="7">
        <f t="shared" si="7"/>
        <v>46086</v>
      </c>
      <c r="C194" s="7">
        <f t="shared" si="8"/>
        <v>46092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7">
        <v>0.9</v>
      </c>
      <c r="O194" s="36">
        <f t="shared" si="6"/>
        <v>21990</v>
      </c>
      <c r="P194" s="6" t="s">
        <v>16</v>
      </c>
    </row>
    <row r="195" spans="1:16" x14ac:dyDescent="0.35">
      <c r="A195" s="34" t="s">
        <v>6740</v>
      </c>
      <c r="B195" s="7">
        <f t="shared" si="7"/>
        <v>46086</v>
      </c>
      <c r="C195" s="7">
        <f t="shared" si="8"/>
        <v>46092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7">
        <v>0.9</v>
      </c>
      <c r="O195" s="36">
        <f t="shared" ref="O195:O257" si="9">M195-((90*M195)/100)</f>
        <v>22990</v>
      </c>
      <c r="P195" s="6" t="s">
        <v>16</v>
      </c>
    </row>
    <row r="196" spans="1:16" x14ac:dyDescent="0.35">
      <c r="A196" s="34" t="s">
        <v>6740</v>
      </c>
      <c r="B196" s="7">
        <f t="shared" ref="B196:B257" si="10">B195</f>
        <v>46086</v>
      </c>
      <c r="C196" s="7">
        <f t="shared" ref="C196:C257" si="11">C195</f>
        <v>46092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7">
        <v>0.9</v>
      </c>
      <c r="O196" s="36">
        <f t="shared" si="9"/>
        <v>22990</v>
      </c>
      <c r="P196" s="6" t="s">
        <v>16</v>
      </c>
    </row>
    <row r="197" spans="1:16" x14ac:dyDescent="0.35">
      <c r="A197" s="34" t="s">
        <v>6740</v>
      </c>
      <c r="B197" s="7">
        <f t="shared" si="10"/>
        <v>46086</v>
      </c>
      <c r="C197" s="7">
        <f t="shared" si="11"/>
        <v>46092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7">
        <v>0.9</v>
      </c>
      <c r="O197" s="36">
        <f t="shared" si="9"/>
        <v>22990</v>
      </c>
      <c r="P197" s="6" t="s">
        <v>16</v>
      </c>
    </row>
    <row r="198" spans="1:16" x14ac:dyDescent="0.35">
      <c r="A198" s="34" t="s">
        <v>6740</v>
      </c>
      <c r="B198" s="7">
        <f t="shared" si="10"/>
        <v>46086</v>
      </c>
      <c r="C198" s="7">
        <f t="shared" si="11"/>
        <v>46092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7">
        <v>0.9</v>
      </c>
      <c r="O198" s="36">
        <f t="shared" si="9"/>
        <v>19990</v>
      </c>
      <c r="P198" s="6" t="s">
        <v>16</v>
      </c>
    </row>
    <row r="199" spans="1:16" x14ac:dyDescent="0.35">
      <c r="A199" s="34" t="s">
        <v>6740</v>
      </c>
      <c r="B199" s="7">
        <f t="shared" si="10"/>
        <v>46086</v>
      </c>
      <c r="C199" s="7">
        <f t="shared" si="11"/>
        <v>46092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6740</v>
      </c>
      <c r="B200" s="7">
        <f t="shared" si="10"/>
        <v>46086</v>
      </c>
      <c r="C200" s="7">
        <f t="shared" si="11"/>
        <v>46092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6740</v>
      </c>
      <c r="B201" s="7">
        <f t="shared" si="10"/>
        <v>46086</v>
      </c>
      <c r="C201" s="7">
        <f t="shared" si="11"/>
        <v>46092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6740</v>
      </c>
      <c r="B202" s="7">
        <f t="shared" si="10"/>
        <v>46086</v>
      </c>
      <c r="C202" s="7">
        <f t="shared" si="11"/>
        <v>46092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7">
        <v>0.9</v>
      </c>
      <c r="O202" s="36">
        <f t="shared" si="9"/>
        <v>17990</v>
      </c>
      <c r="P202" s="6" t="s">
        <v>16</v>
      </c>
    </row>
    <row r="203" spans="1:16" x14ac:dyDescent="0.35">
      <c r="A203" s="34" t="s">
        <v>6740</v>
      </c>
      <c r="B203" s="7">
        <f t="shared" si="10"/>
        <v>46086</v>
      </c>
      <c r="C203" s="7">
        <f t="shared" si="11"/>
        <v>46092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7">
        <v>0.9</v>
      </c>
      <c r="O203" s="36">
        <f t="shared" si="9"/>
        <v>17990</v>
      </c>
      <c r="P203" s="6" t="s">
        <v>16</v>
      </c>
    </row>
    <row r="204" spans="1:16" x14ac:dyDescent="0.35">
      <c r="A204" s="34" t="s">
        <v>6740</v>
      </c>
      <c r="B204" s="7">
        <f t="shared" si="10"/>
        <v>46086</v>
      </c>
      <c r="C204" s="7">
        <f t="shared" si="11"/>
        <v>46092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7">
        <v>0.9</v>
      </c>
      <c r="O204" s="36">
        <f t="shared" si="9"/>
        <v>17990</v>
      </c>
      <c r="P204" s="6" t="s">
        <v>16</v>
      </c>
    </row>
    <row r="205" spans="1:16" x14ac:dyDescent="0.35">
      <c r="A205" s="34" t="s">
        <v>6740</v>
      </c>
      <c r="B205" s="7">
        <f t="shared" si="10"/>
        <v>46086</v>
      </c>
      <c r="C205" s="7">
        <f t="shared" si="11"/>
        <v>46092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7">
        <v>0.9</v>
      </c>
      <c r="O205" s="36">
        <f t="shared" si="9"/>
        <v>18990</v>
      </c>
      <c r="P205" s="6" t="s">
        <v>16</v>
      </c>
    </row>
    <row r="206" spans="1:16" x14ac:dyDescent="0.35">
      <c r="A206" s="34" t="s">
        <v>6740</v>
      </c>
      <c r="B206" s="7">
        <f t="shared" si="10"/>
        <v>46086</v>
      </c>
      <c r="C206" s="7">
        <f t="shared" si="11"/>
        <v>46092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7">
        <v>0.9</v>
      </c>
      <c r="O206" s="36">
        <f t="shared" si="9"/>
        <v>18990</v>
      </c>
      <c r="P206" s="6" t="s">
        <v>16</v>
      </c>
    </row>
    <row r="207" spans="1:16" x14ac:dyDescent="0.35">
      <c r="A207" s="34" t="s">
        <v>6740</v>
      </c>
      <c r="B207" s="7">
        <f t="shared" si="10"/>
        <v>46086</v>
      </c>
      <c r="C207" s="7">
        <f t="shared" si="11"/>
        <v>46092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7">
        <v>0.9</v>
      </c>
      <c r="O207" s="36">
        <f t="shared" si="9"/>
        <v>18990</v>
      </c>
      <c r="P207" s="6" t="s">
        <v>16</v>
      </c>
    </row>
    <row r="208" spans="1:16" x14ac:dyDescent="0.35">
      <c r="A208" s="34" t="s">
        <v>6740</v>
      </c>
      <c r="B208" s="7">
        <f t="shared" si="10"/>
        <v>46086</v>
      </c>
      <c r="C208" s="7">
        <f t="shared" si="11"/>
        <v>46092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6740</v>
      </c>
      <c r="B209" s="7">
        <f t="shared" si="10"/>
        <v>46086</v>
      </c>
      <c r="C209" s="7">
        <f t="shared" si="11"/>
        <v>46092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6740</v>
      </c>
      <c r="B210" s="7">
        <f t="shared" si="10"/>
        <v>46086</v>
      </c>
      <c r="C210" s="7">
        <f t="shared" si="11"/>
        <v>46092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6740</v>
      </c>
      <c r="B211" s="7">
        <f t="shared" si="10"/>
        <v>46086</v>
      </c>
      <c r="C211" s="7">
        <f t="shared" si="11"/>
        <v>46092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7">
        <v>0.9</v>
      </c>
      <c r="O211" s="36">
        <f t="shared" si="9"/>
        <v>19990</v>
      </c>
      <c r="P211" s="6" t="s">
        <v>16</v>
      </c>
    </row>
    <row r="212" spans="1:16" x14ac:dyDescent="0.35">
      <c r="A212" s="34" t="s">
        <v>6740</v>
      </c>
      <c r="B212" s="7">
        <f t="shared" si="10"/>
        <v>46086</v>
      </c>
      <c r="C212" s="7">
        <f t="shared" si="11"/>
        <v>46092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7">
        <v>0.9</v>
      </c>
      <c r="O212" s="36">
        <f t="shared" si="9"/>
        <v>22990</v>
      </c>
      <c r="P212" s="6" t="s">
        <v>16</v>
      </c>
    </row>
    <row r="213" spans="1:16" x14ac:dyDescent="0.35">
      <c r="A213" s="34" t="s">
        <v>6740</v>
      </c>
      <c r="B213" s="7">
        <f t="shared" si="10"/>
        <v>46086</v>
      </c>
      <c r="C213" s="7">
        <f t="shared" si="11"/>
        <v>46092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7">
        <v>0.9</v>
      </c>
      <c r="O213" s="36">
        <f t="shared" si="9"/>
        <v>22990</v>
      </c>
      <c r="P213" s="6" t="s">
        <v>16</v>
      </c>
    </row>
    <row r="214" spans="1:16" x14ac:dyDescent="0.35">
      <c r="A214" s="34" t="s">
        <v>6740</v>
      </c>
      <c r="B214" s="7">
        <f t="shared" si="10"/>
        <v>46086</v>
      </c>
      <c r="C214" s="7">
        <f t="shared" si="11"/>
        <v>46092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7">
        <v>0.9</v>
      </c>
      <c r="O214" s="36">
        <f t="shared" si="9"/>
        <v>18990</v>
      </c>
      <c r="P214" s="6" t="s">
        <v>16</v>
      </c>
    </row>
    <row r="215" spans="1:16" x14ac:dyDescent="0.35">
      <c r="A215" s="34" t="s">
        <v>6740</v>
      </c>
      <c r="B215" s="7">
        <f t="shared" si="10"/>
        <v>46086</v>
      </c>
      <c r="C215" s="7">
        <f t="shared" si="11"/>
        <v>46092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7">
        <v>0.9</v>
      </c>
      <c r="O215" s="36">
        <f t="shared" si="9"/>
        <v>18990</v>
      </c>
      <c r="P215" s="6" t="s">
        <v>16</v>
      </c>
    </row>
    <row r="216" spans="1:16" x14ac:dyDescent="0.35">
      <c r="A216" s="34" t="s">
        <v>6740</v>
      </c>
      <c r="B216" s="7">
        <f t="shared" si="10"/>
        <v>46086</v>
      </c>
      <c r="C216" s="7">
        <f t="shared" si="11"/>
        <v>46092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7">
        <v>0.9</v>
      </c>
      <c r="O216" s="36">
        <f t="shared" si="9"/>
        <v>19990</v>
      </c>
      <c r="P216" s="6" t="s">
        <v>16</v>
      </c>
    </row>
    <row r="217" spans="1:16" x14ac:dyDescent="0.35">
      <c r="A217" s="34" t="s">
        <v>6740</v>
      </c>
      <c r="B217" s="7">
        <f t="shared" si="10"/>
        <v>46086</v>
      </c>
      <c r="C217" s="7">
        <f t="shared" si="11"/>
        <v>46092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7">
        <v>0.9</v>
      </c>
      <c r="O217" s="36">
        <f t="shared" si="9"/>
        <v>22990</v>
      </c>
      <c r="P217" s="6" t="s">
        <v>16</v>
      </c>
    </row>
    <row r="218" spans="1:16" x14ac:dyDescent="0.35">
      <c r="A218" s="34" t="s">
        <v>6740</v>
      </c>
      <c r="B218" s="7">
        <f t="shared" si="10"/>
        <v>46086</v>
      </c>
      <c r="C218" s="7">
        <f t="shared" si="11"/>
        <v>46092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7">
        <v>0.9</v>
      </c>
      <c r="O218" s="36">
        <f t="shared" si="9"/>
        <v>22990</v>
      </c>
      <c r="P218" s="6" t="s">
        <v>16</v>
      </c>
    </row>
    <row r="219" spans="1:16" x14ac:dyDescent="0.35">
      <c r="A219" s="34" t="s">
        <v>6740</v>
      </c>
      <c r="B219" s="7">
        <f t="shared" si="10"/>
        <v>46086</v>
      </c>
      <c r="C219" s="7">
        <f t="shared" si="11"/>
        <v>46092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7">
        <v>0.9</v>
      </c>
      <c r="O219" s="36">
        <f t="shared" si="9"/>
        <v>22990</v>
      </c>
      <c r="P219" s="6" t="s">
        <v>16</v>
      </c>
    </row>
    <row r="220" spans="1:16" x14ac:dyDescent="0.35">
      <c r="A220" s="34" t="s">
        <v>6740</v>
      </c>
      <c r="B220" s="7">
        <f t="shared" si="10"/>
        <v>46086</v>
      </c>
      <c r="C220" s="7">
        <f t="shared" si="11"/>
        <v>46092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7">
        <v>0.9</v>
      </c>
      <c r="O220" s="36">
        <f t="shared" si="9"/>
        <v>22990</v>
      </c>
      <c r="P220" s="6" t="s">
        <v>16</v>
      </c>
    </row>
    <row r="221" spans="1:16" x14ac:dyDescent="0.35">
      <c r="A221" s="34" t="s">
        <v>6740</v>
      </c>
      <c r="B221" s="7">
        <f t="shared" si="10"/>
        <v>46086</v>
      </c>
      <c r="C221" s="7">
        <f t="shared" si="11"/>
        <v>46092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7">
        <v>0.9</v>
      </c>
      <c r="O221" s="36">
        <f t="shared" si="9"/>
        <v>22990</v>
      </c>
      <c r="P221" s="6" t="s">
        <v>16</v>
      </c>
    </row>
    <row r="222" spans="1:16" x14ac:dyDescent="0.35">
      <c r="A222" s="34" t="s">
        <v>6740</v>
      </c>
      <c r="B222" s="7">
        <f t="shared" si="10"/>
        <v>46086</v>
      </c>
      <c r="C222" s="7">
        <f t="shared" si="11"/>
        <v>46092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7">
        <v>0.9</v>
      </c>
      <c r="O222" s="36">
        <f t="shared" si="9"/>
        <v>21990</v>
      </c>
      <c r="P222" s="6" t="s">
        <v>16</v>
      </c>
    </row>
    <row r="223" spans="1:16" x14ac:dyDescent="0.35">
      <c r="A223" s="34" t="s">
        <v>6740</v>
      </c>
      <c r="B223" s="7">
        <f t="shared" si="10"/>
        <v>46086</v>
      </c>
      <c r="C223" s="7">
        <f t="shared" si="11"/>
        <v>46092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7">
        <v>0.9</v>
      </c>
      <c r="O223" s="36">
        <f t="shared" si="9"/>
        <v>21990</v>
      </c>
      <c r="P223" s="6" t="s">
        <v>16</v>
      </c>
    </row>
    <row r="224" spans="1:16" x14ac:dyDescent="0.35">
      <c r="A224" s="34" t="s">
        <v>6740</v>
      </c>
      <c r="B224" s="7">
        <f t="shared" si="10"/>
        <v>46086</v>
      </c>
      <c r="C224" s="7">
        <f t="shared" si="11"/>
        <v>46092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7">
        <v>0.9</v>
      </c>
      <c r="O224" s="36">
        <f t="shared" si="9"/>
        <v>21990</v>
      </c>
      <c r="P224" s="6" t="s">
        <v>16</v>
      </c>
    </row>
    <row r="225" spans="1:16" x14ac:dyDescent="0.35">
      <c r="A225" s="34" t="s">
        <v>6740</v>
      </c>
      <c r="B225" s="7">
        <f t="shared" si="10"/>
        <v>46086</v>
      </c>
      <c r="C225" s="7">
        <f t="shared" si="11"/>
        <v>46092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7">
        <v>0.9</v>
      </c>
      <c r="O225" s="36">
        <f t="shared" si="9"/>
        <v>21990</v>
      </c>
      <c r="P225" s="6" t="s">
        <v>16</v>
      </c>
    </row>
    <row r="226" spans="1:16" x14ac:dyDescent="0.35">
      <c r="A226" s="34" t="s">
        <v>6740</v>
      </c>
      <c r="B226" s="7">
        <f t="shared" si="10"/>
        <v>46086</v>
      </c>
      <c r="C226" s="7">
        <f t="shared" si="11"/>
        <v>46092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7">
        <v>0.9</v>
      </c>
      <c r="O226" s="36">
        <f t="shared" si="9"/>
        <v>12990</v>
      </c>
      <c r="P226" s="6" t="s">
        <v>16</v>
      </c>
    </row>
    <row r="227" spans="1:16" x14ac:dyDescent="0.35">
      <c r="A227" s="34" t="s">
        <v>6740</v>
      </c>
      <c r="B227" s="7">
        <f t="shared" si="10"/>
        <v>46086</v>
      </c>
      <c r="C227" s="7">
        <f t="shared" si="11"/>
        <v>46092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7">
        <v>0.9</v>
      </c>
      <c r="O227" s="36">
        <f t="shared" si="9"/>
        <v>12990</v>
      </c>
      <c r="P227" s="6" t="s">
        <v>16</v>
      </c>
    </row>
    <row r="228" spans="1:16" x14ac:dyDescent="0.35">
      <c r="A228" s="34" t="s">
        <v>6740</v>
      </c>
      <c r="B228" s="7">
        <f t="shared" si="10"/>
        <v>46086</v>
      </c>
      <c r="C228" s="7">
        <f t="shared" si="11"/>
        <v>46092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7">
        <v>0.9</v>
      </c>
      <c r="O228" s="36">
        <f t="shared" si="9"/>
        <v>12990</v>
      </c>
      <c r="P228" s="6" t="s">
        <v>16</v>
      </c>
    </row>
    <row r="229" spans="1:16" x14ac:dyDescent="0.35">
      <c r="A229" s="34" t="s">
        <v>6740</v>
      </c>
      <c r="B229" s="7">
        <f t="shared" si="10"/>
        <v>46086</v>
      </c>
      <c r="C229" s="7">
        <f t="shared" si="11"/>
        <v>46092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7">
        <v>0.9</v>
      </c>
      <c r="O229" s="36">
        <f t="shared" si="9"/>
        <v>12990</v>
      </c>
      <c r="P229" s="6" t="s">
        <v>16</v>
      </c>
    </row>
    <row r="230" spans="1:16" x14ac:dyDescent="0.35">
      <c r="A230" s="34" t="s">
        <v>6740</v>
      </c>
      <c r="B230" s="7">
        <f t="shared" si="10"/>
        <v>46086</v>
      </c>
      <c r="C230" s="7">
        <f t="shared" si="11"/>
        <v>46092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7">
        <v>0.9</v>
      </c>
      <c r="O230" s="36">
        <f t="shared" si="9"/>
        <v>12990</v>
      </c>
      <c r="P230" s="6" t="s">
        <v>16</v>
      </c>
    </row>
    <row r="231" spans="1:16" x14ac:dyDescent="0.35">
      <c r="A231" s="34" t="s">
        <v>6740</v>
      </c>
      <c r="B231" s="7">
        <f t="shared" si="10"/>
        <v>46086</v>
      </c>
      <c r="C231" s="7">
        <f t="shared" si="11"/>
        <v>46092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7">
        <v>0.9</v>
      </c>
      <c r="O231" s="36">
        <f t="shared" si="9"/>
        <v>21990</v>
      </c>
      <c r="P231" s="6" t="s">
        <v>16</v>
      </c>
    </row>
    <row r="232" spans="1:16" x14ac:dyDescent="0.35">
      <c r="A232" s="34" t="s">
        <v>6740</v>
      </c>
      <c r="B232" s="7">
        <f t="shared" si="10"/>
        <v>46086</v>
      </c>
      <c r="C232" s="7">
        <f t="shared" si="11"/>
        <v>46092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7">
        <v>0.9</v>
      </c>
      <c r="O232" s="36">
        <f t="shared" si="9"/>
        <v>19990</v>
      </c>
      <c r="P232" s="6" t="s">
        <v>16</v>
      </c>
    </row>
    <row r="233" spans="1:16" x14ac:dyDescent="0.35">
      <c r="A233" s="34" t="s">
        <v>6740</v>
      </c>
      <c r="B233" s="7">
        <f t="shared" si="10"/>
        <v>46086</v>
      </c>
      <c r="C233" s="7">
        <f t="shared" si="11"/>
        <v>46092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7">
        <v>0.9</v>
      </c>
      <c r="O233" s="36">
        <f t="shared" si="9"/>
        <v>21990</v>
      </c>
      <c r="P233" s="6" t="s">
        <v>16</v>
      </c>
    </row>
    <row r="234" spans="1:16" x14ac:dyDescent="0.35">
      <c r="A234" s="34" t="s">
        <v>6740</v>
      </c>
      <c r="B234" s="7">
        <f t="shared" si="10"/>
        <v>46086</v>
      </c>
      <c r="C234" s="7">
        <f t="shared" si="11"/>
        <v>46092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7">
        <v>0.9</v>
      </c>
      <c r="O234" s="36">
        <f t="shared" si="9"/>
        <v>21990</v>
      </c>
      <c r="P234" s="6" t="s">
        <v>16</v>
      </c>
    </row>
    <row r="235" spans="1:16" x14ac:dyDescent="0.35">
      <c r="A235" s="34" t="s">
        <v>6740</v>
      </c>
      <c r="B235" s="7">
        <f t="shared" si="10"/>
        <v>46086</v>
      </c>
      <c r="C235" s="7">
        <f t="shared" si="11"/>
        <v>46092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7">
        <v>0.9</v>
      </c>
      <c r="O235" s="36">
        <f t="shared" si="9"/>
        <v>21990</v>
      </c>
      <c r="P235" s="6" t="s">
        <v>16</v>
      </c>
    </row>
    <row r="236" spans="1:16" x14ac:dyDescent="0.35">
      <c r="A236" s="34" t="s">
        <v>6740</v>
      </c>
      <c r="B236" s="7">
        <f t="shared" si="10"/>
        <v>46086</v>
      </c>
      <c r="C236" s="7">
        <f t="shared" si="11"/>
        <v>46092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7">
        <v>0.9</v>
      </c>
      <c r="O236" s="36">
        <f t="shared" si="9"/>
        <v>21990</v>
      </c>
      <c r="P236" s="6" t="s">
        <v>16</v>
      </c>
    </row>
    <row r="237" spans="1:16" x14ac:dyDescent="0.35">
      <c r="A237" s="34" t="s">
        <v>6740</v>
      </c>
      <c r="B237" s="7">
        <f t="shared" si="10"/>
        <v>46086</v>
      </c>
      <c r="C237" s="7">
        <f t="shared" si="11"/>
        <v>46092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7">
        <v>0.9</v>
      </c>
      <c r="O237" s="36">
        <f t="shared" si="9"/>
        <v>21990</v>
      </c>
      <c r="P237" s="6" t="s">
        <v>16</v>
      </c>
    </row>
    <row r="238" spans="1:16" x14ac:dyDescent="0.35">
      <c r="A238" s="34" t="s">
        <v>6740</v>
      </c>
      <c r="B238" s="7">
        <f t="shared" si="10"/>
        <v>46086</v>
      </c>
      <c r="C238" s="7">
        <f t="shared" si="11"/>
        <v>46092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7">
        <v>0.9</v>
      </c>
      <c r="O238" s="36">
        <f t="shared" si="9"/>
        <v>25990</v>
      </c>
      <c r="P238" s="6" t="s">
        <v>16</v>
      </c>
    </row>
    <row r="239" spans="1:16" x14ac:dyDescent="0.35">
      <c r="A239" s="34" t="s">
        <v>6740</v>
      </c>
      <c r="B239" s="7">
        <f t="shared" si="10"/>
        <v>46086</v>
      </c>
      <c r="C239" s="7">
        <f t="shared" si="11"/>
        <v>46092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7">
        <v>0.9</v>
      </c>
      <c r="O239" s="36">
        <f t="shared" si="9"/>
        <v>25990</v>
      </c>
      <c r="P239" s="6" t="s">
        <v>16</v>
      </c>
    </row>
    <row r="240" spans="1:16" x14ac:dyDescent="0.35">
      <c r="A240" s="34" t="s">
        <v>6740</v>
      </c>
      <c r="B240" s="7">
        <f t="shared" si="10"/>
        <v>46086</v>
      </c>
      <c r="C240" s="7">
        <f t="shared" si="11"/>
        <v>46092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7">
        <v>0.9</v>
      </c>
      <c r="O240" s="36">
        <f t="shared" si="9"/>
        <v>25990</v>
      </c>
      <c r="P240" s="6" t="s">
        <v>16</v>
      </c>
    </row>
    <row r="241" spans="1:16" x14ac:dyDescent="0.35">
      <c r="A241" s="34" t="s">
        <v>6740</v>
      </c>
      <c r="B241" s="7">
        <f t="shared" si="10"/>
        <v>46086</v>
      </c>
      <c r="C241" s="7">
        <f t="shared" si="11"/>
        <v>46092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7">
        <v>0.9</v>
      </c>
      <c r="O241" s="36">
        <f t="shared" si="9"/>
        <v>25990</v>
      </c>
      <c r="P241" s="6" t="s">
        <v>16</v>
      </c>
    </row>
    <row r="242" spans="1:16" x14ac:dyDescent="0.35">
      <c r="A242" s="34" t="s">
        <v>6740</v>
      </c>
      <c r="B242" s="7">
        <f t="shared" si="10"/>
        <v>46086</v>
      </c>
      <c r="C242" s="7">
        <f t="shared" si="11"/>
        <v>46092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7">
        <v>0.9</v>
      </c>
      <c r="O242" s="36">
        <f t="shared" si="9"/>
        <v>19990</v>
      </c>
      <c r="P242" s="6" t="s">
        <v>16</v>
      </c>
    </row>
    <row r="243" spans="1:16" x14ac:dyDescent="0.35">
      <c r="A243" s="34" t="s">
        <v>6740</v>
      </c>
      <c r="B243" s="7">
        <f t="shared" si="10"/>
        <v>46086</v>
      </c>
      <c r="C243" s="7">
        <f t="shared" si="11"/>
        <v>46092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7">
        <v>0.9</v>
      </c>
      <c r="O243" s="36">
        <f t="shared" si="9"/>
        <v>22990</v>
      </c>
      <c r="P243" s="6" t="s">
        <v>16</v>
      </c>
    </row>
    <row r="244" spans="1:16" x14ac:dyDescent="0.35">
      <c r="A244" s="34" t="s">
        <v>6740</v>
      </c>
      <c r="B244" s="7">
        <f t="shared" si="10"/>
        <v>46086</v>
      </c>
      <c r="C244" s="7">
        <f t="shared" si="11"/>
        <v>46092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6740</v>
      </c>
      <c r="B245" s="7">
        <f t="shared" si="10"/>
        <v>46086</v>
      </c>
      <c r="C245" s="7">
        <f t="shared" si="11"/>
        <v>46092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6740</v>
      </c>
      <c r="B246" s="7">
        <f t="shared" si="10"/>
        <v>46086</v>
      </c>
      <c r="C246" s="7">
        <f t="shared" si="11"/>
        <v>46092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6740</v>
      </c>
      <c r="B247" s="7">
        <f t="shared" si="10"/>
        <v>46086</v>
      </c>
      <c r="C247" s="7">
        <f t="shared" si="11"/>
        <v>46092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7">
        <v>0.9</v>
      </c>
      <c r="O247" s="36">
        <f t="shared" si="9"/>
        <v>27990</v>
      </c>
      <c r="P247" s="6" t="s">
        <v>16</v>
      </c>
    </row>
    <row r="248" spans="1:16" x14ac:dyDescent="0.35">
      <c r="A248" s="34" t="s">
        <v>6740</v>
      </c>
      <c r="B248" s="7">
        <f t="shared" si="10"/>
        <v>46086</v>
      </c>
      <c r="C248" s="7">
        <f t="shared" si="11"/>
        <v>46092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7">
        <v>0.9</v>
      </c>
      <c r="O248" s="36">
        <f t="shared" si="9"/>
        <v>27990</v>
      </c>
      <c r="P248" s="6" t="s">
        <v>16</v>
      </c>
    </row>
    <row r="249" spans="1:16" x14ac:dyDescent="0.35">
      <c r="A249" s="34" t="s">
        <v>6740</v>
      </c>
      <c r="B249" s="7">
        <f t="shared" si="10"/>
        <v>46086</v>
      </c>
      <c r="C249" s="7">
        <f t="shared" si="11"/>
        <v>46092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7">
        <v>0.9</v>
      </c>
      <c r="O249" s="36">
        <f t="shared" si="9"/>
        <v>27990</v>
      </c>
      <c r="P249" s="6" t="s">
        <v>16</v>
      </c>
    </row>
    <row r="250" spans="1:16" x14ac:dyDescent="0.35">
      <c r="A250" s="34" t="s">
        <v>6740</v>
      </c>
      <c r="B250" s="7">
        <f>B249</f>
        <v>46086</v>
      </c>
      <c r="C250" s="7">
        <f t="shared" si="11"/>
        <v>46092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7">
        <v>0.9</v>
      </c>
      <c r="O250" s="36">
        <f t="shared" si="9"/>
        <v>27990</v>
      </c>
      <c r="P250" s="6" t="s">
        <v>16</v>
      </c>
    </row>
    <row r="251" spans="1:16" x14ac:dyDescent="0.35">
      <c r="A251" s="34" t="s">
        <v>6740</v>
      </c>
      <c r="B251" s="7">
        <f t="shared" si="10"/>
        <v>46086</v>
      </c>
      <c r="C251" s="7">
        <f>C250</f>
        <v>46092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7">
        <v>0.9</v>
      </c>
      <c r="O251" s="36">
        <f t="shared" si="9"/>
        <v>24990</v>
      </c>
      <c r="P251" s="6" t="s">
        <v>16</v>
      </c>
    </row>
    <row r="252" spans="1:16" x14ac:dyDescent="0.35">
      <c r="A252" s="34" t="s">
        <v>6740</v>
      </c>
      <c r="B252" s="7">
        <f t="shared" si="10"/>
        <v>46086</v>
      </c>
      <c r="C252" s="7">
        <f t="shared" si="11"/>
        <v>46092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7">
        <v>0.9</v>
      </c>
      <c r="O252" s="36">
        <f t="shared" si="9"/>
        <v>500</v>
      </c>
      <c r="P252" s="6" t="s">
        <v>16</v>
      </c>
    </row>
    <row r="253" spans="1:16" x14ac:dyDescent="0.35">
      <c r="A253" s="34" t="s">
        <v>6740</v>
      </c>
      <c r="B253" s="7">
        <f t="shared" si="10"/>
        <v>46086</v>
      </c>
      <c r="C253" s="7">
        <f t="shared" si="11"/>
        <v>46092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7">
        <v>0.9</v>
      </c>
      <c r="O253" s="36">
        <f t="shared" si="9"/>
        <v>500</v>
      </c>
      <c r="P253" s="6" t="s">
        <v>16</v>
      </c>
    </row>
    <row r="254" spans="1:16" x14ac:dyDescent="0.35">
      <c r="A254" s="34" t="s">
        <v>6740</v>
      </c>
      <c r="B254" s="7">
        <f t="shared" si="10"/>
        <v>46086</v>
      </c>
      <c r="C254" s="7">
        <f t="shared" si="11"/>
        <v>46092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7">
        <v>0.9</v>
      </c>
      <c r="O254" s="36">
        <f t="shared" si="9"/>
        <v>500</v>
      </c>
      <c r="P254" s="6" t="s">
        <v>16</v>
      </c>
    </row>
    <row r="255" spans="1:16" x14ac:dyDescent="0.35">
      <c r="A255" s="34" t="s">
        <v>6740</v>
      </c>
      <c r="B255" s="7">
        <f t="shared" si="10"/>
        <v>46086</v>
      </c>
      <c r="C255" s="7">
        <f t="shared" si="11"/>
        <v>46092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7">
        <v>0.9</v>
      </c>
      <c r="O255" s="36">
        <f t="shared" si="9"/>
        <v>500</v>
      </c>
      <c r="P255" s="6" t="s">
        <v>16</v>
      </c>
    </row>
    <row r="256" spans="1:16" x14ac:dyDescent="0.35">
      <c r="A256" s="34" t="s">
        <v>6740</v>
      </c>
      <c r="B256" s="7">
        <f t="shared" si="10"/>
        <v>46086</v>
      </c>
      <c r="C256" s="7">
        <f t="shared" si="11"/>
        <v>46092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7">
        <v>0.9</v>
      </c>
      <c r="O256" s="36">
        <f t="shared" si="9"/>
        <v>500</v>
      </c>
      <c r="P256" s="6" t="s">
        <v>16</v>
      </c>
    </row>
    <row r="257" spans="1:16" x14ac:dyDescent="0.35">
      <c r="A257" s="34" t="s">
        <v>6740</v>
      </c>
      <c r="B257" s="7">
        <f t="shared" si="10"/>
        <v>46086</v>
      </c>
      <c r="C257" s="7">
        <f t="shared" si="11"/>
        <v>46092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7">
        <v>0.9</v>
      </c>
      <c r="O257" s="36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41" activePane="bottomLeft" state="frozen"/>
      <selection activeCell="M23" sqref="M23"/>
      <selection pane="bottomLeft" activeCell="F53" sqref="F5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3811</v>
      </c>
      <c r="B2" s="7">
        <f>'2025 HILITE D80 - 3321'!B2</f>
        <v>46086</v>
      </c>
      <c r="C2" s="7">
        <f>'2025 HILITE D80 - 3321'!C2</f>
        <v>46092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3811</v>
      </c>
      <c r="B3" s="7">
        <f>B2</f>
        <v>46086</v>
      </c>
      <c r="C3" s="7">
        <f>C2</f>
        <v>46092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3811</v>
      </c>
      <c r="B4" s="7">
        <f t="shared" ref="B4:B67" si="1">B3</f>
        <v>46086</v>
      </c>
      <c r="C4" s="7">
        <f t="shared" ref="C4:C67" si="2">C3</f>
        <v>46092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3811</v>
      </c>
      <c r="B5" s="7">
        <f t="shared" si="1"/>
        <v>46086</v>
      </c>
      <c r="C5" s="7">
        <f t="shared" si="2"/>
        <v>46092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5004</v>
      </c>
      <c r="L5" s="6" t="s">
        <v>5005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3811</v>
      </c>
      <c r="B6" s="7">
        <f t="shared" si="1"/>
        <v>46086</v>
      </c>
      <c r="C6" s="7">
        <f t="shared" si="2"/>
        <v>46092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5006</v>
      </c>
      <c r="L6" s="6" t="s">
        <v>5007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3811</v>
      </c>
      <c r="B7" s="7">
        <f t="shared" si="1"/>
        <v>46086</v>
      </c>
      <c r="C7" s="7">
        <f t="shared" si="2"/>
        <v>46092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5008</v>
      </c>
      <c r="L7" s="6" t="s">
        <v>5009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3811</v>
      </c>
      <c r="B8" s="7">
        <f t="shared" si="1"/>
        <v>46086</v>
      </c>
      <c r="C8" s="7">
        <f t="shared" si="2"/>
        <v>46092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5008</v>
      </c>
      <c r="L8" s="6" t="s">
        <v>5010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3811</v>
      </c>
      <c r="B9" s="7">
        <f t="shared" si="1"/>
        <v>46086</v>
      </c>
      <c r="C9" s="7">
        <f t="shared" si="2"/>
        <v>46092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5011</v>
      </c>
      <c r="L9" s="6" t="s">
        <v>5012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3811</v>
      </c>
      <c r="B10" s="7">
        <f t="shared" si="1"/>
        <v>46086</v>
      </c>
      <c r="C10" s="7">
        <f t="shared" si="2"/>
        <v>46092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3811</v>
      </c>
      <c r="B11" s="7">
        <f t="shared" si="1"/>
        <v>46086</v>
      </c>
      <c r="C11" s="7">
        <f t="shared" si="2"/>
        <v>46092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3811</v>
      </c>
      <c r="B12" s="7">
        <f t="shared" si="1"/>
        <v>46086</v>
      </c>
      <c r="C12" s="7">
        <f t="shared" si="2"/>
        <v>46092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3811</v>
      </c>
      <c r="B13" s="7">
        <f t="shared" si="1"/>
        <v>46086</v>
      </c>
      <c r="C13" s="7">
        <f t="shared" si="2"/>
        <v>46092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3811</v>
      </c>
      <c r="B14" s="7">
        <f t="shared" si="1"/>
        <v>46086</v>
      </c>
      <c r="C14" s="7">
        <f t="shared" si="2"/>
        <v>46092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3811</v>
      </c>
      <c r="B15" s="7">
        <f t="shared" si="1"/>
        <v>46086</v>
      </c>
      <c r="C15" s="7">
        <f t="shared" si="2"/>
        <v>46092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3811</v>
      </c>
      <c r="B16" s="7">
        <f t="shared" si="1"/>
        <v>46086</v>
      </c>
      <c r="C16" s="7">
        <f t="shared" si="2"/>
        <v>46092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3811</v>
      </c>
      <c r="B17" s="7">
        <f t="shared" si="1"/>
        <v>46086</v>
      </c>
      <c r="C17" s="7">
        <f t="shared" si="2"/>
        <v>46092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3811</v>
      </c>
      <c r="B18" s="7">
        <f t="shared" si="1"/>
        <v>46086</v>
      </c>
      <c r="C18" s="7">
        <f t="shared" si="2"/>
        <v>46092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3811</v>
      </c>
      <c r="B19" s="7">
        <f t="shared" si="1"/>
        <v>46086</v>
      </c>
      <c r="C19" s="7">
        <f t="shared" si="2"/>
        <v>46092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3811</v>
      </c>
      <c r="B20" s="7">
        <f t="shared" si="1"/>
        <v>46086</v>
      </c>
      <c r="C20" s="7">
        <f t="shared" si="2"/>
        <v>46092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3811</v>
      </c>
      <c r="B21" s="7">
        <f t="shared" si="1"/>
        <v>46086</v>
      </c>
      <c r="C21" s="7">
        <f t="shared" si="2"/>
        <v>46092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3811</v>
      </c>
      <c r="B22" s="7">
        <f t="shared" si="1"/>
        <v>46086</v>
      </c>
      <c r="C22" s="7">
        <f t="shared" si="2"/>
        <v>46092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3811</v>
      </c>
      <c r="B23" s="7">
        <f t="shared" si="1"/>
        <v>46086</v>
      </c>
      <c r="C23" s="7">
        <f t="shared" si="2"/>
        <v>46092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3811</v>
      </c>
      <c r="B24" s="7">
        <f t="shared" si="1"/>
        <v>46086</v>
      </c>
      <c r="C24" s="7">
        <f t="shared" si="2"/>
        <v>46092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3811</v>
      </c>
      <c r="B25" s="7">
        <f t="shared" si="1"/>
        <v>46086</v>
      </c>
      <c r="C25" s="7">
        <f t="shared" si="2"/>
        <v>46092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3811</v>
      </c>
      <c r="B26" s="7">
        <f t="shared" si="1"/>
        <v>46086</v>
      </c>
      <c r="C26" s="7">
        <f t="shared" si="2"/>
        <v>46092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3811</v>
      </c>
      <c r="B27" s="7">
        <f t="shared" si="1"/>
        <v>46086</v>
      </c>
      <c r="C27" s="7">
        <f t="shared" si="2"/>
        <v>46092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3811</v>
      </c>
      <c r="B28" s="7">
        <f t="shared" si="1"/>
        <v>46086</v>
      </c>
      <c r="C28" s="7">
        <f t="shared" si="2"/>
        <v>46092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3811</v>
      </c>
      <c r="B29" s="7">
        <f t="shared" si="1"/>
        <v>46086</v>
      </c>
      <c r="C29" s="7">
        <f t="shared" si="2"/>
        <v>46092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3811</v>
      </c>
      <c r="B30" s="7">
        <f t="shared" si="1"/>
        <v>46086</v>
      </c>
      <c r="C30" s="7">
        <f t="shared" si="2"/>
        <v>46092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3811</v>
      </c>
      <c r="B31" s="7">
        <f t="shared" si="1"/>
        <v>46086</v>
      </c>
      <c r="C31" s="7">
        <f t="shared" si="2"/>
        <v>46092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3811</v>
      </c>
      <c r="B32" s="7">
        <f t="shared" si="1"/>
        <v>46086</v>
      </c>
      <c r="C32" s="7">
        <f t="shared" si="2"/>
        <v>46092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3811</v>
      </c>
      <c r="B33" s="7">
        <f t="shared" si="1"/>
        <v>46086</v>
      </c>
      <c r="C33" s="7">
        <f t="shared" si="2"/>
        <v>46092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3811</v>
      </c>
      <c r="B34" s="7">
        <f t="shared" si="1"/>
        <v>46086</v>
      </c>
      <c r="C34" s="7">
        <f t="shared" si="2"/>
        <v>46092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3811</v>
      </c>
      <c r="B35" s="7">
        <f t="shared" si="1"/>
        <v>46086</v>
      </c>
      <c r="C35" s="7">
        <f t="shared" si="2"/>
        <v>46092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3811</v>
      </c>
      <c r="B36" s="7">
        <f t="shared" si="1"/>
        <v>46086</v>
      </c>
      <c r="C36" s="7">
        <f t="shared" si="2"/>
        <v>46092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3811</v>
      </c>
      <c r="B37" s="7">
        <f t="shared" si="1"/>
        <v>46086</v>
      </c>
      <c r="C37" s="7">
        <f t="shared" si="2"/>
        <v>46092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3811</v>
      </c>
      <c r="B38" s="7">
        <f t="shared" si="1"/>
        <v>46086</v>
      </c>
      <c r="C38" s="7">
        <f t="shared" si="2"/>
        <v>46092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3811</v>
      </c>
      <c r="B39" s="7">
        <f t="shared" si="1"/>
        <v>46086</v>
      </c>
      <c r="C39" s="7">
        <f t="shared" si="2"/>
        <v>46092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3811</v>
      </c>
      <c r="B40" s="7">
        <f t="shared" si="1"/>
        <v>46086</v>
      </c>
      <c r="C40" s="7">
        <f t="shared" si="2"/>
        <v>46092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3811</v>
      </c>
      <c r="B41" s="7">
        <f t="shared" si="1"/>
        <v>46086</v>
      </c>
      <c r="C41" s="7">
        <f t="shared" si="2"/>
        <v>46092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3811</v>
      </c>
      <c r="B42" s="7">
        <f t="shared" si="1"/>
        <v>46086</v>
      </c>
      <c r="C42" s="7">
        <f t="shared" si="2"/>
        <v>46092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3811</v>
      </c>
      <c r="B43" s="7">
        <f t="shared" si="1"/>
        <v>46086</v>
      </c>
      <c r="C43" s="7">
        <f t="shared" si="2"/>
        <v>46092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3811</v>
      </c>
      <c r="B44" s="7">
        <f t="shared" si="1"/>
        <v>46086</v>
      </c>
      <c r="C44" s="7">
        <f t="shared" si="2"/>
        <v>46092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5013</v>
      </c>
      <c r="L44" s="6" t="s">
        <v>5014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3811</v>
      </c>
      <c r="B45" s="7">
        <f t="shared" si="1"/>
        <v>46086</v>
      </c>
      <c r="C45" s="7">
        <f t="shared" si="2"/>
        <v>46092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3811</v>
      </c>
      <c r="B46" s="7">
        <f t="shared" si="1"/>
        <v>46086</v>
      </c>
      <c r="C46" s="7">
        <f t="shared" si="2"/>
        <v>46092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3811</v>
      </c>
      <c r="B47" s="7">
        <f t="shared" si="1"/>
        <v>46086</v>
      </c>
      <c r="C47" s="7">
        <f t="shared" si="2"/>
        <v>46092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3811</v>
      </c>
      <c r="B48" s="7">
        <f t="shared" si="1"/>
        <v>46086</v>
      </c>
      <c r="C48" s="7">
        <f t="shared" si="2"/>
        <v>46092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3811</v>
      </c>
      <c r="B49" s="7">
        <f t="shared" si="1"/>
        <v>46086</v>
      </c>
      <c r="C49" s="7">
        <f t="shared" si="2"/>
        <v>46092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3811</v>
      </c>
      <c r="B50" s="7">
        <f t="shared" si="1"/>
        <v>46086</v>
      </c>
      <c r="C50" s="7">
        <f t="shared" si="2"/>
        <v>46092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3811</v>
      </c>
      <c r="B51" s="7">
        <f t="shared" si="1"/>
        <v>46086</v>
      </c>
      <c r="C51" s="7">
        <f t="shared" si="2"/>
        <v>46092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3811</v>
      </c>
      <c r="B52" s="7">
        <f t="shared" si="1"/>
        <v>46086</v>
      </c>
      <c r="C52" s="7">
        <f t="shared" si="2"/>
        <v>46092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3811</v>
      </c>
      <c r="B53" s="7">
        <f t="shared" si="1"/>
        <v>46086</v>
      </c>
      <c r="C53" s="7">
        <f t="shared" si="2"/>
        <v>46092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3811</v>
      </c>
      <c r="B54" s="7">
        <f t="shared" si="1"/>
        <v>46086</v>
      </c>
      <c r="C54" s="7">
        <f t="shared" si="2"/>
        <v>46092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3811</v>
      </c>
      <c r="B55" s="7">
        <f t="shared" si="1"/>
        <v>46086</v>
      </c>
      <c r="C55" s="7">
        <f t="shared" si="2"/>
        <v>46092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3811</v>
      </c>
      <c r="B56" s="7">
        <f t="shared" si="1"/>
        <v>46086</v>
      </c>
      <c r="C56" s="7">
        <f t="shared" si="2"/>
        <v>46092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3811</v>
      </c>
      <c r="B57" s="7">
        <f t="shared" si="1"/>
        <v>46086</v>
      </c>
      <c r="C57" s="7">
        <f t="shared" si="2"/>
        <v>46092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3811</v>
      </c>
      <c r="B58" s="7">
        <f t="shared" si="1"/>
        <v>46086</v>
      </c>
      <c r="C58" s="7">
        <f t="shared" si="2"/>
        <v>46092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3811</v>
      </c>
      <c r="B59" s="7">
        <f t="shared" si="1"/>
        <v>46086</v>
      </c>
      <c r="C59" s="7">
        <f t="shared" si="2"/>
        <v>46092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3811</v>
      </c>
      <c r="B60" s="7">
        <f t="shared" si="1"/>
        <v>46086</v>
      </c>
      <c r="C60" s="7">
        <f t="shared" si="2"/>
        <v>46092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5015</v>
      </c>
      <c r="L60" s="6" t="s">
        <v>5016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3811</v>
      </c>
      <c r="B61" s="7">
        <f t="shared" si="1"/>
        <v>46086</v>
      </c>
      <c r="C61" s="7">
        <f t="shared" si="2"/>
        <v>46092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3811</v>
      </c>
      <c r="B62" s="7">
        <f t="shared" si="1"/>
        <v>46086</v>
      </c>
      <c r="C62" s="7">
        <f t="shared" si="2"/>
        <v>46092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3811</v>
      </c>
      <c r="B63" s="7">
        <f t="shared" si="1"/>
        <v>46086</v>
      </c>
      <c r="C63" s="7">
        <f t="shared" si="2"/>
        <v>46092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5017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3811</v>
      </c>
      <c r="B64" s="7">
        <f t="shared" si="1"/>
        <v>46086</v>
      </c>
      <c r="C64" s="7">
        <f t="shared" si="2"/>
        <v>46092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3811</v>
      </c>
      <c r="B65" s="7">
        <f t="shared" si="1"/>
        <v>46086</v>
      </c>
      <c r="C65" s="7">
        <f t="shared" si="2"/>
        <v>46092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3811</v>
      </c>
      <c r="B66" s="7">
        <f t="shared" si="1"/>
        <v>46086</v>
      </c>
      <c r="C66" s="7">
        <f t="shared" si="2"/>
        <v>46092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3811</v>
      </c>
      <c r="B67" s="7">
        <f t="shared" si="1"/>
        <v>46086</v>
      </c>
      <c r="C67" s="7">
        <f t="shared" si="2"/>
        <v>46092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3811</v>
      </c>
      <c r="B68" s="7">
        <f t="shared" ref="B68:B73" si="4">B67</f>
        <v>46086</v>
      </c>
      <c r="C68" s="7">
        <f t="shared" ref="C68:C73" si="5">C67</f>
        <v>46092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3811</v>
      </c>
      <c r="B69" s="7">
        <f t="shared" si="4"/>
        <v>46086</v>
      </c>
      <c r="C69" s="7">
        <f t="shared" si="5"/>
        <v>46092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3811</v>
      </c>
      <c r="B70" s="7">
        <f t="shared" si="4"/>
        <v>46086</v>
      </c>
      <c r="C70" s="7">
        <f t="shared" si="5"/>
        <v>46092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3811</v>
      </c>
      <c r="B71" s="7">
        <f t="shared" si="4"/>
        <v>46086</v>
      </c>
      <c r="C71" s="7">
        <f t="shared" si="5"/>
        <v>46092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3811</v>
      </c>
      <c r="B72" s="7">
        <f t="shared" si="4"/>
        <v>46086</v>
      </c>
      <c r="C72" s="7">
        <f t="shared" si="5"/>
        <v>46092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3811</v>
      </c>
      <c r="B73" s="7">
        <f t="shared" si="4"/>
        <v>46086</v>
      </c>
      <c r="C73" s="7">
        <f t="shared" si="5"/>
        <v>46092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zoomScale="80" zoomScaleNormal="80" workbookViewId="0">
      <pane ySplit="1" topLeftCell="A11" activePane="bottomLeft" state="frozen"/>
      <selection activeCell="N270" sqref="N270"/>
      <selection pane="bottomLeft" activeCell="L15" sqref="L1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D80 - 3321'!B2</f>
        <v>46086</v>
      </c>
      <c r="C2" s="35">
        <f>'2025 HILITE D80 - 3321'!C2</f>
        <v>46092</v>
      </c>
      <c r="D2" s="34">
        <v>3284</v>
      </c>
      <c r="E2" s="34">
        <v>338</v>
      </c>
      <c r="F2" s="34">
        <v>4</v>
      </c>
      <c r="G2" s="25">
        <v>8</v>
      </c>
      <c r="H2" s="25">
        <v>81847</v>
      </c>
      <c r="I2" s="34" t="s">
        <v>2690</v>
      </c>
      <c r="J2" s="24">
        <v>59174151</v>
      </c>
      <c r="K2" s="24" t="s">
        <v>7116</v>
      </c>
      <c r="L2" s="24" t="s">
        <v>7120</v>
      </c>
      <c r="M2" s="26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>A2</f>
        <v>2026 NOV-FEB B3 DISC 10%</v>
      </c>
      <c r="B3" s="35">
        <f>B2</f>
        <v>46086</v>
      </c>
      <c r="C3" s="35">
        <f>C2</f>
        <v>46092</v>
      </c>
      <c r="D3" s="34">
        <v>3284</v>
      </c>
      <c r="E3" s="34">
        <v>338</v>
      </c>
      <c r="F3" s="34">
        <v>4</v>
      </c>
      <c r="G3" s="25">
        <v>8</v>
      </c>
      <c r="H3" s="25">
        <v>81847</v>
      </c>
      <c r="I3" s="34" t="s">
        <v>2690</v>
      </c>
      <c r="J3" s="24">
        <v>59174160</v>
      </c>
      <c r="K3" s="24" t="s">
        <v>7116</v>
      </c>
      <c r="L3" s="24" t="s">
        <v>7119</v>
      </c>
      <c r="M3" s="26">
        <v>149900</v>
      </c>
      <c r="N3" s="34" t="s">
        <v>2569</v>
      </c>
      <c r="O3" s="36" t="str">
        <f t="shared" ref="O3:O36" si="0">O2</f>
        <v>B3 DISC 10%</v>
      </c>
      <c r="P3" s="34" t="s">
        <v>2569</v>
      </c>
    </row>
    <row r="4" spans="1:16" x14ac:dyDescent="0.35">
      <c r="A4" s="34" t="str">
        <f t="shared" ref="A4:A36" si="1">A3</f>
        <v>2026 NOV-FEB B3 DISC 10%</v>
      </c>
      <c r="B4" s="35">
        <f>B2</f>
        <v>46086</v>
      </c>
      <c r="C4" s="35">
        <f>C2</f>
        <v>46092</v>
      </c>
      <c r="D4" s="34">
        <v>3284</v>
      </c>
      <c r="E4" s="34">
        <v>338</v>
      </c>
      <c r="F4" s="34">
        <v>4</v>
      </c>
      <c r="G4" s="25">
        <v>8</v>
      </c>
      <c r="H4" s="25">
        <v>81847</v>
      </c>
      <c r="I4" s="34" t="s">
        <v>2690</v>
      </c>
      <c r="J4" s="24">
        <v>59174179</v>
      </c>
      <c r="K4" s="24" t="s">
        <v>7116</v>
      </c>
      <c r="L4" s="24" t="s">
        <v>7118</v>
      </c>
      <c r="M4" s="26">
        <v>149900</v>
      </c>
      <c r="N4" s="34" t="s">
        <v>2569</v>
      </c>
      <c r="O4" s="36" t="str">
        <f t="shared" si="0"/>
        <v>B3 DISC 10%</v>
      </c>
      <c r="P4" s="34" t="s">
        <v>2569</v>
      </c>
    </row>
    <row r="5" spans="1:16" x14ac:dyDescent="0.35">
      <c r="A5" s="34" t="str">
        <f t="shared" si="1"/>
        <v>2026 NOV-FEB B3 DISC 10%</v>
      </c>
      <c r="B5" s="35">
        <f>B3</f>
        <v>46086</v>
      </c>
      <c r="C5" s="35">
        <f>C3</f>
        <v>46092</v>
      </c>
      <c r="D5" s="34">
        <v>3284</v>
      </c>
      <c r="E5" s="34">
        <v>338</v>
      </c>
      <c r="F5" s="34">
        <v>4</v>
      </c>
      <c r="G5" s="25">
        <v>8</v>
      </c>
      <c r="H5" s="25">
        <v>81847</v>
      </c>
      <c r="I5" s="34" t="s">
        <v>2690</v>
      </c>
      <c r="J5" s="24">
        <v>59174188</v>
      </c>
      <c r="K5" s="24" t="s">
        <v>7116</v>
      </c>
      <c r="L5" s="24" t="s">
        <v>7117</v>
      </c>
      <c r="M5" s="26">
        <v>149900</v>
      </c>
      <c r="N5" s="34" t="s">
        <v>2569</v>
      </c>
      <c r="O5" s="36" t="str">
        <f t="shared" si="0"/>
        <v>B3 DISC 10%</v>
      </c>
      <c r="P5" s="34" t="s">
        <v>2569</v>
      </c>
    </row>
    <row r="6" spans="1:16" x14ac:dyDescent="0.35">
      <c r="A6" s="34" t="str">
        <f t="shared" si="1"/>
        <v>2026 NOV-FEB B3 DISC 10%</v>
      </c>
      <c r="B6" s="35">
        <f t="shared" ref="B6:B36" si="2">B5</f>
        <v>46086</v>
      </c>
      <c r="C6" s="35">
        <f t="shared" ref="C6:C36" si="3">C5</f>
        <v>46092</v>
      </c>
      <c r="D6" s="34">
        <v>3284</v>
      </c>
      <c r="E6" s="34">
        <v>338</v>
      </c>
      <c r="F6" s="34">
        <v>4</v>
      </c>
      <c r="G6" s="25">
        <v>8</v>
      </c>
      <c r="H6" s="25">
        <v>81847</v>
      </c>
      <c r="I6" s="34" t="s">
        <v>2690</v>
      </c>
      <c r="J6" s="24">
        <v>59174197</v>
      </c>
      <c r="K6" s="24" t="s">
        <v>7116</v>
      </c>
      <c r="L6" s="24" t="s">
        <v>7115</v>
      </c>
      <c r="M6" s="26">
        <v>149900</v>
      </c>
      <c r="N6" s="34" t="s">
        <v>2569</v>
      </c>
      <c r="O6" s="36" t="str">
        <f t="shared" si="0"/>
        <v>B3 DISC 10%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46086</v>
      </c>
      <c r="C7" s="35">
        <f t="shared" si="3"/>
        <v>46092</v>
      </c>
      <c r="D7" s="34">
        <v>3284</v>
      </c>
      <c r="E7" s="34">
        <v>338</v>
      </c>
      <c r="F7" s="34">
        <v>4</v>
      </c>
      <c r="G7" s="25">
        <v>8</v>
      </c>
      <c r="H7" s="25">
        <v>81847</v>
      </c>
      <c r="I7" s="34" t="s">
        <v>2690</v>
      </c>
      <c r="J7" s="24">
        <v>59174106</v>
      </c>
      <c r="K7" s="24" t="s">
        <v>7110</v>
      </c>
      <c r="L7" s="24" t="s">
        <v>7114</v>
      </c>
      <c r="M7" s="26">
        <v>129900</v>
      </c>
      <c r="N7" s="34" t="s">
        <v>2569</v>
      </c>
      <c r="O7" s="36" t="str">
        <f t="shared" si="0"/>
        <v>B3 DISC 10%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46086</v>
      </c>
      <c r="C8" s="35">
        <f t="shared" si="3"/>
        <v>46092</v>
      </c>
      <c r="D8" s="34">
        <v>3284</v>
      </c>
      <c r="E8" s="34">
        <v>338</v>
      </c>
      <c r="F8" s="34">
        <v>4</v>
      </c>
      <c r="G8" s="25">
        <v>8</v>
      </c>
      <c r="H8" s="25">
        <v>81847</v>
      </c>
      <c r="I8" s="34" t="s">
        <v>2690</v>
      </c>
      <c r="J8" s="24">
        <v>59174115</v>
      </c>
      <c r="K8" s="24" t="s">
        <v>7110</v>
      </c>
      <c r="L8" s="24" t="s">
        <v>7113</v>
      </c>
      <c r="M8" s="26">
        <v>129900</v>
      </c>
      <c r="N8" s="34" t="s">
        <v>2569</v>
      </c>
      <c r="O8" s="36" t="str">
        <f t="shared" si="0"/>
        <v>B3 DISC 10%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46086</v>
      </c>
      <c r="C9" s="35">
        <f t="shared" si="3"/>
        <v>46092</v>
      </c>
      <c r="D9" s="34">
        <v>3284</v>
      </c>
      <c r="E9" s="34">
        <v>338</v>
      </c>
      <c r="F9" s="34">
        <v>4</v>
      </c>
      <c r="G9" s="25">
        <v>8</v>
      </c>
      <c r="H9" s="25">
        <v>81847</v>
      </c>
      <c r="I9" s="34" t="s">
        <v>2690</v>
      </c>
      <c r="J9" s="24">
        <v>59174124</v>
      </c>
      <c r="K9" s="24" t="s">
        <v>7110</v>
      </c>
      <c r="L9" s="24" t="s">
        <v>7112</v>
      </c>
      <c r="M9" s="26">
        <v>129900</v>
      </c>
      <c r="N9" s="34" t="s">
        <v>2569</v>
      </c>
      <c r="O9" s="36" t="str">
        <f t="shared" si="0"/>
        <v>B3 DISC 10%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46086</v>
      </c>
      <c r="C10" s="35">
        <f t="shared" si="3"/>
        <v>46092</v>
      </c>
      <c r="D10" s="34">
        <v>3284</v>
      </c>
      <c r="E10" s="34">
        <v>338</v>
      </c>
      <c r="F10" s="34">
        <v>4</v>
      </c>
      <c r="G10" s="25">
        <v>8</v>
      </c>
      <c r="H10" s="25">
        <v>81847</v>
      </c>
      <c r="I10" s="34" t="s">
        <v>2690</v>
      </c>
      <c r="J10" s="24">
        <v>59174133</v>
      </c>
      <c r="K10" s="24" t="s">
        <v>7110</v>
      </c>
      <c r="L10" s="24" t="s">
        <v>7111</v>
      </c>
      <c r="M10" s="26">
        <v>129900</v>
      </c>
      <c r="N10" s="34" t="s">
        <v>2569</v>
      </c>
      <c r="O10" s="36" t="str">
        <f t="shared" si="0"/>
        <v>B3 DISC 10%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46086</v>
      </c>
      <c r="C11" s="35">
        <f t="shared" si="3"/>
        <v>46092</v>
      </c>
      <c r="D11" s="34">
        <v>3284</v>
      </c>
      <c r="E11" s="34">
        <v>338</v>
      </c>
      <c r="F11" s="34">
        <v>4</v>
      </c>
      <c r="G11" s="25">
        <v>8</v>
      </c>
      <c r="H11" s="25">
        <v>81847</v>
      </c>
      <c r="I11" s="34" t="s">
        <v>2690</v>
      </c>
      <c r="J11" s="24">
        <v>59174142</v>
      </c>
      <c r="K11" s="24" t="s">
        <v>7110</v>
      </c>
      <c r="L11" s="24" t="s">
        <v>7109</v>
      </c>
      <c r="M11" s="26">
        <v>129900</v>
      </c>
      <c r="N11" s="34" t="s">
        <v>2569</v>
      </c>
      <c r="O11" s="36" t="str">
        <f t="shared" si="0"/>
        <v>B3 DISC 10%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46086</v>
      </c>
      <c r="C12" s="35">
        <f t="shared" si="3"/>
        <v>46092</v>
      </c>
      <c r="D12" s="34">
        <v>3284</v>
      </c>
      <c r="E12" s="34">
        <v>338</v>
      </c>
      <c r="F12" s="34">
        <v>4</v>
      </c>
      <c r="G12" s="25">
        <v>8</v>
      </c>
      <c r="H12" s="25">
        <v>81847</v>
      </c>
      <c r="I12" s="34" t="s">
        <v>2690</v>
      </c>
      <c r="J12" s="24">
        <v>59174053</v>
      </c>
      <c r="K12" s="24" t="s">
        <v>7104</v>
      </c>
      <c r="L12" s="24" t="s">
        <v>7108</v>
      </c>
      <c r="M12" s="26">
        <v>149900</v>
      </c>
      <c r="N12" s="34" t="s">
        <v>2569</v>
      </c>
      <c r="O12" s="36" t="str">
        <f t="shared" si="0"/>
        <v>B3 DISC 10%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46086</v>
      </c>
      <c r="C13" s="35">
        <f t="shared" si="3"/>
        <v>46092</v>
      </c>
      <c r="D13" s="34">
        <v>3284</v>
      </c>
      <c r="E13" s="34">
        <v>338</v>
      </c>
      <c r="F13" s="34">
        <v>4</v>
      </c>
      <c r="G13" s="25">
        <v>8</v>
      </c>
      <c r="H13" s="25">
        <v>81847</v>
      </c>
      <c r="I13" s="34" t="s">
        <v>2690</v>
      </c>
      <c r="J13" s="24">
        <v>59174062</v>
      </c>
      <c r="K13" s="24" t="s">
        <v>7104</v>
      </c>
      <c r="L13" s="24" t="s">
        <v>7107</v>
      </c>
      <c r="M13" s="26">
        <v>149900</v>
      </c>
      <c r="N13" s="34" t="s">
        <v>2569</v>
      </c>
      <c r="O13" s="36" t="str">
        <f t="shared" si="0"/>
        <v>B3 DISC 10%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46086</v>
      </c>
      <c r="C14" s="35">
        <f t="shared" si="3"/>
        <v>46092</v>
      </c>
      <c r="D14" s="34">
        <v>3284</v>
      </c>
      <c r="E14" s="34">
        <v>338</v>
      </c>
      <c r="F14" s="34">
        <v>4</v>
      </c>
      <c r="G14" s="25">
        <v>8</v>
      </c>
      <c r="H14" s="25">
        <v>81847</v>
      </c>
      <c r="I14" s="34" t="s">
        <v>2690</v>
      </c>
      <c r="J14" s="24">
        <v>59174071</v>
      </c>
      <c r="K14" s="24" t="s">
        <v>7104</v>
      </c>
      <c r="L14" s="24" t="s">
        <v>7106</v>
      </c>
      <c r="M14" s="26">
        <v>149900</v>
      </c>
      <c r="N14" s="34" t="s">
        <v>2569</v>
      </c>
      <c r="O14" s="36" t="str">
        <f t="shared" si="0"/>
        <v>B3 DISC 10%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46086</v>
      </c>
      <c r="C15" s="35">
        <f t="shared" si="3"/>
        <v>46092</v>
      </c>
      <c r="D15" s="34">
        <v>3284</v>
      </c>
      <c r="E15" s="34">
        <v>338</v>
      </c>
      <c r="F15" s="34">
        <v>4</v>
      </c>
      <c r="G15" s="25">
        <v>8</v>
      </c>
      <c r="H15" s="25">
        <v>81847</v>
      </c>
      <c r="I15" s="34" t="s">
        <v>2690</v>
      </c>
      <c r="J15" s="24">
        <v>59174080</v>
      </c>
      <c r="K15" s="24" t="s">
        <v>7104</v>
      </c>
      <c r="L15" s="24" t="s">
        <v>7105</v>
      </c>
      <c r="M15" s="26">
        <v>149900</v>
      </c>
      <c r="N15" s="34" t="s">
        <v>2569</v>
      </c>
      <c r="O15" s="36" t="str">
        <f t="shared" si="0"/>
        <v>B3 DISC 10%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46086</v>
      </c>
      <c r="C16" s="35">
        <f t="shared" si="3"/>
        <v>46092</v>
      </c>
      <c r="D16" s="34">
        <v>3284</v>
      </c>
      <c r="E16" s="34">
        <v>338</v>
      </c>
      <c r="F16" s="34">
        <v>4</v>
      </c>
      <c r="G16" s="25">
        <v>8</v>
      </c>
      <c r="H16" s="25">
        <v>81847</v>
      </c>
      <c r="I16" s="34" t="s">
        <v>2690</v>
      </c>
      <c r="J16" s="24">
        <v>59174099</v>
      </c>
      <c r="K16" s="24" t="s">
        <v>7104</v>
      </c>
      <c r="L16" s="24" t="s">
        <v>7103</v>
      </c>
      <c r="M16" s="26">
        <v>149900</v>
      </c>
      <c r="N16" s="34" t="s">
        <v>2569</v>
      </c>
      <c r="O16" s="36" t="str">
        <f t="shared" si="0"/>
        <v>B3 DISC 10%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46086</v>
      </c>
      <c r="C17" s="35">
        <f t="shared" si="3"/>
        <v>46092</v>
      </c>
      <c r="D17" s="34">
        <v>3284</v>
      </c>
      <c r="E17" s="34">
        <v>338</v>
      </c>
      <c r="F17" s="34">
        <v>4</v>
      </c>
      <c r="G17" s="25">
        <v>8</v>
      </c>
      <c r="H17" s="25">
        <v>81005</v>
      </c>
      <c r="I17" s="34" t="s">
        <v>2690</v>
      </c>
      <c r="J17" s="24">
        <v>59173894</v>
      </c>
      <c r="K17" s="24" t="s">
        <v>7099</v>
      </c>
      <c r="L17" s="24" t="s">
        <v>7102</v>
      </c>
      <c r="M17" s="26">
        <v>149900</v>
      </c>
      <c r="N17" s="34" t="s">
        <v>2569</v>
      </c>
      <c r="O17" s="36" t="str">
        <f t="shared" si="0"/>
        <v>B3 DISC 10%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46086</v>
      </c>
      <c r="C18" s="35">
        <f t="shared" si="3"/>
        <v>46092</v>
      </c>
      <c r="D18" s="34">
        <v>3284</v>
      </c>
      <c r="E18" s="34">
        <v>338</v>
      </c>
      <c r="F18" s="34">
        <v>4</v>
      </c>
      <c r="G18" s="25">
        <v>8</v>
      </c>
      <c r="H18" s="25">
        <v>81005</v>
      </c>
      <c r="I18" s="34" t="s">
        <v>2690</v>
      </c>
      <c r="J18" s="24">
        <v>59173901</v>
      </c>
      <c r="K18" s="24" t="s">
        <v>7099</v>
      </c>
      <c r="L18" s="24" t="s">
        <v>7101</v>
      </c>
      <c r="M18" s="26">
        <v>149900</v>
      </c>
      <c r="N18" s="34" t="s">
        <v>2569</v>
      </c>
      <c r="O18" s="36" t="str">
        <f t="shared" si="0"/>
        <v>B3 DISC 10%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46086</v>
      </c>
      <c r="C19" s="35">
        <f t="shared" si="3"/>
        <v>46092</v>
      </c>
      <c r="D19" s="34">
        <v>3284</v>
      </c>
      <c r="E19" s="34">
        <v>338</v>
      </c>
      <c r="F19" s="34">
        <v>4</v>
      </c>
      <c r="G19" s="25">
        <v>8</v>
      </c>
      <c r="H19" s="25">
        <v>81005</v>
      </c>
      <c r="I19" s="34" t="s">
        <v>2690</v>
      </c>
      <c r="J19" s="24">
        <v>59173910</v>
      </c>
      <c r="K19" s="24" t="s">
        <v>7099</v>
      </c>
      <c r="L19" s="24" t="s">
        <v>7100</v>
      </c>
      <c r="M19" s="26">
        <v>149900</v>
      </c>
      <c r="N19" s="34" t="s">
        <v>2569</v>
      </c>
      <c r="O19" s="36" t="str">
        <f t="shared" si="0"/>
        <v>B3 DISC 10%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46086</v>
      </c>
      <c r="C20" s="35">
        <f t="shared" si="3"/>
        <v>46092</v>
      </c>
      <c r="D20" s="34">
        <v>3284</v>
      </c>
      <c r="E20" s="34">
        <v>338</v>
      </c>
      <c r="F20" s="34">
        <v>4</v>
      </c>
      <c r="G20" s="25">
        <v>8</v>
      </c>
      <c r="H20" s="25">
        <v>81005</v>
      </c>
      <c r="I20" s="34" t="s">
        <v>2690</v>
      </c>
      <c r="J20" s="24">
        <v>59173929</v>
      </c>
      <c r="K20" s="24" t="s">
        <v>7099</v>
      </c>
      <c r="L20" s="24" t="s">
        <v>7098</v>
      </c>
      <c r="M20" s="26">
        <v>149900</v>
      </c>
      <c r="N20" s="34" t="s">
        <v>2569</v>
      </c>
      <c r="O20" s="36" t="str">
        <f t="shared" si="0"/>
        <v>B3 DISC 10%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46086</v>
      </c>
      <c r="C21" s="35">
        <f t="shared" si="3"/>
        <v>46092</v>
      </c>
      <c r="D21" s="34">
        <v>3284</v>
      </c>
      <c r="E21" s="34">
        <v>338</v>
      </c>
      <c r="F21" s="34">
        <v>4</v>
      </c>
      <c r="G21" s="25">
        <v>8</v>
      </c>
      <c r="H21" s="25">
        <v>81005</v>
      </c>
      <c r="I21" s="34" t="s">
        <v>2690</v>
      </c>
      <c r="J21" s="24">
        <v>68155806</v>
      </c>
      <c r="K21" s="24" t="s">
        <v>7094</v>
      </c>
      <c r="L21" s="24" t="s">
        <v>7097</v>
      </c>
      <c r="M21" s="26">
        <v>129900</v>
      </c>
      <c r="N21" s="34" t="s">
        <v>2569</v>
      </c>
      <c r="O21" s="36" t="str">
        <f t="shared" si="0"/>
        <v>B3 DISC 10%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46086</v>
      </c>
      <c r="C22" s="35">
        <f t="shared" si="3"/>
        <v>46092</v>
      </c>
      <c r="D22" s="34">
        <v>3284</v>
      </c>
      <c r="E22" s="34">
        <v>338</v>
      </c>
      <c r="F22" s="34">
        <v>4</v>
      </c>
      <c r="G22" s="25">
        <v>8</v>
      </c>
      <c r="H22" s="25">
        <v>81005</v>
      </c>
      <c r="I22" s="34" t="s">
        <v>2690</v>
      </c>
      <c r="J22" s="24">
        <v>68155815</v>
      </c>
      <c r="K22" s="24" t="s">
        <v>7094</v>
      </c>
      <c r="L22" s="24" t="s">
        <v>7096</v>
      </c>
      <c r="M22" s="26">
        <v>129900</v>
      </c>
      <c r="N22" s="34" t="s">
        <v>2569</v>
      </c>
      <c r="O22" s="36" t="str">
        <f t="shared" si="0"/>
        <v>B3 DISC 10%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46086</v>
      </c>
      <c r="C23" s="35">
        <f t="shared" si="3"/>
        <v>46092</v>
      </c>
      <c r="D23" s="34">
        <v>3284</v>
      </c>
      <c r="E23" s="34">
        <v>338</v>
      </c>
      <c r="F23" s="34">
        <v>4</v>
      </c>
      <c r="G23" s="25">
        <v>8</v>
      </c>
      <c r="H23" s="25">
        <v>81005</v>
      </c>
      <c r="I23" s="34" t="s">
        <v>2690</v>
      </c>
      <c r="J23" s="24">
        <v>68155824</v>
      </c>
      <c r="K23" s="24" t="s">
        <v>7094</v>
      </c>
      <c r="L23" s="24" t="s">
        <v>7095</v>
      </c>
      <c r="M23" s="26">
        <v>129900</v>
      </c>
      <c r="N23" s="34" t="s">
        <v>2569</v>
      </c>
      <c r="O23" s="36" t="str">
        <f t="shared" si="0"/>
        <v>B3 DISC 10%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46086</v>
      </c>
      <c r="C24" s="35">
        <f t="shared" si="3"/>
        <v>46092</v>
      </c>
      <c r="D24" s="34">
        <v>3284</v>
      </c>
      <c r="E24" s="34">
        <v>338</v>
      </c>
      <c r="F24" s="34">
        <v>4</v>
      </c>
      <c r="G24" s="25">
        <v>8</v>
      </c>
      <c r="H24" s="25">
        <v>81005</v>
      </c>
      <c r="I24" s="34" t="s">
        <v>2690</v>
      </c>
      <c r="J24" s="24">
        <v>68155833</v>
      </c>
      <c r="K24" s="24" t="s">
        <v>7094</v>
      </c>
      <c r="L24" s="24" t="s">
        <v>7093</v>
      </c>
      <c r="M24" s="26">
        <v>129900</v>
      </c>
      <c r="N24" s="34" t="s">
        <v>2569</v>
      </c>
      <c r="O24" s="36" t="str">
        <f t="shared" si="0"/>
        <v>B3 DISC 10%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46086</v>
      </c>
      <c r="C25" s="35">
        <f t="shared" si="3"/>
        <v>46092</v>
      </c>
      <c r="D25" s="34">
        <v>3284</v>
      </c>
      <c r="E25" s="34">
        <v>338</v>
      </c>
      <c r="F25" s="34">
        <v>4</v>
      </c>
      <c r="G25" s="25">
        <v>8</v>
      </c>
      <c r="H25" s="25">
        <v>81005</v>
      </c>
      <c r="I25" s="34" t="s">
        <v>2690</v>
      </c>
      <c r="J25" s="24">
        <v>68155922</v>
      </c>
      <c r="K25" s="24" t="s">
        <v>7089</v>
      </c>
      <c r="L25" s="24" t="s">
        <v>7092</v>
      </c>
      <c r="M25" s="26">
        <v>149900</v>
      </c>
      <c r="N25" s="34" t="s">
        <v>2569</v>
      </c>
      <c r="O25" s="36" t="str">
        <f t="shared" si="0"/>
        <v>B3 DISC 10%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46086</v>
      </c>
      <c r="C26" s="35">
        <f t="shared" si="3"/>
        <v>46092</v>
      </c>
      <c r="D26" s="34">
        <v>3284</v>
      </c>
      <c r="E26" s="34">
        <v>338</v>
      </c>
      <c r="F26" s="34">
        <v>4</v>
      </c>
      <c r="G26" s="25">
        <v>8</v>
      </c>
      <c r="H26" s="25">
        <v>81005</v>
      </c>
      <c r="I26" s="34" t="s">
        <v>2690</v>
      </c>
      <c r="J26" s="24">
        <v>68155931</v>
      </c>
      <c r="K26" s="24" t="s">
        <v>7089</v>
      </c>
      <c r="L26" s="24" t="s">
        <v>7091</v>
      </c>
      <c r="M26" s="26">
        <v>149900</v>
      </c>
      <c r="N26" s="34" t="s">
        <v>2569</v>
      </c>
      <c r="O26" s="36" t="str">
        <f t="shared" si="0"/>
        <v>B3 DISC 10%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46086</v>
      </c>
      <c r="C27" s="35">
        <f t="shared" si="3"/>
        <v>46092</v>
      </c>
      <c r="D27" s="34">
        <v>3284</v>
      </c>
      <c r="E27" s="34">
        <v>338</v>
      </c>
      <c r="F27" s="34">
        <v>4</v>
      </c>
      <c r="G27" s="25">
        <v>8</v>
      </c>
      <c r="H27" s="25">
        <v>81005</v>
      </c>
      <c r="I27" s="34" t="s">
        <v>2690</v>
      </c>
      <c r="J27" s="24">
        <v>68155940</v>
      </c>
      <c r="K27" s="24" t="s">
        <v>7089</v>
      </c>
      <c r="L27" s="24" t="s">
        <v>7090</v>
      </c>
      <c r="M27" s="26">
        <v>149900</v>
      </c>
      <c r="N27" s="34" t="s">
        <v>2569</v>
      </c>
      <c r="O27" s="36" t="str">
        <f t="shared" si="0"/>
        <v>B3 DISC 10%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46086</v>
      </c>
      <c r="C28" s="35">
        <f t="shared" si="3"/>
        <v>46092</v>
      </c>
      <c r="D28" s="34">
        <v>3284</v>
      </c>
      <c r="E28" s="34">
        <v>338</v>
      </c>
      <c r="F28" s="34">
        <v>4</v>
      </c>
      <c r="G28" s="25">
        <v>8</v>
      </c>
      <c r="H28" s="25">
        <v>81005</v>
      </c>
      <c r="I28" s="34" t="s">
        <v>2690</v>
      </c>
      <c r="J28" s="24">
        <v>68155959</v>
      </c>
      <c r="K28" s="24" t="s">
        <v>7089</v>
      </c>
      <c r="L28" s="24" t="s">
        <v>7088</v>
      </c>
      <c r="M28" s="26">
        <v>149900</v>
      </c>
      <c r="N28" s="34" t="s">
        <v>2569</v>
      </c>
      <c r="O28" s="36" t="str">
        <f t="shared" si="0"/>
        <v>B3 DISC 10%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46086</v>
      </c>
      <c r="C29" s="35">
        <f t="shared" si="3"/>
        <v>46092</v>
      </c>
      <c r="D29" s="34">
        <v>3284</v>
      </c>
      <c r="E29" s="34">
        <v>338</v>
      </c>
      <c r="F29" s="34">
        <v>4</v>
      </c>
      <c r="G29" s="25">
        <v>8</v>
      </c>
      <c r="H29" s="25">
        <v>81005</v>
      </c>
      <c r="I29" s="34" t="s">
        <v>2690</v>
      </c>
      <c r="J29" s="24">
        <v>68155842</v>
      </c>
      <c r="K29" s="24" t="s">
        <v>7084</v>
      </c>
      <c r="L29" s="24" t="s">
        <v>7087</v>
      </c>
      <c r="M29" s="26">
        <v>129900</v>
      </c>
      <c r="N29" s="34" t="s">
        <v>2569</v>
      </c>
      <c r="O29" s="36" t="str">
        <f t="shared" si="0"/>
        <v>B3 DISC 10%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46086</v>
      </c>
      <c r="C30" s="35">
        <f t="shared" si="3"/>
        <v>46092</v>
      </c>
      <c r="D30" s="34">
        <v>3284</v>
      </c>
      <c r="E30" s="34">
        <v>338</v>
      </c>
      <c r="F30" s="34">
        <v>4</v>
      </c>
      <c r="G30" s="25">
        <v>8</v>
      </c>
      <c r="H30" s="25">
        <v>81005</v>
      </c>
      <c r="I30" s="34" t="s">
        <v>2690</v>
      </c>
      <c r="J30" s="24">
        <v>68155851</v>
      </c>
      <c r="K30" s="24" t="s">
        <v>7084</v>
      </c>
      <c r="L30" s="24" t="s">
        <v>7086</v>
      </c>
      <c r="M30" s="26">
        <v>129900</v>
      </c>
      <c r="N30" s="34" t="s">
        <v>2569</v>
      </c>
      <c r="O30" s="36" t="str">
        <f t="shared" si="0"/>
        <v>B3 DISC 10%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46086</v>
      </c>
      <c r="C31" s="35">
        <f t="shared" si="3"/>
        <v>46092</v>
      </c>
      <c r="D31" s="34">
        <v>3284</v>
      </c>
      <c r="E31" s="34">
        <v>338</v>
      </c>
      <c r="F31" s="34">
        <v>4</v>
      </c>
      <c r="G31" s="25">
        <v>8</v>
      </c>
      <c r="H31" s="25">
        <v>81005</v>
      </c>
      <c r="I31" s="34" t="s">
        <v>2690</v>
      </c>
      <c r="J31" s="24">
        <v>68155860</v>
      </c>
      <c r="K31" s="24" t="s">
        <v>7084</v>
      </c>
      <c r="L31" s="24" t="s">
        <v>7085</v>
      </c>
      <c r="M31" s="26">
        <v>129900</v>
      </c>
      <c r="N31" s="34" t="s">
        <v>2569</v>
      </c>
      <c r="O31" s="36" t="str">
        <f t="shared" si="0"/>
        <v>B3 DISC 10%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46086</v>
      </c>
      <c r="C32" s="35">
        <f t="shared" si="3"/>
        <v>46092</v>
      </c>
      <c r="D32" s="34">
        <v>3284</v>
      </c>
      <c r="E32" s="34">
        <v>338</v>
      </c>
      <c r="F32" s="34">
        <v>4</v>
      </c>
      <c r="G32" s="25">
        <v>8</v>
      </c>
      <c r="H32" s="25">
        <v>81005</v>
      </c>
      <c r="I32" s="34" t="s">
        <v>2690</v>
      </c>
      <c r="J32" s="24">
        <v>68155879</v>
      </c>
      <c r="K32" s="24" t="s">
        <v>7084</v>
      </c>
      <c r="L32" s="24" t="s">
        <v>7083</v>
      </c>
      <c r="M32" s="26">
        <v>129900</v>
      </c>
      <c r="N32" s="34" t="s">
        <v>2569</v>
      </c>
      <c r="O32" s="36" t="str">
        <f t="shared" si="0"/>
        <v>B3 DISC 10%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46086</v>
      </c>
      <c r="C33" s="35">
        <f t="shared" si="3"/>
        <v>46092</v>
      </c>
      <c r="D33" s="34">
        <v>3284</v>
      </c>
      <c r="E33" s="34">
        <v>338</v>
      </c>
      <c r="F33" s="34">
        <v>4</v>
      </c>
      <c r="G33" s="25">
        <v>8</v>
      </c>
      <c r="H33" s="25">
        <v>81005</v>
      </c>
      <c r="I33" s="34" t="s">
        <v>2690</v>
      </c>
      <c r="J33" s="24">
        <v>68155888</v>
      </c>
      <c r="K33" s="24" t="s">
        <v>6916</v>
      </c>
      <c r="L33" s="24" t="s">
        <v>7082</v>
      </c>
      <c r="M33" s="26">
        <v>149900</v>
      </c>
      <c r="N33" s="34" t="s">
        <v>2569</v>
      </c>
      <c r="O33" s="36" t="str">
        <f t="shared" si="0"/>
        <v>B3 DISC 10%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46086</v>
      </c>
      <c r="C34" s="35">
        <f t="shared" si="3"/>
        <v>46092</v>
      </c>
      <c r="D34" s="34">
        <v>3284</v>
      </c>
      <c r="E34" s="34">
        <v>338</v>
      </c>
      <c r="F34" s="34">
        <v>4</v>
      </c>
      <c r="G34" s="25">
        <v>8</v>
      </c>
      <c r="H34" s="25">
        <v>81005</v>
      </c>
      <c r="I34" s="34" t="s">
        <v>2690</v>
      </c>
      <c r="J34" s="24">
        <v>68155897</v>
      </c>
      <c r="K34" s="24" t="s">
        <v>6916</v>
      </c>
      <c r="L34" s="24" t="s">
        <v>7081</v>
      </c>
      <c r="M34" s="26">
        <v>149900</v>
      </c>
      <c r="N34" s="34" t="s">
        <v>2569</v>
      </c>
      <c r="O34" s="36" t="str">
        <f t="shared" si="0"/>
        <v>B3 DISC 10%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46086</v>
      </c>
      <c r="C35" s="35">
        <f t="shared" si="3"/>
        <v>46092</v>
      </c>
      <c r="D35" s="34">
        <v>3284</v>
      </c>
      <c r="E35" s="34">
        <v>338</v>
      </c>
      <c r="F35" s="34">
        <v>4</v>
      </c>
      <c r="G35" s="25">
        <v>8</v>
      </c>
      <c r="H35" s="25">
        <v>81005</v>
      </c>
      <c r="I35" s="34" t="s">
        <v>2690</v>
      </c>
      <c r="J35" s="24">
        <v>68155904</v>
      </c>
      <c r="K35" s="24" t="s">
        <v>6916</v>
      </c>
      <c r="L35" s="24" t="s">
        <v>7080</v>
      </c>
      <c r="M35" s="26">
        <v>149900</v>
      </c>
      <c r="N35" s="34" t="s">
        <v>2569</v>
      </c>
      <c r="O35" s="36" t="str">
        <f t="shared" si="0"/>
        <v>B3 DISC 10%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46086</v>
      </c>
      <c r="C36" s="35">
        <f t="shared" si="3"/>
        <v>46092</v>
      </c>
      <c r="D36" s="34">
        <v>3284</v>
      </c>
      <c r="E36" s="34">
        <v>338</v>
      </c>
      <c r="F36" s="34">
        <v>4</v>
      </c>
      <c r="G36" s="25">
        <v>8</v>
      </c>
      <c r="H36" s="25">
        <v>81005</v>
      </c>
      <c r="I36" s="34" t="s">
        <v>2690</v>
      </c>
      <c r="J36" s="24">
        <v>68155913</v>
      </c>
      <c r="K36" s="24" t="s">
        <v>6916</v>
      </c>
      <c r="L36" s="24" t="s">
        <v>7079</v>
      </c>
      <c r="M36" s="26">
        <v>149900</v>
      </c>
      <c r="N36" s="34" t="s">
        <v>2569</v>
      </c>
      <c r="O36" s="36" t="str">
        <f t="shared" si="0"/>
        <v>B3 DISC 10%</v>
      </c>
      <c r="P36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25"/>
  <sheetViews>
    <sheetView zoomScale="80" zoomScaleNormal="8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'2019 ALL D95 - 3281'!B3</f>
        <v>46086</v>
      </c>
      <c r="C2" s="35">
        <f>'2019 ALL D95 - 3281'!C3</f>
        <v>46092</v>
      </c>
      <c r="D2" s="34">
        <v>3284</v>
      </c>
      <c r="E2" s="34">
        <v>338</v>
      </c>
      <c r="F2" s="34">
        <v>4</v>
      </c>
      <c r="G2" s="25">
        <v>8</v>
      </c>
      <c r="H2" s="24">
        <v>80942</v>
      </c>
      <c r="I2" s="34" t="s">
        <v>17</v>
      </c>
      <c r="J2" s="25">
        <v>59173858</v>
      </c>
      <c r="K2" s="25" t="s">
        <v>6311</v>
      </c>
      <c r="L2" s="24" t="s">
        <v>6314</v>
      </c>
      <c r="M2" s="26">
        <v>129900</v>
      </c>
      <c r="N2" s="22">
        <v>0.3</v>
      </c>
      <c r="O2" s="34">
        <f>M2-((30*M2)/100)</f>
        <v>90930</v>
      </c>
      <c r="P2" s="22" t="s">
        <v>16</v>
      </c>
    </row>
    <row r="3" spans="1:16" x14ac:dyDescent="0.35">
      <c r="A3" s="34" t="s">
        <v>6748</v>
      </c>
      <c r="B3" s="35">
        <f t="shared" ref="B3:C4" si="0">B2</f>
        <v>46086</v>
      </c>
      <c r="C3" s="35">
        <f t="shared" si="0"/>
        <v>46092</v>
      </c>
      <c r="D3" s="34">
        <v>3284</v>
      </c>
      <c r="E3" s="34">
        <v>338</v>
      </c>
      <c r="F3" s="34">
        <v>4</v>
      </c>
      <c r="G3" s="25">
        <v>8</v>
      </c>
      <c r="H3" s="24">
        <v>80942</v>
      </c>
      <c r="I3" s="34" t="s">
        <v>17</v>
      </c>
      <c r="J3" s="25">
        <v>59173867</v>
      </c>
      <c r="K3" s="25" t="s">
        <v>6311</v>
      </c>
      <c r="L3" s="24" t="s">
        <v>6313</v>
      </c>
      <c r="M3" s="26">
        <v>129900</v>
      </c>
      <c r="N3" s="22">
        <f>N2</f>
        <v>0.3</v>
      </c>
      <c r="O3" s="34">
        <f t="shared" ref="O3:O25" si="1">M3-((30*M3)/100)</f>
        <v>90930</v>
      </c>
      <c r="P3" s="22" t="s">
        <v>16</v>
      </c>
    </row>
    <row r="4" spans="1:16" x14ac:dyDescent="0.35">
      <c r="A4" s="34" t="s">
        <v>6748</v>
      </c>
      <c r="B4" s="35">
        <f t="shared" si="0"/>
        <v>46086</v>
      </c>
      <c r="C4" s="35">
        <f t="shared" si="0"/>
        <v>46092</v>
      </c>
      <c r="D4" s="34">
        <v>3284</v>
      </c>
      <c r="E4" s="34">
        <v>338</v>
      </c>
      <c r="F4" s="34">
        <v>4</v>
      </c>
      <c r="G4" s="25">
        <v>8</v>
      </c>
      <c r="H4" s="24">
        <v>80942</v>
      </c>
      <c r="I4" s="34" t="s">
        <v>17</v>
      </c>
      <c r="J4" s="25">
        <v>59173876</v>
      </c>
      <c r="K4" s="25" t="s">
        <v>6311</v>
      </c>
      <c r="L4" s="24" t="s">
        <v>6312</v>
      </c>
      <c r="M4" s="26">
        <v>129900</v>
      </c>
      <c r="N4" s="22">
        <f t="shared" ref="N4:N19" si="2">N3</f>
        <v>0.3</v>
      </c>
      <c r="O4" s="34">
        <f t="shared" si="1"/>
        <v>90930</v>
      </c>
      <c r="P4" s="22" t="s">
        <v>16</v>
      </c>
    </row>
    <row r="5" spans="1:16" x14ac:dyDescent="0.35">
      <c r="A5" s="34" t="s">
        <v>6748</v>
      </c>
      <c r="B5" s="35">
        <f t="shared" ref="B5:C20" si="3">B4</f>
        <v>46086</v>
      </c>
      <c r="C5" s="35">
        <f t="shared" si="3"/>
        <v>46092</v>
      </c>
      <c r="D5" s="34">
        <v>3284</v>
      </c>
      <c r="E5" s="34">
        <v>338</v>
      </c>
      <c r="F5" s="34">
        <v>4</v>
      </c>
      <c r="G5" s="25">
        <v>8</v>
      </c>
      <c r="H5" s="24">
        <v>80942</v>
      </c>
      <c r="I5" s="34" t="s">
        <v>17</v>
      </c>
      <c r="J5" s="25">
        <v>59173885</v>
      </c>
      <c r="K5" s="25" t="s">
        <v>6311</v>
      </c>
      <c r="L5" s="24" t="s">
        <v>6315</v>
      </c>
      <c r="M5" s="26">
        <v>129900</v>
      </c>
      <c r="N5" s="22">
        <f t="shared" si="2"/>
        <v>0.3</v>
      </c>
      <c r="O5" s="34">
        <f t="shared" si="1"/>
        <v>90930</v>
      </c>
      <c r="P5" s="22" t="s">
        <v>16</v>
      </c>
    </row>
    <row r="6" spans="1:16" x14ac:dyDescent="0.35">
      <c r="A6" s="34" t="s">
        <v>6748</v>
      </c>
      <c r="B6" s="35">
        <f t="shared" si="3"/>
        <v>46086</v>
      </c>
      <c r="C6" s="35">
        <f t="shared" si="3"/>
        <v>46092</v>
      </c>
      <c r="D6" s="34">
        <v>3284</v>
      </c>
      <c r="E6" s="34">
        <v>338</v>
      </c>
      <c r="F6" s="34">
        <v>4</v>
      </c>
      <c r="G6" s="25">
        <v>8</v>
      </c>
      <c r="H6" s="24">
        <v>80942</v>
      </c>
      <c r="I6" s="34" t="s">
        <v>17</v>
      </c>
      <c r="J6" s="25">
        <v>59173812</v>
      </c>
      <c r="K6" s="25" t="s">
        <v>6316</v>
      </c>
      <c r="L6" s="24" t="s">
        <v>6317</v>
      </c>
      <c r="M6" s="26">
        <v>149900</v>
      </c>
      <c r="N6" s="22">
        <f t="shared" si="2"/>
        <v>0.3</v>
      </c>
      <c r="O6" s="34">
        <f t="shared" si="1"/>
        <v>104930</v>
      </c>
      <c r="P6" s="22" t="s">
        <v>16</v>
      </c>
    </row>
    <row r="7" spans="1:16" x14ac:dyDescent="0.35">
      <c r="A7" s="34" t="s">
        <v>6748</v>
      </c>
      <c r="B7" s="35">
        <f t="shared" si="3"/>
        <v>46086</v>
      </c>
      <c r="C7" s="35">
        <f t="shared" si="3"/>
        <v>46092</v>
      </c>
      <c r="D7" s="34">
        <v>3284</v>
      </c>
      <c r="E7" s="34">
        <v>338</v>
      </c>
      <c r="F7" s="34">
        <v>4</v>
      </c>
      <c r="G7" s="25">
        <v>8</v>
      </c>
      <c r="H7" s="24">
        <v>80942</v>
      </c>
      <c r="I7" s="34" t="s">
        <v>17</v>
      </c>
      <c r="J7" s="25">
        <v>59173821</v>
      </c>
      <c r="K7" s="25" t="s">
        <v>6316</v>
      </c>
      <c r="L7" s="24" t="s">
        <v>6318</v>
      </c>
      <c r="M7" s="26">
        <v>149900</v>
      </c>
      <c r="N7" s="22">
        <f t="shared" si="2"/>
        <v>0.3</v>
      </c>
      <c r="O7" s="34">
        <f t="shared" si="1"/>
        <v>104930</v>
      </c>
      <c r="P7" s="22" t="s">
        <v>16</v>
      </c>
    </row>
    <row r="8" spans="1:16" x14ac:dyDescent="0.35">
      <c r="A8" s="34" t="s">
        <v>6748</v>
      </c>
      <c r="B8" s="35">
        <f t="shared" si="3"/>
        <v>46086</v>
      </c>
      <c r="C8" s="35">
        <f t="shared" si="3"/>
        <v>46092</v>
      </c>
      <c r="D8" s="34">
        <v>3284</v>
      </c>
      <c r="E8" s="34">
        <v>338</v>
      </c>
      <c r="F8" s="34">
        <v>4</v>
      </c>
      <c r="G8" s="25">
        <v>8</v>
      </c>
      <c r="H8" s="24">
        <v>80942</v>
      </c>
      <c r="I8" s="34" t="s">
        <v>17</v>
      </c>
      <c r="J8" s="25">
        <v>59173830</v>
      </c>
      <c r="K8" s="25" t="s">
        <v>6316</v>
      </c>
      <c r="L8" s="24" t="s">
        <v>6320</v>
      </c>
      <c r="M8" s="26">
        <v>149900</v>
      </c>
      <c r="N8" s="22">
        <f t="shared" si="2"/>
        <v>0.3</v>
      </c>
      <c r="O8" s="34">
        <f t="shared" si="1"/>
        <v>104930</v>
      </c>
      <c r="P8" s="22" t="s">
        <v>16</v>
      </c>
    </row>
    <row r="9" spans="1:16" x14ac:dyDescent="0.35">
      <c r="A9" s="34" t="s">
        <v>6748</v>
      </c>
      <c r="B9" s="35">
        <f t="shared" si="3"/>
        <v>46086</v>
      </c>
      <c r="C9" s="35">
        <f t="shared" si="3"/>
        <v>46092</v>
      </c>
      <c r="D9" s="34">
        <v>3284</v>
      </c>
      <c r="E9" s="34">
        <v>338</v>
      </c>
      <c r="F9" s="34">
        <v>4</v>
      </c>
      <c r="G9" s="25">
        <v>8</v>
      </c>
      <c r="H9" s="24">
        <v>80942</v>
      </c>
      <c r="I9" s="34" t="s">
        <v>17</v>
      </c>
      <c r="J9" s="25">
        <v>59173849</v>
      </c>
      <c r="K9" s="25" t="s">
        <v>6316</v>
      </c>
      <c r="L9" s="24" t="s">
        <v>6319</v>
      </c>
      <c r="M9" s="26">
        <v>149900</v>
      </c>
      <c r="N9" s="22">
        <f t="shared" si="2"/>
        <v>0.3</v>
      </c>
      <c r="O9" s="34">
        <f t="shared" si="1"/>
        <v>104930</v>
      </c>
      <c r="P9" s="22" t="s">
        <v>16</v>
      </c>
    </row>
    <row r="10" spans="1:16" x14ac:dyDescent="0.35">
      <c r="A10" s="34" t="s">
        <v>6748</v>
      </c>
      <c r="B10" s="35">
        <f t="shared" si="3"/>
        <v>46086</v>
      </c>
      <c r="C10" s="35">
        <f t="shared" si="3"/>
        <v>46092</v>
      </c>
      <c r="D10" s="34">
        <v>3284</v>
      </c>
      <c r="E10" s="34">
        <v>338</v>
      </c>
      <c r="F10" s="34">
        <v>4</v>
      </c>
      <c r="G10" s="25">
        <v>8</v>
      </c>
      <c r="H10" s="24">
        <v>80942</v>
      </c>
      <c r="I10" s="34" t="s">
        <v>17</v>
      </c>
      <c r="J10" s="25">
        <v>59173778</v>
      </c>
      <c r="K10" s="25" t="s">
        <v>6321</v>
      </c>
      <c r="L10" s="24" t="s">
        <v>6324</v>
      </c>
      <c r="M10" s="26">
        <v>79900</v>
      </c>
      <c r="N10" s="22">
        <f t="shared" si="2"/>
        <v>0.3</v>
      </c>
      <c r="O10" s="34">
        <f t="shared" si="1"/>
        <v>55930</v>
      </c>
      <c r="P10" s="22" t="s">
        <v>16</v>
      </c>
    </row>
    <row r="11" spans="1:16" x14ac:dyDescent="0.35">
      <c r="A11" s="34" t="s">
        <v>6748</v>
      </c>
      <c r="B11" s="35">
        <f t="shared" si="3"/>
        <v>46086</v>
      </c>
      <c r="C11" s="35">
        <f t="shared" si="3"/>
        <v>46092</v>
      </c>
      <c r="D11" s="34">
        <v>3284</v>
      </c>
      <c r="E11" s="34">
        <v>338</v>
      </c>
      <c r="F11" s="34">
        <v>4</v>
      </c>
      <c r="G11" s="25">
        <v>8</v>
      </c>
      <c r="H11" s="24">
        <v>80942</v>
      </c>
      <c r="I11" s="34" t="s">
        <v>17</v>
      </c>
      <c r="J11" s="25">
        <v>59173787</v>
      </c>
      <c r="K11" s="25" t="s">
        <v>6321</v>
      </c>
      <c r="L11" s="24" t="s">
        <v>6322</v>
      </c>
      <c r="M11" s="26">
        <v>79900</v>
      </c>
      <c r="N11" s="22">
        <f t="shared" si="2"/>
        <v>0.3</v>
      </c>
      <c r="O11" s="34">
        <f t="shared" si="1"/>
        <v>55930</v>
      </c>
      <c r="P11" s="22" t="s">
        <v>16</v>
      </c>
    </row>
    <row r="12" spans="1:16" x14ac:dyDescent="0.35">
      <c r="A12" s="34" t="s">
        <v>6748</v>
      </c>
      <c r="B12" s="35">
        <f t="shared" si="3"/>
        <v>46086</v>
      </c>
      <c r="C12" s="35">
        <f t="shared" si="3"/>
        <v>46092</v>
      </c>
      <c r="D12" s="34">
        <v>3284</v>
      </c>
      <c r="E12" s="34">
        <v>338</v>
      </c>
      <c r="F12" s="34">
        <v>4</v>
      </c>
      <c r="G12" s="25">
        <v>8</v>
      </c>
      <c r="H12" s="24">
        <v>80942</v>
      </c>
      <c r="I12" s="34" t="s">
        <v>17</v>
      </c>
      <c r="J12" s="25">
        <v>59173796</v>
      </c>
      <c r="K12" s="25" t="s">
        <v>6321</v>
      </c>
      <c r="L12" s="24" t="s">
        <v>6323</v>
      </c>
      <c r="M12" s="26">
        <v>79900</v>
      </c>
      <c r="N12" s="22">
        <f t="shared" si="2"/>
        <v>0.3</v>
      </c>
      <c r="O12" s="34">
        <f t="shared" si="1"/>
        <v>55930</v>
      </c>
      <c r="P12" s="22" t="s">
        <v>16</v>
      </c>
    </row>
    <row r="13" spans="1:16" x14ac:dyDescent="0.35">
      <c r="A13" s="34" t="s">
        <v>6748</v>
      </c>
      <c r="B13" s="35">
        <f t="shared" si="3"/>
        <v>46086</v>
      </c>
      <c r="C13" s="35">
        <f t="shared" si="3"/>
        <v>46092</v>
      </c>
      <c r="D13" s="34">
        <v>3284</v>
      </c>
      <c r="E13" s="34">
        <v>338</v>
      </c>
      <c r="F13" s="34">
        <v>4</v>
      </c>
      <c r="G13" s="25">
        <v>8</v>
      </c>
      <c r="H13" s="24">
        <v>80942</v>
      </c>
      <c r="I13" s="34" t="s">
        <v>17</v>
      </c>
      <c r="J13" s="25">
        <v>59173803</v>
      </c>
      <c r="K13" s="25" t="s">
        <v>6321</v>
      </c>
      <c r="L13" s="24" t="s">
        <v>6325</v>
      </c>
      <c r="M13" s="26">
        <v>79900</v>
      </c>
      <c r="N13" s="22">
        <f t="shared" si="2"/>
        <v>0.3</v>
      </c>
      <c r="O13" s="34">
        <f t="shared" si="1"/>
        <v>55930</v>
      </c>
      <c r="P13" s="22" t="s">
        <v>16</v>
      </c>
    </row>
    <row r="14" spans="1:16" x14ac:dyDescent="0.35">
      <c r="A14" s="34" t="s">
        <v>6748</v>
      </c>
      <c r="B14" s="35">
        <f t="shared" si="3"/>
        <v>46086</v>
      </c>
      <c r="C14" s="35">
        <f t="shared" si="3"/>
        <v>46092</v>
      </c>
      <c r="D14" s="34">
        <v>3284</v>
      </c>
      <c r="E14" s="34">
        <v>338</v>
      </c>
      <c r="F14" s="34">
        <v>4</v>
      </c>
      <c r="G14" s="25">
        <v>8</v>
      </c>
      <c r="H14" s="24">
        <v>81005</v>
      </c>
      <c r="I14" s="34" t="s">
        <v>17</v>
      </c>
      <c r="J14" s="25">
        <v>61301053</v>
      </c>
      <c r="K14" s="25" t="s">
        <v>6331</v>
      </c>
      <c r="L14" s="24" t="s">
        <v>6333</v>
      </c>
      <c r="M14" s="26">
        <v>129900</v>
      </c>
      <c r="N14" s="22">
        <f t="shared" si="2"/>
        <v>0.3</v>
      </c>
      <c r="O14" s="34">
        <f t="shared" si="1"/>
        <v>90930</v>
      </c>
      <c r="P14" s="22" t="s">
        <v>16</v>
      </c>
    </row>
    <row r="15" spans="1:16" x14ac:dyDescent="0.35">
      <c r="A15" s="34" t="s">
        <v>6748</v>
      </c>
      <c r="B15" s="35">
        <f t="shared" si="3"/>
        <v>46086</v>
      </c>
      <c r="C15" s="35">
        <f t="shared" si="3"/>
        <v>46092</v>
      </c>
      <c r="D15" s="34">
        <v>3284</v>
      </c>
      <c r="E15" s="34">
        <v>338</v>
      </c>
      <c r="F15" s="34">
        <v>4</v>
      </c>
      <c r="G15" s="25">
        <v>8</v>
      </c>
      <c r="H15" s="24">
        <v>81005</v>
      </c>
      <c r="I15" s="34" t="s">
        <v>17</v>
      </c>
      <c r="J15" s="25">
        <v>61301062</v>
      </c>
      <c r="K15" s="25" t="s">
        <v>6331</v>
      </c>
      <c r="L15" s="24" t="s">
        <v>6332</v>
      </c>
      <c r="M15" s="26">
        <v>129900</v>
      </c>
      <c r="N15" s="22">
        <f t="shared" si="2"/>
        <v>0.3</v>
      </c>
      <c r="O15" s="34">
        <f t="shared" si="1"/>
        <v>90930</v>
      </c>
      <c r="P15" s="22" t="s">
        <v>16</v>
      </c>
    </row>
    <row r="16" spans="1:16" x14ac:dyDescent="0.35">
      <c r="A16" s="34" t="s">
        <v>6748</v>
      </c>
      <c r="B16" s="35">
        <f t="shared" si="3"/>
        <v>46086</v>
      </c>
      <c r="C16" s="35">
        <f t="shared" si="3"/>
        <v>46092</v>
      </c>
      <c r="D16" s="34">
        <v>3284</v>
      </c>
      <c r="E16" s="34">
        <v>338</v>
      </c>
      <c r="F16" s="34">
        <v>4</v>
      </c>
      <c r="G16" s="25">
        <v>8</v>
      </c>
      <c r="H16" s="24">
        <v>81005</v>
      </c>
      <c r="I16" s="34" t="s">
        <v>17</v>
      </c>
      <c r="J16" s="25">
        <v>61301071</v>
      </c>
      <c r="K16" s="25" t="s">
        <v>6331</v>
      </c>
      <c r="L16" s="24" t="s">
        <v>6335</v>
      </c>
      <c r="M16" s="26">
        <v>129900</v>
      </c>
      <c r="N16" s="22">
        <f t="shared" si="2"/>
        <v>0.3</v>
      </c>
      <c r="O16" s="34">
        <f t="shared" si="1"/>
        <v>90930</v>
      </c>
      <c r="P16" s="22" t="s">
        <v>16</v>
      </c>
    </row>
    <row r="17" spans="1:16" x14ac:dyDescent="0.35">
      <c r="A17" s="34" t="s">
        <v>6748</v>
      </c>
      <c r="B17" s="35">
        <f t="shared" si="3"/>
        <v>46086</v>
      </c>
      <c r="C17" s="35">
        <f t="shared" si="3"/>
        <v>46092</v>
      </c>
      <c r="D17" s="34">
        <v>3284</v>
      </c>
      <c r="E17" s="34">
        <v>338</v>
      </c>
      <c r="F17" s="34">
        <v>4</v>
      </c>
      <c r="G17" s="25">
        <v>8</v>
      </c>
      <c r="H17" s="24">
        <v>81005</v>
      </c>
      <c r="I17" s="34" t="s">
        <v>17</v>
      </c>
      <c r="J17" s="25">
        <v>61301080</v>
      </c>
      <c r="K17" s="25" t="s">
        <v>6331</v>
      </c>
      <c r="L17" s="24" t="s">
        <v>6334</v>
      </c>
      <c r="M17" s="26">
        <v>129900</v>
      </c>
      <c r="N17" s="22">
        <f t="shared" si="2"/>
        <v>0.3</v>
      </c>
      <c r="O17" s="34">
        <f t="shared" si="1"/>
        <v>90930</v>
      </c>
      <c r="P17" s="22" t="s">
        <v>16</v>
      </c>
    </row>
    <row r="18" spans="1:16" x14ac:dyDescent="0.35">
      <c r="A18" s="34" t="s">
        <v>6748</v>
      </c>
      <c r="B18" s="35">
        <f t="shared" si="3"/>
        <v>46086</v>
      </c>
      <c r="C18" s="35">
        <f t="shared" si="3"/>
        <v>46092</v>
      </c>
      <c r="D18" s="34">
        <v>3284</v>
      </c>
      <c r="E18" s="34">
        <v>338</v>
      </c>
      <c r="F18" s="34">
        <v>4</v>
      </c>
      <c r="G18" s="25">
        <v>8</v>
      </c>
      <c r="H18" s="24">
        <v>81005</v>
      </c>
      <c r="I18" s="34" t="s">
        <v>17</v>
      </c>
      <c r="J18" s="25">
        <v>59174017</v>
      </c>
      <c r="K18" s="25" t="s">
        <v>6326</v>
      </c>
      <c r="L18" s="24" t="s">
        <v>6327</v>
      </c>
      <c r="M18" s="26">
        <v>149900</v>
      </c>
      <c r="N18" s="22">
        <f t="shared" si="2"/>
        <v>0.3</v>
      </c>
      <c r="O18" s="34">
        <f t="shared" si="1"/>
        <v>104930</v>
      </c>
      <c r="P18" s="22" t="s">
        <v>16</v>
      </c>
    </row>
    <row r="19" spans="1:16" x14ac:dyDescent="0.35">
      <c r="A19" s="34" t="s">
        <v>6748</v>
      </c>
      <c r="B19" s="35">
        <f t="shared" si="3"/>
        <v>46086</v>
      </c>
      <c r="C19" s="35">
        <f t="shared" si="3"/>
        <v>46092</v>
      </c>
      <c r="D19" s="34">
        <v>3284</v>
      </c>
      <c r="E19" s="34">
        <v>338</v>
      </c>
      <c r="F19" s="34">
        <v>4</v>
      </c>
      <c r="G19" s="25">
        <v>8</v>
      </c>
      <c r="H19" s="24">
        <v>81005</v>
      </c>
      <c r="I19" s="34" t="s">
        <v>17</v>
      </c>
      <c r="J19" s="25">
        <v>59174026</v>
      </c>
      <c r="K19" s="25" t="s">
        <v>6326</v>
      </c>
      <c r="L19" s="24" t="s">
        <v>6330</v>
      </c>
      <c r="M19" s="26">
        <v>149900</v>
      </c>
      <c r="N19" s="22">
        <f t="shared" si="2"/>
        <v>0.3</v>
      </c>
      <c r="O19" s="34">
        <f t="shared" si="1"/>
        <v>104930</v>
      </c>
      <c r="P19" s="22" t="s">
        <v>16</v>
      </c>
    </row>
    <row r="20" spans="1:16" x14ac:dyDescent="0.35">
      <c r="A20" s="34" t="s">
        <v>6748</v>
      </c>
      <c r="B20" s="35">
        <f t="shared" si="3"/>
        <v>46086</v>
      </c>
      <c r="C20" s="35">
        <f t="shared" si="3"/>
        <v>46092</v>
      </c>
      <c r="D20" s="34">
        <v>3284</v>
      </c>
      <c r="E20" s="34">
        <v>338</v>
      </c>
      <c r="F20" s="34">
        <v>4</v>
      </c>
      <c r="G20" s="25">
        <v>8</v>
      </c>
      <c r="H20" s="24">
        <v>81005</v>
      </c>
      <c r="I20" s="34" t="s">
        <v>17</v>
      </c>
      <c r="J20" s="25">
        <v>59174035</v>
      </c>
      <c r="K20" s="25" t="s">
        <v>6326</v>
      </c>
      <c r="L20" s="24" t="s">
        <v>6328</v>
      </c>
      <c r="M20" s="26">
        <v>149900</v>
      </c>
      <c r="N20" s="22">
        <f t="shared" ref="N20:N25" si="4">N19</f>
        <v>0.3</v>
      </c>
      <c r="O20" s="34">
        <f t="shared" si="1"/>
        <v>104930</v>
      </c>
      <c r="P20" s="22" t="s">
        <v>16</v>
      </c>
    </row>
    <row r="21" spans="1:16" x14ac:dyDescent="0.35">
      <c r="A21" s="34" t="s">
        <v>6748</v>
      </c>
      <c r="B21" s="35">
        <f t="shared" ref="B21:C25" si="5">B20</f>
        <v>46086</v>
      </c>
      <c r="C21" s="35">
        <f t="shared" si="5"/>
        <v>46092</v>
      </c>
      <c r="D21" s="34">
        <v>3284</v>
      </c>
      <c r="E21" s="34">
        <v>338</v>
      </c>
      <c r="F21" s="34">
        <v>4</v>
      </c>
      <c r="G21" s="25">
        <v>8</v>
      </c>
      <c r="H21" s="24">
        <v>81005</v>
      </c>
      <c r="I21" s="34" t="s">
        <v>17</v>
      </c>
      <c r="J21" s="25">
        <v>59174044</v>
      </c>
      <c r="K21" s="25" t="s">
        <v>6326</v>
      </c>
      <c r="L21" s="24" t="s">
        <v>6329</v>
      </c>
      <c r="M21" s="26">
        <v>149900</v>
      </c>
      <c r="N21" s="22">
        <f t="shared" si="4"/>
        <v>0.3</v>
      </c>
      <c r="O21" s="34">
        <f t="shared" si="1"/>
        <v>104930</v>
      </c>
      <c r="P21" s="22" t="s">
        <v>16</v>
      </c>
    </row>
    <row r="22" spans="1:16" x14ac:dyDescent="0.35">
      <c r="A22" s="34" t="s">
        <v>6748</v>
      </c>
      <c r="B22" s="35">
        <f t="shared" si="5"/>
        <v>46086</v>
      </c>
      <c r="C22" s="35">
        <f t="shared" si="5"/>
        <v>46092</v>
      </c>
      <c r="D22" s="34">
        <v>3284</v>
      </c>
      <c r="E22" s="34">
        <v>338</v>
      </c>
      <c r="F22" s="34">
        <v>4</v>
      </c>
      <c r="G22" s="25">
        <v>8</v>
      </c>
      <c r="H22" s="24">
        <v>81005</v>
      </c>
      <c r="I22" s="34" t="s">
        <v>17</v>
      </c>
      <c r="J22" s="25">
        <v>59173938</v>
      </c>
      <c r="K22" s="25" t="s">
        <v>6731</v>
      </c>
      <c r="L22" s="24" t="s">
        <v>6732</v>
      </c>
      <c r="M22" s="26">
        <v>129900</v>
      </c>
      <c r="N22" s="22">
        <f t="shared" si="4"/>
        <v>0.3</v>
      </c>
      <c r="O22" s="34">
        <f t="shared" si="1"/>
        <v>90930</v>
      </c>
      <c r="P22" s="22" t="s">
        <v>16</v>
      </c>
    </row>
    <row r="23" spans="1:16" x14ac:dyDescent="0.35">
      <c r="A23" s="34" t="s">
        <v>6748</v>
      </c>
      <c r="B23" s="35">
        <f t="shared" si="5"/>
        <v>46086</v>
      </c>
      <c r="C23" s="35">
        <f t="shared" si="5"/>
        <v>46092</v>
      </c>
      <c r="D23" s="34">
        <v>3284</v>
      </c>
      <c r="E23" s="34">
        <v>338</v>
      </c>
      <c r="F23" s="34">
        <v>4</v>
      </c>
      <c r="G23" s="25">
        <v>8</v>
      </c>
      <c r="H23" s="24">
        <v>81005</v>
      </c>
      <c r="I23" s="34" t="s">
        <v>17</v>
      </c>
      <c r="J23" s="25">
        <v>59173947</v>
      </c>
      <c r="K23" s="25" t="s">
        <v>6731</v>
      </c>
      <c r="L23" s="24" t="s">
        <v>6733</v>
      </c>
      <c r="M23" s="26">
        <v>129900</v>
      </c>
      <c r="N23" s="22">
        <f t="shared" si="4"/>
        <v>0.3</v>
      </c>
      <c r="O23" s="34">
        <f t="shared" si="1"/>
        <v>90930</v>
      </c>
      <c r="P23" s="22" t="s">
        <v>16</v>
      </c>
    </row>
    <row r="24" spans="1:16" x14ac:dyDescent="0.35">
      <c r="A24" s="34" t="s">
        <v>6748</v>
      </c>
      <c r="B24" s="35">
        <f t="shared" si="5"/>
        <v>46086</v>
      </c>
      <c r="C24" s="35">
        <f t="shared" si="5"/>
        <v>46092</v>
      </c>
      <c r="D24" s="34">
        <v>3284</v>
      </c>
      <c r="E24" s="34">
        <v>338</v>
      </c>
      <c r="F24" s="34">
        <v>4</v>
      </c>
      <c r="G24" s="25">
        <v>8</v>
      </c>
      <c r="H24" s="24">
        <v>81005</v>
      </c>
      <c r="I24" s="34" t="s">
        <v>17</v>
      </c>
      <c r="J24" s="25">
        <v>59173956</v>
      </c>
      <c r="K24" s="25" t="s">
        <v>6731</v>
      </c>
      <c r="L24" s="24" t="s">
        <v>6734</v>
      </c>
      <c r="M24" s="26">
        <v>129900</v>
      </c>
      <c r="N24" s="22">
        <f t="shared" si="4"/>
        <v>0.3</v>
      </c>
      <c r="O24" s="34">
        <f t="shared" si="1"/>
        <v>90930</v>
      </c>
      <c r="P24" s="22" t="s">
        <v>16</v>
      </c>
    </row>
    <row r="25" spans="1:16" x14ac:dyDescent="0.35">
      <c r="A25" s="34" t="s">
        <v>6748</v>
      </c>
      <c r="B25" s="35">
        <f t="shared" si="5"/>
        <v>46086</v>
      </c>
      <c r="C25" s="35">
        <f t="shared" si="5"/>
        <v>46092</v>
      </c>
      <c r="D25" s="34">
        <v>3284</v>
      </c>
      <c r="E25" s="34">
        <v>338</v>
      </c>
      <c r="F25" s="34">
        <v>4</v>
      </c>
      <c r="G25" s="25">
        <v>8</v>
      </c>
      <c r="H25" s="24">
        <v>81005</v>
      </c>
      <c r="I25" s="34" t="s">
        <v>17</v>
      </c>
      <c r="J25" s="25">
        <v>59173965</v>
      </c>
      <c r="K25" s="25" t="s">
        <v>6731</v>
      </c>
      <c r="L25" s="24" t="s">
        <v>6735</v>
      </c>
      <c r="M25" s="26">
        <v>129900</v>
      </c>
      <c r="N25" s="22">
        <f t="shared" si="4"/>
        <v>0.3</v>
      </c>
      <c r="O25" s="34">
        <f t="shared" si="1"/>
        <v>90930</v>
      </c>
      <c r="P25" s="2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ignoredErrors>
    <ignoredError sqref="O3:O25" 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AA74-7831-4B65-AC00-1F44DCDDEAF1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C11" sqref="C11"/>
    </sheetView>
  </sheetViews>
  <sheetFormatPr defaultColWidth="8.81640625" defaultRowHeight="14.5" x14ac:dyDescent="0.35"/>
  <cols>
    <col min="1" max="1" width="25.54296875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79.26953125" style="2" customWidth="1"/>
    <col min="13" max="13" width="15.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6742</v>
      </c>
      <c r="B2" s="35">
        <f>'2019 ALL D95 - 3281'!B3</f>
        <v>46086</v>
      </c>
      <c r="C2" s="35">
        <f>'2019 ALL D95 - 3281'!C3</f>
        <v>46092</v>
      </c>
      <c r="D2" s="34">
        <v>3284</v>
      </c>
      <c r="E2" s="34">
        <v>338</v>
      </c>
      <c r="F2" s="34">
        <v>4</v>
      </c>
      <c r="G2" s="25">
        <v>8</v>
      </c>
      <c r="H2" s="24">
        <v>81676</v>
      </c>
      <c r="I2" s="34" t="s">
        <v>17</v>
      </c>
      <c r="J2" s="25">
        <v>55538659</v>
      </c>
      <c r="K2" s="25" t="s">
        <v>6099</v>
      </c>
      <c r="L2" s="24" t="s">
        <v>6100</v>
      </c>
      <c r="M2" s="26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tr">
        <f t="shared" ref="A3:C4" si="0">A2</f>
        <v>2025 AUG B1G1</v>
      </c>
      <c r="B3" s="35">
        <f t="shared" si="0"/>
        <v>46086</v>
      </c>
      <c r="C3" s="35">
        <f t="shared" si="0"/>
        <v>46092</v>
      </c>
      <c r="D3" s="34">
        <v>3284</v>
      </c>
      <c r="E3" s="34">
        <v>338</v>
      </c>
      <c r="F3" s="34">
        <v>4</v>
      </c>
      <c r="G3" s="25">
        <v>8</v>
      </c>
      <c r="H3" s="24">
        <v>81676</v>
      </c>
      <c r="I3" s="34" t="s">
        <v>17</v>
      </c>
      <c r="J3" s="25">
        <v>55538668</v>
      </c>
      <c r="K3" s="25" t="s">
        <v>6099</v>
      </c>
      <c r="L3" s="24" t="s">
        <v>6101</v>
      </c>
      <c r="M3" s="26">
        <v>129900</v>
      </c>
      <c r="N3" s="63" t="s">
        <v>2569</v>
      </c>
      <c r="O3" s="15" t="str">
        <f>O2</f>
        <v>B1G1</v>
      </c>
      <c r="P3" s="63" t="s">
        <v>2569</v>
      </c>
    </row>
    <row r="4" spans="1:16" x14ac:dyDescent="0.35">
      <c r="A4" s="34" t="str">
        <f t="shared" si="0"/>
        <v>2025 AUG B1G1</v>
      </c>
      <c r="B4" s="35">
        <f t="shared" si="0"/>
        <v>46086</v>
      </c>
      <c r="C4" s="35">
        <f t="shared" si="0"/>
        <v>46092</v>
      </c>
      <c r="D4" s="34">
        <v>3284</v>
      </c>
      <c r="E4" s="34">
        <v>338</v>
      </c>
      <c r="F4" s="34">
        <v>4</v>
      </c>
      <c r="G4" s="25">
        <v>8</v>
      </c>
      <c r="H4" s="24">
        <v>81676</v>
      </c>
      <c r="I4" s="34" t="s">
        <v>17</v>
      </c>
      <c r="J4" s="25">
        <v>55538677</v>
      </c>
      <c r="K4" s="25" t="s">
        <v>6099</v>
      </c>
      <c r="L4" s="24" t="s">
        <v>6102</v>
      </c>
      <c r="M4" s="26">
        <v>129900</v>
      </c>
      <c r="N4" s="63" t="s">
        <v>2569</v>
      </c>
      <c r="O4" s="15" t="str">
        <f t="shared" ref="O4:O17" si="1">O3</f>
        <v>B1G1</v>
      </c>
      <c r="P4" s="63" t="s">
        <v>2569</v>
      </c>
    </row>
    <row r="5" spans="1:16" x14ac:dyDescent="0.35">
      <c r="A5" s="34" t="str">
        <f t="shared" ref="A5:A17" si="2">A4</f>
        <v>2025 AUG B1G1</v>
      </c>
      <c r="B5" s="35">
        <f t="shared" ref="B5:B17" si="3">B4</f>
        <v>46086</v>
      </c>
      <c r="C5" s="35">
        <f t="shared" ref="C5:C17" si="4">C4</f>
        <v>46092</v>
      </c>
      <c r="D5" s="34">
        <v>3284</v>
      </c>
      <c r="E5" s="34">
        <v>338</v>
      </c>
      <c r="F5" s="34">
        <v>4</v>
      </c>
      <c r="G5" s="25">
        <v>8</v>
      </c>
      <c r="H5" s="24">
        <v>81676</v>
      </c>
      <c r="I5" s="34" t="s">
        <v>17</v>
      </c>
      <c r="J5" s="25">
        <v>55538686</v>
      </c>
      <c r="K5" s="25" t="s">
        <v>6099</v>
      </c>
      <c r="L5" s="24" t="s">
        <v>6103</v>
      </c>
      <c r="M5" s="26">
        <v>129900</v>
      </c>
      <c r="N5" s="63" t="s">
        <v>2569</v>
      </c>
      <c r="O5" s="15" t="str">
        <f t="shared" si="1"/>
        <v>B1G1</v>
      </c>
      <c r="P5" s="63" t="s">
        <v>2569</v>
      </c>
    </row>
    <row r="6" spans="1:16" x14ac:dyDescent="0.35">
      <c r="A6" s="34" t="str">
        <f t="shared" si="2"/>
        <v>2025 AUG B1G1</v>
      </c>
      <c r="B6" s="35">
        <f t="shared" si="3"/>
        <v>46086</v>
      </c>
      <c r="C6" s="35">
        <f t="shared" si="4"/>
        <v>46092</v>
      </c>
      <c r="D6" s="34">
        <v>3284</v>
      </c>
      <c r="E6" s="34">
        <v>338</v>
      </c>
      <c r="F6" s="34">
        <v>4</v>
      </c>
      <c r="G6" s="25">
        <v>8</v>
      </c>
      <c r="H6" s="24">
        <v>81676</v>
      </c>
      <c r="I6" s="34" t="s">
        <v>17</v>
      </c>
      <c r="J6" s="25">
        <v>55538695</v>
      </c>
      <c r="K6" s="25" t="s">
        <v>6104</v>
      </c>
      <c r="L6" s="24" t="s">
        <v>6105</v>
      </c>
      <c r="M6" s="26">
        <v>129900</v>
      </c>
      <c r="N6" s="63" t="s">
        <v>2569</v>
      </c>
      <c r="O6" s="15" t="str">
        <f t="shared" si="1"/>
        <v>B1G1</v>
      </c>
      <c r="P6" s="63" t="s">
        <v>2569</v>
      </c>
    </row>
    <row r="7" spans="1:16" x14ac:dyDescent="0.35">
      <c r="A7" s="34" t="str">
        <f t="shared" si="2"/>
        <v>2025 AUG B1G1</v>
      </c>
      <c r="B7" s="35">
        <f t="shared" si="3"/>
        <v>46086</v>
      </c>
      <c r="C7" s="35">
        <f t="shared" si="4"/>
        <v>46092</v>
      </c>
      <c r="D7" s="34">
        <v>3284</v>
      </c>
      <c r="E7" s="34">
        <v>338</v>
      </c>
      <c r="F7" s="34">
        <v>4</v>
      </c>
      <c r="G7" s="25">
        <v>8</v>
      </c>
      <c r="H7" s="24">
        <v>81676</v>
      </c>
      <c r="I7" s="34" t="s">
        <v>17</v>
      </c>
      <c r="J7" s="25">
        <v>55538702</v>
      </c>
      <c r="K7" s="25" t="s">
        <v>6104</v>
      </c>
      <c r="L7" s="24" t="s">
        <v>6108</v>
      </c>
      <c r="M7" s="26">
        <v>129900</v>
      </c>
      <c r="N7" s="63" t="s">
        <v>2569</v>
      </c>
      <c r="O7" s="15" t="str">
        <f t="shared" si="1"/>
        <v>B1G1</v>
      </c>
      <c r="P7" s="63" t="s">
        <v>2569</v>
      </c>
    </row>
    <row r="8" spans="1:16" x14ac:dyDescent="0.35">
      <c r="A8" s="34" t="str">
        <f t="shared" si="2"/>
        <v>2025 AUG B1G1</v>
      </c>
      <c r="B8" s="35">
        <f t="shared" si="3"/>
        <v>46086</v>
      </c>
      <c r="C8" s="35">
        <f t="shared" si="4"/>
        <v>46092</v>
      </c>
      <c r="D8" s="34">
        <v>3284</v>
      </c>
      <c r="E8" s="34">
        <v>338</v>
      </c>
      <c r="F8" s="34">
        <v>4</v>
      </c>
      <c r="G8" s="25">
        <v>8</v>
      </c>
      <c r="H8" s="24">
        <v>81676</v>
      </c>
      <c r="I8" s="34" t="s">
        <v>17</v>
      </c>
      <c r="J8" s="25">
        <v>55538711</v>
      </c>
      <c r="K8" s="25" t="s">
        <v>6104</v>
      </c>
      <c r="L8" s="24" t="s">
        <v>6106</v>
      </c>
      <c r="M8" s="26">
        <v>129900</v>
      </c>
      <c r="N8" s="63" t="s">
        <v>2569</v>
      </c>
      <c r="O8" s="15" t="str">
        <f t="shared" si="1"/>
        <v>B1G1</v>
      </c>
      <c r="P8" s="63" t="s">
        <v>2569</v>
      </c>
    </row>
    <row r="9" spans="1:16" x14ac:dyDescent="0.35">
      <c r="A9" s="34" t="str">
        <f t="shared" si="2"/>
        <v>2025 AUG B1G1</v>
      </c>
      <c r="B9" s="35">
        <f t="shared" si="3"/>
        <v>46086</v>
      </c>
      <c r="C9" s="35">
        <f t="shared" si="4"/>
        <v>46092</v>
      </c>
      <c r="D9" s="34">
        <v>3284</v>
      </c>
      <c r="E9" s="34">
        <v>338</v>
      </c>
      <c r="F9" s="34">
        <v>4</v>
      </c>
      <c r="G9" s="25">
        <v>8</v>
      </c>
      <c r="H9" s="24">
        <v>81676</v>
      </c>
      <c r="I9" s="34" t="s">
        <v>17</v>
      </c>
      <c r="J9" s="25">
        <v>55538720</v>
      </c>
      <c r="K9" s="25" t="s">
        <v>6104</v>
      </c>
      <c r="L9" s="24" t="s">
        <v>6107</v>
      </c>
      <c r="M9" s="26">
        <v>129900</v>
      </c>
      <c r="N9" s="63" t="s">
        <v>2569</v>
      </c>
      <c r="O9" s="15" t="str">
        <f t="shared" si="1"/>
        <v>B1G1</v>
      </c>
      <c r="P9" s="63" t="s">
        <v>2569</v>
      </c>
    </row>
    <row r="10" spans="1:16" x14ac:dyDescent="0.35">
      <c r="A10" s="34" t="str">
        <f t="shared" si="2"/>
        <v>2025 AUG B1G1</v>
      </c>
      <c r="B10" s="35">
        <f t="shared" si="3"/>
        <v>46086</v>
      </c>
      <c r="C10" s="35">
        <f t="shared" si="4"/>
        <v>46092</v>
      </c>
      <c r="D10" s="34">
        <v>3284</v>
      </c>
      <c r="E10" s="34">
        <v>338</v>
      </c>
      <c r="F10" s="34">
        <v>4</v>
      </c>
      <c r="G10" s="25">
        <v>8</v>
      </c>
      <c r="H10" s="24">
        <v>81676</v>
      </c>
      <c r="I10" s="34" t="s">
        <v>17</v>
      </c>
      <c r="J10" s="25">
        <v>55538613</v>
      </c>
      <c r="K10" s="25" t="s">
        <v>6094</v>
      </c>
      <c r="L10" s="24" t="s">
        <v>6095</v>
      </c>
      <c r="M10" s="26">
        <v>99900</v>
      </c>
      <c r="N10" s="63" t="s">
        <v>2569</v>
      </c>
      <c r="O10" s="15" t="str">
        <f t="shared" si="1"/>
        <v>B1G1</v>
      </c>
      <c r="P10" s="63" t="s">
        <v>2569</v>
      </c>
    </row>
    <row r="11" spans="1:16" x14ac:dyDescent="0.35">
      <c r="A11" s="34" t="str">
        <f t="shared" si="2"/>
        <v>2025 AUG B1G1</v>
      </c>
      <c r="B11" s="35">
        <f t="shared" si="3"/>
        <v>46086</v>
      </c>
      <c r="C11" s="35">
        <f t="shared" si="4"/>
        <v>46092</v>
      </c>
      <c r="D11" s="34">
        <v>3284</v>
      </c>
      <c r="E11" s="34">
        <v>338</v>
      </c>
      <c r="F11" s="34">
        <v>4</v>
      </c>
      <c r="G11" s="25">
        <v>8</v>
      </c>
      <c r="H11" s="24">
        <v>81676</v>
      </c>
      <c r="I11" s="34" t="s">
        <v>17</v>
      </c>
      <c r="J11" s="25">
        <v>55538622</v>
      </c>
      <c r="K11" s="25" t="s">
        <v>6094</v>
      </c>
      <c r="L11" s="24" t="s">
        <v>6097</v>
      </c>
      <c r="M11" s="26">
        <v>99900</v>
      </c>
      <c r="N11" s="63" t="s">
        <v>2569</v>
      </c>
      <c r="O11" s="15" t="str">
        <f t="shared" si="1"/>
        <v>B1G1</v>
      </c>
      <c r="P11" s="63" t="s">
        <v>2569</v>
      </c>
    </row>
    <row r="12" spans="1:16" x14ac:dyDescent="0.35">
      <c r="A12" s="34" t="str">
        <f t="shared" si="2"/>
        <v>2025 AUG B1G1</v>
      </c>
      <c r="B12" s="35">
        <f t="shared" si="3"/>
        <v>46086</v>
      </c>
      <c r="C12" s="35">
        <f t="shared" si="4"/>
        <v>46092</v>
      </c>
      <c r="D12" s="34">
        <v>3284</v>
      </c>
      <c r="E12" s="34">
        <v>338</v>
      </c>
      <c r="F12" s="34">
        <v>4</v>
      </c>
      <c r="G12" s="25">
        <v>8</v>
      </c>
      <c r="H12" s="24">
        <v>81676</v>
      </c>
      <c r="I12" s="34" t="s">
        <v>17</v>
      </c>
      <c r="J12" s="25">
        <v>55538631</v>
      </c>
      <c r="K12" s="25" t="s">
        <v>6094</v>
      </c>
      <c r="L12" s="24" t="s">
        <v>6096</v>
      </c>
      <c r="M12" s="26">
        <v>99900</v>
      </c>
      <c r="N12" s="63" t="s">
        <v>2569</v>
      </c>
      <c r="O12" s="15" t="str">
        <f t="shared" si="1"/>
        <v>B1G1</v>
      </c>
      <c r="P12" s="63" t="s">
        <v>2569</v>
      </c>
    </row>
    <row r="13" spans="1:16" x14ac:dyDescent="0.35">
      <c r="A13" s="34" t="str">
        <f t="shared" si="2"/>
        <v>2025 AUG B1G1</v>
      </c>
      <c r="B13" s="35">
        <f t="shared" si="3"/>
        <v>46086</v>
      </c>
      <c r="C13" s="35">
        <f t="shared" si="4"/>
        <v>46092</v>
      </c>
      <c r="D13" s="34">
        <v>3284</v>
      </c>
      <c r="E13" s="34">
        <v>338</v>
      </c>
      <c r="F13" s="34">
        <v>4</v>
      </c>
      <c r="G13" s="25">
        <v>8</v>
      </c>
      <c r="H13" s="24">
        <v>81676</v>
      </c>
      <c r="I13" s="34" t="s">
        <v>17</v>
      </c>
      <c r="J13" s="25">
        <v>55538640</v>
      </c>
      <c r="K13" s="25" t="s">
        <v>6094</v>
      </c>
      <c r="L13" s="24" t="s">
        <v>6098</v>
      </c>
      <c r="M13" s="26">
        <v>99900</v>
      </c>
      <c r="N13" s="63" t="s">
        <v>2569</v>
      </c>
      <c r="O13" s="15" t="str">
        <f t="shared" si="1"/>
        <v>B1G1</v>
      </c>
      <c r="P13" s="63" t="s">
        <v>2569</v>
      </c>
    </row>
    <row r="14" spans="1:16" x14ac:dyDescent="0.35">
      <c r="A14" s="34" t="str">
        <f t="shared" si="2"/>
        <v>2025 AUG B1G1</v>
      </c>
      <c r="B14" s="35">
        <f t="shared" si="3"/>
        <v>46086</v>
      </c>
      <c r="C14" s="35">
        <f t="shared" si="4"/>
        <v>46092</v>
      </c>
      <c r="D14" s="34">
        <v>3284</v>
      </c>
      <c r="E14" s="34">
        <v>338</v>
      </c>
      <c r="F14" s="34">
        <v>4</v>
      </c>
      <c r="G14" s="25">
        <v>8</v>
      </c>
      <c r="H14" s="24">
        <v>81676</v>
      </c>
      <c r="I14" s="34" t="s">
        <v>17</v>
      </c>
      <c r="J14" s="25">
        <v>55538579</v>
      </c>
      <c r="K14" s="25" t="s">
        <v>6089</v>
      </c>
      <c r="L14" s="24" t="s">
        <v>6090</v>
      </c>
      <c r="M14" s="26">
        <v>129900</v>
      </c>
      <c r="N14" s="63" t="s">
        <v>2569</v>
      </c>
      <c r="O14" s="15" t="str">
        <f t="shared" si="1"/>
        <v>B1G1</v>
      </c>
      <c r="P14" s="63" t="s">
        <v>2569</v>
      </c>
    </row>
    <row r="15" spans="1:16" x14ac:dyDescent="0.35">
      <c r="A15" s="34" t="str">
        <f t="shared" si="2"/>
        <v>2025 AUG B1G1</v>
      </c>
      <c r="B15" s="35">
        <f t="shared" si="3"/>
        <v>46086</v>
      </c>
      <c r="C15" s="35">
        <f t="shared" si="4"/>
        <v>46092</v>
      </c>
      <c r="D15" s="34">
        <v>3284</v>
      </c>
      <c r="E15" s="34">
        <v>338</v>
      </c>
      <c r="F15" s="34">
        <v>4</v>
      </c>
      <c r="G15" s="25">
        <v>8</v>
      </c>
      <c r="H15" s="24">
        <v>81676</v>
      </c>
      <c r="I15" s="34" t="s">
        <v>17</v>
      </c>
      <c r="J15" s="25">
        <v>55538588</v>
      </c>
      <c r="K15" s="25" t="s">
        <v>6089</v>
      </c>
      <c r="L15" s="24" t="s">
        <v>6091</v>
      </c>
      <c r="M15" s="26">
        <v>129900</v>
      </c>
      <c r="N15" s="63" t="s">
        <v>2569</v>
      </c>
      <c r="O15" s="15" t="str">
        <f t="shared" si="1"/>
        <v>B1G1</v>
      </c>
      <c r="P15" s="63" t="s">
        <v>2569</v>
      </c>
    </row>
    <row r="16" spans="1:16" x14ac:dyDescent="0.35">
      <c r="A16" s="34" t="str">
        <f t="shared" si="2"/>
        <v>2025 AUG B1G1</v>
      </c>
      <c r="B16" s="35">
        <f t="shared" si="3"/>
        <v>46086</v>
      </c>
      <c r="C16" s="35">
        <f t="shared" si="4"/>
        <v>46092</v>
      </c>
      <c r="D16" s="34">
        <v>3284</v>
      </c>
      <c r="E16" s="34">
        <v>338</v>
      </c>
      <c r="F16" s="34">
        <v>4</v>
      </c>
      <c r="G16" s="25">
        <v>8</v>
      </c>
      <c r="H16" s="24">
        <v>81676</v>
      </c>
      <c r="I16" s="34" t="s">
        <v>17</v>
      </c>
      <c r="J16" s="25">
        <v>55538597</v>
      </c>
      <c r="K16" s="25" t="s">
        <v>6089</v>
      </c>
      <c r="L16" s="24" t="s">
        <v>6093</v>
      </c>
      <c r="M16" s="26">
        <v>129900</v>
      </c>
      <c r="N16" s="63" t="s">
        <v>2569</v>
      </c>
      <c r="O16" s="15" t="str">
        <f t="shared" si="1"/>
        <v>B1G1</v>
      </c>
      <c r="P16" s="63" t="s">
        <v>2569</v>
      </c>
    </row>
    <row r="17" spans="1:16" x14ac:dyDescent="0.35">
      <c r="A17" s="34" t="str">
        <f t="shared" si="2"/>
        <v>2025 AUG B1G1</v>
      </c>
      <c r="B17" s="35">
        <f t="shared" si="3"/>
        <v>46086</v>
      </c>
      <c r="C17" s="35">
        <f t="shared" si="4"/>
        <v>46092</v>
      </c>
      <c r="D17" s="34">
        <v>3284</v>
      </c>
      <c r="E17" s="34">
        <v>338</v>
      </c>
      <c r="F17" s="34">
        <v>4</v>
      </c>
      <c r="G17" s="25">
        <v>8</v>
      </c>
      <c r="H17" s="24">
        <v>81676</v>
      </c>
      <c r="I17" s="34" t="s">
        <v>17</v>
      </c>
      <c r="J17" s="25">
        <v>55538604</v>
      </c>
      <c r="K17" s="25" t="s">
        <v>6089</v>
      </c>
      <c r="L17" s="24" t="s">
        <v>6092</v>
      </c>
      <c r="M17" s="26">
        <v>129900</v>
      </c>
      <c r="N17" s="63" t="s">
        <v>2569</v>
      </c>
      <c r="O17" s="15" t="str">
        <f t="shared" si="1"/>
        <v>B1G1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ED8A-E68B-476A-BD35-810E7934D943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E10" sqref="E10"/>
    </sheetView>
  </sheetViews>
  <sheetFormatPr defaultColWidth="8.81640625" defaultRowHeight="14.5" x14ac:dyDescent="0.35"/>
  <cols>
    <col min="1" max="1" width="31.54296875" style="33" bestFit="1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85.906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6647</v>
      </c>
      <c r="B2" s="35">
        <f>'2019 ALL D95 - 3281'!B2</f>
        <v>46086</v>
      </c>
      <c r="C2" s="35">
        <f>'2019 ALL D95 - 3281'!C2</f>
        <v>46092</v>
      </c>
      <c r="D2" s="34">
        <v>3284</v>
      </c>
      <c r="E2" s="34">
        <v>338</v>
      </c>
      <c r="F2" s="34">
        <v>4</v>
      </c>
      <c r="G2" s="34">
        <v>8</v>
      </c>
      <c r="H2" s="34">
        <v>81506</v>
      </c>
      <c r="I2" s="34" t="s">
        <v>17</v>
      </c>
      <c r="J2" s="34">
        <v>53585307</v>
      </c>
      <c r="K2" s="34" t="s">
        <v>6035</v>
      </c>
      <c r="L2" s="40" t="s">
        <v>6038</v>
      </c>
      <c r="M2" s="36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6647</v>
      </c>
      <c r="B3" s="35">
        <f t="shared" ref="B3:C3" si="0">B2</f>
        <v>46086</v>
      </c>
      <c r="C3" s="35">
        <f t="shared" si="0"/>
        <v>46092</v>
      </c>
      <c r="D3" s="34">
        <v>3284</v>
      </c>
      <c r="E3" s="34">
        <v>338</v>
      </c>
      <c r="F3" s="34">
        <v>4</v>
      </c>
      <c r="G3" s="34">
        <v>8</v>
      </c>
      <c r="H3" s="34">
        <v>81506</v>
      </c>
      <c r="I3" s="34" t="s">
        <v>17</v>
      </c>
      <c r="J3" s="34">
        <v>53585316</v>
      </c>
      <c r="K3" s="34" t="s">
        <v>6035</v>
      </c>
      <c r="L3" s="40" t="s">
        <v>6037</v>
      </c>
      <c r="M3" s="36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6647</v>
      </c>
      <c r="B4" s="35">
        <f t="shared" ref="B4:C4" si="1">B3</f>
        <v>46086</v>
      </c>
      <c r="C4" s="35">
        <f t="shared" si="1"/>
        <v>46092</v>
      </c>
      <c r="D4" s="34">
        <v>3284</v>
      </c>
      <c r="E4" s="34">
        <v>338</v>
      </c>
      <c r="F4" s="34">
        <v>4</v>
      </c>
      <c r="G4" s="34">
        <v>8</v>
      </c>
      <c r="H4" s="34">
        <v>81506</v>
      </c>
      <c r="I4" s="34" t="s">
        <v>17</v>
      </c>
      <c r="J4" s="34">
        <v>53585325</v>
      </c>
      <c r="K4" s="34" t="s">
        <v>6035</v>
      </c>
      <c r="L4" s="40" t="s">
        <v>6039</v>
      </c>
      <c r="M4" s="36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6647</v>
      </c>
      <c r="B5" s="35">
        <f t="shared" ref="B5:C5" si="2">B4</f>
        <v>46086</v>
      </c>
      <c r="C5" s="35">
        <f t="shared" si="2"/>
        <v>46092</v>
      </c>
      <c r="D5" s="34">
        <v>3284</v>
      </c>
      <c r="E5" s="34">
        <v>338</v>
      </c>
      <c r="F5" s="34">
        <v>4</v>
      </c>
      <c r="G5" s="34">
        <v>8</v>
      </c>
      <c r="H5" s="34">
        <v>81506</v>
      </c>
      <c r="I5" s="34" t="s">
        <v>17</v>
      </c>
      <c r="J5" s="34">
        <v>53585334</v>
      </c>
      <c r="K5" s="34" t="s">
        <v>6035</v>
      </c>
      <c r="L5" s="40" t="s">
        <v>6036</v>
      </c>
      <c r="M5" s="36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6647</v>
      </c>
      <c r="B6" s="35">
        <f t="shared" ref="B6:C6" si="3">B5</f>
        <v>46086</v>
      </c>
      <c r="C6" s="35">
        <f t="shared" si="3"/>
        <v>46092</v>
      </c>
      <c r="D6" s="34">
        <v>3284</v>
      </c>
      <c r="E6" s="34">
        <v>338</v>
      </c>
      <c r="F6" s="34">
        <v>4</v>
      </c>
      <c r="G6" s="34">
        <v>8</v>
      </c>
      <c r="H6" s="34">
        <v>80942</v>
      </c>
      <c r="I6" s="34" t="s">
        <v>17</v>
      </c>
      <c r="J6" s="34">
        <v>54871175</v>
      </c>
      <c r="K6" s="34" t="s">
        <v>6020</v>
      </c>
      <c r="L6" s="40" t="s">
        <v>6034</v>
      </c>
      <c r="M6" s="36">
        <v>149900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6647</v>
      </c>
      <c r="B7" s="35">
        <f t="shared" ref="B7:C7" si="4">B6</f>
        <v>46086</v>
      </c>
      <c r="C7" s="35">
        <f t="shared" si="4"/>
        <v>46092</v>
      </c>
      <c r="D7" s="34">
        <v>3284</v>
      </c>
      <c r="E7" s="34">
        <v>338</v>
      </c>
      <c r="F7" s="34">
        <v>4</v>
      </c>
      <c r="G7" s="34">
        <v>8</v>
      </c>
      <c r="H7" s="34">
        <v>80942</v>
      </c>
      <c r="I7" s="34" t="s">
        <v>17</v>
      </c>
      <c r="J7" s="34">
        <v>54871184</v>
      </c>
      <c r="K7" s="34" t="s">
        <v>6020</v>
      </c>
      <c r="L7" s="40" t="s">
        <v>6021</v>
      </c>
      <c r="M7" s="36">
        <v>149900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6647</v>
      </c>
      <c r="B8" s="35">
        <f t="shared" ref="B8:C8" si="5">B7</f>
        <v>46086</v>
      </c>
      <c r="C8" s="35">
        <f t="shared" si="5"/>
        <v>46092</v>
      </c>
      <c r="D8" s="34">
        <v>3284</v>
      </c>
      <c r="E8" s="34">
        <v>338</v>
      </c>
      <c r="F8" s="34">
        <v>4</v>
      </c>
      <c r="G8" s="34">
        <v>8</v>
      </c>
      <c r="H8" s="34">
        <v>80942</v>
      </c>
      <c r="I8" s="34" t="s">
        <v>17</v>
      </c>
      <c r="J8" s="34">
        <v>54871193</v>
      </c>
      <c r="K8" s="34" t="s">
        <v>6020</v>
      </c>
      <c r="L8" s="40" t="s">
        <v>6025</v>
      </c>
      <c r="M8" s="36">
        <v>149900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6647</v>
      </c>
      <c r="B9" s="35">
        <f t="shared" ref="B9:C9" si="6">B8</f>
        <v>46086</v>
      </c>
      <c r="C9" s="35">
        <f t="shared" si="6"/>
        <v>46092</v>
      </c>
      <c r="D9" s="34">
        <v>3284</v>
      </c>
      <c r="E9" s="34">
        <v>338</v>
      </c>
      <c r="F9" s="34">
        <v>4</v>
      </c>
      <c r="G9" s="34">
        <v>8</v>
      </c>
      <c r="H9" s="34">
        <v>80942</v>
      </c>
      <c r="I9" s="34" t="s">
        <v>17</v>
      </c>
      <c r="J9" s="34">
        <v>54871200</v>
      </c>
      <c r="K9" s="34" t="s">
        <v>6020</v>
      </c>
      <c r="L9" s="40" t="s">
        <v>6033</v>
      </c>
      <c r="M9" s="36">
        <v>149900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6647</v>
      </c>
      <c r="B10" s="35">
        <f t="shared" ref="B10:C10" si="7">B9</f>
        <v>46086</v>
      </c>
      <c r="C10" s="35">
        <f t="shared" si="7"/>
        <v>46092</v>
      </c>
      <c r="D10" s="34">
        <v>3284</v>
      </c>
      <c r="E10" s="34">
        <v>338</v>
      </c>
      <c r="F10" s="34">
        <v>4</v>
      </c>
      <c r="G10" s="34">
        <v>8</v>
      </c>
      <c r="H10" s="34">
        <v>80942</v>
      </c>
      <c r="I10" s="34" t="s">
        <v>17</v>
      </c>
      <c r="J10" s="34">
        <v>54871219</v>
      </c>
      <c r="K10" s="34" t="s">
        <v>6022</v>
      </c>
      <c r="L10" s="40" t="s">
        <v>6030</v>
      </c>
      <c r="M10" s="36">
        <v>79900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6647</v>
      </c>
      <c r="B11" s="35">
        <f t="shared" ref="B11:C11" si="8">B10</f>
        <v>46086</v>
      </c>
      <c r="C11" s="35">
        <f t="shared" si="8"/>
        <v>46092</v>
      </c>
      <c r="D11" s="34">
        <v>3284</v>
      </c>
      <c r="E11" s="34">
        <v>338</v>
      </c>
      <c r="F11" s="34">
        <v>4</v>
      </c>
      <c r="G11" s="34">
        <v>8</v>
      </c>
      <c r="H11" s="34">
        <v>80942</v>
      </c>
      <c r="I11" s="34" t="s">
        <v>17</v>
      </c>
      <c r="J11" s="34">
        <v>54871228</v>
      </c>
      <c r="K11" s="34" t="s">
        <v>6022</v>
      </c>
      <c r="L11" s="40" t="s">
        <v>6024</v>
      </c>
      <c r="M11" s="36">
        <v>79900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6647</v>
      </c>
      <c r="B12" s="35">
        <f t="shared" ref="B12:C12" si="9">B11</f>
        <v>46086</v>
      </c>
      <c r="C12" s="35">
        <f t="shared" si="9"/>
        <v>46092</v>
      </c>
      <c r="D12" s="34">
        <v>3284</v>
      </c>
      <c r="E12" s="34">
        <v>338</v>
      </c>
      <c r="F12" s="34">
        <v>4</v>
      </c>
      <c r="G12" s="34">
        <v>8</v>
      </c>
      <c r="H12" s="34">
        <v>80942</v>
      </c>
      <c r="I12" s="34" t="s">
        <v>17</v>
      </c>
      <c r="J12" s="34">
        <v>54871237</v>
      </c>
      <c r="K12" s="34" t="s">
        <v>6022</v>
      </c>
      <c r="L12" s="40" t="s">
        <v>6028</v>
      </c>
      <c r="M12" s="36">
        <v>79900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6647</v>
      </c>
      <c r="B13" s="35">
        <f t="shared" ref="B13:C13" si="10">B12</f>
        <v>46086</v>
      </c>
      <c r="C13" s="35">
        <f t="shared" si="10"/>
        <v>46092</v>
      </c>
      <c r="D13" s="34">
        <v>3284</v>
      </c>
      <c r="E13" s="34">
        <v>338</v>
      </c>
      <c r="F13" s="34">
        <v>4</v>
      </c>
      <c r="G13" s="34">
        <v>8</v>
      </c>
      <c r="H13" s="34">
        <v>80942</v>
      </c>
      <c r="I13" s="34" t="s">
        <v>17</v>
      </c>
      <c r="J13" s="34">
        <v>54871246</v>
      </c>
      <c r="K13" s="34" t="s">
        <v>6022</v>
      </c>
      <c r="L13" s="40" t="s">
        <v>6023</v>
      </c>
      <c r="M13" s="36">
        <v>79900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6647</v>
      </c>
      <c r="B14" s="35">
        <f t="shared" ref="B14:C14" si="11">B13</f>
        <v>46086</v>
      </c>
      <c r="C14" s="35">
        <f t="shared" si="11"/>
        <v>46092</v>
      </c>
      <c r="D14" s="34">
        <v>3284</v>
      </c>
      <c r="E14" s="34">
        <v>338</v>
      </c>
      <c r="F14" s="34">
        <v>4</v>
      </c>
      <c r="G14" s="34">
        <v>8</v>
      </c>
      <c r="H14" s="34">
        <v>80942</v>
      </c>
      <c r="I14" s="34" t="s">
        <v>17</v>
      </c>
      <c r="J14" s="34">
        <v>54871255</v>
      </c>
      <c r="K14" s="34" t="s">
        <v>6026</v>
      </c>
      <c r="L14" s="40" t="s">
        <v>6032</v>
      </c>
      <c r="M14" s="36">
        <v>79900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6647</v>
      </c>
      <c r="B15" s="35">
        <f t="shared" ref="B15:C15" si="12">B14</f>
        <v>46086</v>
      </c>
      <c r="C15" s="35">
        <f t="shared" si="12"/>
        <v>46092</v>
      </c>
      <c r="D15" s="34">
        <v>3284</v>
      </c>
      <c r="E15" s="34">
        <v>338</v>
      </c>
      <c r="F15" s="34">
        <v>4</v>
      </c>
      <c r="G15" s="34">
        <v>8</v>
      </c>
      <c r="H15" s="34">
        <v>80942</v>
      </c>
      <c r="I15" s="34" t="s">
        <v>17</v>
      </c>
      <c r="J15" s="34">
        <v>54871264</v>
      </c>
      <c r="K15" s="34" t="s">
        <v>6026</v>
      </c>
      <c r="L15" s="40" t="s">
        <v>6031</v>
      </c>
      <c r="M15" s="36">
        <v>79900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6647</v>
      </c>
      <c r="B16" s="35">
        <f t="shared" ref="B16:C16" si="13">B15</f>
        <v>46086</v>
      </c>
      <c r="C16" s="35">
        <f t="shared" si="13"/>
        <v>46092</v>
      </c>
      <c r="D16" s="34">
        <v>3284</v>
      </c>
      <c r="E16" s="34">
        <v>338</v>
      </c>
      <c r="F16" s="34">
        <v>4</v>
      </c>
      <c r="G16" s="34">
        <v>8</v>
      </c>
      <c r="H16" s="34">
        <v>80942</v>
      </c>
      <c r="I16" s="34" t="s">
        <v>17</v>
      </c>
      <c r="J16" s="34">
        <v>54871273</v>
      </c>
      <c r="K16" s="34" t="s">
        <v>6026</v>
      </c>
      <c r="L16" s="40" t="s">
        <v>6029</v>
      </c>
      <c r="M16" s="36">
        <v>79900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6647</v>
      </c>
      <c r="B17" s="35">
        <f t="shared" ref="B17:C17" si="14">B16</f>
        <v>46086</v>
      </c>
      <c r="C17" s="35">
        <f t="shared" si="14"/>
        <v>46092</v>
      </c>
      <c r="D17" s="34">
        <v>3284</v>
      </c>
      <c r="E17" s="34">
        <v>338</v>
      </c>
      <c r="F17" s="34">
        <v>4</v>
      </c>
      <c r="G17" s="34">
        <v>8</v>
      </c>
      <c r="H17" s="34">
        <v>80942</v>
      </c>
      <c r="I17" s="34" t="s">
        <v>17</v>
      </c>
      <c r="J17" s="34">
        <v>54871282</v>
      </c>
      <c r="K17" s="34" t="s">
        <v>6026</v>
      </c>
      <c r="L17" s="40" t="s">
        <v>6027</v>
      </c>
      <c r="M17" s="36">
        <v>79900</v>
      </c>
      <c r="N17" s="63" t="s">
        <v>2569</v>
      </c>
      <c r="O17" s="15" t="s">
        <v>2577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zoomScale="98" workbookViewId="0">
      <selection activeCell="H8" sqref="H8"/>
    </sheetView>
  </sheetViews>
  <sheetFormatPr defaultRowHeight="14.5" x14ac:dyDescent="0.35"/>
  <cols>
    <col min="1" max="16" width="17.08984375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34" t="s">
        <v>6513</v>
      </c>
      <c r="B2" s="35">
        <f>'2019 ALL D95 - 3281'!B2</f>
        <v>46086</v>
      </c>
      <c r="C2" s="35">
        <f>'2019 ALL D95 - 3281'!C2</f>
        <v>46092</v>
      </c>
      <c r="D2" s="34">
        <v>3284</v>
      </c>
      <c r="E2" s="34">
        <v>338</v>
      </c>
      <c r="F2" s="34">
        <v>4</v>
      </c>
      <c r="G2" s="34">
        <v>4</v>
      </c>
      <c r="H2" s="34">
        <v>81506</v>
      </c>
      <c r="I2" s="34" t="s">
        <v>17</v>
      </c>
      <c r="J2" s="14">
        <v>53168473</v>
      </c>
      <c r="K2" s="34" t="s">
        <v>5598</v>
      </c>
      <c r="L2" s="40" t="s">
        <v>5600</v>
      </c>
      <c r="M2" s="36">
        <v>199900</v>
      </c>
      <c r="N2" s="36" t="s">
        <v>2569</v>
      </c>
      <c r="O2" s="34" t="s">
        <v>2577</v>
      </c>
      <c r="P2" s="36" t="s">
        <v>2569</v>
      </c>
    </row>
    <row r="3" spans="1:16" s="33" customFormat="1" x14ac:dyDescent="0.35">
      <c r="A3" s="34" t="s">
        <v>6513</v>
      </c>
      <c r="B3" s="35">
        <f>B2</f>
        <v>46086</v>
      </c>
      <c r="C3" s="35">
        <f>C2</f>
        <v>46092</v>
      </c>
      <c r="D3" s="34">
        <v>3284</v>
      </c>
      <c r="E3" s="34">
        <v>338</v>
      </c>
      <c r="F3" s="34">
        <v>4</v>
      </c>
      <c r="G3" s="34">
        <v>4</v>
      </c>
      <c r="H3" s="34">
        <v>81506</v>
      </c>
      <c r="I3" s="34" t="s">
        <v>17</v>
      </c>
      <c r="J3" s="14">
        <v>53168482</v>
      </c>
      <c r="K3" s="34" t="s">
        <v>5598</v>
      </c>
      <c r="L3" s="40" t="s">
        <v>5601</v>
      </c>
      <c r="M3" s="36">
        <v>199900</v>
      </c>
      <c r="N3" s="36" t="s">
        <v>2569</v>
      </c>
      <c r="O3" s="34" t="s">
        <v>2577</v>
      </c>
      <c r="P3" s="36" t="s">
        <v>2569</v>
      </c>
    </row>
    <row r="4" spans="1:16" s="33" customFormat="1" x14ac:dyDescent="0.35">
      <c r="A4" s="34" t="s">
        <v>6513</v>
      </c>
      <c r="B4" s="35">
        <f t="shared" ref="B4:C13" si="0">B3</f>
        <v>46086</v>
      </c>
      <c r="C4" s="35">
        <f t="shared" si="0"/>
        <v>46092</v>
      </c>
      <c r="D4" s="34">
        <v>3284</v>
      </c>
      <c r="E4" s="34">
        <v>338</v>
      </c>
      <c r="F4" s="34">
        <v>4</v>
      </c>
      <c r="G4" s="34">
        <v>4</v>
      </c>
      <c r="H4" s="34">
        <v>81506</v>
      </c>
      <c r="I4" s="34" t="s">
        <v>17</v>
      </c>
      <c r="J4" s="14">
        <v>53168491</v>
      </c>
      <c r="K4" s="34" t="s">
        <v>5598</v>
      </c>
      <c r="L4" s="40" t="s">
        <v>5599</v>
      </c>
      <c r="M4" s="36">
        <v>199900</v>
      </c>
      <c r="N4" s="36" t="s">
        <v>2569</v>
      </c>
      <c r="O4" s="34" t="s">
        <v>2577</v>
      </c>
      <c r="P4" s="36" t="s">
        <v>2569</v>
      </c>
    </row>
    <row r="5" spans="1:16" s="33" customFormat="1" x14ac:dyDescent="0.35">
      <c r="A5" s="34" t="s">
        <v>6513</v>
      </c>
      <c r="B5" s="35">
        <f t="shared" si="0"/>
        <v>46086</v>
      </c>
      <c r="C5" s="35">
        <f t="shared" si="0"/>
        <v>46092</v>
      </c>
      <c r="D5" s="34">
        <v>3284</v>
      </c>
      <c r="E5" s="34">
        <v>338</v>
      </c>
      <c r="F5" s="34">
        <v>4</v>
      </c>
      <c r="G5" s="34">
        <v>4</v>
      </c>
      <c r="H5" s="34">
        <v>81506</v>
      </c>
      <c r="I5" s="34" t="s">
        <v>17</v>
      </c>
      <c r="J5" s="14">
        <v>53168508</v>
      </c>
      <c r="K5" s="34" t="s">
        <v>5598</v>
      </c>
      <c r="L5" s="40" t="s">
        <v>5602</v>
      </c>
      <c r="M5" s="36">
        <v>199900</v>
      </c>
      <c r="N5" s="36" t="s">
        <v>2569</v>
      </c>
      <c r="O5" s="34" t="s">
        <v>2577</v>
      </c>
      <c r="P5" s="36" t="s">
        <v>2569</v>
      </c>
    </row>
    <row r="6" spans="1:16" s="33" customFormat="1" x14ac:dyDescent="0.35">
      <c r="A6" s="34" t="s">
        <v>6513</v>
      </c>
      <c r="B6" s="35">
        <f t="shared" si="0"/>
        <v>46086</v>
      </c>
      <c r="C6" s="35">
        <f t="shared" si="0"/>
        <v>46092</v>
      </c>
      <c r="D6" s="34">
        <v>3284</v>
      </c>
      <c r="E6" s="34">
        <v>338</v>
      </c>
      <c r="F6" s="34">
        <v>4</v>
      </c>
      <c r="G6" s="34">
        <v>5</v>
      </c>
      <c r="H6" s="34">
        <v>81146</v>
      </c>
      <c r="I6" s="34" t="s">
        <v>17</v>
      </c>
      <c r="J6" s="34">
        <v>53168517</v>
      </c>
      <c r="K6" s="34" t="s">
        <v>5593</v>
      </c>
      <c r="L6" s="40" t="s">
        <v>5596</v>
      </c>
      <c r="M6" s="36">
        <v>219900</v>
      </c>
      <c r="N6" s="36" t="s">
        <v>2569</v>
      </c>
      <c r="O6" s="34" t="s">
        <v>2577</v>
      </c>
      <c r="P6" s="36" t="s">
        <v>2569</v>
      </c>
    </row>
    <row r="7" spans="1:16" s="33" customFormat="1" x14ac:dyDescent="0.35">
      <c r="A7" s="34" t="s">
        <v>6513</v>
      </c>
      <c r="B7" s="35">
        <f t="shared" si="0"/>
        <v>46086</v>
      </c>
      <c r="C7" s="35">
        <f t="shared" si="0"/>
        <v>46092</v>
      </c>
      <c r="D7" s="34">
        <v>3284</v>
      </c>
      <c r="E7" s="34">
        <v>338</v>
      </c>
      <c r="F7" s="34">
        <v>4</v>
      </c>
      <c r="G7" s="34">
        <v>5</v>
      </c>
      <c r="H7" s="34">
        <v>81146</v>
      </c>
      <c r="I7" s="34" t="s">
        <v>17</v>
      </c>
      <c r="J7" s="34">
        <v>53168526</v>
      </c>
      <c r="K7" s="34" t="s">
        <v>5593</v>
      </c>
      <c r="L7" s="40" t="s">
        <v>5597</v>
      </c>
      <c r="M7" s="36">
        <v>219900</v>
      </c>
      <c r="N7" s="36" t="s">
        <v>2569</v>
      </c>
      <c r="O7" s="34" t="s">
        <v>2577</v>
      </c>
      <c r="P7" s="36" t="s">
        <v>2569</v>
      </c>
    </row>
    <row r="8" spans="1:16" s="33" customFormat="1" x14ac:dyDescent="0.35">
      <c r="A8" s="34" t="s">
        <v>6513</v>
      </c>
      <c r="B8" s="35">
        <f t="shared" si="0"/>
        <v>46086</v>
      </c>
      <c r="C8" s="35">
        <f t="shared" si="0"/>
        <v>46092</v>
      </c>
      <c r="D8" s="34">
        <v>3284</v>
      </c>
      <c r="E8" s="34">
        <v>338</v>
      </c>
      <c r="F8" s="34">
        <v>4</v>
      </c>
      <c r="G8" s="34">
        <v>5</v>
      </c>
      <c r="H8" s="34">
        <v>81146</v>
      </c>
      <c r="I8" s="34" t="s">
        <v>17</v>
      </c>
      <c r="J8" s="34">
        <v>53168535</v>
      </c>
      <c r="K8" s="34" t="s">
        <v>5593</v>
      </c>
      <c r="L8" s="40" t="s">
        <v>5595</v>
      </c>
      <c r="M8" s="36">
        <v>219900</v>
      </c>
      <c r="N8" s="36" t="s">
        <v>2569</v>
      </c>
      <c r="O8" s="34" t="s">
        <v>2577</v>
      </c>
      <c r="P8" s="36" t="s">
        <v>2569</v>
      </c>
    </row>
    <row r="9" spans="1:16" s="33" customFormat="1" x14ac:dyDescent="0.35">
      <c r="A9" s="34" t="s">
        <v>6513</v>
      </c>
      <c r="B9" s="35">
        <f t="shared" si="0"/>
        <v>46086</v>
      </c>
      <c r="C9" s="35">
        <f t="shared" si="0"/>
        <v>46092</v>
      </c>
      <c r="D9" s="34">
        <v>3284</v>
      </c>
      <c r="E9" s="34">
        <v>338</v>
      </c>
      <c r="F9" s="34">
        <v>4</v>
      </c>
      <c r="G9" s="34">
        <v>5</v>
      </c>
      <c r="H9" s="34">
        <v>81146</v>
      </c>
      <c r="I9" s="34" t="s">
        <v>17</v>
      </c>
      <c r="J9" s="34">
        <v>53168544</v>
      </c>
      <c r="K9" s="34" t="s">
        <v>5593</v>
      </c>
      <c r="L9" s="40" t="s">
        <v>5594</v>
      </c>
      <c r="M9" s="36">
        <v>219900</v>
      </c>
      <c r="N9" s="36" t="s">
        <v>2569</v>
      </c>
      <c r="O9" s="34" t="s">
        <v>2577</v>
      </c>
      <c r="P9" s="36" t="s">
        <v>2569</v>
      </c>
    </row>
    <row r="10" spans="1:16" s="33" customFormat="1" x14ac:dyDescent="0.35">
      <c r="A10" s="34" t="s">
        <v>6513</v>
      </c>
      <c r="B10" s="35">
        <f t="shared" si="0"/>
        <v>46086</v>
      </c>
      <c r="C10" s="35">
        <f t="shared" si="0"/>
        <v>46092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14">
        <v>53168553</v>
      </c>
      <c r="K10" s="34" t="s">
        <v>5588</v>
      </c>
      <c r="L10" s="40" t="s">
        <v>5592</v>
      </c>
      <c r="M10" s="36">
        <v>189900</v>
      </c>
      <c r="N10" s="36" t="s">
        <v>2569</v>
      </c>
      <c r="O10" s="34" t="s">
        <v>2577</v>
      </c>
      <c r="P10" s="36" t="s">
        <v>2569</v>
      </c>
    </row>
    <row r="11" spans="1:16" s="33" customFormat="1" x14ac:dyDescent="0.35">
      <c r="A11" s="34" t="s">
        <v>6513</v>
      </c>
      <c r="B11" s="35">
        <f t="shared" si="0"/>
        <v>46086</v>
      </c>
      <c r="C11" s="35">
        <f t="shared" si="0"/>
        <v>46092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14">
        <v>53168562</v>
      </c>
      <c r="K11" s="34" t="s">
        <v>5588</v>
      </c>
      <c r="L11" s="40" t="s">
        <v>5589</v>
      </c>
      <c r="M11" s="36">
        <v>189900</v>
      </c>
      <c r="N11" s="36" t="s">
        <v>2569</v>
      </c>
      <c r="O11" s="34" t="s">
        <v>2577</v>
      </c>
      <c r="P11" s="36" t="s">
        <v>2569</v>
      </c>
    </row>
    <row r="12" spans="1:16" s="33" customFormat="1" x14ac:dyDescent="0.35">
      <c r="A12" s="34" t="s">
        <v>6513</v>
      </c>
      <c r="B12" s="35">
        <f t="shared" si="0"/>
        <v>46086</v>
      </c>
      <c r="C12" s="35">
        <f t="shared" si="0"/>
        <v>46092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14">
        <v>53168571</v>
      </c>
      <c r="K12" s="34" t="s">
        <v>5588</v>
      </c>
      <c r="L12" s="40" t="s">
        <v>5591</v>
      </c>
      <c r="M12" s="36">
        <v>189900</v>
      </c>
      <c r="N12" s="36" t="s">
        <v>2569</v>
      </c>
      <c r="O12" s="34" t="s">
        <v>2577</v>
      </c>
      <c r="P12" s="36" t="s">
        <v>2569</v>
      </c>
    </row>
    <row r="13" spans="1:16" s="33" customFormat="1" x14ac:dyDescent="0.35">
      <c r="A13" s="34" t="s">
        <v>6513</v>
      </c>
      <c r="B13" s="35">
        <f t="shared" si="0"/>
        <v>46086</v>
      </c>
      <c r="C13" s="35">
        <f t="shared" si="0"/>
        <v>46092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14">
        <v>53168580</v>
      </c>
      <c r="K13" s="34" t="s">
        <v>5588</v>
      </c>
      <c r="L13" s="40" t="s">
        <v>5590</v>
      </c>
      <c r="M13" s="36">
        <v>189900</v>
      </c>
      <c r="N13" s="36" t="s">
        <v>2569</v>
      </c>
      <c r="O13" s="34" t="s">
        <v>2577</v>
      </c>
      <c r="P13" s="36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35">
        <f>'2019 ALL D95 - 3281'!B2</f>
        <v>46086</v>
      </c>
      <c r="C2" s="35">
        <f>'2019 ALL D95 - 3281'!C2</f>
        <v>46092</v>
      </c>
      <c r="D2" s="6">
        <v>3284</v>
      </c>
      <c r="E2" s="14">
        <v>338</v>
      </c>
      <c r="F2" s="14">
        <v>4</v>
      </c>
      <c r="G2" s="6">
        <v>8</v>
      </c>
      <c r="H2" s="6">
        <v>190</v>
      </c>
      <c r="I2" s="6" t="s">
        <v>17</v>
      </c>
      <c r="J2" s="6">
        <v>51992522</v>
      </c>
      <c r="K2" s="6" t="s">
        <v>5554</v>
      </c>
      <c r="L2" s="17" t="s">
        <v>5563</v>
      </c>
      <c r="M2" s="8">
        <v>119900</v>
      </c>
      <c r="N2" s="8" t="s">
        <v>2569</v>
      </c>
      <c r="O2" s="14" t="s">
        <v>2586</v>
      </c>
      <c r="P2" s="8" t="s">
        <v>2569</v>
      </c>
    </row>
    <row r="3" spans="1:16" x14ac:dyDescent="0.35">
      <c r="A3" s="14" t="s">
        <v>6511</v>
      </c>
      <c r="B3" s="35">
        <f t="shared" ref="B3:B34" si="0">B2</f>
        <v>46086</v>
      </c>
      <c r="C3" s="35">
        <f t="shared" ref="C3:C34" si="1">C2</f>
        <v>46092</v>
      </c>
      <c r="D3" s="6">
        <v>3284</v>
      </c>
      <c r="E3" s="14">
        <v>338</v>
      </c>
      <c r="F3" s="14">
        <v>4</v>
      </c>
      <c r="G3" s="6">
        <v>8</v>
      </c>
      <c r="H3" s="6">
        <v>190</v>
      </c>
      <c r="I3" s="6" t="s">
        <v>17</v>
      </c>
      <c r="J3" s="6">
        <v>51992531</v>
      </c>
      <c r="K3" s="6" t="s">
        <v>5554</v>
      </c>
      <c r="L3" s="17" t="s">
        <v>5555</v>
      </c>
      <c r="M3" s="8">
        <v>119900</v>
      </c>
      <c r="N3" s="8" t="s">
        <v>2569</v>
      </c>
      <c r="O3" s="14" t="s">
        <v>2586</v>
      </c>
      <c r="P3" s="8" t="s">
        <v>2569</v>
      </c>
    </row>
    <row r="4" spans="1:16" x14ac:dyDescent="0.35">
      <c r="A4" s="14" t="s">
        <v>6511</v>
      </c>
      <c r="B4" s="35">
        <f t="shared" si="0"/>
        <v>46086</v>
      </c>
      <c r="C4" s="35">
        <f t="shared" si="1"/>
        <v>46092</v>
      </c>
      <c r="D4" s="6">
        <v>3284</v>
      </c>
      <c r="E4" s="14">
        <v>338</v>
      </c>
      <c r="F4" s="14">
        <v>4</v>
      </c>
      <c r="G4" s="6">
        <v>8</v>
      </c>
      <c r="H4" s="6">
        <v>190</v>
      </c>
      <c r="I4" s="6" t="s">
        <v>17</v>
      </c>
      <c r="J4" s="6">
        <v>51992540</v>
      </c>
      <c r="K4" s="6" t="s">
        <v>5554</v>
      </c>
      <c r="L4" s="17" t="s">
        <v>5576</v>
      </c>
      <c r="M4" s="8">
        <v>119900</v>
      </c>
      <c r="N4" s="8" t="s">
        <v>2569</v>
      </c>
      <c r="O4" s="14" t="s">
        <v>2586</v>
      </c>
      <c r="P4" s="8" t="s">
        <v>2569</v>
      </c>
    </row>
    <row r="5" spans="1:16" x14ac:dyDescent="0.35">
      <c r="A5" s="14" t="s">
        <v>6511</v>
      </c>
      <c r="B5" s="35">
        <f t="shared" si="0"/>
        <v>46086</v>
      </c>
      <c r="C5" s="35">
        <f t="shared" si="1"/>
        <v>46092</v>
      </c>
      <c r="D5" s="6">
        <v>3284</v>
      </c>
      <c r="E5" s="14">
        <v>338</v>
      </c>
      <c r="F5" s="14">
        <v>4</v>
      </c>
      <c r="G5" s="6">
        <v>8</v>
      </c>
      <c r="H5" s="6">
        <v>190</v>
      </c>
      <c r="I5" s="6" t="s">
        <v>17</v>
      </c>
      <c r="J5" s="6">
        <v>51992559</v>
      </c>
      <c r="K5" s="6" t="s">
        <v>5554</v>
      </c>
      <c r="L5" s="17" t="s">
        <v>5575</v>
      </c>
      <c r="M5" s="8">
        <v>119900</v>
      </c>
      <c r="N5" s="8" t="s">
        <v>2569</v>
      </c>
      <c r="O5" s="14" t="s">
        <v>2586</v>
      </c>
      <c r="P5" s="8" t="s">
        <v>2569</v>
      </c>
    </row>
    <row r="6" spans="1:16" x14ac:dyDescent="0.35">
      <c r="A6" s="14" t="s">
        <v>6511</v>
      </c>
      <c r="B6" s="35">
        <f t="shared" si="0"/>
        <v>46086</v>
      </c>
      <c r="C6" s="35">
        <f t="shared" si="1"/>
        <v>46092</v>
      </c>
      <c r="D6" s="6">
        <v>3284</v>
      </c>
      <c r="E6" s="14">
        <v>338</v>
      </c>
      <c r="F6" s="14">
        <v>4</v>
      </c>
      <c r="G6" s="6">
        <v>8</v>
      </c>
      <c r="H6" s="6">
        <v>190</v>
      </c>
      <c r="I6" s="6" t="s">
        <v>17</v>
      </c>
      <c r="J6" s="6">
        <v>51992568</v>
      </c>
      <c r="K6" s="6" t="s">
        <v>5556</v>
      </c>
      <c r="L6" s="17" t="s">
        <v>5558</v>
      </c>
      <c r="M6" s="8">
        <v>119900</v>
      </c>
      <c r="N6" s="8" t="s">
        <v>2569</v>
      </c>
      <c r="O6" s="14" t="s">
        <v>2586</v>
      </c>
      <c r="P6" s="8" t="s">
        <v>2569</v>
      </c>
    </row>
    <row r="7" spans="1:16" x14ac:dyDescent="0.35">
      <c r="A7" s="14" t="s">
        <v>6511</v>
      </c>
      <c r="B7" s="35">
        <f t="shared" si="0"/>
        <v>46086</v>
      </c>
      <c r="C7" s="35">
        <f t="shared" si="1"/>
        <v>46092</v>
      </c>
      <c r="D7" s="6">
        <v>3284</v>
      </c>
      <c r="E7" s="14">
        <v>338</v>
      </c>
      <c r="F7" s="14">
        <v>4</v>
      </c>
      <c r="G7" s="6">
        <v>8</v>
      </c>
      <c r="H7" s="6">
        <v>190</v>
      </c>
      <c r="I7" s="6" t="s">
        <v>17</v>
      </c>
      <c r="J7" s="6">
        <v>51992577</v>
      </c>
      <c r="K7" s="6" t="s">
        <v>5556</v>
      </c>
      <c r="L7" s="17" t="s">
        <v>5557</v>
      </c>
      <c r="M7" s="8">
        <v>119900</v>
      </c>
      <c r="N7" s="8" t="s">
        <v>2569</v>
      </c>
      <c r="O7" s="14" t="s">
        <v>2586</v>
      </c>
      <c r="P7" s="8" t="s">
        <v>2569</v>
      </c>
    </row>
    <row r="8" spans="1:16" x14ac:dyDescent="0.35">
      <c r="A8" s="14" t="s">
        <v>6511</v>
      </c>
      <c r="B8" s="35">
        <f t="shared" si="0"/>
        <v>46086</v>
      </c>
      <c r="C8" s="35">
        <f t="shared" si="1"/>
        <v>46092</v>
      </c>
      <c r="D8" s="6">
        <v>3284</v>
      </c>
      <c r="E8" s="14">
        <v>338</v>
      </c>
      <c r="F8" s="14">
        <v>4</v>
      </c>
      <c r="G8" s="6">
        <v>8</v>
      </c>
      <c r="H8" s="6">
        <v>190</v>
      </c>
      <c r="I8" s="6" t="s">
        <v>17</v>
      </c>
      <c r="J8" s="6">
        <v>51992586</v>
      </c>
      <c r="K8" s="6" t="s">
        <v>5556</v>
      </c>
      <c r="L8" s="17" t="s">
        <v>5569</v>
      </c>
      <c r="M8" s="8">
        <v>119900</v>
      </c>
      <c r="N8" s="8" t="s">
        <v>2569</v>
      </c>
      <c r="O8" s="14" t="s">
        <v>2586</v>
      </c>
      <c r="P8" s="8" t="s">
        <v>2569</v>
      </c>
    </row>
    <row r="9" spans="1:16" x14ac:dyDescent="0.35">
      <c r="A9" s="14" t="s">
        <v>6511</v>
      </c>
      <c r="B9" s="35">
        <f t="shared" si="0"/>
        <v>46086</v>
      </c>
      <c r="C9" s="35">
        <f t="shared" si="1"/>
        <v>46092</v>
      </c>
      <c r="D9" s="6">
        <v>3284</v>
      </c>
      <c r="E9" s="14">
        <v>338</v>
      </c>
      <c r="F9" s="14">
        <v>4</v>
      </c>
      <c r="G9" s="6">
        <v>8</v>
      </c>
      <c r="H9" s="6">
        <v>190</v>
      </c>
      <c r="I9" s="6" t="s">
        <v>17</v>
      </c>
      <c r="J9" s="6">
        <v>51992595</v>
      </c>
      <c r="K9" s="6" t="s">
        <v>5556</v>
      </c>
      <c r="L9" s="17" t="s">
        <v>5566</v>
      </c>
      <c r="M9" s="8">
        <v>119900</v>
      </c>
      <c r="N9" s="8" t="s">
        <v>2569</v>
      </c>
      <c r="O9" s="14" t="s">
        <v>2586</v>
      </c>
      <c r="P9" s="8" t="s">
        <v>2569</v>
      </c>
    </row>
    <row r="10" spans="1:16" s="16" customFormat="1" x14ac:dyDescent="0.35">
      <c r="A10" s="14" t="s">
        <v>6511</v>
      </c>
      <c r="B10" s="42">
        <f t="shared" si="0"/>
        <v>46086</v>
      </c>
      <c r="C10" s="42">
        <f t="shared" si="1"/>
        <v>46092</v>
      </c>
      <c r="D10" s="14">
        <v>3284</v>
      </c>
      <c r="E10" s="14">
        <v>338</v>
      </c>
      <c r="F10" s="14">
        <v>4</v>
      </c>
      <c r="G10" s="14">
        <v>8</v>
      </c>
      <c r="H10" s="14">
        <v>190</v>
      </c>
      <c r="I10" s="14" t="s">
        <v>17</v>
      </c>
      <c r="J10" s="14">
        <v>51992602</v>
      </c>
      <c r="K10" s="14" t="s">
        <v>5561</v>
      </c>
      <c r="L10" s="18" t="s">
        <v>5562</v>
      </c>
      <c r="M10" s="15">
        <v>199900</v>
      </c>
      <c r="N10" s="15" t="s">
        <v>2569</v>
      </c>
      <c r="O10" s="14" t="s">
        <v>2586</v>
      </c>
      <c r="P10" s="15" t="s">
        <v>2569</v>
      </c>
    </row>
    <row r="11" spans="1:16" s="16" customFormat="1" x14ac:dyDescent="0.35">
      <c r="A11" s="14" t="s">
        <v>6511</v>
      </c>
      <c r="B11" s="42">
        <f t="shared" si="0"/>
        <v>46086</v>
      </c>
      <c r="C11" s="42">
        <f t="shared" si="1"/>
        <v>46092</v>
      </c>
      <c r="D11" s="14">
        <v>3284</v>
      </c>
      <c r="E11" s="14">
        <v>338</v>
      </c>
      <c r="F11" s="14">
        <v>4</v>
      </c>
      <c r="G11" s="14">
        <v>8</v>
      </c>
      <c r="H11" s="14">
        <v>190</v>
      </c>
      <c r="I11" s="14" t="s">
        <v>17</v>
      </c>
      <c r="J11" s="14">
        <v>51992611</v>
      </c>
      <c r="K11" s="14" t="s">
        <v>5561</v>
      </c>
      <c r="L11" s="18" t="s">
        <v>5564</v>
      </c>
      <c r="M11" s="15">
        <v>199900</v>
      </c>
      <c r="N11" s="15" t="s">
        <v>2569</v>
      </c>
      <c r="O11" s="14" t="s">
        <v>2586</v>
      </c>
      <c r="P11" s="15" t="s">
        <v>2569</v>
      </c>
    </row>
    <row r="12" spans="1:16" s="16" customFormat="1" x14ac:dyDescent="0.35">
      <c r="A12" s="14" t="s">
        <v>6511</v>
      </c>
      <c r="B12" s="42">
        <f t="shared" si="0"/>
        <v>46086</v>
      </c>
      <c r="C12" s="42">
        <f t="shared" si="1"/>
        <v>46092</v>
      </c>
      <c r="D12" s="14">
        <v>3284</v>
      </c>
      <c r="E12" s="14">
        <v>338</v>
      </c>
      <c r="F12" s="14">
        <v>4</v>
      </c>
      <c r="G12" s="14">
        <v>8</v>
      </c>
      <c r="H12" s="14">
        <v>190</v>
      </c>
      <c r="I12" s="14" t="s">
        <v>17</v>
      </c>
      <c r="J12" s="14">
        <v>51992620</v>
      </c>
      <c r="K12" s="14" t="s">
        <v>5561</v>
      </c>
      <c r="L12" s="18" t="s">
        <v>5571</v>
      </c>
      <c r="M12" s="15">
        <v>199900</v>
      </c>
      <c r="N12" s="15" t="s">
        <v>2569</v>
      </c>
      <c r="O12" s="14" t="s">
        <v>2586</v>
      </c>
      <c r="P12" s="15" t="s">
        <v>2569</v>
      </c>
    </row>
    <row r="13" spans="1:16" s="16" customFormat="1" x14ac:dyDescent="0.35">
      <c r="A13" s="14" t="s">
        <v>6511</v>
      </c>
      <c r="B13" s="42">
        <f t="shared" si="0"/>
        <v>46086</v>
      </c>
      <c r="C13" s="42">
        <f t="shared" si="1"/>
        <v>46092</v>
      </c>
      <c r="D13" s="14">
        <v>3284</v>
      </c>
      <c r="E13" s="14">
        <v>338</v>
      </c>
      <c r="F13" s="14">
        <v>4</v>
      </c>
      <c r="G13" s="14">
        <v>8</v>
      </c>
      <c r="H13" s="14">
        <v>190</v>
      </c>
      <c r="I13" s="14" t="s">
        <v>17</v>
      </c>
      <c r="J13" s="14">
        <v>51992639</v>
      </c>
      <c r="K13" s="14" t="s">
        <v>5561</v>
      </c>
      <c r="L13" s="18" t="s">
        <v>5572</v>
      </c>
      <c r="M13" s="15">
        <v>199900</v>
      </c>
      <c r="N13" s="15" t="s">
        <v>2569</v>
      </c>
      <c r="O13" s="14" t="s">
        <v>2586</v>
      </c>
      <c r="P13" s="15" t="s">
        <v>2569</v>
      </c>
    </row>
    <row r="14" spans="1:16" x14ac:dyDescent="0.35">
      <c r="A14" s="14" t="s">
        <v>6511</v>
      </c>
      <c r="B14" s="35">
        <f t="shared" si="0"/>
        <v>46086</v>
      </c>
      <c r="C14" s="35">
        <f t="shared" si="1"/>
        <v>46092</v>
      </c>
      <c r="D14" s="6">
        <v>3284</v>
      </c>
      <c r="E14" s="14">
        <v>338</v>
      </c>
      <c r="F14" s="14">
        <v>4</v>
      </c>
      <c r="G14" s="6">
        <v>8</v>
      </c>
      <c r="H14" s="6">
        <v>190</v>
      </c>
      <c r="I14" s="6" t="s">
        <v>17</v>
      </c>
      <c r="J14" s="6">
        <v>51992648</v>
      </c>
      <c r="K14" s="6" t="s">
        <v>5559</v>
      </c>
      <c r="L14" s="17" t="s">
        <v>5565</v>
      </c>
      <c r="M14" s="8">
        <v>199900</v>
      </c>
      <c r="N14" s="8" t="s">
        <v>2569</v>
      </c>
      <c r="O14" s="14" t="s">
        <v>2586</v>
      </c>
      <c r="P14" s="8" t="s">
        <v>2569</v>
      </c>
    </row>
    <row r="15" spans="1:16" x14ac:dyDescent="0.35">
      <c r="A15" s="14" t="s">
        <v>6511</v>
      </c>
      <c r="B15" s="35">
        <f t="shared" si="0"/>
        <v>46086</v>
      </c>
      <c r="C15" s="35">
        <f t="shared" si="1"/>
        <v>46092</v>
      </c>
      <c r="D15" s="6">
        <v>3284</v>
      </c>
      <c r="E15" s="14">
        <v>338</v>
      </c>
      <c r="F15" s="14">
        <v>4</v>
      </c>
      <c r="G15" s="6">
        <v>8</v>
      </c>
      <c r="H15" s="6">
        <v>190</v>
      </c>
      <c r="I15" s="6" t="s">
        <v>17</v>
      </c>
      <c r="J15" s="6">
        <v>51992657</v>
      </c>
      <c r="K15" s="6" t="s">
        <v>5559</v>
      </c>
      <c r="L15" s="17" t="s">
        <v>5560</v>
      </c>
      <c r="M15" s="8">
        <v>199900</v>
      </c>
      <c r="N15" s="8" t="s">
        <v>2569</v>
      </c>
      <c r="O15" s="14" t="s">
        <v>2586</v>
      </c>
      <c r="P15" s="8" t="s">
        <v>2569</v>
      </c>
    </row>
    <row r="16" spans="1:16" x14ac:dyDescent="0.35">
      <c r="A16" s="14" t="s">
        <v>6511</v>
      </c>
      <c r="B16" s="35">
        <f t="shared" si="0"/>
        <v>46086</v>
      </c>
      <c r="C16" s="35">
        <f t="shared" si="1"/>
        <v>46092</v>
      </c>
      <c r="D16" s="6">
        <v>3284</v>
      </c>
      <c r="E16" s="14">
        <v>338</v>
      </c>
      <c r="F16" s="14">
        <v>4</v>
      </c>
      <c r="G16" s="6">
        <v>8</v>
      </c>
      <c r="H16" s="6">
        <v>190</v>
      </c>
      <c r="I16" s="6" t="s">
        <v>17</v>
      </c>
      <c r="J16" s="6">
        <v>51992666</v>
      </c>
      <c r="K16" s="6" t="s">
        <v>5559</v>
      </c>
      <c r="L16" s="17" t="s">
        <v>5574</v>
      </c>
      <c r="M16" s="8">
        <v>199900</v>
      </c>
      <c r="N16" s="8" t="s">
        <v>2569</v>
      </c>
      <c r="O16" s="14" t="s">
        <v>2586</v>
      </c>
      <c r="P16" s="8" t="s">
        <v>2569</v>
      </c>
    </row>
    <row r="17" spans="1:16" x14ac:dyDescent="0.35">
      <c r="A17" s="14" t="s">
        <v>6511</v>
      </c>
      <c r="B17" s="35">
        <f t="shared" si="0"/>
        <v>46086</v>
      </c>
      <c r="C17" s="35">
        <f t="shared" si="1"/>
        <v>46092</v>
      </c>
      <c r="D17" s="6">
        <v>3284</v>
      </c>
      <c r="E17" s="14">
        <v>338</v>
      </c>
      <c r="F17" s="14">
        <v>4</v>
      </c>
      <c r="G17" s="6">
        <v>8</v>
      </c>
      <c r="H17" s="6">
        <v>190</v>
      </c>
      <c r="I17" s="6" t="s">
        <v>17</v>
      </c>
      <c r="J17" s="6">
        <v>51992675</v>
      </c>
      <c r="K17" s="6" t="s">
        <v>5559</v>
      </c>
      <c r="L17" s="17" t="s">
        <v>5573</v>
      </c>
      <c r="M17" s="8">
        <v>199900</v>
      </c>
      <c r="N17" s="8" t="s">
        <v>2569</v>
      </c>
      <c r="O17" s="14" t="s">
        <v>2586</v>
      </c>
      <c r="P17" s="8" t="s">
        <v>2569</v>
      </c>
    </row>
    <row r="18" spans="1:16" x14ac:dyDescent="0.35">
      <c r="A18" s="14" t="s">
        <v>6511</v>
      </c>
      <c r="B18" s="35">
        <f t="shared" si="0"/>
        <v>46086</v>
      </c>
      <c r="C18" s="35">
        <f t="shared" si="1"/>
        <v>46092</v>
      </c>
      <c r="D18" s="6">
        <v>3284</v>
      </c>
      <c r="E18" s="14">
        <v>338</v>
      </c>
      <c r="F18" s="14">
        <v>4</v>
      </c>
      <c r="G18" s="6">
        <v>8</v>
      </c>
      <c r="H18" s="6">
        <v>190</v>
      </c>
      <c r="I18" s="6" t="s">
        <v>17</v>
      </c>
      <c r="J18" s="6">
        <v>51992684</v>
      </c>
      <c r="K18" s="6" t="s">
        <v>5552</v>
      </c>
      <c r="L18" s="17" t="s">
        <v>5553</v>
      </c>
      <c r="M18" s="8">
        <v>199900</v>
      </c>
      <c r="N18" s="8" t="s">
        <v>2569</v>
      </c>
      <c r="O18" s="14" t="s">
        <v>2586</v>
      </c>
      <c r="P18" s="8" t="s">
        <v>2569</v>
      </c>
    </row>
    <row r="19" spans="1:16" x14ac:dyDescent="0.35">
      <c r="A19" s="14" t="s">
        <v>6511</v>
      </c>
      <c r="B19" s="35">
        <f t="shared" si="0"/>
        <v>46086</v>
      </c>
      <c r="C19" s="35">
        <f t="shared" si="1"/>
        <v>46092</v>
      </c>
      <c r="D19" s="6">
        <v>3284</v>
      </c>
      <c r="E19" s="14">
        <v>338</v>
      </c>
      <c r="F19" s="14">
        <v>4</v>
      </c>
      <c r="G19" s="6">
        <v>8</v>
      </c>
      <c r="H19" s="6">
        <v>190</v>
      </c>
      <c r="I19" s="6" t="s">
        <v>17</v>
      </c>
      <c r="J19" s="6">
        <v>51992693</v>
      </c>
      <c r="K19" s="6" t="s">
        <v>5552</v>
      </c>
      <c r="L19" s="17" t="s">
        <v>5570</v>
      </c>
      <c r="M19" s="8">
        <v>199900</v>
      </c>
      <c r="N19" s="8" t="s">
        <v>2569</v>
      </c>
      <c r="O19" s="14" t="s">
        <v>2586</v>
      </c>
      <c r="P19" s="8" t="s">
        <v>2569</v>
      </c>
    </row>
    <row r="20" spans="1:16" x14ac:dyDescent="0.35">
      <c r="A20" s="14" t="s">
        <v>6511</v>
      </c>
      <c r="B20" s="35">
        <f t="shared" si="0"/>
        <v>46086</v>
      </c>
      <c r="C20" s="35">
        <f t="shared" si="1"/>
        <v>46092</v>
      </c>
      <c r="D20" s="6">
        <v>3284</v>
      </c>
      <c r="E20" s="14">
        <v>338</v>
      </c>
      <c r="F20" s="14">
        <v>4</v>
      </c>
      <c r="G20" s="6">
        <v>8</v>
      </c>
      <c r="H20" s="6">
        <v>190</v>
      </c>
      <c r="I20" s="6" t="s">
        <v>17</v>
      </c>
      <c r="J20" s="6">
        <v>51992700</v>
      </c>
      <c r="K20" s="6" t="s">
        <v>5552</v>
      </c>
      <c r="L20" s="17" t="s">
        <v>5568</v>
      </c>
      <c r="M20" s="8">
        <v>199900</v>
      </c>
      <c r="N20" s="8" t="s">
        <v>2569</v>
      </c>
      <c r="O20" s="14" t="s">
        <v>2586</v>
      </c>
      <c r="P20" s="8" t="s">
        <v>2569</v>
      </c>
    </row>
    <row r="21" spans="1:16" x14ac:dyDescent="0.35">
      <c r="A21" s="14" t="s">
        <v>6511</v>
      </c>
      <c r="B21" s="35">
        <f t="shared" si="0"/>
        <v>46086</v>
      </c>
      <c r="C21" s="35">
        <f t="shared" si="1"/>
        <v>46092</v>
      </c>
      <c r="D21" s="6">
        <v>3284</v>
      </c>
      <c r="E21" s="14">
        <v>338</v>
      </c>
      <c r="F21" s="14">
        <v>4</v>
      </c>
      <c r="G21" s="6">
        <v>8</v>
      </c>
      <c r="H21" s="6">
        <v>190</v>
      </c>
      <c r="I21" s="6" t="s">
        <v>17</v>
      </c>
      <c r="J21" s="6">
        <v>51992719</v>
      </c>
      <c r="K21" s="6" t="s">
        <v>5552</v>
      </c>
      <c r="L21" s="17" t="s">
        <v>5567</v>
      </c>
      <c r="M21" s="8">
        <v>199900</v>
      </c>
      <c r="N21" s="8" t="s">
        <v>2569</v>
      </c>
      <c r="O21" s="14" t="s">
        <v>2586</v>
      </c>
      <c r="P21" s="8" t="s">
        <v>2569</v>
      </c>
    </row>
    <row r="22" spans="1:16" x14ac:dyDescent="0.35">
      <c r="A22" s="14" t="s">
        <v>6511</v>
      </c>
      <c r="B22" s="35">
        <f t="shared" si="0"/>
        <v>46086</v>
      </c>
      <c r="C22" s="35">
        <f t="shared" si="1"/>
        <v>46092</v>
      </c>
      <c r="D22" s="6">
        <v>3284</v>
      </c>
      <c r="E22" s="14">
        <v>338</v>
      </c>
      <c r="F22" s="14">
        <v>4</v>
      </c>
      <c r="G22" s="6">
        <v>8</v>
      </c>
      <c r="H22" s="6">
        <v>81698</v>
      </c>
      <c r="I22" s="6" t="s">
        <v>17</v>
      </c>
      <c r="J22" s="6">
        <v>52480449</v>
      </c>
      <c r="K22" s="6" t="s">
        <v>5577</v>
      </c>
      <c r="L22" s="17" t="s">
        <v>5582</v>
      </c>
      <c r="M22" s="8">
        <v>229900</v>
      </c>
      <c r="N22" s="8" t="s">
        <v>2569</v>
      </c>
      <c r="O22" s="14" t="s">
        <v>2586</v>
      </c>
      <c r="P22" s="8" t="s">
        <v>2569</v>
      </c>
    </row>
    <row r="23" spans="1:16" x14ac:dyDescent="0.35">
      <c r="A23" s="14" t="s">
        <v>6511</v>
      </c>
      <c r="B23" s="35">
        <f t="shared" si="0"/>
        <v>46086</v>
      </c>
      <c r="C23" s="35">
        <f t="shared" si="1"/>
        <v>46092</v>
      </c>
      <c r="D23" s="6">
        <v>3284</v>
      </c>
      <c r="E23" s="14">
        <v>338</v>
      </c>
      <c r="F23" s="14">
        <v>4</v>
      </c>
      <c r="G23" s="6">
        <v>8</v>
      </c>
      <c r="H23" s="6">
        <v>81698</v>
      </c>
      <c r="I23" s="6" t="s">
        <v>17</v>
      </c>
      <c r="J23" s="6">
        <v>52480458</v>
      </c>
      <c r="K23" s="6" t="s">
        <v>5577</v>
      </c>
      <c r="L23" s="17" t="s">
        <v>5580</v>
      </c>
      <c r="M23" s="8">
        <v>229900</v>
      </c>
      <c r="N23" s="8" t="s">
        <v>2569</v>
      </c>
      <c r="O23" s="14" t="s">
        <v>2586</v>
      </c>
      <c r="P23" s="8" t="s">
        <v>2569</v>
      </c>
    </row>
    <row r="24" spans="1:16" x14ac:dyDescent="0.35">
      <c r="A24" s="14" t="s">
        <v>6511</v>
      </c>
      <c r="B24" s="35">
        <f t="shared" si="0"/>
        <v>46086</v>
      </c>
      <c r="C24" s="35">
        <f t="shared" si="1"/>
        <v>46092</v>
      </c>
      <c r="D24" s="6">
        <v>3284</v>
      </c>
      <c r="E24" s="14">
        <v>338</v>
      </c>
      <c r="F24" s="14">
        <v>4</v>
      </c>
      <c r="G24" s="6">
        <v>8</v>
      </c>
      <c r="H24" s="6">
        <v>81698</v>
      </c>
      <c r="I24" s="6" t="s">
        <v>17</v>
      </c>
      <c r="J24" s="6">
        <v>52480467</v>
      </c>
      <c r="K24" s="6" t="s">
        <v>5577</v>
      </c>
      <c r="L24" s="17" t="s">
        <v>5578</v>
      </c>
      <c r="M24" s="8">
        <v>229900</v>
      </c>
      <c r="N24" s="8" t="s">
        <v>2569</v>
      </c>
      <c r="O24" s="14" t="s">
        <v>2586</v>
      </c>
      <c r="P24" s="8" t="s">
        <v>2569</v>
      </c>
    </row>
    <row r="25" spans="1:16" x14ac:dyDescent="0.35">
      <c r="A25" s="14" t="s">
        <v>6511</v>
      </c>
      <c r="B25" s="35">
        <f t="shared" si="0"/>
        <v>46086</v>
      </c>
      <c r="C25" s="35">
        <f t="shared" si="1"/>
        <v>46092</v>
      </c>
      <c r="D25" s="6">
        <v>3284</v>
      </c>
      <c r="E25" s="14">
        <v>338</v>
      </c>
      <c r="F25" s="14">
        <v>4</v>
      </c>
      <c r="G25" s="6">
        <v>8</v>
      </c>
      <c r="H25" s="6">
        <v>81698</v>
      </c>
      <c r="I25" s="6" t="s">
        <v>17</v>
      </c>
      <c r="J25" s="6">
        <v>52480476</v>
      </c>
      <c r="K25" s="6" t="s">
        <v>5577</v>
      </c>
      <c r="L25" s="17" t="s">
        <v>5581</v>
      </c>
      <c r="M25" s="8">
        <v>229900</v>
      </c>
      <c r="N25" s="8" t="s">
        <v>2569</v>
      </c>
      <c r="O25" s="14" t="s">
        <v>2586</v>
      </c>
      <c r="P25" s="8" t="s">
        <v>2569</v>
      </c>
    </row>
    <row r="26" spans="1:16" x14ac:dyDescent="0.35">
      <c r="A26" s="14" t="s">
        <v>6511</v>
      </c>
      <c r="B26" s="35">
        <f t="shared" si="0"/>
        <v>46086</v>
      </c>
      <c r="C26" s="35">
        <f t="shared" si="1"/>
        <v>46092</v>
      </c>
      <c r="D26" s="6">
        <v>3284</v>
      </c>
      <c r="E26" s="14">
        <v>338</v>
      </c>
      <c r="F26" s="14">
        <v>4</v>
      </c>
      <c r="G26" s="6">
        <v>8</v>
      </c>
      <c r="H26" s="6">
        <v>81698</v>
      </c>
      <c r="I26" s="6" t="s">
        <v>17</v>
      </c>
      <c r="J26" s="6">
        <v>52480485</v>
      </c>
      <c r="K26" s="6" t="s">
        <v>5577</v>
      </c>
      <c r="L26" s="17" t="s">
        <v>5579</v>
      </c>
      <c r="M26" s="8">
        <v>229900</v>
      </c>
      <c r="N26" s="8" t="s">
        <v>2569</v>
      </c>
      <c r="O26" s="14" t="s">
        <v>2586</v>
      </c>
      <c r="P26" s="8" t="s">
        <v>2569</v>
      </c>
    </row>
    <row r="27" spans="1:16" s="33" customFormat="1" x14ac:dyDescent="0.35">
      <c r="A27" s="14" t="s">
        <v>6511</v>
      </c>
      <c r="B27" s="35">
        <f t="shared" si="0"/>
        <v>46086</v>
      </c>
      <c r="C27" s="35">
        <f t="shared" si="1"/>
        <v>46092</v>
      </c>
      <c r="D27" s="34">
        <v>3284</v>
      </c>
      <c r="E27" s="14">
        <v>338</v>
      </c>
      <c r="F27" s="14">
        <v>4</v>
      </c>
      <c r="G27" s="34">
        <v>4</v>
      </c>
      <c r="H27" s="34">
        <v>81146</v>
      </c>
      <c r="I27" s="34" t="s">
        <v>17</v>
      </c>
      <c r="J27" s="34">
        <v>51764911</v>
      </c>
      <c r="K27" s="34" t="s">
        <v>4864</v>
      </c>
      <c r="L27" s="40" t="s">
        <v>4866</v>
      </c>
      <c r="M27" s="36">
        <v>219900</v>
      </c>
      <c r="N27" s="36" t="s">
        <v>2569</v>
      </c>
      <c r="O27" s="14" t="s">
        <v>2586</v>
      </c>
      <c r="P27" s="36" t="s">
        <v>2569</v>
      </c>
    </row>
    <row r="28" spans="1:16" s="33" customFormat="1" x14ac:dyDescent="0.35">
      <c r="A28" s="14" t="s">
        <v>6511</v>
      </c>
      <c r="B28" s="35">
        <f t="shared" si="0"/>
        <v>46086</v>
      </c>
      <c r="C28" s="35">
        <f t="shared" si="1"/>
        <v>46092</v>
      </c>
      <c r="D28" s="34">
        <v>3284</v>
      </c>
      <c r="E28" s="14">
        <v>338</v>
      </c>
      <c r="F28" s="14">
        <v>4</v>
      </c>
      <c r="G28" s="34">
        <v>4</v>
      </c>
      <c r="H28" s="34">
        <v>81146</v>
      </c>
      <c r="I28" s="34" t="s">
        <v>17</v>
      </c>
      <c r="J28" s="34">
        <v>51764920</v>
      </c>
      <c r="K28" s="34" t="s">
        <v>4864</v>
      </c>
      <c r="L28" s="40" t="s">
        <v>4867</v>
      </c>
      <c r="M28" s="36">
        <v>219900</v>
      </c>
      <c r="N28" s="36" t="s">
        <v>2569</v>
      </c>
      <c r="O28" s="14" t="s">
        <v>2586</v>
      </c>
      <c r="P28" s="36" t="s">
        <v>2569</v>
      </c>
    </row>
    <row r="29" spans="1:16" s="33" customFormat="1" x14ac:dyDescent="0.35">
      <c r="A29" s="14" t="s">
        <v>6511</v>
      </c>
      <c r="B29" s="35">
        <f t="shared" si="0"/>
        <v>46086</v>
      </c>
      <c r="C29" s="35">
        <f t="shared" si="1"/>
        <v>46092</v>
      </c>
      <c r="D29" s="34">
        <v>3284</v>
      </c>
      <c r="E29" s="14">
        <v>338</v>
      </c>
      <c r="F29" s="14">
        <v>4</v>
      </c>
      <c r="G29" s="34">
        <v>4</v>
      </c>
      <c r="H29" s="34">
        <v>81146</v>
      </c>
      <c r="I29" s="34" t="s">
        <v>17</v>
      </c>
      <c r="J29" s="34">
        <v>51764939</v>
      </c>
      <c r="K29" s="34" t="s">
        <v>4864</v>
      </c>
      <c r="L29" s="40" t="s">
        <v>4868</v>
      </c>
      <c r="M29" s="36">
        <v>219900</v>
      </c>
      <c r="N29" s="36" t="s">
        <v>2569</v>
      </c>
      <c r="O29" s="14" t="s">
        <v>2586</v>
      </c>
      <c r="P29" s="36" t="s">
        <v>2569</v>
      </c>
    </row>
    <row r="30" spans="1:16" s="33" customFormat="1" x14ac:dyDescent="0.35">
      <c r="A30" s="14" t="s">
        <v>6511</v>
      </c>
      <c r="B30" s="35">
        <f t="shared" si="0"/>
        <v>46086</v>
      </c>
      <c r="C30" s="35">
        <f t="shared" si="1"/>
        <v>46092</v>
      </c>
      <c r="D30" s="34">
        <v>3284</v>
      </c>
      <c r="E30" s="14">
        <v>338</v>
      </c>
      <c r="F30" s="14">
        <v>4</v>
      </c>
      <c r="G30" s="34">
        <v>4</v>
      </c>
      <c r="H30" s="34">
        <v>81146</v>
      </c>
      <c r="I30" s="34" t="s">
        <v>17</v>
      </c>
      <c r="J30" s="34">
        <v>51764948</v>
      </c>
      <c r="K30" s="34" t="s">
        <v>4864</v>
      </c>
      <c r="L30" s="40" t="s">
        <v>4865</v>
      </c>
      <c r="M30" s="36">
        <v>219900</v>
      </c>
      <c r="N30" s="36" t="s">
        <v>2569</v>
      </c>
      <c r="O30" s="14" t="s">
        <v>2586</v>
      </c>
      <c r="P30" s="36" t="s">
        <v>2569</v>
      </c>
    </row>
    <row r="31" spans="1:16" s="33" customFormat="1" x14ac:dyDescent="0.35">
      <c r="A31" s="14" t="s">
        <v>6511</v>
      </c>
      <c r="B31" s="35">
        <f t="shared" si="0"/>
        <v>46086</v>
      </c>
      <c r="C31" s="35">
        <f t="shared" si="1"/>
        <v>46092</v>
      </c>
      <c r="D31" s="34">
        <v>3284</v>
      </c>
      <c r="E31" s="14">
        <v>338</v>
      </c>
      <c r="F31" s="14">
        <v>4</v>
      </c>
      <c r="G31" s="34">
        <v>5</v>
      </c>
      <c r="H31" s="34">
        <v>80920</v>
      </c>
      <c r="I31" s="34" t="s">
        <v>17</v>
      </c>
      <c r="J31" s="34">
        <v>51765036</v>
      </c>
      <c r="K31" s="34" t="s">
        <v>4760</v>
      </c>
      <c r="L31" s="40" t="s">
        <v>4764</v>
      </c>
      <c r="M31" s="36">
        <v>219900</v>
      </c>
      <c r="N31" s="36" t="s">
        <v>2569</v>
      </c>
      <c r="O31" s="14" t="s">
        <v>2586</v>
      </c>
      <c r="P31" s="36" t="s">
        <v>2569</v>
      </c>
    </row>
    <row r="32" spans="1:16" s="33" customFormat="1" x14ac:dyDescent="0.35">
      <c r="A32" s="14" t="s">
        <v>6511</v>
      </c>
      <c r="B32" s="35">
        <f t="shared" si="0"/>
        <v>46086</v>
      </c>
      <c r="C32" s="35">
        <f t="shared" si="1"/>
        <v>46092</v>
      </c>
      <c r="D32" s="34">
        <v>3284</v>
      </c>
      <c r="E32" s="14">
        <v>338</v>
      </c>
      <c r="F32" s="14">
        <v>4</v>
      </c>
      <c r="G32" s="34">
        <v>5</v>
      </c>
      <c r="H32" s="34">
        <v>80920</v>
      </c>
      <c r="I32" s="34" t="s">
        <v>17</v>
      </c>
      <c r="J32" s="34">
        <v>51765045</v>
      </c>
      <c r="K32" s="34" t="s">
        <v>4760</v>
      </c>
      <c r="L32" s="40" t="s">
        <v>4762</v>
      </c>
      <c r="M32" s="36">
        <v>219900</v>
      </c>
      <c r="N32" s="36" t="s">
        <v>2569</v>
      </c>
      <c r="O32" s="14" t="s">
        <v>2586</v>
      </c>
      <c r="P32" s="36" t="s">
        <v>2569</v>
      </c>
    </row>
    <row r="33" spans="1:16" s="33" customFormat="1" x14ac:dyDescent="0.35">
      <c r="A33" s="14" t="s">
        <v>6511</v>
      </c>
      <c r="B33" s="35">
        <f t="shared" si="0"/>
        <v>46086</v>
      </c>
      <c r="C33" s="35">
        <f t="shared" si="1"/>
        <v>46092</v>
      </c>
      <c r="D33" s="34">
        <v>3284</v>
      </c>
      <c r="E33" s="14">
        <v>338</v>
      </c>
      <c r="F33" s="14">
        <v>4</v>
      </c>
      <c r="G33" s="34">
        <v>5</v>
      </c>
      <c r="H33" s="34">
        <v>80920</v>
      </c>
      <c r="I33" s="34" t="s">
        <v>17</v>
      </c>
      <c r="J33" s="34">
        <v>51765054</v>
      </c>
      <c r="K33" s="34" t="s">
        <v>4760</v>
      </c>
      <c r="L33" s="40" t="s">
        <v>4763</v>
      </c>
      <c r="M33" s="36">
        <v>219900</v>
      </c>
      <c r="N33" s="36" t="s">
        <v>2569</v>
      </c>
      <c r="O33" s="14" t="s">
        <v>2586</v>
      </c>
      <c r="P33" s="36" t="s">
        <v>2569</v>
      </c>
    </row>
    <row r="34" spans="1:16" s="33" customFormat="1" x14ac:dyDescent="0.35">
      <c r="A34" s="14" t="s">
        <v>6511</v>
      </c>
      <c r="B34" s="35">
        <f t="shared" si="0"/>
        <v>46086</v>
      </c>
      <c r="C34" s="35">
        <f t="shared" si="1"/>
        <v>46092</v>
      </c>
      <c r="D34" s="34">
        <v>3284</v>
      </c>
      <c r="E34" s="14">
        <v>338</v>
      </c>
      <c r="F34" s="14">
        <v>4</v>
      </c>
      <c r="G34" s="34">
        <v>5</v>
      </c>
      <c r="H34" s="34">
        <v>80920</v>
      </c>
      <c r="I34" s="34" t="s">
        <v>17</v>
      </c>
      <c r="J34" s="34">
        <v>51765063</v>
      </c>
      <c r="K34" s="34" t="s">
        <v>4760</v>
      </c>
      <c r="L34" s="40" t="s">
        <v>4761</v>
      </c>
      <c r="M34" s="36">
        <v>219900</v>
      </c>
      <c r="N34" s="36" t="s">
        <v>2569</v>
      </c>
      <c r="O34" s="14" t="s">
        <v>2586</v>
      </c>
      <c r="P34" s="36" t="s">
        <v>2569</v>
      </c>
    </row>
    <row r="35" spans="1:16" s="33" customFormat="1" x14ac:dyDescent="0.35">
      <c r="A35" s="14" t="s">
        <v>6511</v>
      </c>
      <c r="B35" s="35">
        <f t="shared" ref="B35:B66" si="2">B34</f>
        <v>46086</v>
      </c>
      <c r="C35" s="35">
        <f t="shared" ref="C35:C66" si="3">C34</f>
        <v>46092</v>
      </c>
      <c r="D35" s="34">
        <v>3284</v>
      </c>
      <c r="E35" s="14">
        <v>338</v>
      </c>
      <c r="F35" s="14">
        <v>4</v>
      </c>
      <c r="G35" s="34">
        <v>5</v>
      </c>
      <c r="H35" s="34">
        <v>80920</v>
      </c>
      <c r="I35" s="34" t="s">
        <v>17</v>
      </c>
      <c r="J35" s="34">
        <v>51765072</v>
      </c>
      <c r="K35" s="34" t="s">
        <v>4765</v>
      </c>
      <c r="L35" s="40" t="s">
        <v>4768</v>
      </c>
      <c r="M35" s="36">
        <v>219900</v>
      </c>
      <c r="N35" s="36" t="s">
        <v>2569</v>
      </c>
      <c r="O35" s="14" t="s">
        <v>2586</v>
      </c>
      <c r="P35" s="36" t="s">
        <v>2569</v>
      </c>
    </row>
    <row r="36" spans="1:16" s="33" customFormat="1" x14ac:dyDescent="0.35">
      <c r="A36" s="14" t="s">
        <v>6511</v>
      </c>
      <c r="B36" s="35">
        <f t="shared" si="2"/>
        <v>46086</v>
      </c>
      <c r="C36" s="35">
        <f t="shared" si="3"/>
        <v>46092</v>
      </c>
      <c r="D36" s="34">
        <v>3284</v>
      </c>
      <c r="E36" s="14">
        <v>338</v>
      </c>
      <c r="F36" s="14">
        <v>4</v>
      </c>
      <c r="G36" s="34">
        <v>5</v>
      </c>
      <c r="H36" s="34">
        <v>80920</v>
      </c>
      <c r="I36" s="34" t="s">
        <v>17</v>
      </c>
      <c r="J36" s="34">
        <v>51765081</v>
      </c>
      <c r="K36" s="34" t="s">
        <v>4765</v>
      </c>
      <c r="L36" s="40" t="s">
        <v>4769</v>
      </c>
      <c r="M36" s="36">
        <v>219900</v>
      </c>
      <c r="N36" s="36" t="s">
        <v>2569</v>
      </c>
      <c r="O36" s="14" t="s">
        <v>2586</v>
      </c>
      <c r="P36" s="36" t="s">
        <v>2569</v>
      </c>
    </row>
    <row r="37" spans="1:16" s="33" customFormat="1" x14ac:dyDescent="0.35">
      <c r="A37" s="14" t="s">
        <v>6511</v>
      </c>
      <c r="B37" s="35">
        <f t="shared" si="2"/>
        <v>46086</v>
      </c>
      <c r="C37" s="35">
        <f t="shared" si="3"/>
        <v>46092</v>
      </c>
      <c r="D37" s="34">
        <v>3284</v>
      </c>
      <c r="E37" s="14">
        <v>338</v>
      </c>
      <c r="F37" s="14">
        <v>4</v>
      </c>
      <c r="G37" s="34">
        <v>5</v>
      </c>
      <c r="H37" s="34">
        <v>80920</v>
      </c>
      <c r="I37" s="34" t="s">
        <v>17</v>
      </c>
      <c r="J37" s="34">
        <v>51765090</v>
      </c>
      <c r="K37" s="34" t="s">
        <v>4765</v>
      </c>
      <c r="L37" s="40" t="s">
        <v>4766</v>
      </c>
      <c r="M37" s="36">
        <v>219900</v>
      </c>
      <c r="N37" s="36" t="s">
        <v>2569</v>
      </c>
      <c r="O37" s="14" t="s">
        <v>2586</v>
      </c>
      <c r="P37" s="36" t="s">
        <v>2569</v>
      </c>
    </row>
    <row r="38" spans="1:16" s="33" customFormat="1" x14ac:dyDescent="0.35">
      <c r="A38" s="14" t="s">
        <v>6511</v>
      </c>
      <c r="B38" s="35">
        <f t="shared" si="2"/>
        <v>46086</v>
      </c>
      <c r="C38" s="35">
        <f t="shared" si="3"/>
        <v>46092</v>
      </c>
      <c r="D38" s="34">
        <v>3284</v>
      </c>
      <c r="E38" s="14">
        <v>338</v>
      </c>
      <c r="F38" s="14">
        <v>4</v>
      </c>
      <c r="G38" s="34">
        <v>5</v>
      </c>
      <c r="H38" s="34">
        <v>80920</v>
      </c>
      <c r="I38" s="34" t="s">
        <v>17</v>
      </c>
      <c r="J38" s="34">
        <v>51765107</v>
      </c>
      <c r="K38" s="34" t="s">
        <v>4765</v>
      </c>
      <c r="L38" s="40" t="s">
        <v>4767</v>
      </c>
      <c r="M38" s="36">
        <v>219900</v>
      </c>
      <c r="N38" s="36" t="s">
        <v>2569</v>
      </c>
      <c r="O38" s="14" t="s">
        <v>2586</v>
      </c>
      <c r="P38" s="36" t="s">
        <v>2569</v>
      </c>
    </row>
    <row r="39" spans="1:16" s="33" customFormat="1" x14ac:dyDescent="0.35">
      <c r="A39" s="14" t="s">
        <v>6511</v>
      </c>
      <c r="B39" s="35">
        <f t="shared" si="2"/>
        <v>46086</v>
      </c>
      <c r="C39" s="35">
        <f t="shared" si="3"/>
        <v>46092</v>
      </c>
      <c r="D39" s="34">
        <v>3284</v>
      </c>
      <c r="E39" s="14">
        <v>338</v>
      </c>
      <c r="F39" s="14">
        <v>4</v>
      </c>
      <c r="G39" s="34">
        <v>3</v>
      </c>
      <c r="H39" s="34">
        <v>81146</v>
      </c>
      <c r="I39" s="34" t="s">
        <v>17</v>
      </c>
      <c r="J39" s="34">
        <v>51983934</v>
      </c>
      <c r="K39" s="34" t="s">
        <v>4869</v>
      </c>
      <c r="L39" s="40" t="s">
        <v>4873</v>
      </c>
      <c r="M39" s="36">
        <v>189900</v>
      </c>
      <c r="N39" s="36" t="s">
        <v>2569</v>
      </c>
      <c r="O39" s="14" t="s">
        <v>2586</v>
      </c>
      <c r="P39" s="36" t="s">
        <v>2569</v>
      </c>
    </row>
    <row r="40" spans="1:16" s="33" customFormat="1" x14ac:dyDescent="0.35">
      <c r="A40" s="14" t="s">
        <v>6511</v>
      </c>
      <c r="B40" s="35">
        <f t="shared" si="2"/>
        <v>46086</v>
      </c>
      <c r="C40" s="35">
        <f t="shared" si="3"/>
        <v>46092</v>
      </c>
      <c r="D40" s="34">
        <v>3284</v>
      </c>
      <c r="E40" s="14">
        <v>338</v>
      </c>
      <c r="F40" s="14">
        <v>4</v>
      </c>
      <c r="G40" s="34">
        <v>3</v>
      </c>
      <c r="H40" s="34">
        <v>81146</v>
      </c>
      <c r="I40" s="34" t="s">
        <v>17</v>
      </c>
      <c r="J40" s="34">
        <v>51983943</v>
      </c>
      <c r="K40" s="34" t="s">
        <v>4869</v>
      </c>
      <c r="L40" s="40" t="s">
        <v>4870</v>
      </c>
      <c r="M40" s="36">
        <v>189900</v>
      </c>
      <c r="N40" s="36" t="s">
        <v>2569</v>
      </c>
      <c r="O40" s="14" t="s">
        <v>2586</v>
      </c>
      <c r="P40" s="36" t="s">
        <v>2569</v>
      </c>
    </row>
    <row r="41" spans="1:16" s="33" customFormat="1" x14ac:dyDescent="0.35">
      <c r="A41" s="14" t="s">
        <v>6511</v>
      </c>
      <c r="B41" s="35">
        <f t="shared" si="2"/>
        <v>46086</v>
      </c>
      <c r="C41" s="35">
        <f t="shared" si="3"/>
        <v>46092</v>
      </c>
      <c r="D41" s="34">
        <v>3284</v>
      </c>
      <c r="E41" s="14">
        <v>338</v>
      </c>
      <c r="F41" s="14">
        <v>4</v>
      </c>
      <c r="G41" s="34">
        <v>3</v>
      </c>
      <c r="H41" s="34">
        <v>81146</v>
      </c>
      <c r="I41" s="34" t="s">
        <v>17</v>
      </c>
      <c r="J41" s="34">
        <v>51983952</v>
      </c>
      <c r="K41" s="34" t="s">
        <v>4869</v>
      </c>
      <c r="L41" s="40" t="s">
        <v>4871</v>
      </c>
      <c r="M41" s="36">
        <v>189900</v>
      </c>
      <c r="N41" s="36" t="s">
        <v>2569</v>
      </c>
      <c r="O41" s="14" t="s">
        <v>2586</v>
      </c>
      <c r="P41" s="36" t="s">
        <v>2569</v>
      </c>
    </row>
    <row r="42" spans="1:16" s="33" customFormat="1" x14ac:dyDescent="0.35">
      <c r="A42" s="14" t="s">
        <v>6511</v>
      </c>
      <c r="B42" s="35">
        <f t="shared" si="2"/>
        <v>46086</v>
      </c>
      <c r="C42" s="35">
        <f t="shared" si="3"/>
        <v>46092</v>
      </c>
      <c r="D42" s="34">
        <v>3284</v>
      </c>
      <c r="E42" s="14">
        <v>338</v>
      </c>
      <c r="F42" s="14">
        <v>4</v>
      </c>
      <c r="G42" s="34">
        <v>3</v>
      </c>
      <c r="H42" s="34">
        <v>81146</v>
      </c>
      <c r="I42" s="34" t="s">
        <v>17</v>
      </c>
      <c r="J42" s="34">
        <v>51983961</v>
      </c>
      <c r="K42" s="34" t="s">
        <v>4869</v>
      </c>
      <c r="L42" s="40" t="s">
        <v>4872</v>
      </c>
      <c r="M42" s="36">
        <v>189900</v>
      </c>
      <c r="N42" s="36" t="s">
        <v>2569</v>
      </c>
      <c r="O42" s="14" t="s">
        <v>2586</v>
      </c>
      <c r="P42" s="36" t="s">
        <v>2569</v>
      </c>
    </row>
    <row r="43" spans="1:16" s="33" customFormat="1" x14ac:dyDescent="0.35">
      <c r="A43" s="14" t="s">
        <v>6511</v>
      </c>
      <c r="B43" s="35">
        <f t="shared" si="2"/>
        <v>46086</v>
      </c>
      <c r="C43" s="35">
        <f t="shared" si="3"/>
        <v>46092</v>
      </c>
      <c r="D43" s="34">
        <v>3284</v>
      </c>
      <c r="E43" s="14">
        <v>338</v>
      </c>
      <c r="F43" s="14">
        <v>4</v>
      </c>
      <c r="G43" s="34">
        <v>3</v>
      </c>
      <c r="H43" s="34">
        <v>81146</v>
      </c>
      <c r="I43" s="34" t="s">
        <v>17</v>
      </c>
      <c r="J43" s="34">
        <v>51983970</v>
      </c>
      <c r="K43" s="34" t="s">
        <v>4780</v>
      </c>
      <c r="L43" s="40" t="s">
        <v>4784</v>
      </c>
      <c r="M43" s="36">
        <v>219900</v>
      </c>
      <c r="N43" s="36" t="s">
        <v>2569</v>
      </c>
      <c r="O43" s="14" t="s">
        <v>2586</v>
      </c>
      <c r="P43" s="36" t="s">
        <v>2569</v>
      </c>
    </row>
    <row r="44" spans="1:16" s="33" customFormat="1" x14ac:dyDescent="0.35">
      <c r="A44" s="14" t="s">
        <v>6511</v>
      </c>
      <c r="B44" s="35">
        <f t="shared" si="2"/>
        <v>46086</v>
      </c>
      <c r="C44" s="35">
        <f t="shared" si="3"/>
        <v>46092</v>
      </c>
      <c r="D44" s="34">
        <v>3284</v>
      </c>
      <c r="E44" s="14">
        <v>338</v>
      </c>
      <c r="F44" s="14">
        <v>4</v>
      </c>
      <c r="G44" s="34">
        <v>3</v>
      </c>
      <c r="H44" s="34">
        <v>81146</v>
      </c>
      <c r="I44" s="34" t="s">
        <v>17</v>
      </c>
      <c r="J44" s="34">
        <v>51983989</v>
      </c>
      <c r="K44" s="34" t="s">
        <v>4780</v>
      </c>
      <c r="L44" s="40" t="s">
        <v>4781</v>
      </c>
      <c r="M44" s="36">
        <v>219900</v>
      </c>
      <c r="N44" s="36" t="s">
        <v>2569</v>
      </c>
      <c r="O44" s="14" t="s">
        <v>2586</v>
      </c>
      <c r="P44" s="36" t="s">
        <v>2569</v>
      </c>
    </row>
    <row r="45" spans="1:16" s="33" customFormat="1" x14ac:dyDescent="0.35">
      <c r="A45" s="14" t="s">
        <v>6511</v>
      </c>
      <c r="B45" s="35">
        <f t="shared" si="2"/>
        <v>46086</v>
      </c>
      <c r="C45" s="35">
        <f t="shared" si="3"/>
        <v>46092</v>
      </c>
      <c r="D45" s="34">
        <v>3284</v>
      </c>
      <c r="E45" s="14">
        <v>338</v>
      </c>
      <c r="F45" s="14">
        <v>4</v>
      </c>
      <c r="G45" s="34">
        <v>3</v>
      </c>
      <c r="H45" s="34">
        <v>81146</v>
      </c>
      <c r="I45" s="34" t="s">
        <v>17</v>
      </c>
      <c r="J45" s="34">
        <v>51983998</v>
      </c>
      <c r="K45" s="34" t="s">
        <v>4780</v>
      </c>
      <c r="L45" s="40" t="s">
        <v>4783</v>
      </c>
      <c r="M45" s="36">
        <v>219900</v>
      </c>
      <c r="N45" s="36" t="s">
        <v>2569</v>
      </c>
      <c r="O45" s="14" t="s">
        <v>2586</v>
      </c>
      <c r="P45" s="36" t="s">
        <v>2569</v>
      </c>
    </row>
    <row r="46" spans="1:16" s="33" customFormat="1" x14ac:dyDescent="0.35">
      <c r="A46" s="14" t="s">
        <v>6511</v>
      </c>
      <c r="B46" s="35">
        <f t="shared" si="2"/>
        <v>46086</v>
      </c>
      <c r="C46" s="35">
        <f t="shared" si="3"/>
        <v>46092</v>
      </c>
      <c r="D46" s="34">
        <v>3284</v>
      </c>
      <c r="E46" s="14">
        <v>338</v>
      </c>
      <c r="F46" s="14">
        <v>4</v>
      </c>
      <c r="G46" s="34">
        <v>3</v>
      </c>
      <c r="H46" s="34">
        <v>81146</v>
      </c>
      <c r="I46" s="34" t="s">
        <v>17</v>
      </c>
      <c r="J46" s="34">
        <v>51984004</v>
      </c>
      <c r="K46" s="34" t="s">
        <v>4780</v>
      </c>
      <c r="L46" s="40" t="s">
        <v>4782</v>
      </c>
      <c r="M46" s="36">
        <v>219900</v>
      </c>
      <c r="N46" s="36" t="s">
        <v>2569</v>
      </c>
      <c r="O46" s="14" t="s">
        <v>2586</v>
      </c>
      <c r="P46" s="36" t="s">
        <v>2569</v>
      </c>
    </row>
    <row r="47" spans="1:16" s="33" customFormat="1" x14ac:dyDescent="0.35">
      <c r="A47" s="14" t="s">
        <v>6511</v>
      </c>
      <c r="B47" s="35">
        <f t="shared" si="2"/>
        <v>46086</v>
      </c>
      <c r="C47" s="35">
        <f t="shared" si="3"/>
        <v>46092</v>
      </c>
      <c r="D47" s="34">
        <v>3284</v>
      </c>
      <c r="E47" s="14">
        <v>338</v>
      </c>
      <c r="F47" s="14">
        <v>4</v>
      </c>
      <c r="G47" s="34">
        <v>3</v>
      </c>
      <c r="H47" s="34">
        <v>81146</v>
      </c>
      <c r="I47" s="34" t="s">
        <v>17</v>
      </c>
      <c r="J47" s="34">
        <v>51984013</v>
      </c>
      <c r="K47" s="34" t="s">
        <v>4770</v>
      </c>
      <c r="L47" s="40" t="s">
        <v>4771</v>
      </c>
      <c r="M47" s="36">
        <v>189900</v>
      </c>
      <c r="N47" s="36" t="s">
        <v>2569</v>
      </c>
      <c r="O47" s="14" t="s">
        <v>2586</v>
      </c>
      <c r="P47" s="36" t="s">
        <v>2569</v>
      </c>
    </row>
    <row r="48" spans="1:16" s="33" customFormat="1" x14ac:dyDescent="0.35">
      <c r="A48" s="14" t="s">
        <v>6511</v>
      </c>
      <c r="B48" s="35">
        <f t="shared" si="2"/>
        <v>46086</v>
      </c>
      <c r="C48" s="35">
        <f t="shared" si="3"/>
        <v>46092</v>
      </c>
      <c r="D48" s="34">
        <v>3284</v>
      </c>
      <c r="E48" s="14">
        <v>338</v>
      </c>
      <c r="F48" s="14">
        <v>4</v>
      </c>
      <c r="G48" s="34">
        <v>3</v>
      </c>
      <c r="H48" s="34">
        <v>81146</v>
      </c>
      <c r="I48" s="34" t="s">
        <v>17</v>
      </c>
      <c r="J48" s="34">
        <v>51984022</v>
      </c>
      <c r="K48" s="34" t="s">
        <v>4770</v>
      </c>
      <c r="L48" s="40" t="s">
        <v>4774</v>
      </c>
      <c r="M48" s="36">
        <v>189900</v>
      </c>
      <c r="N48" s="36" t="s">
        <v>2569</v>
      </c>
      <c r="O48" s="14" t="s">
        <v>2586</v>
      </c>
      <c r="P48" s="36" t="s">
        <v>2569</v>
      </c>
    </row>
    <row r="49" spans="1:16" s="33" customFormat="1" x14ac:dyDescent="0.35">
      <c r="A49" s="14" t="s">
        <v>6511</v>
      </c>
      <c r="B49" s="35">
        <f t="shared" si="2"/>
        <v>46086</v>
      </c>
      <c r="C49" s="35">
        <f t="shared" si="3"/>
        <v>46092</v>
      </c>
      <c r="D49" s="34">
        <v>3284</v>
      </c>
      <c r="E49" s="14">
        <v>338</v>
      </c>
      <c r="F49" s="14">
        <v>4</v>
      </c>
      <c r="G49" s="34">
        <v>3</v>
      </c>
      <c r="H49" s="34">
        <v>81146</v>
      </c>
      <c r="I49" s="34" t="s">
        <v>17</v>
      </c>
      <c r="J49" s="34">
        <v>51984031</v>
      </c>
      <c r="K49" s="34" t="s">
        <v>4770</v>
      </c>
      <c r="L49" s="40" t="s">
        <v>4773</v>
      </c>
      <c r="M49" s="36">
        <v>189900</v>
      </c>
      <c r="N49" s="36" t="s">
        <v>2569</v>
      </c>
      <c r="O49" s="14" t="s">
        <v>2586</v>
      </c>
      <c r="P49" s="36" t="s">
        <v>2569</v>
      </c>
    </row>
    <row r="50" spans="1:16" s="33" customFormat="1" x14ac:dyDescent="0.35">
      <c r="A50" s="14" t="s">
        <v>6511</v>
      </c>
      <c r="B50" s="35">
        <f t="shared" si="2"/>
        <v>46086</v>
      </c>
      <c r="C50" s="35">
        <f t="shared" si="3"/>
        <v>46092</v>
      </c>
      <c r="D50" s="34">
        <v>3284</v>
      </c>
      <c r="E50" s="14">
        <v>338</v>
      </c>
      <c r="F50" s="14">
        <v>4</v>
      </c>
      <c r="G50" s="34">
        <v>3</v>
      </c>
      <c r="H50" s="34">
        <v>81146</v>
      </c>
      <c r="I50" s="34" t="s">
        <v>17</v>
      </c>
      <c r="J50" s="34">
        <v>51984040</v>
      </c>
      <c r="K50" s="34" t="s">
        <v>4770</v>
      </c>
      <c r="L50" s="40" t="s">
        <v>4772</v>
      </c>
      <c r="M50" s="36">
        <v>189900</v>
      </c>
      <c r="N50" s="36" t="s">
        <v>2569</v>
      </c>
      <c r="O50" s="14" t="s">
        <v>2586</v>
      </c>
      <c r="P50" s="36" t="s">
        <v>2569</v>
      </c>
    </row>
    <row r="51" spans="1:16" s="33" customFormat="1" x14ac:dyDescent="0.35">
      <c r="A51" s="14" t="s">
        <v>6511</v>
      </c>
      <c r="B51" s="35">
        <f t="shared" si="2"/>
        <v>46086</v>
      </c>
      <c r="C51" s="35">
        <f t="shared" si="3"/>
        <v>46092</v>
      </c>
      <c r="D51" s="34">
        <v>3284</v>
      </c>
      <c r="E51" s="14">
        <v>338</v>
      </c>
      <c r="F51" s="14">
        <v>4</v>
      </c>
      <c r="G51" s="34">
        <v>3</v>
      </c>
      <c r="H51" s="34">
        <v>81146</v>
      </c>
      <c r="I51" s="34" t="s">
        <v>17</v>
      </c>
      <c r="J51" s="34">
        <v>51984059</v>
      </c>
      <c r="K51" s="34" t="s">
        <v>4775</v>
      </c>
      <c r="L51" s="40" t="s">
        <v>4777</v>
      </c>
      <c r="M51" s="36">
        <v>189900</v>
      </c>
      <c r="N51" s="36" t="s">
        <v>2569</v>
      </c>
      <c r="O51" s="14" t="s">
        <v>2586</v>
      </c>
      <c r="P51" s="36" t="s">
        <v>2569</v>
      </c>
    </row>
    <row r="52" spans="1:16" s="33" customFormat="1" x14ac:dyDescent="0.35">
      <c r="A52" s="14" t="s">
        <v>6511</v>
      </c>
      <c r="B52" s="35">
        <f t="shared" si="2"/>
        <v>46086</v>
      </c>
      <c r="C52" s="35">
        <f t="shared" si="3"/>
        <v>46092</v>
      </c>
      <c r="D52" s="34">
        <v>3284</v>
      </c>
      <c r="E52" s="14">
        <v>338</v>
      </c>
      <c r="F52" s="14">
        <v>4</v>
      </c>
      <c r="G52" s="34">
        <v>3</v>
      </c>
      <c r="H52" s="34">
        <v>81146</v>
      </c>
      <c r="I52" s="34" t="s">
        <v>17</v>
      </c>
      <c r="J52" s="34">
        <v>51984068</v>
      </c>
      <c r="K52" s="34" t="s">
        <v>4775</v>
      </c>
      <c r="L52" s="40" t="s">
        <v>4779</v>
      </c>
      <c r="M52" s="36">
        <v>189900</v>
      </c>
      <c r="N52" s="36" t="s">
        <v>2569</v>
      </c>
      <c r="O52" s="14" t="s">
        <v>2586</v>
      </c>
      <c r="P52" s="36" t="s">
        <v>2569</v>
      </c>
    </row>
    <row r="53" spans="1:16" s="33" customFormat="1" x14ac:dyDescent="0.35">
      <c r="A53" s="14" t="s">
        <v>6511</v>
      </c>
      <c r="B53" s="35">
        <f t="shared" si="2"/>
        <v>46086</v>
      </c>
      <c r="C53" s="35">
        <f t="shared" si="3"/>
        <v>46092</v>
      </c>
      <c r="D53" s="34">
        <v>3284</v>
      </c>
      <c r="E53" s="14">
        <v>338</v>
      </c>
      <c r="F53" s="14">
        <v>4</v>
      </c>
      <c r="G53" s="34">
        <v>3</v>
      </c>
      <c r="H53" s="34">
        <v>81146</v>
      </c>
      <c r="I53" s="34" t="s">
        <v>17</v>
      </c>
      <c r="J53" s="34">
        <v>51984077</v>
      </c>
      <c r="K53" s="34" t="s">
        <v>4775</v>
      </c>
      <c r="L53" s="40" t="s">
        <v>4776</v>
      </c>
      <c r="M53" s="36">
        <v>189900</v>
      </c>
      <c r="N53" s="36" t="s">
        <v>2569</v>
      </c>
      <c r="O53" s="14" t="s">
        <v>2586</v>
      </c>
      <c r="P53" s="36" t="s">
        <v>2569</v>
      </c>
    </row>
    <row r="54" spans="1:16" s="33" customFormat="1" x14ac:dyDescent="0.35">
      <c r="A54" s="14" t="s">
        <v>6511</v>
      </c>
      <c r="B54" s="35">
        <f t="shared" si="2"/>
        <v>46086</v>
      </c>
      <c r="C54" s="35">
        <f t="shared" si="3"/>
        <v>46092</v>
      </c>
      <c r="D54" s="34">
        <v>3284</v>
      </c>
      <c r="E54" s="14">
        <v>338</v>
      </c>
      <c r="F54" s="14">
        <v>4</v>
      </c>
      <c r="G54" s="34">
        <v>3</v>
      </c>
      <c r="H54" s="34">
        <v>81146</v>
      </c>
      <c r="I54" s="34" t="s">
        <v>17</v>
      </c>
      <c r="J54" s="34">
        <v>51984086</v>
      </c>
      <c r="K54" s="34" t="s">
        <v>4775</v>
      </c>
      <c r="L54" s="40" t="s">
        <v>4778</v>
      </c>
      <c r="M54" s="36">
        <v>189900</v>
      </c>
      <c r="N54" s="36" t="s">
        <v>2569</v>
      </c>
      <c r="O54" s="14" t="s">
        <v>2586</v>
      </c>
      <c r="P54" s="36" t="s">
        <v>2569</v>
      </c>
    </row>
    <row r="55" spans="1:16" s="33" customFormat="1" x14ac:dyDescent="0.35">
      <c r="A55" s="14" t="s">
        <v>6511</v>
      </c>
      <c r="B55" s="35">
        <f t="shared" si="2"/>
        <v>46086</v>
      </c>
      <c r="C55" s="35">
        <f t="shared" si="3"/>
        <v>46092</v>
      </c>
      <c r="D55" s="34">
        <v>3284</v>
      </c>
      <c r="E55" s="14">
        <v>338</v>
      </c>
      <c r="F55" s="14">
        <v>4</v>
      </c>
      <c r="G55" s="34">
        <v>3</v>
      </c>
      <c r="H55" s="34">
        <v>81506</v>
      </c>
      <c r="I55" s="34" t="s">
        <v>17</v>
      </c>
      <c r="J55" s="34">
        <v>52297611</v>
      </c>
      <c r="K55" s="34" t="s">
        <v>4859</v>
      </c>
      <c r="L55" s="40" t="s">
        <v>4860</v>
      </c>
      <c r="M55" s="36">
        <v>219900</v>
      </c>
      <c r="N55" s="36" t="s">
        <v>2569</v>
      </c>
      <c r="O55" s="14" t="s">
        <v>2586</v>
      </c>
      <c r="P55" s="36" t="s">
        <v>2569</v>
      </c>
    </row>
    <row r="56" spans="1:16" s="33" customFormat="1" x14ac:dyDescent="0.35">
      <c r="A56" s="14" t="s">
        <v>6511</v>
      </c>
      <c r="B56" s="35">
        <f t="shared" si="2"/>
        <v>46086</v>
      </c>
      <c r="C56" s="35">
        <f t="shared" si="3"/>
        <v>46092</v>
      </c>
      <c r="D56" s="34">
        <v>3284</v>
      </c>
      <c r="E56" s="14">
        <v>338</v>
      </c>
      <c r="F56" s="14">
        <v>4</v>
      </c>
      <c r="G56" s="34">
        <v>3</v>
      </c>
      <c r="H56" s="34">
        <v>81506</v>
      </c>
      <c r="I56" s="34" t="s">
        <v>17</v>
      </c>
      <c r="J56" s="34">
        <v>52297620</v>
      </c>
      <c r="K56" s="34" t="s">
        <v>4859</v>
      </c>
      <c r="L56" s="40" t="s">
        <v>4862</v>
      </c>
      <c r="M56" s="36">
        <v>219900</v>
      </c>
      <c r="N56" s="36" t="s">
        <v>2569</v>
      </c>
      <c r="O56" s="14" t="s">
        <v>2586</v>
      </c>
      <c r="P56" s="36" t="s">
        <v>2569</v>
      </c>
    </row>
    <row r="57" spans="1:16" s="33" customFormat="1" x14ac:dyDescent="0.35">
      <c r="A57" s="14" t="s">
        <v>6511</v>
      </c>
      <c r="B57" s="35">
        <f t="shared" si="2"/>
        <v>46086</v>
      </c>
      <c r="C57" s="35">
        <f t="shared" si="3"/>
        <v>46092</v>
      </c>
      <c r="D57" s="34">
        <v>3284</v>
      </c>
      <c r="E57" s="14">
        <v>338</v>
      </c>
      <c r="F57" s="14">
        <v>4</v>
      </c>
      <c r="G57" s="34">
        <v>3</v>
      </c>
      <c r="H57" s="34">
        <v>81506</v>
      </c>
      <c r="I57" s="34" t="s">
        <v>17</v>
      </c>
      <c r="J57" s="34">
        <v>52297639</v>
      </c>
      <c r="K57" s="34" t="s">
        <v>4859</v>
      </c>
      <c r="L57" s="40" t="s">
        <v>4863</v>
      </c>
      <c r="M57" s="36">
        <v>219900</v>
      </c>
      <c r="N57" s="36" t="s">
        <v>2569</v>
      </c>
      <c r="O57" s="14" t="s">
        <v>2586</v>
      </c>
      <c r="P57" s="36" t="s">
        <v>2569</v>
      </c>
    </row>
    <row r="58" spans="1:16" s="33" customFormat="1" x14ac:dyDescent="0.35">
      <c r="A58" s="14" t="s">
        <v>6511</v>
      </c>
      <c r="B58" s="35">
        <f t="shared" si="2"/>
        <v>46086</v>
      </c>
      <c r="C58" s="35">
        <f t="shared" si="3"/>
        <v>46092</v>
      </c>
      <c r="D58" s="34">
        <v>3284</v>
      </c>
      <c r="E58" s="14">
        <v>338</v>
      </c>
      <c r="F58" s="14">
        <v>4</v>
      </c>
      <c r="G58" s="34">
        <v>3</v>
      </c>
      <c r="H58" s="34">
        <v>81506</v>
      </c>
      <c r="I58" s="34" t="s">
        <v>17</v>
      </c>
      <c r="J58" s="34">
        <v>52297648</v>
      </c>
      <c r="K58" s="34" t="s">
        <v>4859</v>
      </c>
      <c r="L58" s="40" t="s">
        <v>4861</v>
      </c>
      <c r="M58" s="36">
        <v>219900</v>
      </c>
      <c r="N58" s="36" t="s">
        <v>2569</v>
      </c>
      <c r="O58" s="14" t="s">
        <v>2586</v>
      </c>
      <c r="P58" s="36" t="s">
        <v>2569</v>
      </c>
    </row>
    <row r="59" spans="1:16" s="33" customFormat="1" x14ac:dyDescent="0.35">
      <c r="A59" s="14" t="s">
        <v>6511</v>
      </c>
      <c r="B59" s="35">
        <f t="shared" si="2"/>
        <v>46086</v>
      </c>
      <c r="C59" s="35">
        <f t="shared" si="3"/>
        <v>46092</v>
      </c>
      <c r="D59" s="34">
        <v>3284</v>
      </c>
      <c r="E59" s="14">
        <v>338</v>
      </c>
      <c r="F59" s="14">
        <v>4</v>
      </c>
      <c r="G59" s="34">
        <v>3</v>
      </c>
      <c r="H59" s="34">
        <v>80920</v>
      </c>
      <c r="I59" s="34" t="s">
        <v>17</v>
      </c>
      <c r="J59" s="34">
        <v>51764797</v>
      </c>
      <c r="K59" s="34" t="s">
        <v>5537</v>
      </c>
      <c r="L59" s="40" t="s">
        <v>5541</v>
      </c>
      <c r="M59" s="36">
        <v>189900</v>
      </c>
      <c r="N59" s="36" t="s">
        <v>2569</v>
      </c>
      <c r="O59" s="14" t="s">
        <v>2586</v>
      </c>
      <c r="P59" s="36" t="s">
        <v>2569</v>
      </c>
    </row>
    <row r="60" spans="1:16" s="33" customFormat="1" x14ac:dyDescent="0.35">
      <c r="A60" s="14" t="s">
        <v>6511</v>
      </c>
      <c r="B60" s="35">
        <f t="shared" si="2"/>
        <v>46086</v>
      </c>
      <c r="C60" s="35">
        <f t="shared" si="3"/>
        <v>46092</v>
      </c>
      <c r="D60" s="34">
        <v>3284</v>
      </c>
      <c r="E60" s="14">
        <v>338</v>
      </c>
      <c r="F60" s="14">
        <v>4</v>
      </c>
      <c r="G60" s="34">
        <v>3</v>
      </c>
      <c r="H60" s="34">
        <v>80920</v>
      </c>
      <c r="I60" s="34" t="s">
        <v>17</v>
      </c>
      <c r="J60" s="34">
        <v>51764804</v>
      </c>
      <c r="K60" s="34" t="s">
        <v>5537</v>
      </c>
      <c r="L60" s="40" t="s">
        <v>5539</v>
      </c>
      <c r="M60" s="36">
        <v>189900</v>
      </c>
      <c r="N60" s="36" t="s">
        <v>2569</v>
      </c>
      <c r="O60" s="14" t="s">
        <v>2586</v>
      </c>
      <c r="P60" s="36" t="s">
        <v>2569</v>
      </c>
    </row>
    <row r="61" spans="1:16" s="33" customFormat="1" x14ac:dyDescent="0.35">
      <c r="A61" s="14" t="s">
        <v>6511</v>
      </c>
      <c r="B61" s="35">
        <f t="shared" si="2"/>
        <v>46086</v>
      </c>
      <c r="C61" s="35">
        <f t="shared" si="3"/>
        <v>46092</v>
      </c>
      <c r="D61" s="34">
        <v>3284</v>
      </c>
      <c r="E61" s="14">
        <v>338</v>
      </c>
      <c r="F61" s="14">
        <v>4</v>
      </c>
      <c r="G61" s="34">
        <v>3</v>
      </c>
      <c r="H61" s="34">
        <v>80920</v>
      </c>
      <c r="I61" s="34" t="s">
        <v>17</v>
      </c>
      <c r="J61" s="34">
        <v>51764813</v>
      </c>
      <c r="K61" s="34" t="s">
        <v>5537</v>
      </c>
      <c r="L61" s="40" t="s">
        <v>5540</v>
      </c>
      <c r="M61" s="36">
        <v>189900</v>
      </c>
      <c r="N61" s="36" t="s">
        <v>2569</v>
      </c>
      <c r="O61" s="14" t="s">
        <v>2586</v>
      </c>
      <c r="P61" s="36" t="s">
        <v>2569</v>
      </c>
    </row>
    <row r="62" spans="1:16" s="33" customFormat="1" x14ac:dyDescent="0.35">
      <c r="A62" s="14" t="s">
        <v>6511</v>
      </c>
      <c r="B62" s="35">
        <f t="shared" si="2"/>
        <v>46086</v>
      </c>
      <c r="C62" s="35">
        <f t="shared" si="3"/>
        <v>46092</v>
      </c>
      <c r="D62" s="34">
        <v>3284</v>
      </c>
      <c r="E62" s="14">
        <v>338</v>
      </c>
      <c r="F62" s="14">
        <v>4</v>
      </c>
      <c r="G62" s="34">
        <v>3</v>
      </c>
      <c r="H62" s="34">
        <v>80920</v>
      </c>
      <c r="I62" s="34" t="s">
        <v>17</v>
      </c>
      <c r="J62" s="34">
        <v>51764822</v>
      </c>
      <c r="K62" s="34" t="s">
        <v>5537</v>
      </c>
      <c r="L62" s="40" t="s">
        <v>5538</v>
      </c>
      <c r="M62" s="36">
        <v>189900</v>
      </c>
      <c r="N62" s="36" t="s">
        <v>2569</v>
      </c>
      <c r="O62" s="14" t="s">
        <v>2586</v>
      </c>
      <c r="P62" s="36" t="s">
        <v>2569</v>
      </c>
    </row>
    <row r="63" spans="1:16" s="33" customFormat="1" x14ac:dyDescent="0.35">
      <c r="A63" s="14" t="s">
        <v>6511</v>
      </c>
      <c r="B63" s="35">
        <f t="shared" si="2"/>
        <v>46086</v>
      </c>
      <c r="C63" s="35">
        <f t="shared" si="3"/>
        <v>46092</v>
      </c>
      <c r="D63" s="34">
        <v>3284</v>
      </c>
      <c r="E63" s="14">
        <v>338</v>
      </c>
      <c r="F63" s="14">
        <v>4</v>
      </c>
      <c r="G63" s="34">
        <v>4</v>
      </c>
      <c r="H63" s="34">
        <v>81146</v>
      </c>
      <c r="I63" s="34" t="s">
        <v>17</v>
      </c>
      <c r="J63" s="34">
        <v>51764877</v>
      </c>
      <c r="K63" s="34" t="s">
        <v>4884</v>
      </c>
      <c r="L63" s="40" t="s">
        <v>4888</v>
      </c>
      <c r="M63" s="36">
        <v>219900</v>
      </c>
      <c r="N63" s="36" t="s">
        <v>2569</v>
      </c>
      <c r="O63" s="14" t="s">
        <v>2586</v>
      </c>
      <c r="P63" s="36" t="s">
        <v>2569</v>
      </c>
    </row>
    <row r="64" spans="1:16" s="33" customFormat="1" x14ac:dyDescent="0.35">
      <c r="A64" s="14" t="s">
        <v>6511</v>
      </c>
      <c r="B64" s="35">
        <f t="shared" si="2"/>
        <v>46086</v>
      </c>
      <c r="C64" s="35">
        <f t="shared" si="3"/>
        <v>46092</v>
      </c>
      <c r="D64" s="34">
        <v>3284</v>
      </c>
      <c r="E64" s="14">
        <v>338</v>
      </c>
      <c r="F64" s="14">
        <v>4</v>
      </c>
      <c r="G64" s="34">
        <v>4</v>
      </c>
      <c r="H64" s="34">
        <v>81146</v>
      </c>
      <c r="I64" s="34" t="s">
        <v>17</v>
      </c>
      <c r="J64" s="34">
        <v>51764886</v>
      </c>
      <c r="K64" s="34" t="s">
        <v>4884</v>
      </c>
      <c r="L64" s="40" t="s">
        <v>4886</v>
      </c>
      <c r="M64" s="36">
        <v>219900</v>
      </c>
      <c r="N64" s="36" t="s">
        <v>2569</v>
      </c>
      <c r="O64" s="14" t="s">
        <v>2586</v>
      </c>
      <c r="P64" s="36" t="s">
        <v>2569</v>
      </c>
    </row>
    <row r="65" spans="1:16" s="33" customFormat="1" x14ac:dyDescent="0.35">
      <c r="A65" s="14" t="s">
        <v>6511</v>
      </c>
      <c r="B65" s="35">
        <f t="shared" si="2"/>
        <v>46086</v>
      </c>
      <c r="C65" s="35">
        <f t="shared" si="3"/>
        <v>46092</v>
      </c>
      <c r="D65" s="34">
        <v>3284</v>
      </c>
      <c r="E65" s="14">
        <v>338</v>
      </c>
      <c r="F65" s="14">
        <v>4</v>
      </c>
      <c r="G65" s="34">
        <v>4</v>
      </c>
      <c r="H65" s="34">
        <v>81146</v>
      </c>
      <c r="I65" s="34" t="s">
        <v>17</v>
      </c>
      <c r="J65" s="34">
        <v>51764895</v>
      </c>
      <c r="K65" s="34" t="s">
        <v>4884</v>
      </c>
      <c r="L65" s="40" t="s">
        <v>4885</v>
      </c>
      <c r="M65" s="36">
        <v>219900</v>
      </c>
      <c r="N65" s="36" t="s">
        <v>2569</v>
      </c>
      <c r="O65" s="14" t="s">
        <v>2586</v>
      </c>
      <c r="P65" s="36" t="s">
        <v>2569</v>
      </c>
    </row>
    <row r="66" spans="1:16" s="33" customFormat="1" x14ac:dyDescent="0.35">
      <c r="A66" s="14" t="s">
        <v>6511</v>
      </c>
      <c r="B66" s="35">
        <f t="shared" si="2"/>
        <v>46086</v>
      </c>
      <c r="C66" s="35">
        <f t="shared" si="3"/>
        <v>46092</v>
      </c>
      <c r="D66" s="34">
        <v>3284</v>
      </c>
      <c r="E66" s="14">
        <v>338</v>
      </c>
      <c r="F66" s="14">
        <v>4</v>
      </c>
      <c r="G66" s="34">
        <v>4</v>
      </c>
      <c r="H66" s="34">
        <v>81146</v>
      </c>
      <c r="I66" s="34" t="s">
        <v>17</v>
      </c>
      <c r="J66" s="34">
        <v>51764902</v>
      </c>
      <c r="K66" s="34" t="s">
        <v>4884</v>
      </c>
      <c r="L66" s="40" t="s">
        <v>4887</v>
      </c>
      <c r="M66" s="36">
        <v>219900</v>
      </c>
      <c r="N66" s="36" t="s">
        <v>2569</v>
      </c>
      <c r="O66" s="14" t="s">
        <v>2586</v>
      </c>
      <c r="P66" s="36" t="s">
        <v>2569</v>
      </c>
    </row>
    <row r="67" spans="1:16" s="33" customFormat="1" x14ac:dyDescent="0.35">
      <c r="A67" s="14" t="s">
        <v>6511</v>
      </c>
      <c r="B67" s="35">
        <f t="shared" ref="B67:B98" si="4">B66</f>
        <v>46086</v>
      </c>
      <c r="C67" s="35">
        <f t="shared" ref="C67:C98" si="5">C66</f>
        <v>46092</v>
      </c>
      <c r="D67" s="34">
        <v>3284</v>
      </c>
      <c r="E67" s="14">
        <v>338</v>
      </c>
      <c r="F67" s="14">
        <v>4</v>
      </c>
      <c r="G67" s="34">
        <v>4</v>
      </c>
      <c r="H67" s="34">
        <v>81146</v>
      </c>
      <c r="I67" s="34" t="s">
        <v>17</v>
      </c>
      <c r="J67" s="34">
        <v>51764957</v>
      </c>
      <c r="K67" s="34" t="s">
        <v>4879</v>
      </c>
      <c r="L67" s="40" t="s">
        <v>4881</v>
      </c>
      <c r="M67" s="36">
        <v>219900</v>
      </c>
      <c r="N67" s="36" t="s">
        <v>2569</v>
      </c>
      <c r="O67" s="14" t="s">
        <v>2586</v>
      </c>
      <c r="P67" s="36" t="s">
        <v>2569</v>
      </c>
    </row>
    <row r="68" spans="1:16" s="33" customFormat="1" x14ac:dyDescent="0.35">
      <c r="A68" s="14" t="s">
        <v>6511</v>
      </c>
      <c r="B68" s="35">
        <f t="shared" si="4"/>
        <v>46086</v>
      </c>
      <c r="C68" s="35">
        <f t="shared" si="5"/>
        <v>46092</v>
      </c>
      <c r="D68" s="34">
        <v>3284</v>
      </c>
      <c r="E68" s="14">
        <v>338</v>
      </c>
      <c r="F68" s="14">
        <v>4</v>
      </c>
      <c r="G68" s="34">
        <v>4</v>
      </c>
      <c r="H68" s="34">
        <v>81146</v>
      </c>
      <c r="I68" s="34" t="s">
        <v>17</v>
      </c>
      <c r="J68" s="34">
        <v>51764966</v>
      </c>
      <c r="K68" s="34" t="s">
        <v>4879</v>
      </c>
      <c r="L68" s="40" t="s">
        <v>4883</v>
      </c>
      <c r="M68" s="36">
        <v>219900</v>
      </c>
      <c r="N68" s="36" t="s">
        <v>2569</v>
      </c>
      <c r="O68" s="14" t="s">
        <v>2586</v>
      </c>
      <c r="P68" s="36" t="s">
        <v>2569</v>
      </c>
    </row>
    <row r="69" spans="1:16" s="33" customFormat="1" x14ac:dyDescent="0.35">
      <c r="A69" s="14" t="s">
        <v>6511</v>
      </c>
      <c r="B69" s="35">
        <f t="shared" si="4"/>
        <v>46086</v>
      </c>
      <c r="C69" s="35">
        <f t="shared" si="5"/>
        <v>46092</v>
      </c>
      <c r="D69" s="34">
        <v>3284</v>
      </c>
      <c r="E69" s="14">
        <v>338</v>
      </c>
      <c r="F69" s="14">
        <v>4</v>
      </c>
      <c r="G69" s="34">
        <v>4</v>
      </c>
      <c r="H69" s="34">
        <v>81146</v>
      </c>
      <c r="I69" s="34" t="s">
        <v>17</v>
      </c>
      <c r="J69" s="34">
        <v>51764975</v>
      </c>
      <c r="K69" s="34" t="s">
        <v>4879</v>
      </c>
      <c r="L69" s="40" t="s">
        <v>4880</v>
      </c>
      <c r="M69" s="36">
        <v>219900</v>
      </c>
      <c r="N69" s="36" t="s">
        <v>2569</v>
      </c>
      <c r="O69" s="14" t="s">
        <v>2586</v>
      </c>
      <c r="P69" s="36" t="s">
        <v>2569</v>
      </c>
    </row>
    <row r="70" spans="1:16" s="33" customFormat="1" x14ac:dyDescent="0.35">
      <c r="A70" s="14" t="s">
        <v>6511</v>
      </c>
      <c r="B70" s="35">
        <f t="shared" si="4"/>
        <v>46086</v>
      </c>
      <c r="C70" s="35">
        <f t="shared" si="5"/>
        <v>46092</v>
      </c>
      <c r="D70" s="34">
        <v>3284</v>
      </c>
      <c r="E70" s="14">
        <v>338</v>
      </c>
      <c r="F70" s="14">
        <v>4</v>
      </c>
      <c r="G70" s="34">
        <v>4</v>
      </c>
      <c r="H70" s="34">
        <v>81146</v>
      </c>
      <c r="I70" s="34" t="s">
        <v>17</v>
      </c>
      <c r="J70" s="34">
        <v>51764984</v>
      </c>
      <c r="K70" s="34" t="s">
        <v>4879</v>
      </c>
      <c r="L70" s="40" t="s">
        <v>4882</v>
      </c>
      <c r="M70" s="36">
        <v>219900</v>
      </c>
      <c r="N70" s="36" t="s">
        <v>2569</v>
      </c>
      <c r="O70" s="14" t="s">
        <v>2586</v>
      </c>
      <c r="P70" s="36" t="s">
        <v>2569</v>
      </c>
    </row>
    <row r="71" spans="1:16" s="33" customFormat="1" x14ac:dyDescent="0.35">
      <c r="A71" s="14" t="s">
        <v>6511</v>
      </c>
      <c r="B71" s="35">
        <f t="shared" si="4"/>
        <v>46086</v>
      </c>
      <c r="C71" s="35">
        <f t="shared" si="5"/>
        <v>46092</v>
      </c>
      <c r="D71" s="34">
        <v>3284</v>
      </c>
      <c r="E71" s="14">
        <v>338</v>
      </c>
      <c r="F71" s="14">
        <v>4</v>
      </c>
      <c r="G71" s="34">
        <v>5</v>
      </c>
      <c r="H71" s="34">
        <v>80920</v>
      </c>
      <c r="I71" s="34" t="s">
        <v>17</v>
      </c>
      <c r="J71" s="34">
        <v>51764993</v>
      </c>
      <c r="K71" s="34" t="s">
        <v>4874</v>
      </c>
      <c r="L71" s="40" t="s">
        <v>4878</v>
      </c>
      <c r="M71" s="36">
        <v>219900</v>
      </c>
      <c r="N71" s="36" t="s">
        <v>2569</v>
      </c>
      <c r="O71" s="14" t="s">
        <v>2586</v>
      </c>
      <c r="P71" s="36" t="s">
        <v>2569</v>
      </c>
    </row>
    <row r="72" spans="1:16" s="33" customFormat="1" x14ac:dyDescent="0.35">
      <c r="A72" s="14" t="s">
        <v>6511</v>
      </c>
      <c r="B72" s="35">
        <f t="shared" si="4"/>
        <v>46086</v>
      </c>
      <c r="C72" s="35">
        <f t="shared" si="5"/>
        <v>46092</v>
      </c>
      <c r="D72" s="34">
        <v>3284</v>
      </c>
      <c r="E72" s="14">
        <v>338</v>
      </c>
      <c r="F72" s="14">
        <v>4</v>
      </c>
      <c r="G72" s="34">
        <v>5</v>
      </c>
      <c r="H72" s="34">
        <v>80920</v>
      </c>
      <c r="I72" s="34" t="s">
        <v>17</v>
      </c>
      <c r="J72" s="34">
        <v>51765009</v>
      </c>
      <c r="K72" s="34" t="s">
        <v>4874</v>
      </c>
      <c r="L72" s="40" t="s">
        <v>4877</v>
      </c>
      <c r="M72" s="36">
        <v>219900</v>
      </c>
      <c r="N72" s="36" t="s">
        <v>2569</v>
      </c>
      <c r="O72" s="14" t="s">
        <v>2586</v>
      </c>
      <c r="P72" s="36" t="s">
        <v>2569</v>
      </c>
    </row>
    <row r="73" spans="1:16" s="33" customFormat="1" x14ac:dyDescent="0.35">
      <c r="A73" s="14" t="s">
        <v>6511</v>
      </c>
      <c r="B73" s="35">
        <f t="shared" si="4"/>
        <v>46086</v>
      </c>
      <c r="C73" s="35">
        <f t="shared" si="5"/>
        <v>46092</v>
      </c>
      <c r="D73" s="34">
        <v>3284</v>
      </c>
      <c r="E73" s="14">
        <v>338</v>
      </c>
      <c r="F73" s="14">
        <v>4</v>
      </c>
      <c r="G73" s="34">
        <v>5</v>
      </c>
      <c r="H73" s="34">
        <v>80920</v>
      </c>
      <c r="I73" s="34" t="s">
        <v>17</v>
      </c>
      <c r="J73" s="34">
        <v>51765018</v>
      </c>
      <c r="K73" s="34" t="s">
        <v>4874</v>
      </c>
      <c r="L73" s="40" t="s">
        <v>4875</v>
      </c>
      <c r="M73" s="36">
        <v>219900</v>
      </c>
      <c r="N73" s="36" t="s">
        <v>2569</v>
      </c>
      <c r="O73" s="14" t="s">
        <v>2586</v>
      </c>
      <c r="P73" s="36" t="s">
        <v>2569</v>
      </c>
    </row>
    <row r="74" spans="1:16" s="33" customFormat="1" x14ac:dyDescent="0.35">
      <c r="A74" s="14" t="s">
        <v>6511</v>
      </c>
      <c r="B74" s="35">
        <f t="shared" si="4"/>
        <v>46086</v>
      </c>
      <c r="C74" s="35">
        <f t="shared" si="5"/>
        <v>46092</v>
      </c>
      <c r="D74" s="34">
        <v>3284</v>
      </c>
      <c r="E74" s="14">
        <v>338</v>
      </c>
      <c r="F74" s="14">
        <v>4</v>
      </c>
      <c r="G74" s="34">
        <v>5</v>
      </c>
      <c r="H74" s="34">
        <v>80920</v>
      </c>
      <c r="I74" s="34" t="s">
        <v>17</v>
      </c>
      <c r="J74" s="34">
        <v>51765027</v>
      </c>
      <c r="K74" s="34" t="s">
        <v>4874</v>
      </c>
      <c r="L74" s="40" t="s">
        <v>4876</v>
      </c>
      <c r="M74" s="36">
        <v>219900</v>
      </c>
      <c r="N74" s="36" t="s">
        <v>2569</v>
      </c>
      <c r="O74" s="14" t="s">
        <v>2586</v>
      </c>
      <c r="P74" s="36" t="s">
        <v>2569</v>
      </c>
    </row>
    <row r="75" spans="1:16" s="33" customFormat="1" x14ac:dyDescent="0.35">
      <c r="A75" s="14" t="s">
        <v>6511</v>
      </c>
      <c r="B75" s="35">
        <f t="shared" si="4"/>
        <v>46086</v>
      </c>
      <c r="C75" s="35">
        <f t="shared" si="5"/>
        <v>46092</v>
      </c>
      <c r="D75" s="34">
        <v>3284</v>
      </c>
      <c r="E75" s="14">
        <v>338</v>
      </c>
      <c r="F75" s="14">
        <v>4</v>
      </c>
      <c r="G75" s="34">
        <v>3</v>
      </c>
      <c r="H75" s="34">
        <v>81146</v>
      </c>
      <c r="I75" s="34" t="s">
        <v>17</v>
      </c>
      <c r="J75" s="34">
        <v>51984139</v>
      </c>
      <c r="K75" s="34" t="s">
        <v>4894</v>
      </c>
      <c r="L75" s="40" t="s">
        <v>4895</v>
      </c>
      <c r="M75" s="36">
        <v>219900</v>
      </c>
      <c r="N75" s="36" t="s">
        <v>2569</v>
      </c>
      <c r="O75" s="14" t="s">
        <v>2586</v>
      </c>
      <c r="P75" s="36" t="s">
        <v>2569</v>
      </c>
    </row>
    <row r="76" spans="1:16" s="33" customFormat="1" x14ac:dyDescent="0.35">
      <c r="A76" s="14" t="s">
        <v>6511</v>
      </c>
      <c r="B76" s="35">
        <f t="shared" si="4"/>
        <v>46086</v>
      </c>
      <c r="C76" s="35">
        <f t="shared" si="5"/>
        <v>46092</v>
      </c>
      <c r="D76" s="34">
        <v>3284</v>
      </c>
      <c r="E76" s="14">
        <v>338</v>
      </c>
      <c r="F76" s="14">
        <v>4</v>
      </c>
      <c r="G76" s="34">
        <v>3</v>
      </c>
      <c r="H76" s="34">
        <v>81146</v>
      </c>
      <c r="I76" s="34" t="s">
        <v>17</v>
      </c>
      <c r="J76" s="34">
        <v>51984148</v>
      </c>
      <c r="K76" s="34" t="s">
        <v>4894</v>
      </c>
      <c r="L76" s="40" t="s">
        <v>4898</v>
      </c>
      <c r="M76" s="36">
        <v>219900</v>
      </c>
      <c r="N76" s="36" t="s">
        <v>2569</v>
      </c>
      <c r="O76" s="14" t="s">
        <v>2586</v>
      </c>
      <c r="P76" s="36" t="s">
        <v>2569</v>
      </c>
    </row>
    <row r="77" spans="1:16" s="33" customFormat="1" x14ac:dyDescent="0.35">
      <c r="A77" s="14" t="s">
        <v>6511</v>
      </c>
      <c r="B77" s="35">
        <f t="shared" si="4"/>
        <v>46086</v>
      </c>
      <c r="C77" s="35">
        <f t="shared" si="5"/>
        <v>46092</v>
      </c>
      <c r="D77" s="34">
        <v>3284</v>
      </c>
      <c r="E77" s="14">
        <v>338</v>
      </c>
      <c r="F77" s="14">
        <v>4</v>
      </c>
      <c r="G77" s="34">
        <v>3</v>
      </c>
      <c r="H77" s="34">
        <v>81146</v>
      </c>
      <c r="I77" s="34" t="s">
        <v>17</v>
      </c>
      <c r="J77" s="34">
        <v>51984157</v>
      </c>
      <c r="K77" s="34" t="s">
        <v>4894</v>
      </c>
      <c r="L77" s="40" t="s">
        <v>4896</v>
      </c>
      <c r="M77" s="36">
        <v>219900</v>
      </c>
      <c r="N77" s="36" t="s">
        <v>2569</v>
      </c>
      <c r="O77" s="14" t="s">
        <v>2586</v>
      </c>
      <c r="P77" s="36" t="s">
        <v>2569</v>
      </c>
    </row>
    <row r="78" spans="1:16" s="33" customFormat="1" x14ac:dyDescent="0.35">
      <c r="A78" s="14" t="s">
        <v>6511</v>
      </c>
      <c r="B78" s="35">
        <f t="shared" si="4"/>
        <v>46086</v>
      </c>
      <c r="C78" s="35">
        <f t="shared" si="5"/>
        <v>46092</v>
      </c>
      <c r="D78" s="34">
        <v>3284</v>
      </c>
      <c r="E78" s="14">
        <v>338</v>
      </c>
      <c r="F78" s="14">
        <v>4</v>
      </c>
      <c r="G78" s="34">
        <v>3</v>
      </c>
      <c r="H78" s="34">
        <v>81146</v>
      </c>
      <c r="I78" s="34" t="s">
        <v>17</v>
      </c>
      <c r="J78" s="34">
        <v>51984166</v>
      </c>
      <c r="K78" s="34" t="s">
        <v>4894</v>
      </c>
      <c r="L78" s="40" t="s">
        <v>4897</v>
      </c>
      <c r="M78" s="36">
        <v>219900</v>
      </c>
      <c r="N78" s="36" t="s">
        <v>2569</v>
      </c>
      <c r="O78" s="14" t="s">
        <v>2586</v>
      </c>
      <c r="P78" s="36" t="s">
        <v>2569</v>
      </c>
    </row>
    <row r="79" spans="1:16" s="33" customFormat="1" x14ac:dyDescent="0.35">
      <c r="A79" s="14" t="s">
        <v>6511</v>
      </c>
      <c r="B79" s="35">
        <f t="shared" si="4"/>
        <v>46086</v>
      </c>
      <c r="C79" s="35">
        <f t="shared" si="5"/>
        <v>46092</v>
      </c>
      <c r="D79" s="34">
        <v>3284</v>
      </c>
      <c r="E79" s="14">
        <v>338</v>
      </c>
      <c r="F79" s="14">
        <v>4</v>
      </c>
      <c r="G79" s="34">
        <v>4</v>
      </c>
      <c r="H79" s="34">
        <v>81506</v>
      </c>
      <c r="I79" s="34" t="s">
        <v>17</v>
      </c>
      <c r="J79" s="34">
        <v>52297693</v>
      </c>
      <c r="K79" s="34" t="s">
        <v>5542</v>
      </c>
      <c r="L79" s="40" t="s">
        <v>5545</v>
      </c>
      <c r="M79" s="36">
        <v>219900</v>
      </c>
      <c r="N79" s="36" t="s">
        <v>2569</v>
      </c>
      <c r="O79" s="14" t="s">
        <v>2586</v>
      </c>
      <c r="P79" s="36" t="s">
        <v>2569</v>
      </c>
    </row>
    <row r="80" spans="1:16" s="33" customFormat="1" x14ac:dyDescent="0.35">
      <c r="A80" s="14" t="s">
        <v>6511</v>
      </c>
      <c r="B80" s="35">
        <f t="shared" si="4"/>
        <v>46086</v>
      </c>
      <c r="C80" s="35">
        <f t="shared" si="5"/>
        <v>46092</v>
      </c>
      <c r="D80" s="34">
        <v>3284</v>
      </c>
      <c r="E80" s="14">
        <v>338</v>
      </c>
      <c r="F80" s="14">
        <v>4</v>
      </c>
      <c r="G80" s="34">
        <v>4</v>
      </c>
      <c r="H80" s="34">
        <v>81506</v>
      </c>
      <c r="I80" s="34" t="s">
        <v>17</v>
      </c>
      <c r="J80" s="34">
        <v>52297700</v>
      </c>
      <c r="K80" s="34" t="s">
        <v>5542</v>
      </c>
      <c r="L80" s="40" t="s">
        <v>5543</v>
      </c>
      <c r="M80" s="36">
        <v>219900</v>
      </c>
      <c r="N80" s="36" t="s">
        <v>2569</v>
      </c>
      <c r="O80" s="14" t="s">
        <v>2586</v>
      </c>
      <c r="P80" s="36" t="s">
        <v>2569</v>
      </c>
    </row>
    <row r="81" spans="1:16" s="33" customFormat="1" x14ac:dyDescent="0.35">
      <c r="A81" s="14" t="s">
        <v>6511</v>
      </c>
      <c r="B81" s="35">
        <f t="shared" si="4"/>
        <v>46086</v>
      </c>
      <c r="C81" s="35">
        <f t="shared" si="5"/>
        <v>46092</v>
      </c>
      <c r="D81" s="34">
        <v>3284</v>
      </c>
      <c r="E81" s="14">
        <v>338</v>
      </c>
      <c r="F81" s="14">
        <v>4</v>
      </c>
      <c r="G81" s="34">
        <v>4</v>
      </c>
      <c r="H81" s="34">
        <v>81506</v>
      </c>
      <c r="I81" s="34" t="s">
        <v>17</v>
      </c>
      <c r="J81" s="34">
        <v>52297719</v>
      </c>
      <c r="K81" s="34" t="s">
        <v>5542</v>
      </c>
      <c r="L81" s="40" t="s">
        <v>5546</v>
      </c>
      <c r="M81" s="36">
        <v>219900</v>
      </c>
      <c r="N81" s="36" t="s">
        <v>2569</v>
      </c>
      <c r="O81" s="14" t="s">
        <v>2586</v>
      </c>
      <c r="P81" s="36" t="s">
        <v>2569</v>
      </c>
    </row>
    <row r="82" spans="1:16" s="33" customFormat="1" x14ac:dyDescent="0.35">
      <c r="A82" s="14" t="s">
        <v>6511</v>
      </c>
      <c r="B82" s="35">
        <f t="shared" si="4"/>
        <v>46086</v>
      </c>
      <c r="C82" s="35">
        <f t="shared" si="5"/>
        <v>46092</v>
      </c>
      <c r="D82" s="34">
        <v>3284</v>
      </c>
      <c r="E82" s="14">
        <v>338</v>
      </c>
      <c r="F82" s="14">
        <v>4</v>
      </c>
      <c r="G82" s="34">
        <v>4</v>
      </c>
      <c r="H82" s="34">
        <v>81506</v>
      </c>
      <c r="I82" s="34" t="s">
        <v>17</v>
      </c>
      <c r="J82" s="34">
        <v>52297728</v>
      </c>
      <c r="K82" s="34" t="s">
        <v>5542</v>
      </c>
      <c r="L82" s="40" t="s">
        <v>5544</v>
      </c>
      <c r="M82" s="36">
        <v>219900</v>
      </c>
      <c r="N82" s="36" t="s">
        <v>2569</v>
      </c>
      <c r="O82" s="14" t="s">
        <v>2586</v>
      </c>
      <c r="P82" s="36" t="s">
        <v>2569</v>
      </c>
    </row>
    <row r="83" spans="1:16" s="33" customFormat="1" x14ac:dyDescent="0.35">
      <c r="A83" s="14" t="s">
        <v>6511</v>
      </c>
      <c r="B83" s="35">
        <f t="shared" si="4"/>
        <v>46086</v>
      </c>
      <c r="C83" s="35">
        <f t="shared" si="5"/>
        <v>46092</v>
      </c>
      <c r="D83" s="34">
        <v>3284</v>
      </c>
      <c r="E83" s="14">
        <v>338</v>
      </c>
      <c r="F83" s="14">
        <v>4</v>
      </c>
      <c r="G83" s="34">
        <v>5</v>
      </c>
      <c r="H83" s="34">
        <v>81146</v>
      </c>
      <c r="I83" s="34" t="s">
        <v>17</v>
      </c>
      <c r="J83" s="34">
        <v>52297817</v>
      </c>
      <c r="K83" s="34" t="s">
        <v>5547</v>
      </c>
      <c r="L83" s="40" t="s">
        <v>5548</v>
      </c>
      <c r="M83" s="36">
        <v>219900</v>
      </c>
      <c r="N83" s="36" t="s">
        <v>2569</v>
      </c>
      <c r="O83" s="14" t="s">
        <v>2586</v>
      </c>
      <c r="P83" s="36" t="s">
        <v>2569</v>
      </c>
    </row>
    <row r="84" spans="1:16" s="33" customFormat="1" x14ac:dyDescent="0.35">
      <c r="A84" s="14" t="s">
        <v>6511</v>
      </c>
      <c r="B84" s="35">
        <f t="shared" si="4"/>
        <v>46086</v>
      </c>
      <c r="C84" s="35">
        <f t="shared" si="5"/>
        <v>46092</v>
      </c>
      <c r="D84" s="34">
        <v>3284</v>
      </c>
      <c r="E84" s="14">
        <v>338</v>
      </c>
      <c r="F84" s="14">
        <v>4</v>
      </c>
      <c r="G84" s="34">
        <v>5</v>
      </c>
      <c r="H84" s="34">
        <v>81146</v>
      </c>
      <c r="I84" s="34" t="s">
        <v>17</v>
      </c>
      <c r="J84" s="34">
        <v>52297826</v>
      </c>
      <c r="K84" s="34" t="s">
        <v>5547</v>
      </c>
      <c r="L84" s="40" t="s">
        <v>5549</v>
      </c>
      <c r="M84" s="36">
        <v>219900</v>
      </c>
      <c r="N84" s="36" t="s">
        <v>2569</v>
      </c>
      <c r="O84" s="14" t="s">
        <v>2586</v>
      </c>
      <c r="P84" s="36" t="s">
        <v>2569</v>
      </c>
    </row>
    <row r="85" spans="1:16" s="33" customFormat="1" x14ac:dyDescent="0.35">
      <c r="A85" s="14" t="s">
        <v>6511</v>
      </c>
      <c r="B85" s="35">
        <f t="shared" si="4"/>
        <v>46086</v>
      </c>
      <c r="C85" s="35">
        <f t="shared" si="5"/>
        <v>46092</v>
      </c>
      <c r="D85" s="34">
        <v>3284</v>
      </c>
      <c r="E85" s="14">
        <v>338</v>
      </c>
      <c r="F85" s="14">
        <v>4</v>
      </c>
      <c r="G85" s="34">
        <v>5</v>
      </c>
      <c r="H85" s="34">
        <v>81146</v>
      </c>
      <c r="I85" s="34" t="s">
        <v>17</v>
      </c>
      <c r="J85" s="34">
        <v>52297835</v>
      </c>
      <c r="K85" s="34" t="s">
        <v>5547</v>
      </c>
      <c r="L85" s="40" t="s">
        <v>5550</v>
      </c>
      <c r="M85" s="36">
        <v>219900</v>
      </c>
      <c r="N85" s="36" t="s">
        <v>2569</v>
      </c>
      <c r="O85" s="14" t="s">
        <v>2586</v>
      </c>
      <c r="P85" s="36" t="s">
        <v>2569</v>
      </c>
    </row>
    <row r="86" spans="1:16" s="33" customFormat="1" x14ac:dyDescent="0.35">
      <c r="A86" s="14" t="s">
        <v>6511</v>
      </c>
      <c r="B86" s="35">
        <f t="shared" si="4"/>
        <v>46086</v>
      </c>
      <c r="C86" s="35">
        <f t="shared" si="5"/>
        <v>46092</v>
      </c>
      <c r="D86" s="34">
        <v>3284</v>
      </c>
      <c r="E86" s="14">
        <v>338</v>
      </c>
      <c r="F86" s="14">
        <v>4</v>
      </c>
      <c r="G86" s="34">
        <v>5</v>
      </c>
      <c r="H86" s="34">
        <v>81146</v>
      </c>
      <c r="I86" s="34" t="s">
        <v>17</v>
      </c>
      <c r="J86" s="34">
        <v>52297844</v>
      </c>
      <c r="K86" s="34" t="s">
        <v>5547</v>
      </c>
      <c r="L86" s="40" t="s">
        <v>5551</v>
      </c>
      <c r="M86" s="36">
        <v>219900</v>
      </c>
      <c r="N86" s="36" t="s">
        <v>2569</v>
      </c>
      <c r="O86" s="14" t="s">
        <v>2586</v>
      </c>
      <c r="P86" s="36" t="s">
        <v>2569</v>
      </c>
    </row>
    <row r="87" spans="1:16" s="33" customFormat="1" x14ac:dyDescent="0.35">
      <c r="A87" s="14" t="s">
        <v>6511</v>
      </c>
      <c r="B87" s="35">
        <f t="shared" si="4"/>
        <v>46086</v>
      </c>
      <c r="C87" s="35">
        <f t="shared" si="5"/>
        <v>46092</v>
      </c>
      <c r="D87" s="34">
        <v>3284</v>
      </c>
      <c r="E87" s="14">
        <v>338</v>
      </c>
      <c r="F87" s="14">
        <v>4</v>
      </c>
      <c r="G87" s="34">
        <v>7</v>
      </c>
      <c r="H87" s="34">
        <v>81676</v>
      </c>
      <c r="I87" s="34" t="s">
        <v>17</v>
      </c>
      <c r="J87" s="34">
        <v>52297853</v>
      </c>
      <c r="K87" s="34" t="s">
        <v>4854</v>
      </c>
      <c r="L87" s="40" t="s">
        <v>4856</v>
      </c>
      <c r="M87" s="36">
        <v>99900</v>
      </c>
      <c r="N87" s="36" t="s">
        <v>2569</v>
      </c>
      <c r="O87" s="14" t="s">
        <v>2586</v>
      </c>
      <c r="P87" s="36" t="s">
        <v>2569</v>
      </c>
    </row>
    <row r="88" spans="1:16" s="33" customFormat="1" x14ac:dyDescent="0.35">
      <c r="A88" s="14" t="s">
        <v>6511</v>
      </c>
      <c r="B88" s="35">
        <f t="shared" si="4"/>
        <v>46086</v>
      </c>
      <c r="C88" s="35">
        <f t="shared" si="5"/>
        <v>46092</v>
      </c>
      <c r="D88" s="34">
        <v>3284</v>
      </c>
      <c r="E88" s="14">
        <v>338</v>
      </c>
      <c r="F88" s="14">
        <v>4</v>
      </c>
      <c r="G88" s="34">
        <v>7</v>
      </c>
      <c r="H88" s="34">
        <v>81676</v>
      </c>
      <c r="I88" s="34" t="s">
        <v>17</v>
      </c>
      <c r="J88" s="34">
        <v>52297862</v>
      </c>
      <c r="K88" s="34" t="s">
        <v>4854</v>
      </c>
      <c r="L88" s="40" t="s">
        <v>4857</v>
      </c>
      <c r="M88" s="36">
        <v>99900</v>
      </c>
      <c r="N88" s="36" t="s">
        <v>2569</v>
      </c>
      <c r="O88" s="14" t="s">
        <v>2586</v>
      </c>
      <c r="P88" s="36" t="s">
        <v>2569</v>
      </c>
    </row>
    <row r="89" spans="1:16" s="33" customFormat="1" x14ac:dyDescent="0.35">
      <c r="A89" s="14" t="s">
        <v>6511</v>
      </c>
      <c r="B89" s="35">
        <f t="shared" si="4"/>
        <v>46086</v>
      </c>
      <c r="C89" s="35">
        <f t="shared" si="5"/>
        <v>46092</v>
      </c>
      <c r="D89" s="34">
        <v>3284</v>
      </c>
      <c r="E89" s="14">
        <v>338</v>
      </c>
      <c r="F89" s="14">
        <v>4</v>
      </c>
      <c r="G89" s="34">
        <v>7</v>
      </c>
      <c r="H89" s="34">
        <v>81676</v>
      </c>
      <c r="I89" s="34" t="s">
        <v>17</v>
      </c>
      <c r="J89" s="34">
        <v>52297871</v>
      </c>
      <c r="K89" s="34" t="s">
        <v>4854</v>
      </c>
      <c r="L89" s="40" t="s">
        <v>4855</v>
      </c>
      <c r="M89" s="36">
        <v>99900</v>
      </c>
      <c r="N89" s="36" t="s">
        <v>2569</v>
      </c>
      <c r="O89" s="14" t="s">
        <v>2586</v>
      </c>
      <c r="P89" s="36" t="s">
        <v>2569</v>
      </c>
    </row>
    <row r="90" spans="1:16" s="33" customFormat="1" x14ac:dyDescent="0.35">
      <c r="A90" s="14" t="s">
        <v>6511</v>
      </c>
      <c r="B90" s="35">
        <f t="shared" si="4"/>
        <v>46086</v>
      </c>
      <c r="C90" s="35">
        <f t="shared" si="5"/>
        <v>46092</v>
      </c>
      <c r="D90" s="34">
        <v>3284</v>
      </c>
      <c r="E90" s="14">
        <v>338</v>
      </c>
      <c r="F90" s="14">
        <v>4</v>
      </c>
      <c r="G90" s="34">
        <v>7</v>
      </c>
      <c r="H90" s="34">
        <v>81676</v>
      </c>
      <c r="I90" s="34" t="s">
        <v>17</v>
      </c>
      <c r="J90" s="34">
        <v>52297880</v>
      </c>
      <c r="K90" s="34" t="s">
        <v>4854</v>
      </c>
      <c r="L90" s="40" t="s">
        <v>4858</v>
      </c>
      <c r="M90" s="36">
        <v>99900</v>
      </c>
      <c r="N90" s="36" t="s">
        <v>2569</v>
      </c>
      <c r="O90" s="14" t="s">
        <v>2586</v>
      </c>
      <c r="P90" s="36" t="s">
        <v>2569</v>
      </c>
    </row>
    <row r="91" spans="1:16" s="33" customFormat="1" x14ac:dyDescent="0.35">
      <c r="A91" s="14" t="s">
        <v>6511</v>
      </c>
      <c r="B91" s="35">
        <f t="shared" si="4"/>
        <v>46086</v>
      </c>
      <c r="C91" s="35">
        <f t="shared" si="5"/>
        <v>46092</v>
      </c>
      <c r="D91" s="34">
        <v>3284</v>
      </c>
      <c r="E91" s="14">
        <v>338</v>
      </c>
      <c r="F91" s="14">
        <v>4</v>
      </c>
      <c r="G91" s="34">
        <v>7</v>
      </c>
      <c r="H91" s="34">
        <v>81676</v>
      </c>
      <c r="I91" s="34" t="s">
        <v>17</v>
      </c>
      <c r="J91" s="34">
        <v>52297899</v>
      </c>
      <c r="K91" s="34" t="s">
        <v>4899</v>
      </c>
      <c r="L91" s="40" t="s">
        <v>4901</v>
      </c>
      <c r="M91" s="36">
        <v>169900</v>
      </c>
      <c r="N91" s="36" t="s">
        <v>2569</v>
      </c>
      <c r="O91" s="14" t="s">
        <v>2586</v>
      </c>
      <c r="P91" s="36" t="s">
        <v>2569</v>
      </c>
    </row>
    <row r="92" spans="1:16" s="33" customFormat="1" x14ac:dyDescent="0.35">
      <c r="A92" s="14" t="s">
        <v>6511</v>
      </c>
      <c r="B92" s="35">
        <f t="shared" si="4"/>
        <v>46086</v>
      </c>
      <c r="C92" s="35">
        <f t="shared" si="5"/>
        <v>46092</v>
      </c>
      <c r="D92" s="34">
        <v>3284</v>
      </c>
      <c r="E92" s="14">
        <v>338</v>
      </c>
      <c r="F92" s="14">
        <v>4</v>
      </c>
      <c r="G92" s="34">
        <v>7</v>
      </c>
      <c r="H92" s="34">
        <v>81676</v>
      </c>
      <c r="I92" s="34" t="s">
        <v>17</v>
      </c>
      <c r="J92" s="34">
        <v>52297906</v>
      </c>
      <c r="K92" s="34" t="s">
        <v>4899</v>
      </c>
      <c r="L92" s="40" t="s">
        <v>4900</v>
      </c>
      <c r="M92" s="36">
        <v>169900</v>
      </c>
      <c r="N92" s="36" t="s">
        <v>2569</v>
      </c>
      <c r="O92" s="14" t="s">
        <v>2586</v>
      </c>
      <c r="P92" s="36" t="s">
        <v>2569</v>
      </c>
    </row>
    <row r="93" spans="1:16" s="33" customFormat="1" x14ac:dyDescent="0.35">
      <c r="A93" s="14" t="s">
        <v>6511</v>
      </c>
      <c r="B93" s="35">
        <f t="shared" si="4"/>
        <v>46086</v>
      </c>
      <c r="C93" s="35">
        <f t="shared" si="5"/>
        <v>46092</v>
      </c>
      <c r="D93" s="34">
        <v>3284</v>
      </c>
      <c r="E93" s="14">
        <v>338</v>
      </c>
      <c r="F93" s="14">
        <v>4</v>
      </c>
      <c r="G93" s="34">
        <v>7</v>
      </c>
      <c r="H93" s="34">
        <v>81676</v>
      </c>
      <c r="I93" s="34" t="s">
        <v>17</v>
      </c>
      <c r="J93" s="34">
        <v>52297915</v>
      </c>
      <c r="K93" s="34" t="s">
        <v>4899</v>
      </c>
      <c r="L93" s="40" t="s">
        <v>4903</v>
      </c>
      <c r="M93" s="36">
        <v>169900</v>
      </c>
      <c r="N93" s="36" t="s">
        <v>2569</v>
      </c>
      <c r="O93" s="14" t="s">
        <v>2586</v>
      </c>
      <c r="P93" s="36" t="s">
        <v>2569</v>
      </c>
    </row>
    <row r="94" spans="1:16" s="33" customFormat="1" x14ac:dyDescent="0.35">
      <c r="A94" s="14" t="s">
        <v>6511</v>
      </c>
      <c r="B94" s="35">
        <f t="shared" si="4"/>
        <v>46086</v>
      </c>
      <c r="C94" s="35">
        <f t="shared" si="5"/>
        <v>46092</v>
      </c>
      <c r="D94" s="34">
        <v>3284</v>
      </c>
      <c r="E94" s="14">
        <v>338</v>
      </c>
      <c r="F94" s="14">
        <v>4</v>
      </c>
      <c r="G94" s="34">
        <v>7</v>
      </c>
      <c r="H94" s="34">
        <v>81676</v>
      </c>
      <c r="I94" s="34" t="s">
        <v>17</v>
      </c>
      <c r="J94" s="34">
        <v>52297924</v>
      </c>
      <c r="K94" s="34" t="s">
        <v>4899</v>
      </c>
      <c r="L94" s="40" t="s">
        <v>4902</v>
      </c>
      <c r="M94" s="36">
        <v>169900</v>
      </c>
      <c r="N94" s="36" t="s">
        <v>2569</v>
      </c>
      <c r="O94" s="14" t="s">
        <v>2586</v>
      </c>
      <c r="P94" s="36" t="s">
        <v>2569</v>
      </c>
    </row>
    <row r="95" spans="1:16" s="16" customFormat="1" x14ac:dyDescent="0.35">
      <c r="A95" s="14" t="s">
        <v>6511</v>
      </c>
      <c r="B95" s="42">
        <f t="shared" si="4"/>
        <v>46086</v>
      </c>
      <c r="C95" s="42">
        <f t="shared" si="5"/>
        <v>46092</v>
      </c>
      <c r="D95" s="14">
        <v>3284</v>
      </c>
      <c r="E95" s="14">
        <v>338</v>
      </c>
      <c r="F95" s="14">
        <v>4</v>
      </c>
      <c r="G95" s="14">
        <v>7</v>
      </c>
      <c r="H95" s="14">
        <v>81676</v>
      </c>
      <c r="I95" s="14" t="s">
        <v>17</v>
      </c>
      <c r="J95" s="14">
        <v>52297933</v>
      </c>
      <c r="K95" s="14" t="s">
        <v>4904</v>
      </c>
      <c r="L95" s="18" t="s">
        <v>4905</v>
      </c>
      <c r="M95" s="15">
        <v>139900</v>
      </c>
      <c r="N95" s="15" t="s">
        <v>2569</v>
      </c>
      <c r="O95" s="14" t="s">
        <v>2586</v>
      </c>
      <c r="P95" s="15" t="s">
        <v>2569</v>
      </c>
    </row>
    <row r="96" spans="1:16" s="16" customFormat="1" x14ac:dyDescent="0.35">
      <c r="A96" s="14" t="s">
        <v>6511</v>
      </c>
      <c r="B96" s="42">
        <f t="shared" si="4"/>
        <v>46086</v>
      </c>
      <c r="C96" s="42">
        <f t="shared" si="5"/>
        <v>46092</v>
      </c>
      <c r="D96" s="14">
        <v>3284</v>
      </c>
      <c r="E96" s="14">
        <v>338</v>
      </c>
      <c r="F96" s="14">
        <v>4</v>
      </c>
      <c r="G96" s="14">
        <v>7</v>
      </c>
      <c r="H96" s="14">
        <v>81676</v>
      </c>
      <c r="I96" s="14" t="s">
        <v>17</v>
      </c>
      <c r="J96" s="14">
        <v>52297942</v>
      </c>
      <c r="K96" s="14" t="s">
        <v>4904</v>
      </c>
      <c r="L96" s="18" t="s">
        <v>4908</v>
      </c>
      <c r="M96" s="15">
        <v>139900</v>
      </c>
      <c r="N96" s="15" t="s">
        <v>2569</v>
      </c>
      <c r="O96" s="14" t="s">
        <v>2586</v>
      </c>
      <c r="P96" s="15" t="s">
        <v>2569</v>
      </c>
    </row>
    <row r="97" spans="1:16" s="16" customFormat="1" x14ac:dyDescent="0.35">
      <c r="A97" s="14" t="s">
        <v>6511</v>
      </c>
      <c r="B97" s="42">
        <f t="shared" si="4"/>
        <v>46086</v>
      </c>
      <c r="C97" s="42">
        <f t="shared" si="5"/>
        <v>46092</v>
      </c>
      <c r="D97" s="14">
        <v>3284</v>
      </c>
      <c r="E97" s="14">
        <v>338</v>
      </c>
      <c r="F97" s="14">
        <v>4</v>
      </c>
      <c r="G97" s="14">
        <v>7</v>
      </c>
      <c r="H97" s="14">
        <v>81676</v>
      </c>
      <c r="I97" s="14" t="s">
        <v>17</v>
      </c>
      <c r="J97" s="14">
        <v>52297951</v>
      </c>
      <c r="K97" s="14" t="s">
        <v>4904</v>
      </c>
      <c r="L97" s="18" t="s">
        <v>4907</v>
      </c>
      <c r="M97" s="15">
        <v>139900</v>
      </c>
      <c r="N97" s="15" t="s">
        <v>2569</v>
      </c>
      <c r="O97" s="14" t="s">
        <v>2586</v>
      </c>
      <c r="P97" s="15" t="s">
        <v>2569</v>
      </c>
    </row>
    <row r="98" spans="1:16" s="16" customFormat="1" x14ac:dyDescent="0.35">
      <c r="A98" s="14" t="s">
        <v>6511</v>
      </c>
      <c r="B98" s="42">
        <f t="shared" si="4"/>
        <v>46086</v>
      </c>
      <c r="C98" s="42">
        <f t="shared" si="5"/>
        <v>46092</v>
      </c>
      <c r="D98" s="14">
        <v>3284</v>
      </c>
      <c r="E98" s="14">
        <v>338</v>
      </c>
      <c r="F98" s="14">
        <v>4</v>
      </c>
      <c r="G98" s="14">
        <v>7</v>
      </c>
      <c r="H98" s="14">
        <v>81676</v>
      </c>
      <c r="I98" s="14" t="s">
        <v>17</v>
      </c>
      <c r="J98" s="14">
        <v>52297960</v>
      </c>
      <c r="K98" s="14" t="s">
        <v>4904</v>
      </c>
      <c r="L98" s="18" t="s">
        <v>4906</v>
      </c>
      <c r="M98" s="15">
        <v>139900</v>
      </c>
      <c r="N98" s="15" t="s">
        <v>2569</v>
      </c>
      <c r="O98" s="14" t="s">
        <v>2586</v>
      </c>
      <c r="P98" s="15" t="s">
        <v>2569</v>
      </c>
    </row>
    <row r="99" spans="1:16" s="33" customFormat="1" x14ac:dyDescent="0.35">
      <c r="A99" s="14" t="s">
        <v>6511</v>
      </c>
      <c r="B99" s="35">
        <f t="shared" ref="B99:B118" si="6">B98</f>
        <v>46086</v>
      </c>
      <c r="C99" s="35">
        <f t="shared" ref="C99:C118" si="7">C98</f>
        <v>46092</v>
      </c>
      <c r="D99" s="34">
        <v>3284</v>
      </c>
      <c r="E99" s="14">
        <v>338</v>
      </c>
      <c r="F99" s="14">
        <v>4</v>
      </c>
      <c r="G99" s="34">
        <v>7</v>
      </c>
      <c r="H99" s="34">
        <v>81676</v>
      </c>
      <c r="I99" s="34" t="s">
        <v>17</v>
      </c>
      <c r="J99" s="34">
        <v>52297979</v>
      </c>
      <c r="K99" s="34" t="s">
        <v>4909</v>
      </c>
      <c r="L99" s="40" t="s">
        <v>4911</v>
      </c>
      <c r="M99" s="36">
        <v>189900</v>
      </c>
      <c r="N99" s="36" t="s">
        <v>2569</v>
      </c>
      <c r="O99" s="14" t="s">
        <v>2586</v>
      </c>
      <c r="P99" s="36" t="s">
        <v>2569</v>
      </c>
    </row>
    <row r="100" spans="1:16" s="33" customFormat="1" x14ac:dyDescent="0.35">
      <c r="A100" s="14" t="s">
        <v>6511</v>
      </c>
      <c r="B100" s="35">
        <f t="shared" si="6"/>
        <v>46086</v>
      </c>
      <c r="C100" s="35">
        <f t="shared" si="7"/>
        <v>46092</v>
      </c>
      <c r="D100" s="34">
        <v>3284</v>
      </c>
      <c r="E100" s="14">
        <v>338</v>
      </c>
      <c r="F100" s="14">
        <v>4</v>
      </c>
      <c r="G100" s="34">
        <v>7</v>
      </c>
      <c r="H100" s="34">
        <v>81676</v>
      </c>
      <c r="I100" s="34" t="s">
        <v>17</v>
      </c>
      <c r="J100" s="34">
        <v>52297988</v>
      </c>
      <c r="K100" s="34" t="s">
        <v>4909</v>
      </c>
      <c r="L100" s="40" t="s">
        <v>4912</v>
      </c>
      <c r="M100" s="36">
        <v>189900</v>
      </c>
      <c r="N100" s="36" t="s">
        <v>2569</v>
      </c>
      <c r="O100" s="14" t="s">
        <v>2586</v>
      </c>
      <c r="P100" s="36" t="s">
        <v>2569</v>
      </c>
    </row>
    <row r="101" spans="1:16" s="33" customFormat="1" x14ac:dyDescent="0.35">
      <c r="A101" s="14" t="s">
        <v>6511</v>
      </c>
      <c r="B101" s="35">
        <f t="shared" si="6"/>
        <v>46086</v>
      </c>
      <c r="C101" s="35">
        <f t="shared" si="7"/>
        <v>46092</v>
      </c>
      <c r="D101" s="34">
        <v>3284</v>
      </c>
      <c r="E101" s="14">
        <v>338</v>
      </c>
      <c r="F101" s="14">
        <v>4</v>
      </c>
      <c r="G101" s="34">
        <v>7</v>
      </c>
      <c r="H101" s="34">
        <v>81676</v>
      </c>
      <c r="I101" s="34" t="s">
        <v>17</v>
      </c>
      <c r="J101" s="34">
        <v>52297997</v>
      </c>
      <c r="K101" s="34" t="s">
        <v>4909</v>
      </c>
      <c r="L101" s="40" t="s">
        <v>4910</v>
      </c>
      <c r="M101" s="36">
        <v>189900</v>
      </c>
      <c r="N101" s="36" t="s">
        <v>2569</v>
      </c>
      <c r="O101" s="14" t="s">
        <v>2586</v>
      </c>
      <c r="P101" s="36" t="s">
        <v>2569</v>
      </c>
    </row>
    <row r="102" spans="1:16" s="33" customFormat="1" x14ac:dyDescent="0.35">
      <c r="A102" s="14" t="s">
        <v>6511</v>
      </c>
      <c r="B102" s="35">
        <f t="shared" si="6"/>
        <v>46086</v>
      </c>
      <c r="C102" s="35">
        <f t="shared" si="7"/>
        <v>46092</v>
      </c>
      <c r="D102" s="34">
        <v>3284</v>
      </c>
      <c r="E102" s="14">
        <v>338</v>
      </c>
      <c r="F102" s="14">
        <v>4</v>
      </c>
      <c r="G102" s="34">
        <v>7</v>
      </c>
      <c r="H102" s="34">
        <v>81676</v>
      </c>
      <c r="I102" s="34" t="s">
        <v>17</v>
      </c>
      <c r="J102" s="34">
        <v>52298003</v>
      </c>
      <c r="K102" s="34" t="s">
        <v>4909</v>
      </c>
      <c r="L102" s="40" t="s">
        <v>4913</v>
      </c>
      <c r="M102" s="36">
        <v>189900</v>
      </c>
      <c r="N102" s="36" t="s">
        <v>2569</v>
      </c>
      <c r="O102" s="14" t="s">
        <v>2586</v>
      </c>
      <c r="P102" s="36" t="s">
        <v>2569</v>
      </c>
    </row>
    <row r="103" spans="1:16" s="33" customFormat="1" x14ac:dyDescent="0.35">
      <c r="A103" s="14" t="s">
        <v>6511</v>
      </c>
      <c r="B103" s="35">
        <f t="shared" si="6"/>
        <v>46086</v>
      </c>
      <c r="C103" s="35">
        <f t="shared" si="7"/>
        <v>46092</v>
      </c>
      <c r="D103" s="34">
        <v>3284</v>
      </c>
      <c r="E103" s="14">
        <v>338</v>
      </c>
      <c r="F103" s="14">
        <v>4</v>
      </c>
      <c r="G103" s="34">
        <v>7</v>
      </c>
      <c r="H103" s="34">
        <v>81676</v>
      </c>
      <c r="I103" s="34" t="s">
        <v>17</v>
      </c>
      <c r="J103" s="34">
        <v>52298012</v>
      </c>
      <c r="K103" s="34" t="s">
        <v>4889</v>
      </c>
      <c r="L103" s="40" t="s">
        <v>4890</v>
      </c>
      <c r="M103" s="36">
        <v>189900</v>
      </c>
      <c r="N103" s="36" t="s">
        <v>2569</v>
      </c>
      <c r="O103" s="14" t="s">
        <v>2586</v>
      </c>
      <c r="P103" s="36" t="s">
        <v>2569</v>
      </c>
    </row>
    <row r="104" spans="1:16" s="33" customFormat="1" x14ac:dyDescent="0.35">
      <c r="A104" s="14" t="s">
        <v>6511</v>
      </c>
      <c r="B104" s="35">
        <f t="shared" si="6"/>
        <v>46086</v>
      </c>
      <c r="C104" s="35">
        <f t="shared" si="7"/>
        <v>46092</v>
      </c>
      <c r="D104" s="34">
        <v>3284</v>
      </c>
      <c r="E104" s="14">
        <v>338</v>
      </c>
      <c r="F104" s="14">
        <v>4</v>
      </c>
      <c r="G104" s="34">
        <v>7</v>
      </c>
      <c r="H104" s="34">
        <v>81676</v>
      </c>
      <c r="I104" s="34" t="s">
        <v>17</v>
      </c>
      <c r="J104" s="34">
        <v>52298021</v>
      </c>
      <c r="K104" s="34" t="s">
        <v>4889</v>
      </c>
      <c r="L104" s="40" t="s">
        <v>4892</v>
      </c>
      <c r="M104" s="36">
        <v>189900</v>
      </c>
      <c r="N104" s="36" t="s">
        <v>2569</v>
      </c>
      <c r="O104" s="14" t="s">
        <v>2586</v>
      </c>
      <c r="P104" s="36" t="s">
        <v>2569</v>
      </c>
    </row>
    <row r="105" spans="1:16" s="33" customFormat="1" x14ac:dyDescent="0.35">
      <c r="A105" s="14" t="s">
        <v>6511</v>
      </c>
      <c r="B105" s="35">
        <f t="shared" si="6"/>
        <v>46086</v>
      </c>
      <c r="C105" s="35">
        <f t="shared" si="7"/>
        <v>46092</v>
      </c>
      <c r="D105" s="34">
        <v>3284</v>
      </c>
      <c r="E105" s="14">
        <v>338</v>
      </c>
      <c r="F105" s="14">
        <v>4</v>
      </c>
      <c r="G105" s="34">
        <v>7</v>
      </c>
      <c r="H105" s="34">
        <v>81676</v>
      </c>
      <c r="I105" s="34" t="s">
        <v>17</v>
      </c>
      <c r="J105" s="34">
        <v>52298030</v>
      </c>
      <c r="K105" s="34" t="s">
        <v>4889</v>
      </c>
      <c r="L105" s="40" t="s">
        <v>4893</v>
      </c>
      <c r="M105" s="36">
        <v>189900</v>
      </c>
      <c r="N105" s="36" t="s">
        <v>2569</v>
      </c>
      <c r="O105" s="14" t="s">
        <v>2586</v>
      </c>
      <c r="P105" s="36" t="s">
        <v>2569</v>
      </c>
    </row>
    <row r="106" spans="1:16" s="33" customFormat="1" x14ac:dyDescent="0.35">
      <c r="A106" s="14" t="s">
        <v>6511</v>
      </c>
      <c r="B106" s="35">
        <f t="shared" si="6"/>
        <v>46086</v>
      </c>
      <c r="C106" s="35">
        <f t="shared" si="7"/>
        <v>46092</v>
      </c>
      <c r="D106" s="34">
        <v>3284</v>
      </c>
      <c r="E106" s="14">
        <v>338</v>
      </c>
      <c r="F106" s="14">
        <v>4</v>
      </c>
      <c r="G106" s="34">
        <v>7</v>
      </c>
      <c r="H106" s="34">
        <v>81676</v>
      </c>
      <c r="I106" s="34" t="s">
        <v>17</v>
      </c>
      <c r="J106" s="34">
        <v>52298049</v>
      </c>
      <c r="K106" s="34" t="s">
        <v>4889</v>
      </c>
      <c r="L106" s="40" t="s">
        <v>4891</v>
      </c>
      <c r="M106" s="36">
        <v>189900</v>
      </c>
      <c r="N106" s="36" t="s">
        <v>2569</v>
      </c>
      <c r="O106" s="14" t="s">
        <v>2586</v>
      </c>
      <c r="P106" s="36" t="s">
        <v>2569</v>
      </c>
    </row>
    <row r="107" spans="1:16" s="33" customFormat="1" x14ac:dyDescent="0.35">
      <c r="A107" s="14" t="s">
        <v>6511</v>
      </c>
      <c r="B107" s="35">
        <f t="shared" si="6"/>
        <v>46086</v>
      </c>
      <c r="C107" s="35">
        <f t="shared" si="7"/>
        <v>46092</v>
      </c>
      <c r="D107" s="34">
        <v>3284</v>
      </c>
      <c r="E107" s="14">
        <v>338</v>
      </c>
      <c r="F107" s="14">
        <v>4</v>
      </c>
      <c r="G107" s="34">
        <v>7</v>
      </c>
      <c r="H107" s="34">
        <v>81676</v>
      </c>
      <c r="I107" s="34" t="s">
        <v>17</v>
      </c>
      <c r="J107" s="34">
        <v>52298058</v>
      </c>
      <c r="K107" s="34" t="s">
        <v>4919</v>
      </c>
      <c r="L107" s="40" t="s">
        <v>4922</v>
      </c>
      <c r="M107" s="36">
        <v>219900</v>
      </c>
      <c r="N107" s="36" t="s">
        <v>2569</v>
      </c>
      <c r="O107" s="14" t="s">
        <v>2586</v>
      </c>
      <c r="P107" s="36" t="s">
        <v>2569</v>
      </c>
    </row>
    <row r="108" spans="1:16" s="33" customFormat="1" x14ac:dyDescent="0.35">
      <c r="A108" s="14" t="s">
        <v>6511</v>
      </c>
      <c r="B108" s="35">
        <f t="shared" si="6"/>
        <v>46086</v>
      </c>
      <c r="C108" s="35">
        <f t="shared" si="7"/>
        <v>46092</v>
      </c>
      <c r="D108" s="34">
        <v>3284</v>
      </c>
      <c r="E108" s="14">
        <v>338</v>
      </c>
      <c r="F108" s="14">
        <v>4</v>
      </c>
      <c r="G108" s="34">
        <v>7</v>
      </c>
      <c r="H108" s="34">
        <v>81676</v>
      </c>
      <c r="I108" s="34" t="s">
        <v>17</v>
      </c>
      <c r="J108" s="34">
        <v>52298067</v>
      </c>
      <c r="K108" s="34" t="s">
        <v>4919</v>
      </c>
      <c r="L108" s="40" t="s">
        <v>4921</v>
      </c>
      <c r="M108" s="36">
        <v>219900</v>
      </c>
      <c r="N108" s="36" t="s">
        <v>2569</v>
      </c>
      <c r="O108" s="14" t="s">
        <v>2586</v>
      </c>
      <c r="P108" s="36" t="s">
        <v>2569</v>
      </c>
    </row>
    <row r="109" spans="1:16" s="33" customFormat="1" x14ac:dyDescent="0.35">
      <c r="A109" s="14" t="s">
        <v>6511</v>
      </c>
      <c r="B109" s="35">
        <f t="shared" si="6"/>
        <v>46086</v>
      </c>
      <c r="C109" s="35">
        <f t="shared" si="7"/>
        <v>46092</v>
      </c>
      <c r="D109" s="34">
        <v>3284</v>
      </c>
      <c r="E109" s="14">
        <v>338</v>
      </c>
      <c r="F109" s="14">
        <v>4</v>
      </c>
      <c r="G109" s="34">
        <v>7</v>
      </c>
      <c r="H109" s="34">
        <v>81676</v>
      </c>
      <c r="I109" s="34" t="s">
        <v>17</v>
      </c>
      <c r="J109" s="34">
        <v>52298076</v>
      </c>
      <c r="K109" s="34" t="s">
        <v>4919</v>
      </c>
      <c r="L109" s="40" t="s">
        <v>4920</v>
      </c>
      <c r="M109" s="36">
        <v>219900</v>
      </c>
      <c r="N109" s="36" t="s">
        <v>2569</v>
      </c>
      <c r="O109" s="14" t="s">
        <v>2586</v>
      </c>
      <c r="P109" s="36" t="s">
        <v>2569</v>
      </c>
    </row>
    <row r="110" spans="1:16" s="33" customFormat="1" x14ac:dyDescent="0.35">
      <c r="A110" s="14" t="s">
        <v>6511</v>
      </c>
      <c r="B110" s="35">
        <f t="shared" si="6"/>
        <v>46086</v>
      </c>
      <c r="C110" s="35">
        <f t="shared" si="7"/>
        <v>46092</v>
      </c>
      <c r="D110" s="34">
        <v>3284</v>
      </c>
      <c r="E110" s="14">
        <v>338</v>
      </c>
      <c r="F110" s="14">
        <v>4</v>
      </c>
      <c r="G110" s="34">
        <v>7</v>
      </c>
      <c r="H110" s="34">
        <v>81676</v>
      </c>
      <c r="I110" s="34" t="s">
        <v>17</v>
      </c>
      <c r="J110" s="34">
        <v>52298085</v>
      </c>
      <c r="K110" s="34" t="s">
        <v>4919</v>
      </c>
      <c r="L110" s="40" t="s">
        <v>4923</v>
      </c>
      <c r="M110" s="36">
        <v>219900</v>
      </c>
      <c r="N110" s="36" t="s">
        <v>2569</v>
      </c>
      <c r="O110" s="14" t="s">
        <v>2586</v>
      </c>
      <c r="P110" s="36" t="s">
        <v>2569</v>
      </c>
    </row>
    <row r="111" spans="1:16" s="33" customFormat="1" x14ac:dyDescent="0.35">
      <c r="A111" s="14" t="s">
        <v>6511</v>
      </c>
      <c r="B111" s="35">
        <f t="shared" si="6"/>
        <v>46086</v>
      </c>
      <c r="C111" s="35">
        <f t="shared" si="7"/>
        <v>46092</v>
      </c>
      <c r="D111" s="34">
        <v>3284</v>
      </c>
      <c r="E111" s="14">
        <v>338</v>
      </c>
      <c r="F111" s="14">
        <v>4</v>
      </c>
      <c r="G111" s="34">
        <v>7</v>
      </c>
      <c r="H111" s="34">
        <v>81676</v>
      </c>
      <c r="I111" s="34" t="s">
        <v>17</v>
      </c>
      <c r="J111" s="34">
        <v>52298094</v>
      </c>
      <c r="K111" s="34" t="s">
        <v>4914</v>
      </c>
      <c r="L111" s="40" t="s">
        <v>4917</v>
      </c>
      <c r="M111" s="36">
        <v>219900</v>
      </c>
      <c r="N111" s="36" t="s">
        <v>2569</v>
      </c>
      <c r="O111" s="14" t="s">
        <v>2586</v>
      </c>
      <c r="P111" s="36" t="s">
        <v>2569</v>
      </c>
    </row>
    <row r="112" spans="1:16" s="33" customFormat="1" x14ac:dyDescent="0.35">
      <c r="A112" s="14" t="s">
        <v>6511</v>
      </c>
      <c r="B112" s="35">
        <f t="shared" si="6"/>
        <v>46086</v>
      </c>
      <c r="C112" s="35">
        <f t="shared" si="7"/>
        <v>46092</v>
      </c>
      <c r="D112" s="34">
        <v>3284</v>
      </c>
      <c r="E112" s="14">
        <v>338</v>
      </c>
      <c r="F112" s="14">
        <v>4</v>
      </c>
      <c r="G112" s="34">
        <v>7</v>
      </c>
      <c r="H112" s="34">
        <v>81676</v>
      </c>
      <c r="I112" s="34" t="s">
        <v>17</v>
      </c>
      <c r="J112" s="34">
        <v>52298101</v>
      </c>
      <c r="K112" s="34" t="s">
        <v>4914</v>
      </c>
      <c r="L112" s="40" t="s">
        <v>4918</v>
      </c>
      <c r="M112" s="36">
        <v>219900</v>
      </c>
      <c r="N112" s="36" t="s">
        <v>2569</v>
      </c>
      <c r="O112" s="14" t="s">
        <v>2586</v>
      </c>
      <c r="P112" s="36" t="s">
        <v>2569</v>
      </c>
    </row>
    <row r="113" spans="1:16" s="33" customFormat="1" x14ac:dyDescent="0.35">
      <c r="A113" s="14" t="s">
        <v>6511</v>
      </c>
      <c r="B113" s="35">
        <f t="shared" si="6"/>
        <v>46086</v>
      </c>
      <c r="C113" s="35">
        <f t="shared" si="7"/>
        <v>46092</v>
      </c>
      <c r="D113" s="34">
        <v>3284</v>
      </c>
      <c r="E113" s="14">
        <v>338</v>
      </c>
      <c r="F113" s="14">
        <v>4</v>
      </c>
      <c r="G113" s="34">
        <v>7</v>
      </c>
      <c r="H113" s="34">
        <v>81676</v>
      </c>
      <c r="I113" s="34" t="s">
        <v>17</v>
      </c>
      <c r="J113" s="34">
        <v>52298110</v>
      </c>
      <c r="K113" s="34" t="s">
        <v>4914</v>
      </c>
      <c r="L113" s="40" t="s">
        <v>4916</v>
      </c>
      <c r="M113" s="36">
        <v>219900</v>
      </c>
      <c r="N113" s="36" t="s">
        <v>2569</v>
      </c>
      <c r="O113" s="14" t="s">
        <v>2586</v>
      </c>
      <c r="P113" s="36" t="s">
        <v>2569</v>
      </c>
    </row>
    <row r="114" spans="1:16" s="33" customFormat="1" x14ac:dyDescent="0.35">
      <c r="A114" s="14" t="s">
        <v>6511</v>
      </c>
      <c r="B114" s="35">
        <f t="shared" si="6"/>
        <v>46086</v>
      </c>
      <c r="C114" s="35">
        <f t="shared" si="7"/>
        <v>46092</v>
      </c>
      <c r="D114" s="34">
        <v>3284</v>
      </c>
      <c r="E114" s="14">
        <v>338</v>
      </c>
      <c r="F114" s="14">
        <v>4</v>
      </c>
      <c r="G114" s="34">
        <v>7</v>
      </c>
      <c r="H114" s="34">
        <v>81676</v>
      </c>
      <c r="I114" s="34" t="s">
        <v>17</v>
      </c>
      <c r="J114" s="34">
        <v>52298129</v>
      </c>
      <c r="K114" s="34" t="s">
        <v>4914</v>
      </c>
      <c r="L114" s="40" t="s">
        <v>4915</v>
      </c>
      <c r="M114" s="36">
        <v>219900</v>
      </c>
      <c r="N114" s="36" t="s">
        <v>2569</v>
      </c>
      <c r="O114" s="14" t="s">
        <v>2586</v>
      </c>
      <c r="P114" s="36" t="s">
        <v>2569</v>
      </c>
    </row>
    <row r="115" spans="1:16" s="33" customFormat="1" x14ac:dyDescent="0.35">
      <c r="A115" s="14" t="s">
        <v>6511</v>
      </c>
      <c r="B115" s="35">
        <f t="shared" si="6"/>
        <v>46086</v>
      </c>
      <c r="C115" s="35">
        <f t="shared" si="7"/>
        <v>46092</v>
      </c>
      <c r="D115" s="34">
        <v>3284</v>
      </c>
      <c r="E115" s="14">
        <v>338</v>
      </c>
      <c r="F115" s="14">
        <v>4</v>
      </c>
      <c r="G115" s="34">
        <v>4</v>
      </c>
      <c r="H115" s="34">
        <v>80920</v>
      </c>
      <c r="I115" s="34" t="s">
        <v>17</v>
      </c>
      <c r="J115" s="34">
        <v>53168599</v>
      </c>
      <c r="K115" s="34" t="s">
        <v>5583</v>
      </c>
      <c r="L115" s="40" t="s">
        <v>5585</v>
      </c>
      <c r="M115" s="36">
        <v>219900</v>
      </c>
      <c r="N115" s="36" t="s">
        <v>2569</v>
      </c>
      <c r="O115" s="14" t="s">
        <v>2586</v>
      </c>
      <c r="P115" s="36" t="s">
        <v>2569</v>
      </c>
    </row>
    <row r="116" spans="1:16" s="33" customFormat="1" x14ac:dyDescent="0.35">
      <c r="A116" s="14" t="s">
        <v>6511</v>
      </c>
      <c r="B116" s="35">
        <f t="shared" si="6"/>
        <v>46086</v>
      </c>
      <c r="C116" s="35">
        <f t="shared" si="7"/>
        <v>46092</v>
      </c>
      <c r="D116" s="34">
        <v>3284</v>
      </c>
      <c r="E116" s="14">
        <v>338</v>
      </c>
      <c r="F116" s="14">
        <v>4</v>
      </c>
      <c r="G116" s="34">
        <v>4</v>
      </c>
      <c r="H116" s="34">
        <v>80920</v>
      </c>
      <c r="I116" s="34" t="s">
        <v>17</v>
      </c>
      <c r="J116" s="34">
        <v>53168606</v>
      </c>
      <c r="K116" s="34" t="s">
        <v>5583</v>
      </c>
      <c r="L116" s="40" t="s">
        <v>5587</v>
      </c>
      <c r="M116" s="36">
        <v>219900</v>
      </c>
      <c r="N116" s="36" t="s">
        <v>2569</v>
      </c>
      <c r="O116" s="14" t="s">
        <v>2586</v>
      </c>
      <c r="P116" s="36" t="s">
        <v>2569</v>
      </c>
    </row>
    <row r="117" spans="1:16" s="33" customFormat="1" x14ac:dyDescent="0.35">
      <c r="A117" s="14" t="s">
        <v>6511</v>
      </c>
      <c r="B117" s="35">
        <f t="shared" si="6"/>
        <v>46086</v>
      </c>
      <c r="C117" s="35">
        <f t="shared" si="7"/>
        <v>46092</v>
      </c>
      <c r="D117" s="34">
        <v>3284</v>
      </c>
      <c r="E117" s="14">
        <v>338</v>
      </c>
      <c r="F117" s="14">
        <v>4</v>
      </c>
      <c r="G117" s="34">
        <v>4</v>
      </c>
      <c r="H117" s="34">
        <v>80920</v>
      </c>
      <c r="I117" s="34" t="s">
        <v>17</v>
      </c>
      <c r="J117" s="34">
        <v>53168615</v>
      </c>
      <c r="K117" s="34" t="s">
        <v>5583</v>
      </c>
      <c r="L117" s="40" t="s">
        <v>5586</v>
      </c>
      <c r="M117" s="36">
        <v>219900</v>
      </c>
      <c r="N117" s="36" t="s">
        <v>2569</v>
      </c>
      <c r="O117" s="14" t="s">
        <v>2586</v>
      </c>
      <c r="P117" s="36" t="s">
        <v>2569</v>
      </c>
    </row>
    <row r="118" spans="1:16" s="33" customFormat="1" x14ac:dyDescent="0.35">
      <c r="A118" s="14" t="s">
        <v>6511</v>
      </c>
      <c r="B118" s="35">
        <f t="shared" si="6"/>
        <v>46086</v>
      </c>
      <c r="C118" s="35">
        <f t="shared" si="7"/>
        <v>46092</v>
      </c>
      <c r="D118" s="34">
        <v>3284</v>
      </c>
      <c r="E118" s="14">
        <v>338</v>
      </c>
      <c r="F118" s="14">
        <v>4</v>
      </c>
      <c r="G118" s="34">
        <v>4</v>
      </c>
      <c r="H118" s="34">
        <v>80920</v>
      </c>
      <c r="I118" s="34" t="s">
        <v>17</v>
      </c>
      <c r="J118" s="34">
        <v>53168624</v>
      </c>
      <c r="K118" s="34" t="s">
        <v>5583</v>
      </c>
      <c r="L118" s="40" t="s">
        <v>5584</v>
      </c>
      <c r="M118" s="36">
        <v>219900</v>
      </c>
      <c r="N118" s="36" t="s">
        <v>2569</v>
      </c>
      <c r="O118" s="14" t="s">
        <v>2586</v>
      </c>
      <c r="P118" s="36" t="s">
        <v>2569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:J1048576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6A7F-E186-4BA0-8B3F-7D0277EAE76A}">
  <dimension ref="A1:P147"/>
  <sheetViews>
    <sheetView zoomScale="82" zoomScaleNormal="100" workbookViewId="0">
      <pane ySplit="1" topLeftCell="A128" activePane="bottomLeft" state="frozen"/>
      <selection activeCell="C13" sqref="C13"/>
      <selection pane="bottomLeft" activeCell="C9" sqref="C9"/>
    </sheetView>
  </sheetViews>
  <sheetFormatPr defaultColWidth="8.6328125" defaultRowHeight="14.5" x14ac:dyDescent="0.35"/>
  <cols>
    <col min="1" max="1" width="35.5429687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80.1796875" style="19" customWidth="1"/>
    <col min="13" max="13" width="17.6328125" style="39" customWidth="1"/>
    <col min="14" max="14" width="9.6328125" style="5" customWidth="1"/>
    <col min="15" max="15" width="18.08984375" style="39" customWidth="1"/>
    <col min="16" max="16" width="15.363281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14" t="s">
        <v>6787</v>
      </c>
      <c r="B2" s="35">
        <f>'2025 HILITE D80 - 3321'!B2</f>
        <v>46086</v>
      </c>
      <c r="C2" s="35">
        <f>'2025 HILITE D80 - 3321'!C2</f>
        <v>46092</v>
      </c>
      <c r="D2" s="34">
        <v>3284</v>
      </c>
      <c r="E2" s="34">
        <v>338</v>
      </c>
      <c r="F2" s="34">
        <v>4</v>
      </c>
      <c r="G2" s="34">
        <v>3</v>
      </c>
      <c r="H2" s="34">
        <v>81146</v>
      </c>
      <c r="I2" s="34" t="s">
        <v>17</v>
      </c>
      <c r="J2" s="34">
        <v>22182292</v>
      </c>
      <c r="K2" s="34" t="s">
        <v>3932</v>
      </c>
      <c r="L2" s="40" t="s">
        <v>3933</v>
      </c>
      <c r="M2" s="36">
        <v>179900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 xml:space="preserve"> 2024 JUL-DEC B1G2 LICENSE BABY</v>
      </c>
      <c r="B3" s="35">
        <f>B2</f>
        <v>46086</v>
      </c>
      <c r="C3" s="35">
        <f>C2</f>
        <v>46092</v>
      </c>
      <c r="D3" s="34">
        <v>3284</v>
      </c>
      <c r="E3" s="34">
        <v>338</v>
      </c>
      <c r="F3" s="34">
        <v>4</v>
      </c>
      <c r="G3" s="34">
        <v>3</v>
      </c>
      <c r="H3" s="34">
        <v>81146</v>
      </c>
      <c r="I3" s="34" t="s">
        <v>17</v>
      </c>
      <c r="J3" s="34">
        <v>22182309</v>
      </c>
      <c r="K3" s="34" t="s">
        <v>3932</v>
      </c>
      <c r="L3" s="40" t="s">
        <v>3934</v>
      </c>
      <c r="M3" s="36">
        <v>179900</v>
      </c>
      <c r="N3" s="37" t="s">
        <v>2569</v>
      </c>
      <c r="O3" s="36" t="str">
        <f>O2</f>
        <v>B1G2</v>
      </c>
      <c r="P3" s="34" t="s">
        <v>2569</v>
      </c>
    </row>
    <row r="4" spans="1:16" x14ac:dyDescent="0.35">
      <c r="A4" s="14" t="str">
        <f t="shared" ref="A4:A67" si="0">A3</f>
        <v xml:space="preserve"> 2024 JUL-DEC B1G2 LICENSE BABY</v>
      </c>
      <c r="B4" s="35">
        <f t="shared" ref="B4:B67" si="1">B3</f>
        <v>46086</v>
      </c>
      <c r="C4" s="35">
        <f t="shared" ref="C4:C67" si="2">C3</f>
        <v>46092</v>
      </c>
      <c r="D4" s="34">
        <v>3284</v>
      </c>
      <c r="E4" s="34">
        <v>338</v>
      </c>
      <c r="F4" s="34">
        <v>4</v>
      </c>
      <c r="G4" s="34">
        <v>3</v>
      </c>
      <c r="H4" s="34">
        <v>81146</v>
      </c>
      <c r="I4" s="34" t="s">
        <v>17</v>
      </c>
      <c r="J4" s="34">
        <v>22182318</v>
      </c>
      <c r="K4" s="34" t="s">
        <v>3932</v>
      </c>
      <c r="L4" s="40" t="s">
        <v>3935</v>
      </c>
      <c r="M4" s="36">
        <v>179900</v>
      </c>
      <c r="N4" s="37" t="s">
        <v>2569</v>
      </c>
      <c r="O4" s="36" t="str">
        <f t="shared" ref="O4:O67" si="3">O3</f>
        <v>B1G2</v>
      </c>
      <c r="P4" s="34" t="s">
        <v>2569</v>
      </c>
    </row>
    <row r="5" spans="1:16" x14ac:dyDescent="0.35">
      <c r="A5" s="14" t="str">
        <f t="shared" si="0"/>
        <v xml:space="preserve"> 2024 JUL-DEC B1G2 LICENSE BABY</v>
      </c>
      <c r="B5" s="35">
        <f t="shared" si="1"/>
        <v>46086</v>
      </c>
      <c r="C5" s="35">
        <f t="shared" si="2"/>
        <v>46092</v>
      </c>
      <c r="D5" s="34">
        <v>3284</v>
      </c>
      <c r="E5" s="34">
        <v>338</v>
      </c>
      <c r="F5" s="34">
        <v>4</v>
      </c>
      <c r="G5" s="34">
        <v>3</v>
      </c>
      <c r="H5" s="34">
        <v>81146</v>
      </c>
      <c r="I5" s="34" t="s">
        <v>17</v>
      </c>
      <c r="J5" s="34">
        <v>22182514</v>
      </c>
      <c r="K5" s="34" t="s">
        <v>3932</v>
      </c>
      <c r="L5" s="40" t="s">
        <v>3936</v>
      </c>
      <c r="M5" s="36">
        <v>179900</v>
      </c>
      <c r="N5" s="37" t="s">
        <v>2569</v>
      </c>
      <c r="O5" s="36" t="str">
        <f t="shared" si="3"/>
        <v>B1G2</v>
      </c>
      <c r="P5" s="34" t="s">
        <v>2569</v>
      </c>
    </row>
    <row r="6" spans="1:16" x14ac:dyDescent="0.35">
      <c r="A6" s="14" t="str">
        <f t="shared" si="0"/>
        <v xml:space="preserve"> 2024 JUL-DEC B1G2 LICENSE BABY</v>
      </c>
      <c r="B6" s="35">
        <f t="shared" si="1"/>
        <v>46086</v>
      </c>
      <c r="C6" s="35">
        <f t="shared" si="2"/>
        <v>46092</v>
      </c>
      <c r="D6" s="34">
        <v>3284</v>
      </c>
      <c r="E6" s="34">
        <v>338</v>
      </c>
      <c r="F6" s="34">
        <v>4</v>
      </c>
      <c r="G6" s="34">
        <v>3</v>
      </c>
      <c r="H6" s="34">
        <v>81421</v>
      </c>
      <c r="I6" s="34" t="s">
        <v>17</v>
      </c>
      <c r="J6" s="34">
        <v>20728527</v>
      </c>
      <c r="K6" s="34" t="s">
        <v>3646</v>
      </c>
      <c r="L6" s="40" t="s">
        <v>3647</v>
      </c>
      <c r="M6" s="36">
        <v>189900</v>
      </c>
      <c r="N6" s="37" t="s">
        <v>2569</v>
      </c>
      <c r="O6" s="36" t="str">
        <f t="shared" si="3"/>
        <v>B1G2</v>
      </c>
      <c r="P6" s="34" t="s">
        <v>2569</v>
      </c>
    </row>
    <row r="7" spans="1:16" x14ac:dyDescent="0.35">
      <c r="A7" s="14" t="str">
        <f t="shared" si="0"/>
        <v xml:space="preserve"> 2024 JUL-DEC B1G2 LICENSE BABY</v>
      </c>
      <c r="B7" s="35">
        <f t="shared" si="1"/>
        <v>46086</v>
      </c>
      <c r="C7" s="35">
        <f t="shared" si="2"/>
        <v>46092</v>
      </c>
      <c r="D7" s="34">
        <v>3284</v>
      </c>
      <c r="E7" s="34">
        <v>338</v>
      </c>
      <c r="F7" s="34">
        <v>4</v>
      </c>
      <c r="G7" s="34">
        <v>3</v>
      </c>
      <c r="H7" s="34">
        <v>81421</v>
      </c>
      <c r="I7" s="34" t="s">
        <v>17</v>
      </c>
      <c r="J7" s="34">
        <v>20728536</v>
      </c>
      <c r="K7" s="34" t="s">
        <v>3646</v>
      </c>
      <c r="L7" s="40" t="s">
        <v>3648</v>
      </c>
      <c r="M7" s="36">
        <v>189900</v>
      </c>
      <c r="N7" s="37" t="s">
        <v>2569</v>
      </c>
      <c r="O7" s="36" t="str">
        <f t="shared" si="3"/>
        <v>B1G2</v>
      </c>
      <c r="P7" s="34" t="s">
        <v>2569</v>
      </c>
    </row>
    <row r="8" spans="1:16" x14ac:dyDescent="0.35">
      <c r="A8" s="14" t="str">
        <f t="shared" si="0"/>
        <v xml:space="preserve"> 2024 JUL-DEC B1G2 LICENSE BABY</v>
      </c>
      <c r="B8" s="35">
        <f t="shared" si="1"/>
        <v>46086</v>
      </c>
      <c r="C8" s="35">
        <f t="shared" si="2"/>
        <v>46092</v>
      </c>
      <c r="D8" s="34">
        <v>3284</v>
      </c>
      <c r="E8" s="34">
        <v>338</v>
      </c>
      <c r="F8" s="34">
        <v>4</v>
      </c>
      <c r="G8" s="34">
        <v>3</v>
      </c>
      <c r="H8" s="34">
        <v>81421</v>
      </c>
      <c r="I8" s="34" t="s">
        <v>17</v>
      </c>
      <c r="J8" s="34">
        <v>20728545</v>
      </c>
      <c r="K8" s="34" t="s">
        <v>3646</v>
      </c>
      <c r="L8" s="40" t="s">
        <v>3649</v>
      </c>
      <c r="M8" s="36">
        <v>189900</v>
      </c>
      <c r="N8" s="37" t="s">
        <v>2569</v>
      </c>
      <c r="O8" s="36" t="str">
        <f t="shared" si="3"/>
        <v>B1G2</v>
      </c>
      <c r="P8" s="34" t="s">
        <v>2569</v>
      </c>
    </row>
    <row r="9" spans="1:16" x14ac:dyDescent="0.35">
      <c r="A9" s="14" t="str">
        <f t="shared" si="0"/>
        <v xml:space="preserve"> 2024 JUL-DEC B1G2 LICENSE BABY</v>
      </c>
      <c r="B9" s="35">
        <f t="shared" si="1"/>
        <v>46086</v>
      </c>
      <c r="C9" s="35">
        <f t="shared" si="2"/>
        <v>46092</v>
      </c>
      <c r="D9" s="34">
        <v>3284</v>
      </c>
      <c r="E9" s="34">
        <v>338</v>
      </c>
      <c r="F9" s="34">
        <v>4</v>
      </c>
      <c r="G9" s="34">
        <v>3</v>
      </c>
      <c r="H9" s="34">
        <v>81421</v>
      </c>
      <c r="I9" s="34" t="s">
        <v>17</v>
      </c>
      <c r="J9" s="34">
        <v>20728554</v>
      </c>
      <c r="K9" s="34" t="s">
        <v>3646</v>
      </c>
      <c r="L9" s="40" t="s">
        <v>3650</v>
      </c>
      <c r="M9" s="36">
        <v>189900</v>
      </c>
      <c r="N9" s="37" t="s">
        <v>2569</v>
      </c>
      <c r="O9" s="36" t="str">
        <f t="shared" si="3"/>
        <v>B1G2</v>
      </c>
      <c r="P9" s="34" t="s">
        <v>2569</v>
      </c>
    </row>
    <row r="10" spans="1:16" x14ac:dyDescent="0.35">
      <c r="A10" s="14" t="str">
        <f t="shared" si="0"/>
        <v xml:space="preserve"> 2024 JUL-DEC B1G2 LICENSE BABY</v>
      </c>
      <c r="B10" s="35">
        <f t="shared" si="1"/>
        <v>46086</v>
      </c>
      <c r="C10" s="35">
        <f t="shared" si="2"/>
        <v>46092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34">
        <v>19447664</v>
      </c>
      <c r="K10" s="34" t="s">
        <v>3656</v>
      </c>
      <c r="L10" s="40" t="s">
        <v>3657</v>
      </c>
      <c r="M10" s="36">
        <v>199900</v>
      </c>
      <c r="N10" s="37" t="s">
        <v>2569</v>
      </c>
      <c r="O10" s="36" t="str">
        <f t="shared" si="3"/>
        <v>B1G2</v>
      </c>
      <c r="P10" s="34" t="s">
        <v>2569</v>
      </c>
    </row>
    <row r="11" spans="1:16" x14ac:dyDescent="0.35">
      <c r="A11" s="14" t="str">
        <f t="shared" si="0"/>
        <v xml:space="preserve"> 2024 JUL-DEC B1G2 LICENSE BABY</v>
      </c>
      <c r="B11" s="35">
        <f t="shared" si="1"/>
        <v>46086</v>
      </c>
      <c r="C11" s="35">
        <f t="shared" si="2"/>
        <v>46092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34">
        <v>19447682</v>
      </c>
      <c r="K11" s="34" t="s">
        <v>3656</v>
      </c>
      <c r="L11" s="40" t="s">
        <v>3658</v>
      </c>
      <c r="M11" s="36">
        <v>199900</v>
      </c>
      <c r="N11" s="37" t="s">
        <v>2569</v>
      </c>
      <c r="O11" s="36" t="str">
        <f t="shared" si="3"/>
        <v>B1G2</v>
      </c>
      <c r="P11" s="34" t="s">
        <v>2569</v>
      </c>
    </row>
    <row r="12" spans="1:16" x14ac:dyDescent="0.35">
      <c r="A12" s="14" t="str">
        <f t="shared" si="0"/>
        <v xml:space="preserve"> 2024 JUL-DEC B1G2 LICENSE BABY</v>
      </c>
      <c r="B12" s="35">
        <f t="shared" si="1"/>
        <v>46086</v>
      </c>
      <c r="C12" s="35">
        <f t="shared" si="2"/>
        <v>46092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34">
        <v>19447691</v>
      </c>
      <c r="K12" s="34" t="s">
        <v>3656</v>
      </c>
      <c r="L12" s="40" t="s">
        <v>3659</v>
      </c>
      <c r="M12" s="36">
        <v>199900</v>
      </c>
      <c r="N12" s="37" t="s">
        <v>2569</v>
      </c>
      <c r="O12" s="36" t="str">
        <f t="shared" si="3"/>
        <v>B1G2</v>
      </c>
      <c r="P12" s="34" t="s">
        <v>2569</v>
      </c>
    </row>
    <row r="13" spans="1:16" x14ac:dyDescent="0.35">
      <c r="A13" s="14" t="str">
        <f t="shared" si="0"/>
        <v xml:space="preserve"> 2024 JUL-DEC B1G2 LICENSE BABY</v>
      </c>
      <c r="B13" s="35">
        <f t="shared" si="1"/>
        <v>46086</v>
      </c>
      <c r="C13" s="35">
        <f t="shared" si="2"/>
        <v>46092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34">
        <v>19447708</v>
      </c>
      <c r="K13" s="34" t="s">
        <v>3656</v>
      </c>
      <c r="L13" s="40" t="s">
        <v>3660</v>
      </c>
      <c r="M13" s="36">
        <v>199900</v>
      </c>
      <c r="N13" s="37" t="s">
        <v>2569</v>
      </c>
      <c r="O13" s="36" t="str">
        <f t="shared" si="3"/>
        <v>B1G2</v>
      </c>
      <c r="P13" s="34" t="s">
        <v>2569</v>
      </c>
    </row>
    <row r="14" spans="1:16" x14ac:dyDescent="0.35">
      <c r="A14" s="14" t="str">
        <f t="shared" si="0"/>
        <v xml:space="preserve"> 2024 JUL-DEC B1G2 LICENSE BABY</v>
      </c>
      <c r="B14" s="35">
        <f t="shared" si="1"/>
        <v>46086</v>
      </c>
      <c r="C14" s="35">
        <f t="shared" si="2"/>
        <v>46092</v>
      </c>
      <c r="D14" s="34">
        <v>3284</v>
      </c>
      <c r="E14" s="34">
        <v>338</v>
      </c>
      <c r="F14" s="34">
        <v>4</v>
      </c>
      <c r="G14" s="34">
        <v>3</v>
      </c>
      <c r="H14" s="34">
        <v>80920</v>
      </c>
      <c r="I14" s="34" t="s">
        <v>17</v>
      </c>
      <c r="J14" s="34">
        <v>23045214</v>
      </c>
      <c r="K14" s="34" t="s">
        <v>3937</v>
      </c>
      <c r="L14" s="40" t="s">
        <v>3938</v>
      </c>
      <c r="M14" s="36">
        <v>199900</v>
      </c>
      <c r="N14" s="37" t="s">
        <v>2569</v>
      </c>
      <c r="O14" s="36" t="str">
        <f t="shared" si="3"/>
        <v>B1G2</v>
      </c>
      <c r="P14" s="34" t="s">
        <v>2569</v>
      </c>
    </row>
    <row r="15" spans="1:16" x14ac:dyDescent="0.35">
      <c r="A15" s="14" t="str">
        <f t="shared" si="0"/>
        <v xml:space="preserve"> 2024 JUL-DEC B1G2 LICENSE BABY</v>
      </c>
      <c r="B15" s="35">
        <f t="shared" si="1"/>
        <v>46086</v>
      </c>
      <c r="C15" s="35">
        <f t="shared" si="2"/>
        <v>46092</v>
      </c>
      <c r="D15" s="34">
        <v>3284</v>
      </c>
      <c r="E15" s="34">
        <v>338</v>
      </c>
      <c r="F15" s="34">
        <v>4</v>
      </c>
      <c r="G15" s="34">
        <v>3</v>
      </c>
      <c r="H15" s="34">
        <v>80920</v>
      </c>
      <c r="I15" s="34" t="s">
        <v>17</v>
      </c>
      <c r="J15" s="34">
        <v>23045223</v>
      </c>
      <c r="K15" s="34" t="s">
        <v>3937</v>
      </c>
      <c r="L15" s="40" t="s">
        <v>3939</v>
      </c>
      <c r="M15" s="36">
        <v>199900</v>
      </c>
      <c r="N15" s="37" t="s">
        <v>2569</v>
      </c>
      <c r="O15" s="36" t="str">
        <f t="shared" si="3"/>
        <v>B1G2</v>
      </c>
      <c r="P15" s="34" t="s">
        <v>2569</v>
      </c>
    </row>
    <row r="16" spans="1:16" x14ac:dyDescent="0.35">
      <c r="A16" s="14" t="str">
        <f t="shared" si="0"/>
        <v xml:space="preserve"> 2024 JUL-DEC B1G2 LICENSE BABY</v>
      </c>
      <c r="B16" s="35">
        <f t="shared" si="1"/>
        <v>46086</v>
      </c>
      <c r="C16" s="35">
        <f t="shared" si="2"/>
        <v>46092</v>
      </c>
      <c r="D16" s="34">
        <v>3284</v>
      </c>
      <c r="E16" s="34">
        <v>338</v>
      </c>
      <c r="F16" s="34">
        <v>4</v>
      </c>
      <c r="G16" s="34">
        <v>3</v>
      </c>
      <c r="H16" s="34">
        <v>80920</v>
      </c>
      <c r="I16" s="34" t="s">
        <v>17</v>
      </c>
      <c r="J16" s="34">
        <v>23045232</v>
      </c>
      <c r="K16" s="34" t="s">
        <v>3937</v>
      </c>
      <c r="L16" s="40" t="s">
        <v>3940</v>
      </c>
      <c r="M16" s="36">
        <v>199900</v>
      </c>
      <c r="N16" s="37" t="s">
        <v>2569</v>
      </c>
      <c r="O16" s="36" t="str">
        <f t="shared" si="3"/>
        <v>B1G2</v>
      </c>
      <c r="P16" s="34" t="s">
        <v>2569</v>
      </c>
    </row>
    <row r="17" spans="1:16" x14ac:dyDescent="0.35">
      <c r="A17" s="14" t="str">
        <f t="shared" si="0"/>
        <v xml:space="preserve"> 2024 JUL-DEC B1G2 LICENSE BABY</v>
      </c>
      <c r="B17" s="35">
        <f t="shared" si="1"/>
        <v>46086</v>
      </c>
      <c r="C17" s="35">
        <f t="shared" si="2"/>
        <v>46092</v>
      </c>
      <c r="D17" s="34">
        <v>3284</v>
      </c>
      <c r="E17" s="34">
        <v>338</v>
      </c>
      <c r="F17" s="34">
        <v>4</v>
      </c>
      <c r="G17" s="34">
        <v>3</v>
      </c>
      <c r="H17" s="34">
        <v>80920</v>
      </c>
      <c r="I17" s="34" t="s">
        <v>17</v>
      </c>
      <c r="J17" s="34">
        <v>23045241</v>
      </c>
      <c r="K17" s="34" t="s">
        <v>3937</v>
      </c>
      <c r="L17" s="40" t="s">
        <v>3941</v>
      </c>
      <c r="M17" s="36">
        <v>199900</v>
      </c>
      <c r="N17" s="37" t="s">
        <v>2569</v>
      </c>
      <c r="O17" s="36" t="str">
        <f t="shared" si="3"/>
        <v>B1G2</v>
      </c>
      <c r="P17" s="34" t="s">
        <v>2569</v>
      </c>
    </row>
    <row r="18" spans="1:16" x14ac:dyDescent="0.35">
      <c r="A18" s="14" t="str">
        <f t="shared" si="0"/>
        <v xml:space="preserve"> 2024 JUL-DEC B1G2 LICENSE BABY</v>
      </c>
      <c r="B18" s="35">
        <f t="shared" si="1"/>
        <v>46086</v>
      </c>
      <c r="C18" s="35">
        <f t="shared" si="2"/>
        <v>46092</v>
      </c>
      <c r="D18" s="34">
        <v>3284</v>
      </c>
      <c r="E18" s="34">
        <v>338</v>
      </c>
      <c r="F18" s="34">
        <v>4</v>
      </c>
      <c r="G18" s="34">
        <v>5</v>
      </c>
      <c r="H18" s="34">
        <v>81146</v>
      </c>
      <c r="I18" s="34" t="s">
        <v>17</v>
      </c>
      <c r="J18" s="34">
        <v>22182765</v>
      </c>
      <c r="K18" s="34" t="s">
        <v>3877</v>
      </c>
      <c r="L18" s="40" t="s">
        <v>3878</v>
      </c>
      <c r="M18" s="36">
        <v>219900</v>
      </c>
      <c r="N18" s="37" t="s">
        <v>2569</v>
      </c>
      <c r="O18" s="36" t="str">
        <f t="shared" si="3"/>
        <v>B1G2</v>
      </c>
      <c r="P18" s="34" t="s">
        <v>2569</v>
      </c>
    </row>
    <row r="19" spans="1:16" x14ac:dyDescent="0.35">
      <c r="A19" s="14" t="str">
        <f t="shared" si="0"/>
        <v xml:space="preserve"> 2024 JUL-DEC B1G2 LICENSE BABY</v>
      </c>
      <c r="B19" s="35">
        <f t="shared" si="1"/>
        <v>46086</v>
      </c>
      <c r="C19" s="35">
        <f t="shared" si="2"/>
        <v>46092</v>
      </c>
      <c r="D19" s="34">
        <v>3284</v>
      </c>
      <c r="E19" s="34">
        <v>338</v>
      </c>
      <c r="F19" s="34">
        <v>4</v>
      </c>
      <c r="G19" s="34">
        <v>5</v>
      </c>
      <c r="H19" s="34">
        <v>81146</v>
      </c>
      <c r="I19" s="34" t="s">
        <v>17</v>
      </c>
      <c r="J19" s="34">
        <v>22182774</v>
      </c>
      <c r="K19" s="34" t="s">
        <v>3877</v>
      </c>
      <c r="L19" s="40" t="s">
        <v>3879</v>
      </c>
      <c r="M19" s="36">
        <v>219900</v>
      </c>
      <c r="N19" s="37" t="s">
        <v>2569</v>
      </c>
      <c r="O19" s="36" t="str">
        <f t="shared" si="3"/>
        <v>B1G2</v>
      </c>
      <c r="P19" s="34" t="s">
        <v>2569</v>
      </c>
    </row>
    <row r="20" spans="1:16" x14ac:dyDescent="0.35">
      <c r="A20" s="14" t="str">
        <f t="shared" si="0"/>
        <v xml:space="preserve"> 2024 JUL-DEC B1G2 LICENSE BABY</v>
      </c>
      <c r="B20" s="35">
        <f t="shared" si="1"/>
        <v>46086</v>
      </c>
      <c r="C20" s="35">
        <f t="shared" si="2"/>
        <v>46092</v>
      </c>
      <c r="D20" s="34">
        <v>3284</v>
      </c>
      <c r="E20" s="34">
        <v>338</v>
      </c>
      <c r="F20" s="34">
        <v>4</v>
      </c>
      <c r="G20" s="34">
        <v>5</v>
      </c>
      <c r="H20" s="34">
        <v>81146</v>
      </c>
      <c r="I20" s="34" t="s">
        <v>17</v>
      </c>
      <c r="J20" s="34">
        <v>22182783</v>
      </c>
      <c r="K20" s="34" t="s">
        <v>3877</v>
      </c>
      <c r="L20" s="40" t="s">
        <v>3880</v>
      </c>
      <c r="M20" s="36">
        <v>219900</v>
      </c>
      <c r="N20" s="37" t="s">
        <v>2569</v>
      </c>
      <c r="O20" s="36" t="str">
        <f t="shared" si="3"/>
        <v>B1G2</v>
      </c>
      <c r="P20" s="34" t="s">
        <v>2569</v>
      </c>
    </row>
    <row r="21" spans="1:16" x14ac:dyDescent="0.35">
      <c r="A21" s="14" t="str">
        <f t="shared" si="0"/>
        <v xml:space="preserve"> 2024 JUL-DEC B1G2 LICENSE BABY</v>
      </c>
      <c r="B21" s="35">
        <f t="shared" si="1"/>
        <v>46086</v>
      </c>
      <c r="C21" s="35">
        <f t="shared" si="2"/>
        <v>46092</v>
      </c>
      <c r="D21" s="34">
        <v>3284</v>
      </c>
      <c r="E21" s="34">
        <v>338</v>
      </c>
      <c r="F21" s="34">
        <v>4</v>
      </c>
      <c r="G21" s="34">
        <v>5</v>
      </c>
      <c r="H21" s="34">
        <v>81146</v>
      </c>
      <c r="I21" s="34" t="s">
        <v>17</v>
      </c>
      <c r="J21" s="34">
        <v>22182792</v>
      </c>
      <c r="K21" s="34" t="s">
        <v>3877</v>
      </c>
      <c r="L21" s="40" t="s">
        <v>3881</v>
      </c>
      <c r="M21" s="36">
        <v>219900</v>
      </c>
      <c r="N21" s="37" t="s">
        <v>2569</v>
      </c>
      <c r="O21" s="36" t="str">
        <f t="shared" si="3"/>
        <v>B1G2</v>
      </c>
      <c r="P21" s="34" t="s">
        <v>2569</v>
      </c>
    </row>
    <row r="22" spans="1:16" x14ac:dyDescent="0.35">
      <c r="A22" s="14" t="str">
        <f t="shared" si="0"/>
        <v xml:space="preserve"> 2024 JUL-DEC B1G2 LICENSE BABY</v>
      </c>
      <c r="B22" s="35">
        <f t="shared" si="1"/>
        <v>46086</v>
      </c>
      <c r="C22" s="35">
        <f t="shared" si="2"/>
        <v>46092</v>
      </c>
      <c r="D22" s="34">
        <v>3284</v>
      </c>
      <c r="E22" s="34">
        <v>338</v>
      </c>
      <c r="F22" s="34">
        <v>4</v>
      </c>
      <c r="G22" s="34">
        <v>5</v>
      </c>
      <c r="H22" s="34">
        <v>81421</v>
      </c>
      <c r="I22" s="34" t="s">
        <v>17</v>
      </c>
      <c r="J22" s="34">
        <v>18550026</v>
      </c>
      <c r="K22" s="34" t="s">
        <v>3681</v>
      </c>
      <c r="L22" s="40" t="s">
        <v>3682</v>
      </c>
      <c r="M22" s="36">
        <v>219900</v>
      </c>
      <c r="N22" s="37" t="s">
        <v>2569</v>
      </c>
      <c r="O22" s="36" t="str">
        <f t="shared" si="3"/>
        <v>B1G2</v>
      </c>
      <c r="P22" s="34" t="s">
        <v>2569</v>
      </c>
    </row>
    <row r="23" spans="1:16" x14ac:dyDescent="0.35">
      <c r="A23" s="14" t="str">
        <f t="shared" si="0"/>
        <v xml:space="preserve"> 2024 JUL-DEC B1G2 LICENSE BABY</v>
      </c>
      <c r="B23" s="35">
        <f t="shared" si="1"/>
        <v>46086</v>
      </c>
      <c r="C23" s="35">
        <f t="shared" si="2"/>
        <v>46092</v>
      </c>
      <c r="D23" s="34">
        <v>3284</v>
      </c>
      <c r="E23" s="34">
        <v>338</v>
      </c>
      <c r="F23" s="34">
        <v>4</v>
      </c>
      <c r="G23" s="34">
        <v>5</v>
      </c>
      <c r="H23" s="34">
        <v>81421</v>
      </c>
      <c r="I23" s="34" t="s">
        <v>17</v>
      </c>
      <c r="J23" s="34">
        <v>18550035</v>
      </c>
      <c r="K23" s="34" t="s">
        <v>3681</v>
      </c>
      <c r="L23" s="40" t="s">
        <v>3683</v>
      </c>
      <c r="M23" s="36">
        <v>219900</v>
      </c>
      <c r="N23" s="37" t="s">
        <v>2569</v>
      </c>
      <c r="O23" s="36" t="str">
        <f t="shared" si="3"/>
        <v>B1G2</v>
      </c>
      <c r="P23" s="34" t="s">
        <v>2569</v>
      </c>
    </row>
    <row r="24" spans="1:16" x14ac:dyDescent="0.35">
      <c r="A24" s="14" t="str">
        <f t="shared" si="0"/>
        <v xml:space="preserve"> 2024 JUL-DEC B1G2 LICENSE BABY</v>
      </c>
      <c r="B24" s="35">
        <f t="shared" si="1"/>
        <v>46086</v>
      </c>
      <c r="C24" s="35">
        <f t="shared" si="2"/>
        <v>46092</v>
      </c>
      <c r="D24" s="34">
        <v>3284</v>
      </c>
      <c r="E24" s="34">
        <v>338</v>
      </c>
      <c r="F24" s="34">
        <v>4</v>
      </c>
      <c r="G24" s="34">
        <v>5</v>
      </c>
      <c r="H24" s="34">
        <v>81421</v>
      </c>
      <c r="I24" s="34" t="s">
        <v>17</v>
      </c>
      <c r="J24" s="34">
        <v>18550044</v>
      </c>
      <c r="K24" s="34" t="s">
        <v>3681</v>
      </c>
      <c r="L24" s="40" t="s">
        <v>3684</v>
      </c>
      <c r="M24" s="36">
        <v>219900</v>
      </c>
      <c r="N24" s="37" t="s">
        <v>2569</v>
      </c>
      <c r="O24" s="36" t="str">
        <f t="shared" si="3"/>
        <v>B1G2</v>
      </c>
      <c r="P24" s="34" t="s">
        <v>2569</v>
      </c>
    </row>
    <row r="25" spans="1:16" x14ac:dyDescent="0.35">
      <c r="A25" s="14" t="str">
        <f t="shared" si="0"/>
        <v xml:space="preserve"> 2024 JUL-DEC B1G2 LICENSE BABY</v>
      </c>
      <c r="B25" s="35">
        <f t="shared" si="1"/>
        <v>46086</v>
      </c>
      <c r="C25" s="35">
        <f t="shared" si="2"/>
        <v>46092</v>
      </c>
      <c r="D25" s="34">
        <v>3284</v>
      </c>
      <c r="E25" s="34">
        <v>338</v>
      </c>
      <c r="F25" s="34">
        <v>4</v>
      </c>
      <c r="G25" s="34">
        <v>5</v>
      </c>
      <c r="H25" s="34">
        <v>81421</v>
      </c>
      <c r="I25" s="34" t="s">
        <v>17</v>
      </c>
      <c r="J25" s="34">
        <v>18550062</v>
      </c>
      <c r="K25" s="34" t="s">
        <v>3681</v>
      </c>
      <c r="L25" s="40" t="s">
        <v>3685</v>
      </c>
      <c r="M25" s="36">
        <v>219900</v>
      </c>
      <c r="N25" s="37" t="s">
        <v>2569</v>
      </c>
      <c r="O25" s="36" t="str">
        <f t="shared" si="3"/>
        <v>B1G2</v>
      </c>
      <c r="P25" s="34" t="s">
        <v>2569</v>
      </c>
    </row>
    <row r="26" spans="1:16" x14ac:dyDescent="0.35">
      <c r="A26" s="14" t="str">
        <f t="shared" si="0"/>
        <v xml:space="preserve"> 2024 JUL-DEC B1G2 LICENSE BABY</v>
      </c>
      <c r="B26" s="35">
        <f t="shared" si="1"/>
        <v>46086</v>
      </c>
      <c r="C26" s="35">
        <f t="shared" si="2"/>
        <v>46092</v>
      </c>
      <c r="D26" s="34">
        <v>3284</v>
      </c>
      <c r="E26" s="34">
        <v>338</v>
      </c>
      <c r="F26" s="34">
        <v>4</v>
      </c>
      <c r="G26" s="34">
        <v>5</v>
      </c>
      <c r="H26" s="34">
        <v>81506</v>
      </c>
      <c r="I26" s="34" t="s">
        <v>17</v>
      </c>
      <c r="J26" s="34">
        <v>22182649</v>
      </c>
      <c r="K26" s="34" t="s">
        <v>3872</v>
      </c>
      <c r="L26" s="40" t="s">
        <v>3873</v>
      </c>
      <c r="M26" s="36">
        <v>239900</v>
      </c>
      <c r="N26" s="37" t="s">
        <v>2569</v>
      </c>
      <c r="O26" s="36" t="str">
        <f t="shared" si="3"/>
        <v>B1G2</v>
      </c>
      <c r="P26" s="34" t="s">
        <v>2569</v>
      </c>
    </row>
    <row r="27" spans="1:16" x14ac:dyDescent="0.35">
      <c r="A27" s="14" t="str">
        <f t="shared" si="0"/>
        <v xml:space="preserve"> 2024 JUL-DEC B1G2 LICENSE BABY</v>
      </c>
      <c r="B27" s="35">
        <f t="shared" si="1"/>
        <v>46086</v>
      </c>
      <c r="C27" s="35">
        <f t="shared" si="2"/>
        <v>46092</v>
      </c>
      <c r="D27" s="34">
        <v>3284</v>
      </c>
      <c r="E27" s="34">
        <v>338</v>
      </c>
      <c r="F27" s="34">
        <v>4</v>
      </c>
      <c r="G27" s="34">
        <v>5</v>
      </c>
      <c r="H27" s="34">
        <v>81506</v>
      </c>
      <c r="I27" s="34" t="s">
        <v>17</v>
      </c>
      <c r="J27" s="34">
        <v>22182658</v>
      </c>
      <c r="K27" s="34" t="s">
        <v>3872</v>
      </c>
      <c r="L27" s="40" t="s">
        <v>3874</v>
      </c>
      <c r="M27" s="36">
        <v>239900</v>
      </c>
      <c r="N27" s="37" t="s">
        <v>2569</v>
      </c>
      <c r="O27" s="36" t="str">
        <f t="shared" si="3"/>
        <v>B1G2</v>
      </c>
      <c r="P27" s="34" t="s">
        <v>2569</v>
      </c>
    </row>
    <row r="28" spans="1:16" x14ac:dyDescent="0.35">
      <c r="A28" s="14" t="str">
        <f t="shared" si="0"/>
        <v xml:space="preserve"> 2024 JUL-DEC B1G2 LICENSE BABY</v>
      </c>
      <c r="B28" s="35">
        <f t="shared" si="1"/>
        <v>46086</v>
      </c>
      <c r="C28" s="35">
        <f t="shared" si="2"/>
        <v>46092</v>
      </c>
      <c r="D28" s="34">
        <v>3284</v>
      </c>
      <c r="E28" s="34">
        <v>338</v>
      </c>
      <c r="F28" s="34">
        <v>4</v>
      </c>
      <c r="G28" s="34">
        <v>5</v>
      </c>
      <c r="H28" s="34">
        <v>81506</v>
      </c>
      <c r="I28" s="34" t="s">
        <v>17</v>
      </c>
      <c r="J28" s="34">
        <v>22182667</v>
      </c>
      <c r="K28" s="34" t="s">
        <v>3872</v>
      </c>
      <c r="L28" s="40" t="s">
        <v>3876</v>
      </c>
      <c r="M28" s="36">
        <v>239900</v>
      </c>
      <c r="N28" s="37" t="s">
        <v>2569</v>
      </c>
      <c r="O28" s="36" t="str">
        <f t="shared" si="3"/>
        <v>B1G2</v>
      </c>
      <c r="P28" s="34" t="s">
        <v>2569</v>
      </c>
    </row>
    <row r="29" spans="1:16" x14ac:dyDescent="0.35">
      <c r="A29" s="14" t="str">
        <f t="shared" si="0"/>
        <v xml:space="preserve"> 2024 JUL-DEC B1G2 LICENSE BABY</v>
      </c>
      <c r="B29" s="35">
        <f t="shared" si="1"/>
        <v>46086</v>
      </c>
      <c r="C29" s="35">
        <f t="shared" si="2"/>
        <v>46092</v>
      </c>
      <c r="D29" s="34">
        <v>3284</v>
      </c>
      <c r="E29" s="34">
        <v>338</v>
      </c>
      <c r="F29" s="34">
        <v>4</v>
      </c>
      <c r="G29" s="34">
        <v>5</v>
      </c>
      <c r="H29" s="34">
        <v>81506</v>
      </c>
      <c r="I29" s="34" t="s">
        <v>17</v>
      </c>
      <c r="J29" s="34">
        <v>22182676</v>
      </c>
      <c r="K29" s="34" t="s">
        <v>3872</v>
      </c>
      <c r="L29" s="40" t="s">
        <v>3875</v>
      </c>
      <c r="M29" s="36">
        <v>239900</v>
      </c>
      <c r="N29" s="37" t="s">
        <v>2569</v>
      </c>
      <c r="O29" s="36" t="str">
        <f t="shared" si="3"/>
        <v>B1G2</v>
      </c>
      <c r="P29" s="34" t="s">
        <v>2569</v>
      </c>
    </row>
    <row r="30" spans="1:16" x14ac:dyDescent="0.35">
      <c r="A30" s="14" t="str">
        <f t="shared" si="0"/>
        <v xml:space="preserve"> 2024 JUL-DEC B1G2 LICENSE BABY</v>
      </c>
      <c r="B30" s="35">
        <f t="shared" si="1"/>
        <v>46086</v>
      </c>
      <c r="C30" s="35">
        <f t="shared" si="2"/>
        <v>46092</v>
      </c>
      <c r="D30" s="34">
        <v>3284</v>
      </c>
      <c r="E30" s="34">
        <v>338</v>
      </c>
      <c r="F30" s="34">
        <v>4</v>
      </c>
      <c r="G30" s="34">
        <v>8</v>
      </c>
      <c r="H30" s="34">
        <v>81676</v>
      </c>
      <c r="I30" s="34" t="s">
        <v>17</v>
      </c>
      <c r="J30" s="34">
        <v>17910764</v>
      </c>
      <c r="K30" s="34" t="s">
        <v>5382</v>
      </c>
      <c r="L30" s="40" t="s">
        <v>5383</v>
      </c>
      <c r="M30" s="36">
        <v>159900</v>
      </c>
      <c r="N30" s="37" t="s">
        <v>2569</v>
      </c>
      <c r="O30" s="36" t="str">
        <f t="shared" si="3"/>
        <v>B1G2</v>
      </c>
      <c r="P30" s="34" t="s">
        <v>2569</v>
      </c>
    </row>
    <row r="31" spans="1:16" x14ac:dyDescent="0.35">
      <c r="A31" s="14" t="str">
        <f t="shared" si="0"/>
        <v xml:space="preserve"> 2024 JUL-DEC B1G2 LICENSE BABY</v>
      </c>
      <c r="B31" s="35">
        <f t="shared" si="1"/>
        <v>46086</v>
      </c>
      <c r="C31" s="35">
        <f t="shared" si="2"/>
        <v>46092</v>
      </c>
      <c r="D31" s="34">
        <v>3284</v>
      </c>
      <c r="E31" s="34">
        <v>338</v>
      </c>
      <c r="F31" s="34">
        <v>4</v>
      </c>
      <c r="G31" s="34">
        <v>8</v>
      </c>
      <c r="H31" s="34">
        <v>81676</v>
      </c>
      <c r="I31" s="34" t="s">
        <v>17</v>
      </c>
      <c r="J31" s="34">
        <v>17910773</v>
      </c>
      <c r="K31" s="34" t="s">
        <v>5382</v>
      </c>
      <c r="L31" s="40" t="s">
        <v>5384</v>
      </c>
      <c r="M31" s="36">
        <v>159900</v>
      </c>
      <c r="N31" s="37" t="s">
        <v>2569</v>
      </c>
      <c r="O31" s="36" t="str">
        <f t="shared" si="3"/>
        <v>B1G2</v>
      </c>
      <c r="P31" s="34" t="s">
        <v>2569</v>
      </c>
    </row>
    <row r="32" spans="1:16" x14ac:dyDescent="0.35">
      <c r="A32" s="14" t="str">
        <f t="shared" si="0"/>
        <v xml:space="preserve"> 2024 JUL-DEC B1G2 LICENSE BABY</v>
      </c>
      <c r="B32" s="35">
        <f t="shared" si="1"/>
        <v>46086</v>
      </c>
      <c r="C32" s="35">
        <f t="shared" si="2"/>
        <v>46092</v>
      </c>
      <c r="D32" s="34">
        <v>3284</v>
      </c>
      <c r="E32" s="34">
        <v>338</v>
      </c>
      <c r="F32" s="34">
        <v>4</v>
      </c>
      <c r="G32" s="34">
        <v>8</v>
      </c>
      <c r="H32" s="34">
        <v>81676</v>
      </c>
      <c r="I32" s="34" t="s">
        <v>17</v>
      </c>
      <c r="J32" s="34">
        <v>17910782</v>
      </c>
      <c r="K32" s="34" t="s">
        <v>5382</v>
      </c>
      <c r="L32" s="40" t="s">
        <v>5385</v>
      </c>
      <c r="M32" s="36">
        <v>159900</v>
      </c>
      <c r="N32" s="37" t="s">
        <v>2569</v>
      </c>
      <c r="O32" s="36" t="str">
        <f t="shared" si="3"/>
        <v>B1G2</v>
      </c>
      <c r="P32" s="34" t="s">
        <v>2569</v>
      </c>
    </row>
    <row r="33" spans="1:16" x14ac:dyDescent="0.35">
      <c r="A33" s="14" t="str">
        <f t="shared" si="0"/>
        <v xml:space="preserve"> 2024 JUL-DEC B1G2 LICENSE BABY</v>
      </c>
      <c r="B33" s="35">
        <f t="shared" si="1"/>
        <v>46086</v>
      </c>
      <c r="C33" s="35">
        <f t="shared" si="2"/>
        <v>46092</v>
      </c>
      <c r="D33" s="34">
        <v>3284</v>
      </c>
      <c r="E33" s="34">
        <v>338</v>
      </c>
      <c r="F33" s="34">
        <v>4</v>
      </c>
      <c r="G33" s="34">
        <v>8</v>
      </c>
      <c r="H33" s="34">
        <v>81676</v>
      </c>
      <c r="I33" s="34" t="s">
        <v>17</v>
      </c>
      <c r="J33" s="34">
        <v>17910791</v>
      </c>
      <c r="K33" s="34" t="s">
        <v>5382</v>
      </c>
      <c r="L33" s="40" t="s">
        <v>5386</v>
      </c>
      <c r="M33" s="36">
        <v>159900</v>
      </c>
      <c r="N33" s="37" t="s">
        <v>2569</v>
      </c>
      <c r="O33" s="36" t="str">
        <f t="shared" si="3"/>
        <v>B1G2</v>
      </c>
      <c r="P33" s="34" t="s">
        <v>2569</v>
      </c>
    </row>
    <row r="34" spans="1:16" x14ac:dyDescent="0.35">
      <c r="A34" s="14" t="str">
        <f t="shared" si="0"/>
        <v xml:space="preserve"> 2024 JUL-DEC B1G2 LICENSE BABY</v>
      </c>
      <c r="B34" s="35">
        <f t="shared" si="1"/>
        <v>46086</v>
      </c>
      <c r="C34" s="35">
        <f t="shared" si="2"/>
        <v>46092</v>
      </c>
      <c r="D34" s="34">
        <v>3284</v>
      </c>
      <c r="E34" s="34">
        <v>338</v>
      </c>
      <c r="F34" s="34">
        <v>4</v>
      </c>
      <c r="G34" s="34">
        <v>8</v>
      </c>
      <c r="H34" s="34">
        <v>81676</v>
      </c>
      <c r="I34" s="34" t="s">
        <v>17</v>
      </c>
      <c r="J34" s="34">
        <v>17910808</v>
      </c>
      <c r="K34" s="34" t="s">
        <v>5382</v>
      </c>
      <c r="L34" s="40" t="s">
        <v>5387</v>
      </c>
      <c r="M34" s="36">
        <v>159900</v>
      </c>
      <c r="N34" s="37" t="s">
        <v>2569</v>
      </c>
      <c r="O34" s="36" t="str">
        <f t="shared" si="3"/>
        <v>B1G2</v>
      </c>
      <c r="P34" s="34" t="s">
        <v>2569</v>
      </c>
    </row>
    <row r="35" spans="1:16" x14ac:dyDescent="0.35">
      <c r="A35" s="14" t="str">
        <f t="shared" si="0"/>
        <v xml:space="preserve"> 2024 JUL-DEC B1G2 LICENSE BABY</v>
      </c>
      <c r="B35" s="35">
        <f t="shared" si="1"/>
        <v>46086</v>
      </c>
      <c r="C35" s="35">
        <f t="shared" si="2"/>
        <v>46092</v>
      </c>
      <c r="D35" s="34">
        <v>3284</v>
      </c>
      <c r="E35" s="34">
        <v>338</v>
      </c>
      <c r="F35" s="34">
        <v>4</v>
      </c>
      <c r="G35" s="34">
        <v>8</v>
      </c>
      <c r="H35" s="34">
        <v>81676</v>
      </c>
      <c r="I35" s="34" t="s">
        <v>17</v>
      </c>
      <c r="J35" s="34">
        <v>17910817</v>
      </c>
      <c r="K35" s="34" t="s">
        <v>5388</v>
      </c>
      <c r="L35" s="40" t="s">
        <v>5389</v>
      </c>
      <c r="M35" s="36">
        <v>159900</v>
      </c>
      <c r="N35" s="37" t="s">
        <v>2569</v>
      </c>
      <c r="O35" s="36" t="str">
        <f t="shared" si="3"/>
        <v>B1G2</v>
      </c>
      <c r="P35" s="34" t="s">
        <v>2569</v>
      </c>
    </row>
    <row r="36" spans="1:16" x14ac:dyDescent="0.35">
      <c r="A36" s="14" t="str">
        <f t="shared" si="0"/>
        <v xml:space="preserve"> 2024 JUL-DEC B1G2 LICENSE BABY</v>
      </c>
      <c r="B36" s="35">
        <f t="shared" si="1"/>
        <v>46086</v>
      </c>
      <c r="C36" s="35">
        <f t="shared" si="2"/>
        <v>46092</v>
      </c>
      <c r="D36" s="34">
        <v>3284</v>
      </c>
      <c r="E36" s="34">
        <v>338</v>
      </c>
      <c r="F36" s="34">
        <v>4</v>
      </c>
      <c r="G36" s="34">
        <v>8</v>
      </c>
      <c r="H36" s="34">
        <v>81676</v>
      </c>
      <c r="I36" s="34" t="s">
        <v>17</v>
      </c>
      <c r="J36" s="34">
        <v>17910826</v>
      </c>
      <c r="K36" s="34" t="s">
        <v>5388</v>
      </c>
      <c r="L36" s="40" t="s">
        <v>5390</v>
      </c>
      <c r="M36" s="36">
        <v>159900</v>
      </c>
      <c r="N36" s="37" t="s">
        <v>2569</v>
      </c>
      <c r="O36" s="36" t="str">
        <f t="shared" si="3"/>
        <v>B1G2</v>
      </c>
      <c r="P36" s="34" t="s">
        <v>2569</v>
      </c>
    </row>
    <row r="37" spans="1:16" x14ac:dyDescent="0.35">
      <c r="A37" s="14" t="str">
        <f t="shared" si="0"/>
        <v xml:space="preserve"> 2024 JUL-DEC B1G2 LICENSE BABY</v>
      </c>
      <c r="B37" s="35">
        <f t="shared" si="1"/>
        <v>46086</v>
      </c>
      <c r="C37" s="35">
        <f t="shared" si="2"/>
        <v>46092</v>
      </c>
      <c r="D37" s="34">
        <v>3284</v>
      </c>
      <c r="E37" s="34">
        <v>338</v>
      </c>
      <c r="F37" s="34">
        <v>4</v>
      </c>
      <c r="G37" s="34">
        <v>8</v>
      </c>
      <c r="H37" s="34">
        <v>81676</v>
      </c>
      <c r="I37" s="34" t="s">
        <v>17</v>
      </c>
      <c r="J37" s="34">
        <v>17910835</v>
      </c>
      <c r="K37" s="34" t="s">
        <v>5388</v>
      </c>
      <c r="L37" s="40" t="s">
        <v>5391</v>
      </c>
      <c r="M37" s="36">
        <v>159900</v>
      </c>
      <c r="N37" s="37" t="s">
        <v>2569</v>
      </c>
      <c r="O37" s="36" t="str">
        <f t="shared" si="3"/>
        <v>B1G2</v>
      </c>
      <c r="P37" s="34" t="s">
        <v>2569</v>
      </c>
    </row>
    <row r="38" spans="1:16" x14ac:dyDescent="0.35">
      <c r="A38" s="14" t="str">
        <f t="shared" si="0"/>
        <v xml:space="preserve"> 2024 JUL-DEC B1G2 LICENSE BABY</v>
      </c>
      <c r="B38" s="35">
        <f t="shared" si="1"/>
        <v>46086</v>
      </c>
      <c r="C38" s="35">
        <f t="shared" si="2"/>
        <v>46092</v>
      </c>
      <c r="D38" s="34">
        <v>3284</v>
      </c>
      <c r="E38" s="34">
        <v>338</v>
      </c>
      <c r="F38" s="34">
        <v>4</v>
      </c>
      <c r="G38" s="34">
        <v>8</v>
      </c>
      <c r="H38" s="34">
        <v>81676</v>
      </c>
      <c r="I38" s="34" t="s">
        <v>17</v>
      </c>
      <c r="J38" s="34">
        <v>17910844</v>
      </c>
      <c r="K38" s="34" t="s">
        <v>5388</v>
      </c>
      <c r="L38" s="40" t="s">
        <v>5392</v>
      </c>
      <c r="M38" s="36">
        <v>159900</v>
      </c>
      <c r="N38" s="37" t="s">
        <v>2569</v>
      </c>
      <c r="O38" s="36" t="str">
        <f t="shared" si="3"/>
        <v>B1G2</v>
      </c>
      <c r="P38" s="34" t="s">
        <v>2569</v>
      </c>
    </row>
    <row r="39" spans="1:16" x14ac:dyDescent="0.35">
      <c r="A39" s="14" t="str">
        <f t="shared" si="0"/>
        <v xml:space="preserve"> 2024 JUL-DEC B1G2 LICENSE BABY</v>
      </c>
      <c r="B39" s="35">
        <f t="shared" si="1"/>
        <v>46086</v>
      </c>
      <c r="C39" s="35">
        <f t="shared" si="2"/>
        <v>46092</v>
      </c>
      <c r="D39" s="34">
        <v>3284</v>
      </c>
      <c r="E39" s="34">
        <v>338</v>
      </c>
      <c r="F39" s="34">
        <v>4</v>
      </c>
      <c r="G39" s="34">
        <v>8</v>
      </c>
      <c r="H39" s="34">
        <v>81676</v>
      </c>
      <c r="I39" s="34" t="s">
        <v>17</v>
      </c>
      <c r="J39" s="34">
        <v>17910853</v>
      </c>
      <c r="K39" s="34" t="s">
        <v>5388</v>
      </c>
      <c r="L39" s="40" t="s">
        <v>5393</v>
      </c>
      <c r="M39" s="36">
        <v>159900</v>
      </c>
      <c r="N39" s="37" t="s">
        <v>2569</v>
      </c>
      <c r="O39" s="36" t="str">
        <f t="shared" si="3"/>
        <v>B1G2</v>
      </c>
      <c r="P39" s="34" t="s">
        <v>2569</v>
      </c>
    </row>
    <row r="40" spans="1:16" x14ac:dyDescent="0.35">
      <c r="A40" s="14" t="str">
        <f t="shared" si="0"/>
        <v xml:space="preserve"> 2024 JUL-DEC B1G2 LICENSE BABY</v>
      </c>
      <c r="B40" s="35">
        <f t="shared" si="1"/>
        <v>46086</v>
      </c>
      <c r="C40" s="35">
        <f t="shared" si="2"/>
        <v>46092</v>
      </c>
      <c r="D40" s="34">
        <v>3284</v>
      </c>
      <c r="E40" s="34">
        <v>338</v>
      </c>
      <c r="F40" s="34">
        <v>4</v>
      </c>
      <c r="G40" s="34">
        <v>8</v>
      </c>
      <c r="H40" s="34">
        <v>81676</v>
      </c>
      <c r="I40" s="34" t="s">
        <v>17</v>
      </c>
      <c r="J40" s="34">
        <v>17910862</v>
      </c>
      <c r="K40" s="34" t="s">
        <v>5394</v>
      </c>
      <c r="L40" s="40" t="s">
        <v>5395</v>
      </c>
      <c r="M40" s="36">
        <v>159900</v>
      </c>
      <c r="N40" s="37" t="s">
        <v>2569</v>
      </c>
      <c r="O40" s="36" t="str">
        <f t="shared" si="3"/>
        <v>B1G2</v>
      </c>
      <c r="P40" s="34" t="s">
        <v>2569</v>
      </c>
    </row>
    <row r="41" spans="1:16" x14ac:dyDescent="0.35">
      <c r="A41" s="14" t="str">
        <f t="shared" si="0"/>
        <v xml:space="preserve"> 2024 JUL-DEC B1G2 LICENSE BABY</v>
      </c>
      <c r="B41" s="35">
        <f t="shared" si="1"/>
        <v>46086</v>
      </c>
      <c r="C41" s="35">
        <f t="shared" si="2"/>
        <v>46092</v>
      </c>
      <c r="D41" s="34">
        <v>3284</v>
      </c>
      <c r="E41" s="34">
        <v>338</v>
      </c>
      <c r="F41" s="34">
        <v>4</v>
      </c>
      <c r="G41" s="34">
        <v>8</v>
      </c>
      <c r="H41" s="34">
        <v>81676</v>
      </c>
      <c r="I41" s="34" t="s">
        <v>17</v>
      </c>
      <c r="J41" s="34">
        <v>17910871</v>
      </c>
      <c r="K41" s="34" t="s">
        <v>5394</v>
      </c>
      <c r="L41" s="40" t="s">
        <v>5396</v>
      </c>
      <c r="M41" s="36">
        <v>159900</v>
      </c>
      <c r="N41" s="37" t="s">
        <v>2569</v>
      </c>
      <c r="O41" s="36" t="str">
        <f t="shared" si="3"/>
        <v>B1G2</v>
      </c>
      <c r="P41" s="34" t="s">
        <v>2569</v>
      </c>
    </row>
    <row r="42" spans="1:16" x14ac:dyDescent="0.35">
      <c r="A42" s="14" t="str">
        <f t="shared" si="0"/>
        <v xml:space="preserve"> 2024 JUL-DEC B1G2 LICENSE BABY</v>
      </c>
      <c r="B42" s="35">
        <f t="shared" si="1"/>
        <v>46086</v>
      </c>
      <c r="C42" s="35">
        <f t="shared" si="2"/>
        <v>46092</v>
      </c>
      <c r="D42" s="34">
        <v>3284</v>
      </c>
      <c r="E42" s="34">
        <v>338</v>
      </c>
      <c r="F42" s="34">
        <v>4</v>
      </c>
      <c r="G42" s="34">
        <v>8</v>
      </c>
      <c r="H42" s="34">
        <v>81676</v>
      </c>
      <c r="I42" s="34" t="s">
        <v>17</v>
      </c>
      <c r="J42" s="34">
        <v>17910880</v>
      </c>
      <c r="K42" s="34" t="s">
        <v>5394</v>
      </c>
      <c r="L42" s="40" t="s">
        <v>5397</v>
      </c>
      <c r="M42" s="36">
        <v>159900</v>
      </c>
      <c r="N42" s="37" t="s">
        <v>2569</v>
      </c>
      <c r="O42" s="36" t="str">
        <f t="shared" si="3"/>
        <v>B1G2</v>
      </c>
      <c r="P42" s="34" t="s">
        <v>2569</v>
      </c>
    </row>
    <row r="43" spans="1:16" x14ac:dyDescent="0.35">
      <c r="A43" s="14" t="str">
        <f t="shared" si="0"/>
        <v xml:space="preserve"> 2024 JUL-DEC B1G2 LICENSE BABY</v>
      </c>
      <c r="B43" s="35">
        <f t="shared" si="1"/>
        <v>46086</v>
      </c>
      <c r="C43" s="35">
        <f t="shared" si="2"/>
        <v>46092</v>
      </c>
      <c r="D43" s="34">
        <v>3284</v>
      </c>
      <c r="E43" s="34">
        <v>338</v>
      </c>
      <c r="F43" s="34">
        <v>4</v>
      </c>
      <c r="G43" s="34">
        <v>8</v>
      </c>
      <c r="H43" s="34">
        <v>81676</v>
      </c>
      <c r="I43" s="34" t="s">
        <v>17</v>
      </c>
      <c r="J43" s="34">
        <v>17910899</v>
      </c>
      <c r="K43" s="34" t="s">
        <v>5394</v>
      </c>
      <c r="L43" s="40" t="s">
        <v>5398</v>
      </c>
      <c r="M43" s="36">
        <v>159900</v>
      </c>
      <c r="N43" s="37" t="s">
        <v>2569</v>
      </c>
      <c r="O43" s="36" t="str">
        <f t="shared" si="3"/>
        <v>B1G2</v>
      </c>
      <c r="P43" s="34" t="s">
        <v>2569</v>
      </c>
    </row>
    <row r="44" spans="1:16" x14ac:dyDescent="0.35">
      <c r="A44" s="14" t="str">
        <f t="shared" si="0"/>
        <v xml:space="preserve"> 2024 JUL-DEC B1G2 LICENSE BABY</v>
      </c>
      <c r="B44" s="35">
        <f t="shared" si="1"/>
        <v>46086</v>
      </c>
      <c r="C44" s="35">
        <f t="shared" si="2"/>
        <v>46092</v>
      </c>
      <c r="D44" s="34">
        <v>3284</v>
      </c>
      <c r="E44" s="34">
        <v>338</v>
      </c>
      <c r="F44" s="34">
        <v>4</v>
      </c>
      <c r="G44" s="34">
        <v>8</v>
      </c>
      <c r="H44" s="34">
        <v>81676</v>
      </c>
      <c r="I44" s="34" t="s">
        <v>17</v>
      </c>
      <c r="J44" s="34">
        <v>17910906</v>
      </c>
      <c r="K44" s="34" t="s">
        <v>5394</v>
      </c>
      <c r="L44" s="40" t="s">
        <v>5399</v>
      </c>
      <c r="M44" s="36">
        <v>159900</v>
      </c>
      <c r="N44" s="37" t="s">
        <v>2569</v>
      </c>
      <c r="O44" s="36" t="str">
        <f t="shared" si="3"/>
        <v>B1G2</v>
      </c>
      <c r="P44" s="34" t="s">
        <v>2569</v>
      </c>
    </row>
    <row r="45" spans="1:16" x14ac:dyDescent="0.35">
      <c r="A45" s="14" t="str">
        <f t="shared" si="0"/>
        <v xml:space="preserve"> 2024 JUL-DEC B1G2 LICENSE BABY</v>
      </c>
      <c r="B45" s="35">
        <f t="shared" si="1"/>
        <v>46086</v>
      </c>
      <c r="C45" s="35">
        <f t="shared" si="2"/>
        <v>46092</v>
      </c>
      <c r="D45" s="34">
        <v>3284</v>
      </c>
      <c r="E45" s="34">
        <v>338</v>
      </c>
      <c r="F45" s="34">
        <v>4</v>
      </c>
      <c r="G45" s="34">
        <v>5</v>
      </c>
      <c r="H45" s="34">
        <v>81146</v>
      </c>
      <c r="I45" s="34" t="s">
        <v>17</v>
      </c>
      <c r="J45" s="34">
        <v>23045250</v>
      </c>
      <c r="K45" s="34" t="s">
        <v>4013</v>
      </c>
      <c r="L45" s="40" t="s">
        <v>4014</v>
      </c>
      <c r="M45" s="36">
        <v>219900</v>
      </c>
      <c r="N45" s="37" t="s">
        <v>2569</v>
      </c>
      <c r="O45" s="36" t="str">
        <f t="shared" si="3"/>
        <v>B1G2</v>
      </c>
      <c r="P45" s="34" t="s">
        <v>2569</v>
      </c>
    </row>
    <row r="46" spans="1:16" x14ac:dyDescent="0.35">
      <c r="A46" s="14" t="str">
        <f t="shared" si="0"/>
        <v xml:space="preserve"> 2024 JUL-DEC B1G2 LICENSE BABY</v>
      </c>
      <c r="B46" s="35">
        <f t="shared" si="1"/>
        <v>46086</v>
      </c>
      <c r="C46" s="35">
        <f t="shared" si="2"/>
        <v>46092</v>
      </c>
      <c r="D46" s="34">
        <v>3284</v>
      </c>
      <c r="E46" s="34">
        <v>338</v>
      </c>
      <c r="F46" s="34">
        <v>4</v>
      </c>
      <c r="G46" s="34">
        <v>5</v>
      </c>
      <c r="H46" s="34">
        <v>81146</v>
      </c>
      <c r="I46" s="34" t="s">
        <v>17</v>
      </c>
      <c r="J46" s="34">
        <v>23045527</v>
      </c>
      <c r="K46" s="34" t="s">
        <v>4013</v>
      </c>
      <c r="L46" s="40" t="s">
        <v>4015</v>
      </c>
      <c r="M46" s="36">
        <v>219900</v>
      </c>
      <c r="N46" s="37" t="s">
        <v>2569</v>
      </c>
      <c r="O46" s="36" t="str">
        <f t="shared" si="3"/>
        <v>B1G2</v>
      </c>
      <c r="P46" s="34" t="s">
        <v>2569</v>
      </c>
    </row>
    <row r="47" spans="1:16" x14ac:dyDescent="0.35">
      <c r="A47" s="14" t="str">
        <f t="shared" si="0"/>
        <v xml:space="preserve"> 2024 JUL-DEC B1G2 LICENSE BABY</v>
      </c>
      <c r="B47" s="35">
        <f t="shared" si="1"/>
        <v>46086</v>
      </c>
      <c r="C47" s="35">
        <f t="shared" si="2"/>
        <v>46092</v>
      </c>
      <c r="D47" s="34">
        <v>3284</v>
      </c>
      <c r="E47" s="34">
        <v>338</v>
      </c>
      <c r="F47" s="34">
        <v>4</v>
      </c>
      <c r="G47" s="34">
        <v>5</v>
      </c>
      <c r="H47" s="34">
        <v>81146</v>
      </c>
      <c r="I47" s="34" t="s">
        <v>17</v>
      </c>
      <c r="J47" s="34">
        <v>23045965</v>
      </c>
      <c r="K47" s="34" t="s">
        <v>4013</v>
      </c>
      <c r="L47" s="40" t="s">
        <v>4016</v>
      </c>
      <c r="M47" s="36">
        <v>219900</v>
      </c>
      <c r="N47" s="37" t="s">
        <v>2569</v>
      </c>
      <c r="O47" s="36" t="str">
        <f t="shared" si="3"/>
        <v>B1G2</v>
      </c>
      <c r="P47" s="34" t="s">
        <v>2569</v>
      </c>
    </row>
    <row r="48" spans="1:16" x14ac:dyDescent="0.35">
      <c r="A48" s="14" t="str">
        <f t="shared" si="0"/>
        <v xml:space="preserve"> 2024 JUL-DEC B1G2 LICENSE BABY</v>
      </c>
      <c r="B48" s="35">
        <f t="shared" si="1"/>
        <v>46086</v>
      </c>
      <c r="C48" s="35">
        <f t="shared" si="2"/>
        <v>46092</v>
      </c>
      <c r="D48" s="34">
        <v>3284</v>
      </c>
      <c r="E48" s="34">
        <v>338</v>
      </c>
      <c r="F48" s="34">
        <v>4</v>
      </c>
      <c r="G48" s="34">
        <v>5</v>
      </c>
      <c r="H48" s="34">
        <v>81146</v>
      </c>
      <c r="I48" s="34" t="s">
        <v>17</v>
      </c>
      <c r="J48" s="34">
        <v>23046606</v>
      </c>
      <c r="K48" s="34" t="s">
        <v>4013</v>
      </c>
      <c r="L48" s="40" t="s">
        <v>4017</v>
      </c>
      <c r="M48" s="36">
        <v>219900</v>
      </c>
      <c r="N48" s="37" t="s">
        <v>2569</v>
      </c>
      <c r="O48" s="36" t="str">
        <f t="shared" si="3"/>
        <v>B1G2</v>
      </c>
      <c r="P48" s="34" t="s">
        <v>2569</v>
      </c>
    </row>
    <row r="49" spans="1:16" x14ac:dyDescent="0.35">
      <c r="A49" s="14" t="str">
        <f t="shared" si="0"/>
        <v xml:space="preserve"> 2024 JUL-DEC B1G2 LICENSE BABY</v>
      </c>
      <c r="B49" s="35">
        <f t="shared" si="1"/>
        <v>46086</v>
      </c>
      <c r="C49" s="35">
        <f t="shared" si="2"/>
        <v>46092</v>
      </c>
      <c r="D49" s="34">
        <v>3284</v>
      </c>
      <c r="E49" s="34">
        <v>338</v>
      </c>
      <c r="F49" s="34">
        <v>4</v>
      </c>
      <c r="G49" s="34">
        <v>1</v>
      </c>
      <c r="H49" s="34">
        <v>81146</v>
      </c>
      <c r="I49" s="34" t="s">
        <v>17</v>
      </c>
      <c r="J49" s="34">
        <v>45456024</v>
      </c>
      <c r="K49" s="34" t="s">
        <v>4341</v>
      </c>
      <c r="L49" s="40" t="s">
        <v>4344</v>
      </c>
      <c r="M49" s="36">
        <v>119900</v>
      </c>
      <c r="N49" s="37" t="s">
        <v>2569</v>
      </c>
      <c r="O49" s="36" t="str">
        <f t="shared" si="3"/>
        <v>B1G2</v>
      </c>
      <c r="P49" s="34" t="s">
        <v>2569</v>
      </c>
    </row>
    <row r="50" spans="1:16" x14ac:dyDescent="0.35">
      <c r="A50" s="14" t="str">
        <f t="shared" si="0"/>
        <v xml:space="preserve"> 2024 JUL-DEC B1G2 LICENSE BABY</v>
      </c>
      <c r="B50" s="35">
        <f t="shared" si="1"/>
        <v>46086</v>
      </c>
      <c r="C50" s="35">
        <f t="shared" si="2"/>
        <v>46092</v>
      </c>
      <c r="D50" s="34">
        <v>3284</v>
      </c>
      <c r="E50" s="34">
        <v>338</v>
      </c>
      <c r="F50" s="34">
        <v>4</v>
      </c>
      <c r="G50" s="34">
        <v>1</v>
      </c>
      <c r="H50" s="34">
        <v>81146</v>
      </c>
      <c r="I50" s="34" t="s">
        <v>17</v>
      </c>
      <c r="J50" s="34">
        <v>45456033</v>
      </c>
      <c r="K50" s="34" t="s">
        <v>4341</v>
      </c>
      <c r="L50" s="40" t="s">
        <v>4345</v>
      </c>
      <c r="M50" s="36">
        <v>119900</v>
      </c>
      <c r="N50" s="37" t="s">
        <v>2569</v>
      </c>
      <c r="O50" s="36" t="str">
        <f t="shared" si="3"/>
        <v>B1G2</v>
      </c>
      <c r="P50" s="34" t="s">
        <v>2569</v>
      </c>
    </row>
    <row r="51" spans="1:16" x14ac:dyDescent="0.35">
      <c r="A51" s="14" t="str">
        <f t="shared" si="0"/>
        <v xml:space="preserve"> 2024 JUL-DEC B1G2 LICENSE BABY</v>
      </c>
      <c r="B51" s="35">
        <f t="shared" si="1"/>
        <v>46086</v>
      </c>
      <c r="C51" s="35">
        <f t="shared" si="2"/>
        <v>46092</v>
      </c>
      <c r="D51" s="34">
        <v>3284</v>
      </c>
      <c r="E51" s="34">
        <v>338</v>
      </c>
      <c r="F51" s="34">
        <v>4</v>
      </c>
      <c r="G51" s="34">
        <v>1</v>
      </c>
      <c r="H51" s="34">
        <v>81146</v>
      </c>
      <c r="I51" s="34" t="s">
        <v>17</v>
      </c>
      <c r="J51" s="34">
        <v>45456042</v>
      </c>
      <c r="K51" s="34" t="s">
        <v>4341</v>
      </c>
      <c r="L51" s="40" t="s">
        <v>4343</v>
      </c>
      <c r="M51" s="36">
        <v>119900</v>
      </c>
      <c r="N51" s="37" t="s">
        <v>2569</v>
      </c>
      <c r="O51" s="36" t="str">
        <f t="shared" si="3"/>
        <v>B1G2</v>
      </c>
      <c r="P51" s="34" t="s">
        <v>2569</v>
      </c>
    </row>
    <row r="52" spans="1:16" x14ac:dyDescent="0.35">
      <c r="A52" s="14" t="str">
        <f t="shared" si="0"/>
        <v xml:space="preserve"> 2024 JUL-DEC B1G2 LICENSE BABY</v>
      </c>
      <c r="B52" s="35">
        <f t="shared" si="1"/>
        <v>46086</v>
      </c>
      <c r="C52" s="35">
        <f t="shared" si="2"/>
        <v>46092</v>
      </c>
      <c r="D52" s="34">
        <v>3284</v>
      </c>
      <c r="E52" s="34">
        <v>338</v>
      </c>
      <c r="F52" s="34">
        <v>4</v>
      </c>
      <c r="G52" s="34">
        <v>1</v>
      </c>
      <c r="H52" s="34">
        <v>81146</v>
      </c>
      <c r="I52" s="34" t="s">
        <v>17</v>
      </c>
      <c r="J52" s="34">
        <v>45456051</v>
      </c>
      <c r="K52" s="34" t="s">
        <v>4341</v>
      </c>
      <c r="L52" s="40" t="s">
        <v>4342</v>
      </c>
      <c r="M52" s="36">
        <v>119900</v>
      </c>
      <c r="N52" s="37" t="s">
        <v>2569</v>
      </c>
      <c r="O52" s="36" t="str">
        <f t="shared" si="3"/>
        <v>B1G2</v>
      </c>
      <c r="P52" s="34" t="s">
        <v>2569</v>
      </c>
    </row>
    <row r="53" spans="1:16" x14ac:dyDescent="0.35">
      <c r="A53" s="14" t="str">
        <f t="shared" si="0"/>
        <v xml:space="preserve"> 2024 JUL-DEC B1G2 LICENSE BABY</v>
      </c>
      <c r="B53" s="35">
        <f t="shared" si="1"/>
        <v>46086</v>
      </c>
      <c r="C53" s="35">
        <f t="shared" si="2"/>
        <v>46092</v>
      </c>
      <c r="D53" s="34">
        <v>3284</v>
      </c>
      <c r="E53" s="34">
        <v>338</v>
      </c>
      <c r="F53" s="34">
        <v>4</v>
      </c>
      <c r="G53" s="34">
        <v>1</v>
      </c>
      <c r="H53" s="34">
        <v>81146</v>
      </c>
      <c r="I53" s="34" t="s">
        <v>17</v>
      </c>
      <c r="J53" s="34">
        <v>45456060</v>
      </c>
      <c r="K53" s="34" t="s">
        <v>4346</v>
      </c>
      <c r="L53" s="40" t="s">
        <v>4347</v>
      </c>
      <c r="M53" s="36">
        <v>199900</v>
      </c>
      <c r="N53" s="37" t="s">
        <v>2569</v>
      </c>
      <c r="O53" s="36" t="str">
        <f t="shared" si="3"/>
        <v>B1G2</v>
      </c>
      <c r="P53" s="34" t="s">
        <v>2569</v>
      </c>
    </row>
    <row r="54" spans="1:16" x14ac:dyDescent="0.35">
      <c r="A54" s="14" t="str">
        <f t="shared" si="0"/>
        <v xml:space="preserve"> 2024 JUL-DEC B1G2 LICENSE BABY</v>
      </c>
      <c r="B54" s="35">
        <f t="shared" si="1"/>
        <v>46086</v>
      </c>
      <c r="C54" s="35">
        <f t="shared" si="2"/>
        <v>46092</v>
      </c>
      <c r="D54" s="34">
        <v>3284</v>
      </c>
      <c r="E54" s="34">
        <v>338</v>
      </c>
      <c r="F54" s="34">
        <v>4</v>
      </c>
      <c r="G54" s="34">
        <v>1</v>
      </c>
      <c r="H54" s="34">
        <v>81146</v>
      </c>
      <c r="I54" s="34" t="s">
        <v>17</v>
      </c>
      <c r="J54" s="34">
        <v>45456079</v>
      </c>
      <c r="K54" s="34" t="s">
        <v>4346</v>
      </c>
      <c r="L54" s="40" t="s">
        <v>4348</v>
      </c>
      <c r="M54" s="36">
        <v>199900</v>
      </c>
      <c r="N54" s="37" t="s">
        <v>2569</v>
      </c>
      <c r="O54" s="36" t="str">
        <f t="shared" si="3"/>
        <v>B1G2</v>
      </c>
      <c r="P54" s="34" t="s">
        <v>2569</v>
      </c>
    </row>
    <row r="55" spans="1:16" x14ac:dyDescent="0.35">
      <c r="A55" s="14" t="str">
        <f t="shared" si="0"/>
        <v xml:space="preserve"> 2024 JUL-DEC B1G2 LICENSE BABY</v>
      </c>
      <c r="B55" s="35">
        <f t="shared" si="1"/>
        <v>46086</v>
      </c>
      <c r="C55" s="35">
        <f t="shared" si="2"/>
        <v>46092</v>
      </c>
      <c r="D55" s="34">
        <v>3284</v>
      </c>
      <c r="E55" s="34">
        <v>338</v>
      </c>
      <c r="F55" s="34">
        <v>4</v>
      </c>
      <c r="G55" s="34">
        <v>1</v>
      </c>
      <c r="H55" s="34">
        <v>81146</v>
      </c>
      <c r="I55" s="34" t="s">
        <v>17</v>
      </c>
      <c r="J55" s="34">
        <v>45456088</v>
      </c>
      <c r="K55" s="34" t="s">
        <v>4346</v>
      </c>
      <c r="L55" s="40" t="s">
        <v>4349</v>
      </c>
      <c r="M55" s="36">
        <v>199900</v>
      </c>
      <c r="N55" s="37" t="s">
        <v>2569</v>
      </c>
      <c r="O55" s="36" t="str">
        <f t="shared" si="3"/>
        <v>B1G2</v>
      </c>
      <c r="P55" s="34" t="s">
        <v>2569</v>
      </c>
    </row>
    <row r="56" spans="1:16" x14ac:dyDescent="0.35">
      <c r="A56" s="14" t="str">
        <f t="shared" si="0"/>
        <v xml:space="preserve"> 2024 JUL-DEC B1G2 LICENSE BABY</v>
      </c>
      <c r="B56" s="35">
        <f t="shared" si="1"/>
        <v>46086</v>
      </c>
      <c r="C56" s="35">
        <f t="shared" si="2"/>
        <v>46092</v>
      </c>
      <c r="D56" s="34">
        <v>3284</v>
      </c>
      <c r="E56" s="34">
        <v>338</v>
      </c>
      <c r="F56" s="34">
        <v>4</v>
      </c>
      <c r="G56" s="34">
        <v>1</v>
      </c>
      <c r="H56" s="34">
        <v>81146</v>
      </c>
      <c r="I56" s="34" t="s">
        <v>17</v>
      </c>
      <c r="J56" s="34">
        <v>45456097</v>
      </c>
      <c r="K56" s="34" t="s">
        <v>4346</v>
      </c>
      <c r="L56" s="40" t="s">
        <v>4350</v>
      </c>
      <c r="M56" s="36">
        <v>199900</v>
      </c>
      <c r="N56" s="37" t="s">
        <v>2569</v>
      </c>
      <c r="O56" s="36" t="str">
        <f t="shared" si="3"/>
        <v>B1G2</v>
      </c>
      <c r="P56" s="34" t="s">
        <v>2569</v>
      </c>
    </row>
    <row r="57" spans="1:16" x14ac:dyDescent="0.35">
      <c r="A57" s="14" t="str">
        <f t="shared" si="0"/>
        <v xml:space="preserve"> 2024 JUL-DEC B1G2 LICENSE BABY</v>
      </c>
      <c r="B57" s="35">
        <f t="shared" si="1"/>
        <v>46086</v>
      </c>
      <c r="C57" s="35">
        <f t="shared" si="2"/>
        <v>46092</v>
      </c>
      <c r="D57" s="34">
        <v>3284</v>
      </c>
      <c r="E57" s="34">
        <v>338</v>
      </c>
      <c r="F57" s="34">
        <v>4</v>
      </c>
      <c r="G57" s="34">
        <v>2</v>
      </c>
      <c r="H57" s="34">
        <v>81146</v>
      </c>
      <c r="I57" s="34" t="s">
        <v>17</v>
      </c>
      <c r="J57" s="34">
        <v>45456104</v>
      </c>
      <c r="K57" s="34" t="s">
        <v>4351</v>
      </c>
      <c r="L57" s="40" t="s">
        <v>4352</v>
      </c>
      <c r="M57" s="36">
        <v>139900</v>
      </c>
      <c r="N57" s="37" t="s">
        <v>2569</v>
      </c>
      <c r="O57" s="36" t="str">
        <f t="shared" si="3"/>
        <v>B1G2</v>
      </c>
      <c r="P57" s="34" t="s">
        <v>2569</v>
      </c>
    </row>
    <row r="58" spans="1:16" x14ac:dyDescent="0.35">
      <c r="A58" s="14" t="str">
        <f t="shared" si="0"/>
        <v xml:space="preserve"> 2024 JUL-DEC B1G2 LICENSE BABY</v>
      </c>
      <c r="B58" s="35">
        <f t="shared" si="1"/>
        <v>46086</v>
      </c>
      <c r="C58" s="35">
        <f t="shared" si="2"/>
        <v>46092</v>
      </c>
      <c r="D58" s="34">
        <v>3284</v>
      </c>
      <c r="E58" s="34">
        <v>338</v>
      </c>
      <c r="F58" s="34">
        <v>4</v>
      </c>
      <c r="G58" s="34">
        <v>2</v>
      </c>
      <c r="H58" s="34">
        <v>81146</v>
      </c>
      <c r="I58" s="34" t="s">
        <v>17</v>
      </c>
      <c r="J58" s="34">
        <v>45456113</v>
      </c>
      <c r="K58" s="34" t="s">
        <v>4351</v>
      </c>
      <c r="L58" s="40" t="s">
        <v>4353</v>
      </c>
      <c r="M58" s="36">
        <v>139900</v>
      </c>
      <c r="N58" s="37" t="s">
        <v>2569</v>
      </c>
      <c r="O58" s="36" t="str">
        <f t="shared" si="3"/>
        <v>B1G2</v>
      </c>
      <c r="P58" s="34" t="s">
        <v>2569</v>
      </c>
    </row>
    <row r="59" spans="1:16" x14ac:dyDescent="0.35">
      <c r="A59" s="14" t="str">
        <f t="shared" si="0"/>
        <v xml:space="preserve"> 2024 JUL-DEC B1G2 LICENSE BABY</v>
      </c>
      <c r="B59" s="35">
        <f t="shared" si="1"/>
        <v>46086</v>
      </c>
      <c r="C59" s="35">
        <f t="shared" si="2"/>
        <v>46092</v>
      </c>
      <c r="D59" s="34">
        <v>3284</v>
      </c>
      <c r="E59" s="34">
        <v>338</v>
      </c>
      <c r="F59" s="34">
        <v>4</v>
      </c>
      <c r="G59" s="34">
        <v>2</v>
      </c>
      <c r="H59" s="34">
        <v>81146</v>
      </c>
      <c r="I59" s="34" t="s">
        <v>17</v>
      </c>
      <c r="J59" s="34">
        <v>45456122</v>
      </c>
      <c r="K59" s="34" t="s">
        <v>4351</v>
      </c>
      <c r="L59" s="40" t="s">
        <v>4354</v>
      </c>
      <c r="M59" s="36">
        <v>139900</v>
      </c>
      <c r="N59" s="37" t="s">
        <v>2569</v>
      </c>
      <c r="O59" s="36" t="str">
        <f t="shared" si="3"/>
        <v>B1G2</v>
      </c>
      <c r="P59" s="34" t="s">
        <v>2569</v>
      </c>
    </row>
    <row r="60" spans="1:16" x14ac:dyDescent="0.35">
      <c r="A60" s="14" t="str">
        <f t="shared" si="0"/>
        <v xml:space="preserve"> 2024 JUL-DEC B1G2 LICENSE BABY</v>
      </c>
      <c r="B60" s="35">
        <f t="shared" si="1"/>
        <v>46086</v>
      </c>
      <c r="C60" s="35">
        <f t="shared" si="2"/>
        <v>46092</v>
      </c>
      <c r="D60" s="34">
        <v>3284</v>
      </c>
      <c r="E60" s="34">
        <v>338</v>
      </c>
      <c r="F60" s="34">
        <v>4</v>
      </c>
      <c r="G60" s="34">
        <v>2</v>
      </c>
      <c r="H60" s="34">
        <v>81146</v>
      </c>
      <c r="I60" s="34" t="s">
        <v>17</v>
      </c>
      <c r="J60" s="34">
        <v>45456131</v>
      </c>
      <c r="K60" s="34" t="s">
        <v>4351</v>
      </c>
      <c r="L60" s="40" t="s">
        <v>4355</v>
      </c>
      <c r="M60" s="36">
        <v>139900</v>
      </c>
      <c r="N60" s="37" t="s">
        <v>2569</v>
      </c>
      <c r="O60" s="36" t="str">
        <f t="shared" si="3"/>
        <v>B1G2</v>
      </c>
      <c r="P60" s="34" t="s">
        <v>2569</v>
      </c>
    </row>
    <row r="61" spans="1:16" x14ac:dyDescent="0.35">
      <c r="A61" s="14" t="str">
        <f t="shared" si="0"/>
        <v xml:space="preserve"> 2024 JUL-DEC B1G2 LICENSE BABY</v>
      </c>
      <c r="B61" s="35">
        <f t="shared" si="1"/>
        <v>46086</v>
      </c>
      <c r="C61" s="35">
        <f t="shared" si="2"/>
        <v>46092</v>
      </c>
      <c r="D61" s="34">
        <v>3284</v>
      </c>
      <c r="E61" s="34">
        <v>338</v>
      </c>
      <c r="F61" s="34">
        <v>4</v>
      </c>
      <c r="G61" s="34">
        <v>3</v>
      </c>
      <c r="H61" s="34">
        <v>81146</v>
      </c>
      <c r="I61" s="34" t="s">
        <v>17</v>
      </c>
      <c r="J61" s="34">
        <v>45456140</v>
      </c>
      <c r="K61" s="34" t="s">
        <v>4356</v>
      </c>
      <c r="L61" s="40" t="s">
        <v>4357</v>
      </c>
      <c r="M61" s="36">
        <v>189900</v>
      </c>
      <c r="N61" s="37" t="s">
        <v>2569</v>
      </c>
      <c r="O61" s="36" t="str">
        <f t="shared" si="3"/>
        <v>B1G2</v>
      </c>
      <c r="P61" s="34" t="s">
        <v>2569</v>
      </c>
    </row>
    <row r="62" spans="1:16" x14ac:dyDescent="0.35">
      <c r="A62" s="14" t="str">
        <f t="shared" si="0"/>
        <v xml:space="preserve"> 2024 JUL-DEC B1G2 LICENSE BABY</v>
      </c>
      <c r="B62" s="35">
        <f t="shared" si="1"/>
        <v>46086</v>
      </c>
      <c r="C62" s="35">
        <f t="shared" si="2"/>
        <v>46092</v>
      </c>
      <c r="D62" s="34">
        <v>3284</v>
      </c>
      <c r="E62" s="34">
        <v>338</v>
      </c>
      <c r="F62" s="34">
        <v>4</v>
      </c>
      <c r="G62" s="34">
        <v>3</v>
      </c>
      <c r="H62" s="34">
        <v>81146</v>
      </c>
      <c r="I62" s="34" t="s">
        <v>17</v>
      </c>
      <c r="J62" s="34">
        <v>45456159</v>
      </c>
      <c r="K62" s="34" t="s">
        <v>4356</v>
      </c>
      <c r="L62" s="40" t="s">
        <v>4358</v>
      </c>
      <c r="M62" s="36">
        <v>189900</v>
      </c>
      <c r="N62" s="37" t="s">
        <v>2569</v>
      </c>
      <c r="O62" s="36" t="str">
        <f t="shared" si="3"/>
        <v>B1G2</v>
      </c>
      <c r="P62" s="34" t="s">
        <v>2569</v>
      </c>
    </row>
    <row r="63" spans="1:16" x14ac:dyDescent="0.35">
      <c r="A63" s="14" t="str">
        <f t="shared" si="0"/>
        <v xml:space="preserve"> 2024 JUL-DEC B1G2 LICENSE BABY</v>
      </c>
      <c r="B63" s="35">
        <f t="shared" si="1"/>
        <v>46086</v>
      </c>
      <c r="C63" s="35">
        <f t="shared" si="2"/>
        <v>46092</v>
      </c>
      <c r="D63" s="34">
        <v>3284</v>
      </c>
      <c r="E63" s="34">
        <v>338</v>
      </c>
      <c r="F63" s="34">
        <v>4</v>
      </c>
      <c r="G63" s="34">
        <v>3</v>
      </c>
      <c r="H63" s="34">
        <v>81146</v>
      </c>
      <c r="I63" s="34" t="s">
        <v>17</v>
      </c>
      <c r="J63" s="34">
        <v>45456168</v>
      </c>
      <c r="K63" s="34" t="s">
        <v>4356</v>
      </c>
      <c r="L63" s="40" t="s">
        <v>4359</v>
      </c>
      <c r="M63" s="36">
        <v>189900</v>
      </c>
      <c r="N63" s="37" t="s">
        <v>2569</v>
      </c>
      <c r="O63" s="36" t="str">
        <f t="shared" si="3"/>
        <v>B1G2</v>
      </c>
      <c r="P63" s="34" t="s">
        <v>2569</v>
      </c>
    </row>
    <row r="64" spans="1:16" x14ac:dyDescent="0.35">
      <c r="A64" s="14" t="str">
        <f t="shared" si="0"/>
        <v xml:space="preserve"> 2024 JUL-DEC B1G2 LICENSE BABY</v>
      </c>
      <c r="B64" s="35">
        <f t="shared" si="1"/>
        <v>46086</v>
      </c>
      <c r="C64" s="35">
        <f t="shared" si="2"/>
        <v>46092</v>
      </c>
      <c r="D64" s="34">
        <v>3284</v>
      </c>
      <c r="E64" s="34">
        <v>338</v>
      </c>
      <c r="F64" s="34">
        <v>4</v>
      </c>
      <c r="G64" s="34">
        <v>3</v>
      </c>
      <c r="H64" s="34">
        <v>81146</v>
      </c>
      <c r="I64" s="34" t="s">
        <v>17</v>
      </c>
      <c r="J64" s="34">
        <v>45456177</v>
      </c>
      <c r="K64" s="34" t="s">
        <v>4356</v>
      </c>
      <c r="L64" s="40" t="s">
        <v>4360</v>
      </c>
      <c r="M64" s="36">
        <v>189900</v>
      </c>
      <c r="N64" s="37" t="s">
        <v>2569</v>
      </c>
      <c r="O64" s="36" t="str">
        <f t="shared" si="3"/>
        <v>B1G2</v>
      </c>
      <c r="P64" s="34" t="s">
        <v>2569</v>
      </c>
    </row>
    <row r="65" spans="1:16" x14ac:dyDescent="0.35">
      <c r="A65" s="14" t="str">
        <f t="shared" si="0"/>
        <v xml:space="preserve"> 2024 JUL-DEC B1G2 LICENSE BABY</v>
      </c>
      <c r="B65" s="35">
        <f t="shared" si="1"/>
        <v>46086</v>
      </c>
      <c r="C65" s="35">
        <f t="shared" si="2"/>
        <v>46092</v>
      </c>
      <c r="D65" s="34">
        <v>3284</v>
      </c>
      <c r="E65" s="34">
        <v>338</v>
      </c>
      <c r="F65" s="34">
        <v>4</v>
      </c>
      <c r="G65" s="34">
        <v>4</v>
      </c>
      <c r="H65" s="34">
        <v>81421</v>
      </c>
      <c r="I65" s="34" t="s">
        <v>17</v>
      </c>
      <c r="J65" s="34">
        <v>45483263</v>
      </c>
      <c r="K65" s="34" t="s">
        <v>4088</v>
      </c>
      <c r="L65" s="40" t="s">
        <v>4089</v>
      </c>
      <c r="M65" s="36">
        <v>219900</v>
      </c>
      <c r="N65" s="37" t="s">
        <v>2569</v>
      </c>
      <c r="O65" s="36" t="str">
        <f t="shared" si="3"/>
        <v>B1G2</v>
      </c>
      <c r="P65" s="34" t="s">
        <v>2569</v>
      </c>
    </row>
    <row r="66" spans="1:16" x14ac:dyDescent="0.35">
      <c r="A66" s="14" t="str">
        <f t="shared" si="0"/>
        <v xml:space="preserve"> 2024 JUL-DEC B1G2 LICENSE BABY</v>
      </c>
      <c r="B66" s="35">
        <f t="shared" si="1"/>
        <v>46086</v>
      </c>
      <c r="C66" s="35">
        <f t="shared" si="2"/>
        <v>46092</v>
      </c>
      <c r="D66" s="34">
        <v>3284</v>
      </c>
      <c r="E66" s="34">
        <v>338</v>
      </c>
      <c r="F66" s="34">
        <v>4</v>
      </c>
      <c r="G66" s="34">
        <v>4</v>
      </c>
      <c r="H66" s="34">
        <v>81421</v>
      </c>
      <c r="I66" s="34" t="s">
        <v>17</v>
      </c>
      <c r="J66" s="34">
        <v>45483272</v>
      </c>
      <c r="K66" s="34" t="s">
        <v>4088</v>
      </c>
      <c r="L66" s="40" t="s">
        <v>4090</v>
      </c>
      <c r="M66" s="36">
        <v>219900</v>
      </c>
      <c r="N66" s="37" t="s">
        <v>2569</v>
      </c>
      <c r="O66" s="36" t="str">
        <f t="shared" si="3"/>
        <v>B1G2</v>
      </c>
      <c r="P66" s="34" t="s">
        <v>2569</v>
      </c>
    </row>
    <row r="67" spans="1:16" x14ac:dyDescent="0.35">
      <c r="A67" s="14" t="str">
        <f t="shared" si="0"/>
        <v xml:space="preserve"> 2024 JUL-DEC B1G2 LICENSE BABY</v>
      </c>
      <c r="B67" s="35">
        <f t="shared" si="1"/>
        <v>46086</v>
      </c>
      <c r="C67" s="35">
        <f t="shared" si="2"/>
        <v>46092</v>
      </c>
      <c r="D67" s="34">
        <v>3284</v>
      </c>
      <c r="E67" s="34">
        <v>338</v>
      </c>
      <c r="F67" s="34">
        <v>4</v>
      </c>
      <c r="G67" s="34">
        <v>4</v>
      </c>
      <c r="H67" s="34">
        <v>81421</v>
      </c>
      <c r="I67" s="34" t="s">
        <v>17</v>
      </c>
      <c r="J67" s="34">
        <v>45483281</v>
      </c>
      <c r="K67" s="34" t="s">
        <v>4088</v>
      </c>
      <c r="L67" s="40" t="s">
        <v>4091</v>
      </c>
      <c r="M67" s="36">
        <v>219900</v>
      </c>
      <c r="N67" s="37" t="s">
        <v>2569</v>
      </c>
      <c r="O67" s="36" t="str">
        <f t="shared" si="3"/>
        <v>B1G2</v>
      </c>
      <c r="P67" s="34" t="s">
        <v>2569</v>
      </c>
    </row>
    <row r="68" spans="1:16" x14ac:dyDescent="0.35">
      <c r="A68" s="14" t="str">
        <f t="shared" ref="A68:A131" si="4">A67</f>
        <v xml:space="preserve"> 2024 JUL-DEC B1G2 LICENSE BABY</v>
      </c>
      <c r="B68" s="35">
        <f t="shared" ref="B68:B131" si="5">B67</f>
        <v>46086</v>
      </c>
      <c r="C68" s="35">
        <f t="shared" ref="C68:C131" si="6">C67</f>
        <v>46092</v>
      </c>
      <c r="D68" s="34">
        <v>3284</v>
      </c>
      <c r="E68" s="34">
        <v>338</v>
      </c>
      <c r="F68" s="34">
        <v>4</v>
      </c>
      <c r="G68" s="34">
        <v>4</v>
      </c>
      <c r="H68" s="34">
        <v>81421</v>
      </c>
      <c r="I68" s="34" t="s">
        <v>17</v>
      </c>
      <c r="J68" s="34">
        <v>45483290</v>
      </c>
      <c r="K68" s="34" t="s">
        <v>4088</v>
      </c>
      <c r="L68" s="40" t="s">
        <v>4092</v>
      </c>
      <c r="M68" s="36">
        <v>219900</v>
      </c>
      <c r="N68" s="37" t="s">
        <v>2569</v>
      </c>
      <c r="O68" s="36" t="str">
        <f t="shared" ref="O68:O131" si="7">O67</f>
        <v>B1G2</v>
      </c>
      <c r="P68" s="34" t="s">
        <v>2569</v>
      </c>
    </row>
    <row r="69" spans="1:16" x14ac:dyDescent="0.35">
      <c r="A69" s="14" t="str">
        <f t="shared" si="4"/>
        <v xml:space="preserve"> 2024 JUL-DEC B1G2 LICENSE BABY</v>
      </c>
      <c r="B69" s="35">
        <f t="shared" si="5"/>
        <v>46086</v>
      </c>
      <c r="C69" s="35">
        <f t="shared" si="6"/>
        <v>46092</v>
      </c>
      <c r="D69" s="34">
        <v>3284</v>
      </c>
      <c r="E69" s="34">
        <v>338</v>
      </c>
      <c r="F69" s="34">
        <v>4</v>
      </c>
      <c r="G69" s="34">
        <v>4</v>
      </c>
      <c r="H69" s="34">
        <v>80920</v>
      </c>
      <c r="I69" s="34" t="s">
        <v>17</v>
      </c>
      <c r="J69" s="34">
        <v>45456220</v>
      </c>
      <c r="K69" s="34" t="s">
        <v>4108</v>
      </c>
      <c r="L69" s="40" t="s">
        <v>4109</v>
      </c>
      <c r="M69" s="36">
        <v>219900</v>
      </c>
      <c r="N69" s="37" t="s">
        <v>2569</v>
      </c>
      <c r="O69" s="36" t="str">
        <f t="shared" si="7"/>
        <v>B1G2</v>
      </c>
      <c r="P69" s="34" t="s">
        <v>2569</v>
      </c>
    </row>
    <row r="70" spans="1:16" x14ac:dyDescent="0.35">
      <c r="A70" s="14" t="str">
        <f t="shared" si="4"/>
        <v xml:space="preserve"> 2024 JUL-DEC B1G2 LICENSE BABY</v>
      </c>
      <c r="B70" s="35">
        <f t="shared" si="5"/>
        <v>46086</v>
      </c>
      <c r="C70" s="35">
        <f t="shared" si="6"/>
        <v>46092</v>
      </c>
      <c r="D70" s="34">
        <v>3284</v>
      </c>
      <c r="E70" s="34">
        <v>338</v>
      </c>
      <c r="F70" s="34">
        <v>4</v>
      </c>
      <c r="G70" s="34">
        <v>4</v>
      </c>
      <c r="H70" s="34">
        <v>80920</v>
      </c>
      <c r="I70" s="34" t="s">
        <v>17</v>
      </c>
      <c r="J70" s="34">
        <v>45456239</v>
      </c>
      <c r="K70" s="34" t="s">
        <v>4108</v>
      </c>
      <c r="L70" s="40" t="s">
        <v>4110</v>
      </c>
      <c r="M70" s="36">
        <v>219900</v>
      </c>
      <c r="N70" s="37" t="s">
        <v>2569</v>
      </c>
      <c r="O70" s="36" t="str">
        <f t="shared" si="7"/>
        <v>B1G2</v>
      </c>
      <c r="P70" s="34" t="s">
        <v>2569</v>
      </c>
    </row>
    <row r="71" spans="1:16" x14ac:dyDescent="0.35">
      <c r="A71" s="14" t="str">
        <f t="shared" si="4"/>
        <v xml:space="preserve"> 2024 JUL-DEC B1G2 LICENSE BABY</v>
      </c>
      <c r="B71" s="35">
        <f t="shared" si="5"/>
        <v>46086</v>
      </c>
      <c r="C71" s="35">
        <f t="shared" si="6"/>
        <v>46092</v>
      </c>
      <c r="D71" s="34">
        <v>3284</v>
      </c>
      <c r="E71" s="34">
        <v>338</v>
      </c>
      <c r="F71" s="34">
        <v>4</v>
      </c>
      <c r="G71" s="34">
        <v>4</v>
      </c>
      <c r="H71" s="34">
        <v>80920</v>
      </c>
      <c r="I71" s="34" t="s">
        <v>17</v>
      </c>
      <c r="J71" s="34">
        <v>45456248</v>
      </c>
      <c r="K71" s="34" t="s">
        <v>4108</v>
      </c>
      <c r="L71" s="40" t="s">
        <v>4111</v>
      </c>
      <c r="M71" s="36">
        <v>219900</v>
      </c>
      <c r="N71" s="37" t="s">
        <v>2569</v>
      </c>
      <c r="O71" s="36" t="str">
        <f t="shared" si="7"/>
        <v>B1G2</v>
      </c>
      <c r="P71" s="34" t="s">
        <v>2569</v>
      </c>
    </row>
    <row r="72" spans="1:16" x14ac:dyDescent="0.35">
      <c r="A72" s="14" t="str">
        <f t="shared" si="4"/>
        <v xml:space="preserve"> 2024 JUL-DEC B1G2 LICENSE BABY</v>
      </c>
      <c r="B72" s="35">
        <f t="shared" si="5"/>
        <v>46086</v>
      </c>
      <c r="C72" s="35">
        <f t="shared" si="6"/>
        <v>46092</v>
      </c>
      <c r="D72" s="34">
        <v>3284</v>
      </c>
      <c r="E72" s="34">
        <v>338</v>
      </c>
      <c r="F72" s="34">
        <v>4</v>
      </c>
      <c r="G72" s="34">
        <v>4</v>
      </c>
      <c r="H72" s="34">
        <v>80920</v>
      </c>
      <c r="I72" s="34" t="s">
        <v>17</v>
      </c>
      <c r="J72" s="34">
        <v>45456257</v>
      </c>
      <c r="K72" s="34" t="s">
        <v>4108</v>
      </c>
      <c r="L72" s="40" t="s">
        <v>4112</v>
      </c>
      <c r="M72" s="36">
        <v>219900</v>
      </c>
      <c r="N72" s="37" t="s">
        <v>2569</v>
      </c>
      <c r="O72" s="36" t="str">
        <f t="shared" si="7"/>
        <v>B1G2</v>
      </c>
      <c r="P72" s="34" t="s">
        <v>2569</v>
      </c>
    </row>
    <row r="73" spans="1:16" x14ac:dyDescent="0.35">
      <c r="A73" s="14" t="str">
        <f t="shared" si="4"/>
        <v xml:space="preserve"> 2024 JUL-DEC B1G2 LICENSE BABY</v>
      </c>
      <c r="B73" s="35">
        <f t="shared" si="5"/>
        <v>46086</v>
      </c>
      <c r="C73" s="35">
        <f t="shared" si="6"/>
        <v>46092</v>
      </c>
      <c r="D73" s="34">
        <v>3284</v>
      </c>
      <c r="E73" s="34">
        <v>338</v>
      </c>
      <c r="F73" s="34">
        <v>4</v>
      </c>
      <c r="G73" s="34">
        <v>4</v>
      </c>
      <c r="H73" s="34">
        <v>80920</v>
      </c>
      <c r="I73" s="34" t="s">
        <v>17</v>
      </c>
      <c r="J73" s="34">
        <v>45456266</v>
      </c>
      <c r="K73" s="34" t="s">
        <v>4103</v>
      </c>
      <c r="L73" s="40" t="s">
        <v>4104</v>
      </c>
      <c r="M73" s="36">
        <v>219900</v>
      </c>
      <c r="N73" s="37" t="s">
        <v>2569</v>
      </c>
      <c r="O73" s="36" t="str">
        <f t="shared" si="7"/>
        <v>B1G2</v>
      </c>
      <c r="P73" s="34" t="s">
        <v>2569</v>
      </c>
    </row>
    <row r="74" spans="1:16" x14ac:dyDescent="0.35">
      <c r="A74" s="14" t="str">
        <f t="shared" si="4"/>
        <v xml:space="preserve"> 2024 JUL-DEC B1G2 LICENSE BABY</v>
      </c>
      <c r="B74" s="35">
        <f t="shared" si="5"/>
        <v>46086</v>
      </c>
      <c r="C74" s="35">
        <f t="shared" si="6"/>
        <v>46092</v>
      </c>
      <c r="D74" s="34">
        <v>3284</v>
      </c>
      <c r="E74" s="34">
        <v>338</v>
      </c>
      <c r="F74" s="34">
        <v>4</v>
      </c>
      <c r="G74" s="34">
        <v>4</v>
      </c>
      <c r="H74" s="34">
        <v>80920</v>
      </c>
      <c r="I74" s="34" t="s">
        <v>17</v>
      </c>
      <c r="J74" s="34">
        <v>45456275</v>
      </c>
      <c r="K74" s="34" t="s">
        <v>4103</v>
      </c>
      <c r="L74" s="40" t="s">
        <v>4105</v>
      </c>
      <c r="M74" s="36">
        <v>219900</v>
      </c>
      <c r="N74" s="37" t="s">
        <v>2569</v>
      </c>
      <c r="O74" s="36" t="str">
        <f t="shared" si="7"/>
        <v>B1G2</v>
      </c>
      <c r="P74" s="34" t="s">
        <v>2569</v>
      </c>
    </row>
    <row r="75" spans="1:16" x14ac:dyDescent="0.35">
      <c r="A75" s="14" t="str">
        <f t="shared" si="4"/>
        <v xml:space="preserve"> 2024 JUL-DEC B1G2 LICENSE BABY</v>
      </c>
      <c r="B75" s="35">
        <f t="shared" si="5"/>
        <v>46086</v>
      </c>
      <c r="C75" s="35">
        <f t="shared" si="6"/>
        <v>46092</v>
      </c>
      <c r="D75" s="34">
        <v>3284</v>
      </c>
      <c r="E75" s="34">
        <v>338</v>
      </c>
      <c r="F75" s="34">
        <v>4</v>
      </c>
      <c r="G75" s="34">
        <v>4</v>
      </c>
      <c r="H75" s="34">
        <v>80920</v>
      </c>
      <c r="I75" s="34" t="s">
        <v>17</v>
      </c>
      <c r="J75" s="34">
        <v>45456284</v>
      </c>
      <c r="K75" s="34" t="s">
        <v>4103</v>
      </c>
      <c r="L75" s="40" t="s">
        <v>4107</v>
      </c>
      <c r="M75" s="36">
        <v>219900</v>
      </c>
      <c r="N75" s="37" t="s">
        <v>2569</v>
      </c>
      <c r="O75" s="36" t="str">
        <f t="shared" si="7"/>
        <v>B1G2</v>
      </c>
      <c r="P75" s="34" t="s">
        <v>2569</v>
      </c>
    </row>
    <row r="76" spans="1:16" x14ac:dyDescent="0.35">
      <c r="A76" s="14" t="str">
        <f t="shared" si="4"/>
        <v xml:space="preserve"> 2024 JUL-DEC B1G2 LICENSE BABY</v>
      </c>
      <c r="B76" s="35">
        <f t="shared" si="5"/>
        <v>46086</v>
      </c>
      <c r="C76" s="35">
        <f t="shared" si="6"/>
        <v>46092</v>
      </c>
      <c r="D76" s="34">
        <v>3284</v>
      </c>
      <c r="E76" s="34">
        <v>338</v>
      </c>
      <c r="F76" s="34">
        <v>4</v>
      </c>
      <c r="G76" s="34">
        <v>4</v>
      </c>
      <c r="H76" s="34">
        <v>80920</v>
      </c>
      <c r="I76" s="34" t="s">
        <v>17</v>
      </c>
      <c r="J76" s="34">
        <v>45456293</v>
      </c>
      <c r="K76" s="34" t="s">
        <v>4103</v>
      </c>
      <c r="L76" s="40" t="s">
        <v>4106</v>
      </c>
      <c r="M76" s="36">
        <v>219900</v>
      </c>
      <c r="N76" s="37" t="s">
        <v>2569</v>
      </c>
      <c r="O76" s="36" t="str">
        <f t="shared" si="7"/>
        <v>B1G2</v>
      </c>
      <c r="P76" s="34" t="s">
        <v>2569</v>
      </c>
    </row>
    <row r="77" spans="1:16" x14ac:dyDescent="0.35">
      <c r="A77" s="14" t="str">
        <f t="shared" si="4"/>
        <v xml:space="preserve"> 2024 JUL-DEC B1G2 LICENSE BABY</v>
      </c>
      <c r="B77" s="35">
        <f t="shared" si="5"/>
        <v>46086</v>
      </c>
      <c r="C77" s="35">
        <f t="shared" si="6"/>
        <v>46092</v>
      </c>
      <c r="D77" s="34">
        <v>3284</v>
      </c>
      <c r="E77" s="34">
        <v>338</v>
      </c>
      <c r="F77" s="34">
        <v>4</v>
      </c>
      <c r="G77" s="34">
        <v>4</v>
      </c>
      <c r="H77" s="34">
        <v>81506</v>
      </c>
      <c r="I77" s="34" t="s">
        <v>17</v>
      </c>
      <c r="J77" s="34">
        <v>45456186</v>
      </c>
      <c r="K77" s="34" t="s">
        <v>4093</v>
      </c>
      <c r="L77" s="40" t="s">
        <v>4094</v>
      </c>
      <c r="M77" s="36">
        <v>229900</v>
      </c>
      <c r="N77" s="37" t="s">
        <v>2569</v>
      </c>
      <c r="O77" s="36" t="str">
        <f t="shared" si="7"/>
        <v>B1G2</v>
      </c>
      <c r="P77" s="34" t="s">
        <v>2569</v>
      </c>
    </row>
    <row r="78" spans="1:16" x14ac:dyDescent="0.35">
      <c r="A78" s="14" t="str">
        <f t="shared" si="4"/>
        <v xml:space="preserve"> 2024 JUL-DEC B1G2 LICENSE BABY</v>
      </c>
      <c r="B78" s="35">
        <f t="shared" si="5"/>
        <v>46086</v>
      </c>
      <c r="C78" s="35">
        <f t="shared" si="6"/>
        <v>46092</v>
      </c>
      <c r="D78" s="34">
        <v>3284</v>
      </c>
      <c r="E78" s="34">
        <v>338</v>
      </c>
      <c r="F78" s="34">
        <v>4</v>
      </c>
      <c r="G78" s="34">
        <v>4</v>
      </c>
      <c r="H78" s="34">
        <v>81506</v>
      </c>
      <c r="I78" s="34" t="s">
        <v>17</v>
      </c>
      <c r="J78" s="34">
        <v>45456195</v>
      </c>
      <c r="K78" s="34" t="s">
        <v>4093</v>
      </c>
      <c r="L78" s="40" t="s">
        <v>4095</v>
      </c>
      <c r="M78" s="36">
        <v>229900</v>
      </c>
      <c r="N78" s="37" t="s">
        <v>2569</v>
      </c>
      <c r="O78" s="36" t="str">
        <f t="shared" si="7"/>
        <v>B1G2</v>
      </c>
      <c r="P78" s="34" t="s">
        <v>2569</v>
      </c>
    </row>
    <row r="79" spans="1:16" x14ac:dyDescent="0.35">
      <c r="A79" s="14" t="str">
        <f t="shared" si="4"/>
        <v xml:space="preserve"> 2024 JUL-DEC B1G2 LICENSE BABY</v>
      </c>
      <c r="B79" s="35">
        <f t="shared" si="5"/>
        <v>46086</v>
      </c>
      <c r="C79" s="35">
        <f t="shared" si="6"/>
        <v>46092</v>
      </c>
      <c r="D79" s="34">
        <v>3284</v>
      </c>
      <c r="E79" s="34">
        <v>338</v>
      </c>
      <c r="F79" s="34">
        <v>4</v>
      </c>
      <c r="G79" s="34">
        <v>4</v>
      </c>
      <c r="H79" s="34">
        <v>81506</v>
      </c>
      <c r="I79" s="34" t="s">
        <v>17</v>
      </c>
      <c r="J79" s="34">
        <v>45456202</v>
      </c>
      <c r="K79" s="34" t="s">
        <v>4093</v>
      </c>
      <c r="L79" s="40" t="s">
        <v>4096</v>
      </c>
      <c r="M79" s="36">
        <v>229900</v>
      </c>
      <c r="N79" s="37" t="s">
        <v>2569</v>
      </c>
      <c r="O79" s="36" t="str">
        <f t="shared" si="7"/>
        <v>B1G2</v>
      </c>
      <c r="P79" s="34" t="s">
        <v>2569</v>
      </c>
    </row>
    <row r="80" spans="1:16" x14ac:dyDescent="0.35">
      <c r="A80" s="14" t="str">
        <f t="shared" si="4"/>
        <v xml:space="preserve"> 2024 JUL-DEC B1G2 LICENSE BABY</v>
      </c>
      <c r="B80" s="35">
        <f t="shared" si="5"/>
        <v>46086</v>
      </c>
      <c r="C80" s="35">
        <f t="shared" si="6"/>
        <v>46092</v>
      </c>
      <c r="D80" s="34">
        <v>3284</v>
      </c>
      <c r="E80" s="34">
        <v>338</v>
      </c>
      <c r="F80" s="34">
        <v>4</v>
      </c>
      <c r="G80" s="34">
        <v>4</v>
      </c>
      <c r="H80" s="34">
        <v>81506</v>
      </c>
      <c r="I80" s="34" t="s">
        <v>17</v>
      </c>
      <c r="J80" s="34">
        <v>45456211</v>
      </c>
      <c r="K80" s="34" t="s">
        <v>4093</v>
      </c>
      <c r="L80" s="40" t="s">
        <v>4097</v>
      </c>
      <c r="M80" s="36">
        <v>229900</v>
      </c>
      <c r="N80" s="37" t="s">
        <v>2569</v>
      </c>
      <c r="O80" s="36" t="str">
        <f t="shared" si="7"/>
        <v>B1G2</v>
      </c>
      <c r="P80" s="34" t="s">
        <v>2569</v>
      </c>
    </row>
    <row r="81" spans="1:16" x14ac:dyDescent="0.35">
      <c r="A81" s="14" t="str">
        <f t="shared" si="4"/>
        <v xml:space="preserve"> 2024 JUL-DEC B1G2 LICENSE BABY</v>
      </c>
      <c r="B81" s="35">
        <f t="shared" si="5"/>
        <v>46086</v>
      </c>
      <c r="C81" s="35">
        <f t="shared" si="6"/>
        <v>46092</v>
      </c>
      <c r="D81" s="34">
        <v>3284</v>
      </c>
      <c r="E81" s="34">
        <v>338</v>
      </c>
      <c r="F81" s="34">
        <v>4</v>
      </c>
      <c r="G81" s="34">
        <v>4</v>
      </c>
      <c r="H81" s="34">
        <v>81506</v>
      </c>
      <c r="I81" s="34" t="s">
        <v>17</v>
      </c>
      <c r="J81" s="34">
        <v>45456300</v>
      </c>
      <c r="K81" s="34" t="s">
        <v>4098</v>
      </c>
      <c r="L81" s="40" t="s">
        <v>4099</v>
      </c>
      <c r="M81" s="36">
        <v>239900</v>
      </c>
      <c r="N81" s="37" t="s">
        <v>2569</v>
      </c>
      <c r="O81" s="36" t="str">
        <f t="shared" si="7"/>
        <v>B1G2</v>
      </c>
      <c r="P81" s="34" t="s">
        <v>2569</v>
      </c>
    </row>
    <row r="82" spans="1:16" x14ac:dyDescent="0.35">
      <c r="A82" s="14" t="str">
        <f t="shared" si="4"/>
        <v xml:space="preserve"> 2024 JUL-DEC B1G2 LICENSE BABY</v>
      </c>
      <c r="B82" s="35">
        <f t="shared" si="5"/>
        <v>46086</v>
      </c>
      <c r="C82" s="35">
        <f t="shared" si="6"/>
        <v>46092</v>
      </c>
      <c r="D82" s="34">
        <v>3284</v>
      </c>
      <c r="E82" s="34">
        <v>338</v>
      </c>
      <c r="F82" s="34">
        <v>4</v>
      </c>
      <c r="G82" s="34">
        <v>4</v>
      </c>
      <c r="H82" s="34">
        <v>81506</v>
      </c>
      <c r="I82" s="34" t="s">
        <v>17</v>
      </c>
      <c r="J82" s="34">
        <v>45456319</v>
      </c>
      <c r="K82" s="34" t="s">
        <v>4098</v>
      </c>
      <c r="L82" s="40" t="s">
        <v>4100</v>
      </c>
      <c r="M82" s="36">
        <v>239900</v>
      </c>
      <c r="N82" s="37" t="s">
        <v>2569</v>
      </c>
      <c r="O82" s="36" t="str">
        <f t="shared" si="7"/>
        <v>B1G2</v>
      </c>
      <c r="P82" s="34" t="s">
        <v>2569</v>
      </c>
    </row>
    <row r="83" spans="1:16" x14ac:dyDescent="0.35">
      <c r="A83" s="14" t="str">
        <f t="shared" si="4"/>
        <v xml:space="preserve"> 2024 JUL-DEC B1G2 LICENSE BABY</v>
      </c>
      <c r="B83" s="35">
        <f t="shared" si="5"/>
        <v>46086</v>
      </c>
      <c r="C83" s="35">
        <f t="shared" si="6"/>
        <v>46092</v>
      </c>
      <c r="D83" s="34">
        <v>3284</v>
      </c>
      <c r="E83" s="34">
        <v>338</v>
      </c>
      <c r="F83" s="34">
        <v>4</v>
      </c>
      <c r="G83" s="34">
        <v>4</v>
      </c>
      <c r="H83" s="34">
        <v>81506</v>
      </c>
      <c r="I83" s="34" t="s">
        <v>17</v>
      </c>
      <c r="J83" s="34">
        <v>45456328</v>
      </c>
      <c r="K83" s="34" t="s">
        <v>4098</v>
      </c>
      <c r="L83" s="40" t="s">
        <v>4101</v>
      </c>
      <c r="M83" s="36">
        <v>239900</v>
      </c>
      <c r="N83" s="37" t="s">
        <v>2569</v>
      </c>
      <c r="O83" s="36" t="str">
        <f t="shared" si="7"/>
        <v>B1G2</v>
      </c>
      <c r="P83" s="34" t="s">
        <v>2569</v>
      </c>
    </row>
    <row r="84" spans="1:16" x14ac:dyDescent="0.35">
      <c r="A84" s="14" t="str">
        <f t="shared" si="4"/>
        <v xml:space="preserve"> 2024 JUL-DEC B1G2 LICENSE BABY</v>
      </c>
      <c r="B84" s="35">
        <f t="shared" si="5"/>
        <v>46086</v>
      </c>
      <c r="C84" s="35">
        <f t="shared" si="6"/>
        <v>46092</v>
      </c>
      <c r="D84" s="34">
        <v>3284</v>
      </c>
      <c r="E84" s="34">
        <v>338</v>
      </c>
      <c r="F84" s="34">
        <v>4</v>
      </c>
      <c r="G84" s="34">
        <v>4</v>
      </c>
      <c r="H84" s="34">
        <v>81506</v>
      </c>
      <c r="I84" s="34" t="s">
        <v>17</v>
      </c>
      <c r="J84" s="34">
        <v>45456337</v>
      </c>
      <c r="K84" s="34" t="s">
        <v>4098</v>
      </c>
      <c r="L84" s="40" t="s">
        <v>4102</v>
      </c>
      <c r="M84" s="36">
        <v>239900</v>
      </c>
      <c r="N84" s="37" t="s">
        <v>2569</v>
      </c>
      <c r="O84" s="36" t="str">
        <f t="shared" si="7"/>
        <v>B1G2</v>
      </c>
      <c r="P84" s="34" t="s">
        <v>2569</v>
      </c>
    </row>
    <row r="85" spans="1:16" x14ac:dyDescent="0.35">
      <c r="A85" s="14" t="str">
        <f t="shared" si="4"/>
        <v xml:space="preserve"> 2024 JUL-DEC B1G2 LICENSE BABY</v>
      </c>
      <c r="B85" s="35">
        <f t="shared" si="5"/>
        <v>46086</v>
      </c>
      <c r="C85" s="35">
        <f t="shared" si="6"/>
        <v>46092</v>
      </c>
      <c r="D85" s="34">
        <v>3284</v>
      </c>
      <c r="E85" s="34">
        <v>338</v>
      </c>
      <c r="F85" s="34">
        <v>4</v>
      </c>
      <c r="G85" s="34">
        <v>5</v>
      </c>
      <c r="H85" s="34">
        <v>81146</v>
      </c>
      <c r="I85" s="34" t="s">
        <v>17</v>
      </c>
      <c r="J85" s="34">
        <v>45456346</v>
      </c>
      <c r="K85" s="34" t="s">
        <v>4361</v>
      </c>
      <c r="L85" s="40" t="s">
        <v>4362</v>
      </c>
      <c r="M85" s="36">
        <v>219900</v>
      </c>
      <c r="N85" s="37" t="s">
        <v>2569</v>
      </c>
      <c r="O85" s="36" t="str">
        <f t="shared" si="7"/>
        <v>B1G2</v>
      </c>
      <c r="P85" s="34" t="s">
        <v>2569</v>
      </c>
    </row>
    <row r="86" spans="1:16" x14ac:dyDescent="0.35">
      <c r="A86" s="14" t="str">
        <f t="shared" si="4"/>
        <v xml:space="preserve"> 2024 JUL-DEC B1G2 LICENSE BABY</v>
      </c>
      <c r="B86" s="35">
        <f t="shared" si="5"/>
        <v>46086</v>
      </c>
      <c r="C86" s="35">
        <f t="shared" si="6"/>
        <v>46092</v>
      </c>
      <c r="D86" s="34">
        <v>3284</v>
      </c>
      <c r="E86" s="34">
        <v>338</v>
      </c>
      <c r="F86" s="34">
        <v>4</v>
      </c>
      <c r="G86" s="34">
        <v>5</v>
      </c>
      <c r="H86" s="34">
        <v>81146</v>
      </c>
      <c r="I86" s="34" t="s">
        <v>17</v>
      </c>
      <c r="J86" s="34">
        <v>45456355</v>
      </c>
      <c r="K86" s="34" t="s">
        <v>4361</v>
      </c>
      <c r="L86" s="40" t="s">
        <v>4363</v>
      </c>
      <c r="M86" s="36">
        <v>219900</v>
      </c>
      <c r="N86" s="37" t="s">
        <v>2569</v>
      </c>
      <c r="O86" s="36" t="str">
        <f t="shared" si="7"/>
        <v>B1G2</v>
      </c>
      <c r="P86" s="34" t="s">
        <v>2569</v>
      </c>
    </row>
    <row r="87" spans="1:16" x14ac:dyDescent="0.35">
      <c r="A87" s="14" t="str">
        <f t="shared" si="4"/>
        <v xml:space="preserve"> 2024 JUL-DEC B1G2 LICENSE BABY</v>
      </c>
      <c r="B87" s="35">
        <f t="shared" si="5"/>
        <v>46086</v>
      </c>
      <c r="C87" s="35">
        <f t="shared" si="6"/>
        <v>46092</v>
      </c>
      <c r="D87" s="34">
        <v>3284</v>
      </c>
      <c r="E87" s="34">
        <v>338</v>
      </c>
      <c r="F87" s="34">
        <v>4</v>
      </c>
      <c r="G87" s="34">
        <v>5</v>
      </c>
      <c r="H87" s="34">
        <v>81146</v>
      </c>
      <c r="I87" s="34" t="s">
        <v>17</v>
      </c>
      <c r="J87" s="34">
        <v>45456364</v>
      </c>
      <c r="K87" s="34" t="s">
        <v>4361</v>
      </c>
      <c r="L87" s="40" t="s">
        <v>4364</v>
      </c>
      <c r="M87" s="36">
        <v>219900</v>
      </c>
      <c r="N87" s="37" t="s">
        <v>2569</v>
      </c>
      <c r="O87" s="36" t="str">
        <f t="shared" si="7"/>
        <v>B1G2</v>
      </c>
      <c r="P87" s="34" t="s">
        <v>2569</v>
      </c>
    </row>
    <row r="88" spans="1:16" x14ac:dyDescent="0.35">
      <c r="A88" s="14" t="str">
        <f t="shared" si="4"/>
        <v xml:space="preserve"> 2024 JUL-DEC B1G2 LICENSE BABY</v>
      </c>
      <c r="B88" s="35">
        <f t="shared" si="5"/>
        <v>46086</v>
      </c>
      <c r="C88" s="35">
        <f t="shared" si="6"/>
        <v>46092</v>
      </c>
      <c r="D88" s="34">
        <v>3284</v>
      </c>
      <c r="E88" s="34">
        <v>338</v>
      </c>
      <c r="F88" s="34">
        <v>4</v>
      </c>
      <c r="G88" s="34">
        <v>5</v>
      </c>
      <c r="H88" s="34">
        <v>81146</v>
      </c>
      <c r="I88" s="34" t="s">
        <v>17</v>
      </c>
      <c r="J88" s="34">
        <v>45456373</v>
      </c>
      <c r="K88" s="34" t="s">
        <v>4361</v>
      </c>
      <c r="L88" s="40" t="s">
        <v>4365</v>
      </c>
      <c r="M88" s="36">
        <v>219900</v>
      </c>
      <c r="N88" s="37" t="s">
        <v>2569</v>
      </c>
      <c r="O88" s="36" t="str">
        <f t="shared" si="7"/>
        <v>B1G2</v>
      </c>
      <c r="P88" s="34" t="s">
        <v>2569</v>
      </c>
    </row>
    <row r="89" spans="1:16" x14ac:dyDescent="0.35">
      <c r="A89" s="14" t="str">
        <f t="shared" si="4"/>
        <v xml:space="preserve"> 2024 JUL-DEC B1G2 LICENSE BABY</v>
      </c>
      <c r="B89" s="35">
        <f t="shared" si="5"/>
        <v>46086</v>
      </c>
      <c r="C89" s="35">
        <f t="shared" si="6"/>
        <v>46092</v>
      </c>
      <c r="D89" s="34">
        <v>3284</v>
      </c>
      <c r="E89" s="34">
        <v>338</v>
      </c>
      <c r="F89" s="34">
        <v>4</v>
      </c>
      <c r="G89" s="34">
        <v>3</v>
      </c>
      <c r="H89" s="34">
        <v>80920</v>
      </c>
      <c r="I89" s="34" t="s">
        <v>17</v>
      </c>
      <c r="J89" s="34">
        <v>48228122</v>
      </c>
      <c r="K89" s="34" t="s">
        <v>4366</v>
      </c>
      <c r="L89" s="40" t="s">
        <v>4369</v>
      </c>
      <c r="M89" s="36">
        <v>179900</v>
      </c>
      <c r="N89" s="37" t="s">
        <v>2569</v>
      </c>
      <c r="O89" s="36" t="str">
        <f t="shared" si="7"/>
        <v>B1G2</v>
      </c>
      <c r="P89" s="34" t="s">
        <v>2569</v>
      </c>
    </row>
    <row r="90" spans="1:16" x14ac:dyDescent="0.35">
      <c r="A90" s="14" t="str">
        <f t="shared" si="4"/>
        <v xml:space="preserve"> 2024 JUL-DEC B1G2 LICENSE BABY</v>
      </c>
      <c r="B90" s="35">
        <f t="shared" si="5"/>
        <v>46086</v>
      </c>
      <c r="C90" s="35">
        <f t="shared" si="6"/>
        <v>46092</v>
      </c>
      <c r="D90" s="34">
        <v>3284</v>
      </c>
      <c r="E90" s="34">
        <v>338</v>
      </c>
      <c r="F90" s="34">
        <v>4</v>
      </c>
      <c r="G90" s="34">
        <v>3</v>
      </c>
      <c r="H90" s="34">
        <v>80920</v>
      </c>
      <c r="I90" s="34" t="s">
        <v>17</v>
      </c>
      <c r="J90" s="34">
        <v>48228131</v>
      </c>
      <c r="K90" s="34" t="s">
        <v>4366</v>
      </c>
      <c r="L90" s="40" t="s">
        <v>4370</v>
      </c>
      <c r="M90" s="36">
        <v>179900</v>
      </c>
      <c r="N90" s="37" t="s">
        <v>2569</v>
      </c>
      <c r="O90" s="36" t="str">
        <f t="shared" si="7"/>
        <v>B1G2</v>
      </c>
      <c r="P90" s="34" t="s">
        <v>2569</v>
      </c>
    </row>
    <row r="91" spans="1:16" x14ac:dyDescent="0.35">
      <c r="A91" s="14" t="str">
        <f t="shared" si="4"/>
        <v xml:space="preserve"> 2024 JUL-DEC B1G2 LICENSE BABY</v>
      </c>
      <c r="B91" s="35">
        <f t="shared" si="5"/>
        <v>46086</v>
      </c>
      <c r="C91" s="35">
        <f t="shared" si="6"/>
        <v>46092</v>
      </c>
      <c r="D91" s="34">
        <v>3284</v>
      </c>
      <c r="E91" s="34">
        <v>338</v>
      </c>
      <c r="F91" s="34">
        <v>4</v>
      </c>
      <c r="G91" s="34">
        <v>3</v>
      </c>
      <c r="H91" s="34">
        <v>80920</v>
      </c>
      <c r="I91" s="34" t="s">
        <v>17</v>
      </c>
      <c r="J91" s="34">
        <v>48228140</v>
      </c>
      <c r="K91" s="34" t="s">
        <v>4366</v>
      </c>
      <c r="L91" s="40" t="s">
        <v>4367</v>
      </c>
      <c r="M91" s="36">
        <v>179900</v>
      </c>
      <c r="N91" s="37" t="s">
        <v>2569</v>
      </c>
      <c r="O91" s="36" t="str">
        <f t="shared" si="7"/>
        <v>B1G2</v>
      </c>
      <c r="P91" s="34" t="s">
        <v>2569</v>
      </c>
    </row>
    <row r="92" spans="1:16" x14ac:dyDescent="0.35">
      <c r="A92" s="14" t="str">
        <f t="shared" si="4"/>
        <v xml:space="preserve"> 2024 JUL-DEC B1G2 LICENSE BABY</v>
      </c>
      <c r="B92" s="35">
        <f t="shared" si="5"/>
        <v>46086</v>
      </c>
      <c r="C92" s="35">
        <f t="shared" si="6"/>
        <v>46092</v>
      </c>
      <c r="D92" s="34">
        <v>3284</v>
      </c>
      <c r="E92" s="34">
        <v>338</v>
      </c>
      <c r="F92" s="34">
        <v>4</v>
      </c>
      <c r="G92" s="34">
        <v>3</v>
      </c>
      <c r="H92" s="34">
        <v>80920</v>
      </c>
      <c r="I92" s="34" t="s">
        <v>17</v>
      </c>
      <c r="J92" s="34">
        <v>48228159</v>
      </c>
      <c r="K92" s="34" t="s">
        <v>4366</v>
      </c>
      <c r="L92" s="40" t="s">
        <v>4368</v>
      </c>
      <c r="M92" s="36">
        <v>179900</v>
      </c>
      <c r="N92" s="37" t="s">
        <v>2569</v>
      </c>
      <c r="O92" s="36" t="str">
        <f t="shared" si="7"/>
        <v>B1G2</v>
      </c>
      <c r="P92" s="34" t="s">
        <v>2569</v>
      </c>
    </row>
    <row r="93" spans="1:16" x14ac:dyDescent="0.35">
      <c r="A93" s="14" t="str">
        <f t="shared" si="4"/>
        <v xml:space="preserve"> 2024 JUL-DEC B1G2 LICENSE BABY</v>
      </c>
      <c r="B93" s="35">
        <f t="shared" si="5"/>
        <v>46086</v>
      </c>
      <c r="C93" s="35">
        <f t="shared" si="6"/>
        <v>46092</v>
      </c>
      <c r="D93" s="34">
        <v>3284</v>
      </c>
      <c r="E93" s="34">
        <v>338</v>
      </c>
      <c r="F93" s="34">
        <v>4</v>
      </c>
      <c r="G93" s="34">
        <v>5</v>
      </c>
      <c r="H93" s="34">
        <v>80920</v>
      </c>
      <c r="I93" s="34" t="s">
        <v>17</v>
      </c>
      <c r="J93" s="34">
        <v>48228088</v>
      </c>
      <c r="K93" s="34" t="s">
        <v>4371</v>
      </c>
      <c r="L93" s="40" t="s">
        <v>4374</v>
      </c>
      <c r="M93" s="36">
        <v>219900</v>
      </c>
      <c r="N93" s="37" t="s">
        <v>2569</v>
      </c>
      <c r="O93" s="36" t="str">
        <f t="shared" si="7"/>
        <v>B1G2</v>
      </c>
      <c r="P93" s="34" t="s">
        <v>2569</v>
      </c>
    </row>
    <row r="94" spans="1:16" x14ac:dyDescent="0.35">
      <c r="A94" s="14" t="str">
        <f t="shared" si="4"/>
        <v xml:space="preserve"> 2024 JUL-DEC B1G2 LICENSE BABY</v>
      </c>
      <c r="B94" s="35">
        <f t="shared" si="5"/>
        <v>46086</v>
      </c>
      <c r="C94" s="35">
        <f t="shared" si="6"/>
        <v>46092</v>
      </c>
      <c r="D94" s="34">
        <v>3284</v>
      </c>
      <c r="E94" s="34">
        <v>338</v>
      </c>
      <c r="F94" s="34">
        <v>4</v>
      </c>
      <c r="G94" s="34">
        <v>5</v>
      </c>
      <c r="H94" s="34">
        <v>80920</v>
      </c>
      <c r="I94" s="34" t="s">
        <v>17</v>
      </c>
      <c r="J94" s="34">
        <v>48228097</v>
      </c>
      <c r="K94" s="34" t="s">
        <v>4371</v>
      </c>
      <c r="L94" s="40" t="s">
        <v>4375</v>
      </c>
      <c r="M94" s="36">
        <v>219900</v>
      </c>
      <c r="N94" s="37" t="s">
        <v>2569</v>
      </c>
      <c r="O94" s="36" t="str">
        <f t="shared" si="7"/>
        <v>B1G2</v>
      </c>
      <c r="P94" s="34" t="s">
        <v>2569</v>
      </c>
    </row>
    <row r="95" spans="1:16" x14ac:dyDescent="0.35">
      <c r="A95" s="14" t="str">
        <f t="shared" si="4"/>
        <v xml:space="preserve"> 2024 JUL-DEC B1G2 LICENSE BABY</v>
      </c>
      <c r="B95" s="35">
        <f t="shared" si="5"/>
        <v>46086</v>
      </c>
      <c r="C95" s="35">
        <f t="shared" si="6"/>
        <v>46092</v>
      </c>
      <c r="D95" s="34">
        <v>3284</v>
      </c>
      <c r="E95" s="34">
        <v>338</v>
      </c>
      <c r="F95" s="34">
        <v>4</v>
      </c>
      <c r="G95" s="34">
        <v>5</v>
      </c>
      <c r="H95" s="34">
        <v>80920</v>
      </c>
      <c r="I95" s="34" t="s">
        <v>17</v>
      </c>
      <c r="J95" s="34">
        <v>48228104</v>
      </c>
      <c r="K95" s="34" t="s">
        <v>4371</v>
      </c>
      <c r="L95" s="40" t="s">
        <v>4372</v>
      </c>
      <c r="M95" s="36">
        <v>219900</v>
      </c>
      <c r="N95" s="37" t="s">
        <v>2569</v>
      </c>
      <c r="O95" s="36" t="str">
        <f t="shared" si="7"/>
        <v>B1G2</v>
      </c>
      <c r="P95" s="34" t="s">
        <v>2569</v>
      </c>
    </row>
    <row r="96" spans="1:16" x14ac:dyDescent="0.35">
      <c r="A96" s="14" t="str">
        <f t="shared" si="4"/>
        <v xml:space="preserve"> 2024 JUL-DEC B1G2 LICENSE BABY</v>
      </c>
      <c r="B96" s="35">
        <f t="shared" si="5"/>
        <v>46086</v>
      </c>
      <c r="C96" s="35">
        <f t="shared" si="6"/>
        <v>46092</v>
      </c>
      <c r="D96" s="34">
        <v>3284</v>
      </c>
      <c r="E96" s="34">
        <v>338</v>
      </c>
      <c r="F96" s="34">
        <v>4</v>
      </c>
      <c r="G96" s="34">
        <v>5</v>
      </c>
      <c r="H96" s="34">
        <v>80920</v>
      </c>
      <c r="I96" s="34" t="s">
        <v>17</v>
      </c>
      <c r="J96" s="34">
        <v>48228113</v>
      </c>
      <c r="K96" s="34" t="s">
        <v>4371</v>
      </c>
      <c r="L96" s="40" t="s">
        <v>4373</v>
      </c>
      <c r="M96" s="36">
        <v>219900</v>
      </c>
      <c r="N96" s="37" t="s">
        <v>2569</v>
      </c>
      <c r="O96" s="36" t="str">
        <f t="shared" si="7"/>
        <v>B1G2</v>
      </c>
      <c r="P96" s="34" t="s">
        <v>2569</v>
      </c>
    </row>
    <row r="97" spans="1:16" x14ac:dyDescent="0.35">
      <c r="A97" s="14" t="str">
        <f t="shared" si="4"/>
        <v xml:space="preserve"> 2024 JUL-DEC B1G2 LICENSE BABY</v>
      </c>
      <c r="B97" s="35">
        <f t="shared" si="5"/>
        <v>46086</v>
      </c>
      <c r="C97" s="35">
        <f t="shared" si="6"/>
        <v>46092</v>
      </c>
      <c r="D97" s="34">
        <v>3284</v>
      </c>
      <c r="E97" s="34">
        <v>338</v>
      </c>
      <c r="F97" s="34">
        <v>4</v>
      </c>
      <c r="G97" s="34">
        <v>1</v>
      </c>
      <c r="H97" s="34">
        <v>81146</v>
      </c>
      <c r="I97" s="34" t="s">
        <v>17</v>
      </c>
      <c r="J97" s="34">
        <v>48224895</v>
      </c>
      <c r="K97" s="34" t="s">
        <v>4477</v>
      </c>
      <c r="L97" s="40" t="s">
        <v>4479</v>
      </c>
      <c r="M97" s="36">
        <v>129900</v>
      </c>
      <c r="N97" s="37" t="s">
        <v>2569</v>
      </c>
      <c r="O97" s="36" t="str">
        <f t="shared" si="7"/>
        <v>B1G2</v>
      </c>
      <c r="P97" s="34" t="s">
        <v>2569</v>
      </c>
    </row>
    <row r="98" spans="1:16" x14ac:dyDescent="0.35">
      <c r="A98" s="14" t="str">
        <f t="shared" si="4"/>
        <v xml:space="preserve"> 2024 JUL-DEC B1G2 LICENSE BABY</v>
      </c>
      <c r="B98" s="35">
        <f t="shared" si="5"/>
        <v>46086</v>
      </c>
      <c r="C98" s="35">
        <f t="shared" si="6"/>
        <v>46092</v>
      </c>
      <c r="D98" s="34">
        <v>3284</v>
      </c>
      <c r="E98" s="34">
        <v>338</v>
      </c>
      <c r="F98" s="34">
        <v>4</v>
      </c>
      <c r="G98" s="34">
        <v>1</v>
      </c>
      <c r="H98" s="34">
        <v>81146</v>
      </c>
      <c r="I98" s="34" t="s">
        <v>17</v>
      </c>
      <c r="J98" s="34">
        <v>48224902</v>
      </c>
      <c r="K98" s="34" t="s">
        <v>4477</v>
      </c>
      <c r="L98" s="40" t="s">
        <v>4480</v>
      </c>
      <c r="M98" s="36">
        <v>129900</v>
      </c>
      <c r="N98" s="37" t="s">
        <v>2569</v>
      </c>
      <c r="O98" s="36" t="str">
        <f t="shared" si="7"/>
        <v>B1G2</v>
      </c>
      <c r="P98" s="34" t="s">
        <v>2569</v>
      </c>
    </row>
    <row r="99" spans="1:16" x14ac:dyDescent="0.35">
      <c r="A99" s="14" t="str">
        <f t="shared" si="4"/>
        <v xml:space="preserve"> 2024 JUL-DEC B1G2 LICENSE BABY</v>
      </c>
      <c r="B99" s="35">
        <f t="shared" si="5"/>
        <v>46086</v>
      </c>
      <c r="C99" s="35">
        <f t="shared" si="6"/>
        <v>46092</v>
      </c>
      <c r="D99" s="34">
        <v>3284</v>
      </c>
      <c r="E99" s="34">
        <v>338</v>
      </c>
      <c r="F99" s="34">
        <v>4</v>
      </c>
      <c r="G99" s="34">
        <v>1</v>
      </c>
      <c r="H99" s="34">
        <v>81146</v>
      </c>
      <c r="I99" s="34" t="s">
        <v>17</v>
      </c>
      <c r="J99" s="34">
        <v>48224911</v>
      </c>
      <c r="K99" s="34" t="s">
        <v>4477</v>
      </c>
      <c r="L99" s="40" t="s">
        <v>4478</v>
      </c>
      <c r="M99" s="36">
        <v>129900</v>
      </c>
      <c r="N99" s="37" t="s">
        <v>2569</v>
      </c>
      <c r="O99" s="36" t="str">
        <f t="shared" si="7"/>
        <v>B1G2</v>
      </c>
      <c r="P99" s="34" t="s">
        <v>2569</v>
      </c>
    </row>
    <row r="100" spans="1:16" x14ac:dyDescent="0.35">
      <c r="A100" s="14" t="str">
        <f t="shared" si="4"/>
        <v xml:space="preserve"> 2024 JUL-DEC B1G2 LICENSE BABY</v>
      </c>
      <c r="B100" s="35">
        <f t="shared" si="5"/>
        <v>46086</v>
      </c>
      <c r="C100" s="35">
        <f t="shared" si="6"/>
        <v>46092</v>
      </c>
      <c r="D100" s="34">
        <v>3284</v>
      </c>
      <c r="E100" s="34">
        <v>338</v>
      </c>
      <c r="F100" s="34">
        <v>4</v>
      </c>
      <c r="G100" s="34">
        <v>1</v>
      </c>
      <c r="H100" s="34">
        <v>81146</v>
      </c>
      <c r="I100" s="34" t="s">
        <v>17</v>
      </c>
      <c r="J100" s="34">
        <v>48224920</v>
      </c>
      <c r="K100" s="34" t="s">
        <v>4477</v>
      </c>
      <c r="L100" s="40" t="s">
        <v>4481</v>
      </c>
      <c r="M100" s="36">
        <v>129900</v>
      </c>
      <c r="N100" s="37" t="s">
        <v>2569</v>
      </c>
      <c r="O100" s="36" t="str">
        <f t="shared" si="7"/>
        <v>B1G2</v>
      </c>
      <c r="P100" s="34" t="s">
        <v>2569</v>
      </c>
    </row>
    <row r="101" spans="1:16" x14ac:dyDescent="0.35">
      <c r="A101" s="14" t="str">
        <f t="shared" si="4"/>
        <v xml:space="preserve"> 2024 JUL-DEC B1G2 LICENSE BABY</v>
      </c>
      <c r="B101" s="35">
        <f t="shared" si="5"/>
        <v>46086</v>
      </c>
      <c r="C101" s="35">
        <f t="shared" si="6"/>
        <v>46092</v>
      </c>
      <c r="D101" s="34">
        <v>3284</v>
      </c>
      <c r="E101" s="34">
        <v>338</v>
      </c>
      <c r="F101" s="34">
        <v>4</v>
      </c>
      <c r="G101" s="34">
        <v>1</v>
      </c>
      <c r="H101" s="34">
        <v>81146</v>
      </c>
      <c r="I101" s="34" t="s">
        <v>17</v>
      </c>
      <c r="J101" s="34">
        <v>48224939</v>
      </c>
      <c r="K101" s="34" t="s">
        <v>4492</v>
      </c>
      <c r="L101" s="40" t="s">
        <v>4494</v>
      </c>
      <c r="M101" s="36">
        <v>199900</v>
      </c>
      <c r="N101" s="37" t="s">
        <v>2569</v>
      </c>
      <c r="O101" s="36" t="str">
        <f t="shared" si="7"/>
        <v>B1G2</v>
      </c>
      <c r="P101" s="34" t="s">
        <v>2569</v>
      </c>
    </row>
    <row r="102" spans="1:16" x14ac:dyDescent="0.35">
      <c r="A102" s="14" t="str">
        <f t="shared" si="4"/>
        <v xml:space="preserve"> 2024 JUL-DEC B1G2 LICENSE BABY</v>
      </c>
      <c r="B102" s="35">
        <f t="shared" si="5"/>
        <v>46086</v>
      </c>
      <c r="C102" s="35">
        <f t="shared" si="6"/>
        <v>46092</v>
      </c>
      <c r="D102" s="34">
        <v>3284</v>
      </c>
      <c r="E102" s="34">
        <v>338</v>
      </c>
      <c r="F102" s="34">
        <v>4</v>
      </c>
      <c r="G102" s="34">
        <v>1</v>
      </c>
      <c r="H102" s="34">
        <v>81146</v>
      </c>
      <c r="I102" s="34" t="s">
        <v>17</v>
      </c>
      <c r="J102" s="34">
        <v>48224948</v>
      </c>
      <c r="K102" s="34" t="s">
        <v>4492</v>
      </c>
      <c r="L102" s="40" t="s">
        <v>4496</v>
      </c>
      <c r="M102" s="36">
        <v>199900</v>
      </c>
      <c r="N102" s="37" t="s">
        <v>2569</v>
      </c>
      <c r="O102" s="36" t="str">
        <f t="shared" si="7"/>
        <v>B1G2</v>
      </c>
      <c r="P102" s="34" t="s">
        <v>2569</v>
      </c>
    </row>
    <row r="103" spans="1:16" x14ac:dyDescent="0.35">
      <c r="A103" s="14" t="str">
        <f t="shared" si="4"/>
        <v xml:space="preserve"> 2024 JUL-DEC B1G2 LICENSE BABY</v>
      </c>
      <c r="B103" s="35">
        <f t="shared" si="5"/>
        <v>46086</v>
      </c>
      <c r="C103" s="35">
        <f t="shared" si="6"/>
        <v>46092</v>
      </c>
      <c r="D103" s="34">
        <v>3284</v>
      </c>
      <c r="E103" s="34">
        <v>338</v>
      </c>
      <c r="F103" s="34">
        <v>4</v>
      </c>
      <c r="G103" s="34">
        <v>1</v>
      </c>
      <c r="H103" s="34">
        <v>81146</v>
      </c>
      <c r="I103" s="34" t="s">
        <v>17</v>
      </c>
      <c r="J103" s="34">
        <v>48224957</v>
      </c>
      <c r="K103" s="34" t="s">
        <v>4492</v>
      </c>
      <c r="L103" s="40" t="s">
        <v>4495</v>
      </c>
      <c r="M103" s="36">
        <v>199900</v>
      </c>
      <c r="N103" s="37" t="s">
        <v>2569</v>
      </c>
      <c r="O103" s="36" t="str">
        <f t="shared" si="7"/>
        <v>B1G2</v>
      </c>
      <c r="P103" s="34" t="s">
        <v>2569</v>
      </c>
    </row>
    <row r="104" spans="1:16" x14ac:dyDescent="0.35">
      <c r="A104" s="14" t="str">
        <f t="shared" si="4"/>
        <v xml:space="preserve"> 2024 JUL-DEC B1G2 LICENSE BABY</v>
      </c>
      <c r="B104" s="35">
        <f t="shared" si="5"/>
        <v>46086</v>
      </c>
      <c r="C104" s="35">
        <f t="shared" si="6"/>
        <v>46092</v>
      </c>
      <c r="D104" s="34">
        <v>3284</v>
      </c>
      <c r="E104" s="34">
        <v>338</v>
      </c>
      <c r="F104" s="34">
        <v>4</v>
      </c>
      <c r="G104" s="34">
        <v>1</v>
      </c>
      <c r="H104" s="34">
        <v>81146</v>
      </c>
      <c r="I104" s="34" t="s">
        <v>17</v>
      </c>
      <c r="J104" s="34">
        <v>48224966</v>
      </c>
      <c r="K104" s="34" t="s">
        <v>4492</v>
      </c>
      <c r="L104" s="40" t="s">
        <v>4493</v>
      </c>
      <c r="M104" s="36">
        <v>199900</v>
      </c>
      <c r="N104" s="37" t="s">
        <v>2569</v>
      </c>
      <c r="O104" s="36" t="str">
        <f t="shared" si="7"/>
        <v>B1G2</v>
      </c>
      <c r="P104" s="34" t="s">
        <v>2569</v>
      </c>
    </row>
    <row r="105" spans="1:16" x14ac:dyDescent="0.35">
      <c r="A105" s="14" t="str">
        <f t="shared" si="4"/>
        <v xml:space="preserve"> 2024 JUL-DEC B1G2 LICENSE BABY</v>
      </c>
      <c r="B105" s="35">
        <f t="shared" si="5"/>
        <v>46086</v>
      </c>
      <c r="C105" s="35">
        <f t="shared" si="6"/>
        <v>46092</v>
      </c>
      <c r="D105" s="34">
        <v>3284</v>
      </c>
      <c r="E105" s="34">
        <v>338</v>
      </c>
      <c r="F105" s="34">
        <v>4</v>
      </c>
      <c r="G105" s="34">
        <v>2</v>
      </c>
      <c r="H105" s="34">
        <v>81146</v>
      </c>
      <c r="I105" s="34" t="s">
        <v>17</v>
      </c>
      <c r="J105" s="34">
        <v>48224975</v>
      </c>
      <c r="K105" s="34" t="s">
        <v>4497</v>
      </c>
      <c r="L105" s="40" t="s">
        <v>4500</v>
      </c>
      <c r="M105" s="36">
        <v>139900</v>
      </c>
      <c r="N105" s="37" t="s">
        <v>2569</v>
      </c>
      <c r="O105" s="36" t="str">
        <f t="shared" si="7"/>
        <v>B1G2</v>
      </c>
      <c r="P105" s="34" t="s">
        <v>2569</v>
      </c>
    </row>
    <row r="106" spans="1:16" x14ac:dyDescent="0.35">
      <c r="A106" s="14" t="str">
        <f t="shared" si="4"/>
        <v xml:space="preserve"> 2024 JUL-DEC B1G2 LICENSE BABY</v>
      </c>
      <c r="B106" s="35">
        <f t="shared" si="5"/>
        <v>46086</v>
      </c>
      <c r="C106" s="35">
        <f t="shared" si="6"/>
        <v>46092</v>
      </c>
      <c r="D106" s="34">
        <v>3284</v>
      </c>
      <c r="E106" s="34">
        <v>338</v>
      </c>
      <c r="F106" s="34">
        <v>4</v>
      </c>
      <c r="G106" s="34">
        <v>2</v>
      </c>
      <c r="H106" s="34">
        <v>81146</v>
      </c>
      <c r="I106" s="34" t="s">
        <v>17</v>
      </c>
      <c r="J106" s="34">
        <v>48224984</v>
      </c>
      <c r="K106" s="34" t="s">
        <v>4497</v>
      </c>
      <c r="L106" s="40" t="s">
        <v>4499</v>
      </c>
      <c r="M106" s="36">
        <v>139900</v>
      </c>
      <c r="N106" s="37" t="s">
        <v>2569</v>
      </c>
      <c r="O106" s="36" t="str">
        <f t="shared" si="7"/>
        <v>B1G2</v>
      </c>
      <c r="P106" s="34" t="s">
        <v>2569</v>
      </c>
    </row>
    <row r="107" spans="1:16" x14ac:dyDescent="0.35">
      <c r="A107" s="14" t="str">
        <f t="shared" si="4"/>
        <v xml:space="preserve"> 2024 JUL-DEC B1G2 LICENSE BABY</v>
      </c>
      <c r="B107" s="35">
        <f t="shared" si="5"/>
        <v>46086</v>
      </c>
      <c r="C107" s="35">
        <f t="shared" si="6"/>
        <v>46092</v>
      </c>
      <c r="D107" s="34">
        <v>3284</v>
      </c>
      <c r="E107" s="34">
        <v>338</v>
      </c>
      <c r="F107" s="34">
        <v>4</v>
      </c>
      <c r="G107" s="34">
        <v>2</v>
      </c>
      <c r="H107" s="34">
        <v>81146</v>
      </c>
      <c r="I107" s="34" t="s">
        <v>17</v>
      </c>
      <c r="J107" s="34">
        <v>48224993</v>
      </c>
      <c r="K107" s="34" t="s">
        <v>4497</v>
      </c>
      <c r="L107" s="40" t="s">
        <v>4501</v>
      </c>
      <c r="M107" s="36">
        <v>139900</v>
      </c>
      <c r="N107" s="37" t="s">
        <v>2569</v>
      </c>
      <c r="O107" s="36" t="str">
        <f t="shared" si="7"/>
        <v>B1G2</v>
      </c>
      <c r="P107" s="34" t="s">
        <v>2569</v>
      </c>
    </row>
    <row r="108" spans="1:16" x14ac:dyDescent="0.35">
      <c r="A108" s="14" t="str">
        <f t="shared" si="4"/>
        <v xml:space="preserve"> 2024 JUL-DEC B1G2 LICENSE BABY</v>
      </c>
      <c r="B108" s="35">
        <f t="shared" si="5"/>
        <v>46086</v>
      </c>
      <c r="C108" s="35">
        <f t="shared" si="6"/>
        <v>46092</v>
      </c>
      <c r="D108" s="34">
        <v>3284</v>
      </c>
      <c r="E108" s="34">
        <v>338</v>
      </c>
      <c r="F108" s="34">
        <v>4</v>
      </c>
      <c r="G108" s="34">
        <v>2</v>
      </c>
      <c r="H108" s="34">
        <v>81146</v>
      </c>
      <c r="I108" s="34" t="s">
        <v>17</v>
      </c>
      <c r="J108" s="34">
        <v>48225009</v>
      </c>
      <c r="K108" s="34" t="s">
        <v>4497</v>
      </c>
      <c r="L108" s="40" t="s">
        <v>4498</v>
      </c>
      <c r="M108" s="36">
        <v>139900</v>
      </c>
      <c r="N108" s="37" t="s">
        <v>2569</v>
      </c>
      <c r="O108" s="36" t="str">
        <f t="shared" si="7"/>
        <v>B1G2</v>
      </c>
      <c r="P108" s="34" t="s">
        <v>2569</v>
      </c>
    </row>
    <row r="109" spans="1:16" x14ac:dyDescent="0.35">
      <c r="A109" s="14" t="str">
        <f t="shared" si="4"/>
        <v xml:space="preserve"> 2024 JUL-DEC B1G2 LICENSE BABY</v>
      </c>
      <c r="B109" s="35">
        <f t="shared" si="5"/>
        <v>46086</v>
      </c>
      <c r="C109" s="35">
        <f t="shared" si="6"/>
        <v>46092</v>
      </c>
      <c r="D109" s="34">
        <v>3284</v>
      </c>
      <c r="E109" s="34">
        <v>338</v>
      </c>
      <c r="F109" s="34">
        <v>4</v>
      </c>
      <c r="G109" s="34">
        <v>3</v>
      </c>
      <c r="H109" s="34">
        <v>81146</v>
      </c>
      <c r="I109" s="34" t="s">
        <v>17</v>
      </c>
      <c r="J109" s="34">
        <v>48225018</v>
      </c>
      <c r="K109" s="34" t="s">
        <v>4502</v>
      </c>
      <c r="L109" s="40" t="s">
        <v>4505</v>
      </c>
      <c r="M109" s="36">
        <v>199900</v>
      </c>
      <c r="N109" s="37" t="s">
        <v>2569</v>
      </c>
      <c r="O109" s="36" t="str">
        <f t="shared" si="7"/>
        <v>B1G2</v>
      </c>
      <c r="P109" s="34" t="s">
        <v>2569</v>
      </c>
    </row>
    <row r="110" spans="1:16" x14ac:dyDescent="0.35">
      <c r="A110" s="14" t="str">
        <f t="shared" si="4"/>
        <v xml:space="preserve"> 2024 JUL-DEC B1G2 LICENSE BABY</v>
      </c>
      <c r="B110" s="35">
        <f t="shared" si="5"/>
        <v>46086</v>
      </c>
      <c r="C110" s="35">
        <f t="shared" si="6"/>
        <v>46092</v>
      </c>
      <c r="D110" s="34">
        <v>3284</v>
      </c>
      <c r="E110" s="34">
        <v>338</v>
      </c>
      <c r="F110" s="34">
        <v>4</v>
      </c>
      <c r="G110" s="34">
        <v>3</v>
      </c>
      <c r="H110" s="34">
        <v>81146</v>
      </c>
      <c r="I110" s="34" t="s">
        <v>17</v>
      </c>
      <c r="J110" s="34">
        <v>48225027</v>
      </c>
      <c r="K110" s="34" t="s">
        <v>4502</v>
      </c>
      <c r="L110" s="40" t="s">
        <v>4506</v>
      </c>
      <c r="M110" s="36">
        <v>199900</v>
      </c>
      <c r="N110" s="37" t="s">
        <v>2569</v>
      </c>
      <c r="O110" s="36" t="str">
        <f t="shared" si="7"/>
        <v>B1G2</v>
      </c>
      <c r="P110" s="34" t="s">
        <v>2569</v>
      </c>
    </row>
    <row r="111" spans="1:16" x14ac:dyDescent="0.35">
      <c r="A111" s="14" t="str">
        <f t="shared" si="4"/>
        <v xml:space="preserve"> 2024 JUL-DEC B1G2 LICENSE BABY</v>
      </c>
      <c r="B111" s="35">
        <f t="shared" si="5"/>
        <v>46086</v>
      </c>
      <c r="C111" s="35">
        <f t="shared" si="6"/>
        <v>46092</v>
      </c>
      <c r="D111" s="34">
        <v>3284</v>
      </c>
      <c r="E111" s="34">
        <v>338</v>
      </c>
      <c r="F111" s="34">
        <v>4</v>
      </c>
      <c r="G111" s="34">
        <v>3</v>
      </c>
      <c r="H111" s="34">
        <v>81146</v>
      </c>
      <c r="I111" s="34" t="s">
        <v>17</v>
      </c>
      <c r="J111" s="34">
        <v>48225036</v>
      </c>
      <c r="K111" s="34" t="s">
        <v>4502</v>
      </c>
      <c r="L111" s="40" t="s">
        <v>4503</v>
      </c>
      <c r="M111" s="36">
        <v>199900</v>
      </c>
      <c r="N111" s="37" t="s">
        <v>2569</v>
      </c>
      <c r="O111" s="36" t="str">
        <f t="shared" si="7"/>
        <v>B1G2</v>
      </c>
      <c r="P111" s="34" t="s">
        <v>2569</v>
      </c>
    </row>
    <row r="112" spans="1:16" x14ac:dyDescent="0.35">
      <c r="A112" s="14" t="str">
        <f t="shared" si="4"/>
        <v xml:space="preserve"> 2024 JUL-DEC B1G2 LICENSE BABY</v>
      </c>
      <c r="B112" s="35">
        <f t="shared" si="5"/>
        <v>46086</v>
      </c>
      <c r="C112" s="35">
        <f t="shared" si="6"/>
        <v>46092</v>
      </c>
      <c r="D112" s="34">
        <v>3284</v>
      </c>
      <c r="E112" s="34">
        <v>338</v>
      </c>
      <c r="F112" s="34">
        <v>4</v>
      </c>
      <c r="G112" s="34">
        <v>3</v>
      </c>
      <c r="H112" s="34">
        <v>81146</v>
      </c>
      <c r="I112" s="34" t="s">
        <v>17</v>
      </c>
      <c r="J112" s="34">
        <v>48225045</v>
      </c>
      <c r="K112" s="34" t="s">
        <v>4502</v>
      </c>
      <c r="L112" s="40" t="s">
        <v>4504</v>
      </c>
      <c r="M112" s="36">
        <v>199900</v>
      </c>
      <c r="N112" s="37" t="s">
        <v>2569</v>
      </c>
      <c r="O112" s="36" t="str">
        <f t="shared" si="7"/>
        <v>B1G2</v>
      </c>
      <c r="P112" s="34" t="s">
        <v>2569</v>
      </c>
    </row>
    <row r="113" spans="1:16" x14ac:dyDescent="0.35">
      <c r="A113" s="14" t="str">
        <f t="shared" si="4"/>
        <v xml:space="preserve"> 2024 JUL-DEC B1G2 LICENSE BABY</v>
      </c>
      <c r="B113" s="35">
        <f t="shared" si="5"/>
        <v>46086</v>
      </c>
      <c r="C113" s="35">
        <f t="shared" si="6"/>
        <v>46092</v>
      </c>
      <c r="D113" s="34">
        <v>3284</v>
      </c>
      <c r="E113" s="34">
        <v>338</v>
      </c>
      <c r="F113" s="34">
        <v>4</v>
      </c>
      <c r="G113" s="34">
        <v>3</v>
      </c>
      <c r="H113" s="34">
        <v>80920</v>
      </c>
      <c r="I113" s="34" t="s">
        <v>17</v>
      </c>
      <c r="J113" s="34">
        <v>51764751</v>
      </c>
      <c r="K113" s="34" t="s">
        <v>4533</v>
      </c>
      <c r="L113" s="40" t="s">
        <v>4536</v>
      </c>
      <c r="M113" s="36">
        <v>199900</v>
      </c>
      <c r="N113" s="37" t="s">
        <v>2569</v>
      </c>
      <c r="O113" s="36" t="str">
        <f t="shared" si="7"/>
        <v>B1G2</v>
      </c>
      <c r="P113" s="34" t="s">
        <v>2569</v>
      </c>
    </row>
    <row r="114" spans="1:16" x14ac:dyDescent="0.35">
      <c r="A114" s="14" t="str">
        <f t="shared" si="4"/>
        <v xml:space="preserve"> 2024 JUL-DEC B1G2 LICENSE BABY</v>
      </c>
      <c r="B114" s="35">
        <f t="shared" si="5"/>
        <v>46086</v>
      </c>
      <c r="C114" s="35">
        <f t="shared" si="6"/>
        <v>46092</v>
      </c>
      <c r="D114" s="34">
        <v>3284</v>
      </c>
      <c r="E114" s="34">
        <v>338</v>
      </c>
      <c r="F114" s="34">
        <v>4</v>
      </c>
      <c r="G114" s="34">
        <v>3</v>
      </c>
      <c r="H114" s="34">
        <v>80920</v>
      </c>
      <c r="I114" s="34" t="s">
        <v>17</v>
      </c>
      <c r="J114" s="34">
        <v>51764760</v>
      </c>
      <c r="K114" s="34" t="s">
        <v>4533</v>
      </c>
      <c r="L114" s="40" t="s">
        <v>4534</v>
      </c>
      <c r="M114" s="36">
        <v>199900</v>
      </c>
      <c r="N114" s="37" t="s">
        <v>2569</v>
      </c>
      <c r="O114" s="36" t="str">
        <f t="shared" si="7"/>
        <v>B1G2</v>
      </c>
      <c r="P114" s="34" t="s">
        <v>2569</v>
      </c>
    </row>
    <row r="115" spans="1:16" x14ac:dyDescent="0.35">
      <c r="A115" s="14" t="str">
        <f t="shared" si="4"/>
        <v xml:space="preserve"> 2024 JUL-DEC B1G2 LICENSE BABY</v>
      </c>
      <c r="B115" s="35">
        <f t="shared" si="5"/>
        <v>46086</v>
      </c>
      <c r="C115" s="35">
        <f t="shared" si="6"/>
        <v>46092</v>
      </c>
      <c r="D115" s="34">
        <v>3284</v>
      </c>
      <c r="E115" s="34">
        <v>338</v>
      </c>
      <c r="F115" s="34">
        <v>4</v>
      </c>
      <c r="G115" s="34">
        <v>3</v>
      </c>
      <c r="H115" s="34">
        <v>80920</v>
      </c>
      <c r="I115" s="34" t="s">
        <v>17</v>
      </c>
      <c r="J115" s="34">
        <v>51764779</v>
      </c>
      <c r="K115" s="34" t="s">
        <v>4533</v>
      </c>
      <c r="L115" s="40" t="s">
        <v>4535</v>
      </c>
      <c r="M115" s="36">
        <v>199900</v>
      </c>
      <c r="N115" s="37" t="s">
        <v>2569</v>
      </c>
      <c r="O115" s="36" t="str">
        <f t="shared" si="7"/>
        <v>B1G2</v>
      </c>
      <c r="P115" s="34" t="s">
        <v>2569</v>
      </c>
    </row>
    <row r="116" spans="1:16" x14ac:dyDescent="0.35">
      <c r="A116" s="14" t="str">
        <f t="shared" si="4"/>
        <v xml:space="preserve"> 2024 JUL-DEC B1G2 LICENSE BABY</v>
      </c>
      <c r="B116" s="35">
        <f t="shared" si="5"/>
        <v>46086</v>
      </c>
      <c r="C116" s="35">
        <f t="shared" si="6"/>
        <v>46092</v>
      </c>
      <c r="D116" s="34">
        <v>3284</v>
      </c>
      <c r="E116" s="34">
        <v>338</v>
      </c>
      <c r="F116" s="34">
        <v>4</v>
      </c>
      <c r="G116" s="34">
        <v>3</v>
      </c>
      <c r="H116" s="34">
        <v>80920</v>
      </c>
      <c r="I116" s="34" t="s">
        <v>17</v>
      </c>
      <c r="J116" s="34">
        <v>51764788</v>
      </c>
      <c r="K116" s="34" t="s">
        <v>4533</v>
      </c>
      <c r="L116" s="40" t="s">
        <v>4537</v>
      </c>
      <c r="M116" s="36">
        <v>199900</v>
      </c>
      <c r="N116" s="37" t="s">
        <v>2569</v>
      </c>
      <c r="O116" s="36" t="str">
        <f t="shared" si="7"/>
        <v>B1G2</v>
      </c>
      <c r="P116" s="34" t="s">
        <v>2569</v>
      </c>
    </row>
    <row r="117" spans="1:16" x14ac:dyDescent="0.35">
      <c r="A117" s="14" t="str">
        <f t="shared" si="4"/>
        <v xml:space="preserve"> 2024 JUL-DEC B1G2 LICENSE BABY</v>
      </c>
      <c r="B117" s="35">
        <f t="shared" si="5"/>
        <v>46086</v>
      </c>
      <c r="C117" s="35">
        <f t="shared" si="6"/>
        <v>46092</v>
      </c>
      <c r="D117" s="34">
        <v>3284</v>
      </c>
      <c r="E117" s="34">
        <v>338</v>
      </c>
      <c r="F117" s="34">
        <v>4</v>
      </c>
      <c r="G117" s="34">
        <v>4</v>
      </c>
      <c r="H117" s="34">
        <v>81146</v>
      </c>
      <c r="I117" s="34" t="s">
        <v>17</v>
      </c>
      <c r="J117" s="34">
        <v>48225054</v>
      </c>
      <c r="K117" s="34" t="s">
        <v>4482</v>
      </c>
      <c r="L117" s="40" t="s">
        <v>4483</v>
      </c>
      <c r="M117" s="36">
        <v>229900</v>
      </c>
      <c r="N117" s="37" t="s">
        <v>2569</v>
      </c>
      <c r="O117" s="36" t="str">
        <f t="shared" si="7"/>
        <v>B1G2</v>
      </c>
      <c r="P117" s="34" t="s">
        <v>2569</v>
      </c>
    </row>
    <row r="118" spans="1:16" x14ac:dyDescent="0.35">
      <c r="A118" s="14" t="str">
        <f t="shared" si="4"/>
        <v xml:space="preserve"> 2024 JUL-DEC B1G2 LICENSE BABY</v>
      </c>
      <c r="B118" s="35">
        <f t="shared" si="5"/>
        <v>46086</v>
      </c>
      <c r="C118" s="35">
        <f t="shared" si="6"/>
        <v>46092</v>
      </c>
      <c r="D118" s="34">
        <v>3284</v>
      </c>
      <c r="E118" s="34">
        <v>338</v>
      </c>
      <c r="F118" s="34">
        <v>4</v>
      </c>
      <c r="G118" s="34">
        <v>4</v>
      </c>
      <c r="H118" s="34">
        <v>81146</v>
      </c>
      <c r="I118" s="34" t="s">
        <v>17</v>
      </c>
      <c r="J118" s="34">
        <v>48225063</v>
      </c>
      <c r="K118" s="34" t="s">
        <v>4482</v>
      </c>
      <c r="L118" s="40" t="s">
        <v>4485</v>
      </c>
      <c r="M118" s="36">
        <v>229900</v>
      </c>
      <c r="N118" s="37" t="s">
        <v>2569</v>
      </c>
      <c r="O118" s="36" t="str">
        <f t="shared" si="7"/>
        <v>B1G2</v>
      </c>
      <c r="P118" s="34" t="s">
        <v>2569</v>
      </c>
    </row>
    <row r="119" spans="1:16" x14ac:dyDescent="0.35">
      <c r="A119" s="14" t="str">
        <f t="shared" si="4"/>
        <v xml:space="preserve"> 2024 JUL-DEC B1G2 LICENSE BABY</v>
      </c>
      <c r="B119" s="35">
        <f t="shared" si="5"/>
        <v>46086</v>
      </c>
      <c r="C119" s="35">
        <f t="shared" si="6"/>
        <v>46092</v>
      </c>
      <c r="D119" s="34">
        <v>3284</v>
      </c>
      <c r="E119" s="34">
        <v>338</v>
      </c>
      <c r="F119" s="34">
        <v>4</v>
      </c>
      <c r="G119" s="34">
        <v>4</v>
      </c>
      <c r="H119" s="34">
        <v>81146</v>
      </c>
      <c r="I119" s="34" t="s">
        <v>17</v>
      </c>
      <c r="J119" s="34">
        <v>48225072</v>
      </c>
      <c r="K119" s="34" t="s">
        <v>4482</v>
      </c>
      <c r="L119" s="40" t="s">
        <v>4484</v>
      </c>
      <c r="M119" s="36">
        <v>229900</v>
      </c>
      <c r="N119" s="37" t="s">
        <v>2569</v>
      </c>
      <c r="O119" s="36" t="str">
        <f t="shared" si="7"/>
        <v>B1G2</v>
      </c>
      <c r="P119" s="34" t="s">
        <v>2569</v>
      </c>
    </row>
    <row r="120" spans="1:16" x14ac:dyDescent="0.35">
      <c r="A120" s="14" t="str">
        <f t="shared" si="4"/>
        <v xml:space="preserve"> 2024 JUL-DEC B1G2 LICENSE BABY</v>
      </c>
      <c r="B120" s="35">
        <f t="shared" si="5"/>
        <v>46086</v>
      </c>
      <c r="C120" s="35">
        <f t="shared" si="6"/>
        <v>46092</v>
      </c>
      <c r="D120" s="34">
        <v>3284</v>
      </c>
      <c r="E120" s="34">
        <v>338</v>
      </c>
      <c r="F120" s="34">
        <v>4</v>
      </c>
      <c r="G120" s="34">
        <v>4</v>
      </c>
      <c r="H120" s="34">
        <v>81146</v>
      </c>
      <c r="I120" s="34" t="s">
        <v>17</v>
      </c>
      <c r="J120" s="34">
        <v>48225081</v>
      </c>
      <c r="K120" s="34" t="s">
        <v>4482</v>
      </c>
      <c r="L120" s="40" t="s">
        <v>4486</v>
      </c>
      <c r="M120" s="36">
        <v>229900</v>
      </c>
      <c r="N120" s="37" t="s">
        <v>2569</v>
      </c>
      <c r="O120" s="36" t="str">
        <f t="shared" si="7"/>
        <v>B1G2</v>
      </c>
      <c r="P120" s="34" t="s">
        <v>2569</v>
      </c>
    </row>
    <row r="121" spans="1:16" x14ac:dyDescent="0.35">
      <c r="A121" s="14" t="str">
        <f t="shared" si="4"/>
        <v xml:space="preserve"> 2024 JUL-DEC B1G2 LICENSE BABY</v>
      </c>
      <c r="B121" s="35">
        <f t="shared" si="5"/>
        <v>46086</v>
      </c>
      <c r="C121" s="35">
        <f t="shared" si="6"/>
        <v>46092</v>
      </c>
      <c r="D121" s="34">
        <v>3284</v>
      </c>
      <c r="E121" s="34">
        <v>338</v>
      </c>
      <c r="F121" s="34">
        <v>4</v>
      </c>
      <c r="G121" s="34">
        <v>4</v>
      </c>
      <c r="H121" s="34">
        <v>81146</v>
      </c>
      <c r="I121" s="34" t="s">
        <v>17</v>
      </c>
      <c r="J121" s="34">
        <v>48225090</v>
      </c>
      <c r="K121" s="34" t="s">
        <v>4507</v>
      </c>
      <c r="L121" s="40" t="s">
        <v>4508</v>
      </c>
      <c r="M121" s="36">
        <v>239900</v>
      </c>
      <c r="N121" s="37" t="s">
        <v>2569</v>
      </c>
      <c r="O121" s="36" t="str">
        <f t="shared" si="7"/>
        <v>B1G2</v>
      </c>
      <c r="P121" s="34" t="s">
        <v>2569</v>
      </c>
    </row>
    <row r="122" spans="1:16" x14ac:dyDescent="0.35">
      <c r="A122" s="14" t="str">
        <f t="shared" si="4"/>
        <v xml:space="preserve"> 2024 JUL-DEC B1G2 LICENSE BABY</v>
      </c>
      <c r="B122" s="35">
        <f t="shared" si="5"/>
        <v>46086</v>
      </c>
      <c r="C122" s="35">
        <f t="shared" si="6"/>
        <v>46092</v>
      </c>
      <c r="D122" s="34">
        <v>3284</v>
      </c>
      <c r="E122" s="34">
        <v>338</v>
      </c>
      <c r="F122" s="34">
        <v>4</v>
      </c>
      <c r="G122" s="34">
        <v>4</v>
      </c>
      <c r="H122" s="34">
        <v>81146</v>
      </c>
      <c r="I122" s="34" t="s">
        <v>17</v>
      </c>
      <c r="J122" s="34">
        <v>48225107</v>
      </c>
      <c r="K122" s="34" t="s">
        <v>4507</v>
      </c>
      <c r="L122" s="40" t="s">
        <v>4510</v>
      </c>
      <c r="M122" s="36">
        <v>239900</v>
      </c>
      <c r="N122" s="37" t="s">
        <v>2569</v>
      </c>
      <c r="O122" s="36" t="str">
        <f t="shared" si="7"/>
        <v>B1G2</v>
      </c>
      <c r="P122" s="34" t="s">
        <v>2569</v>
      </c>
    </row>
    <row r="123" spans="1:16" x14ac:dyDescent="0.35">
      <c r="A123" s="14" t="str">
        <f t="shared" si="4"/>
        <v xml:space="preserve"> 2024 JUL-DEC B1G2 LICENSE BABY</v>
      </c>
      <c r="B123" s="35">
        <f t="shared" si="5"/>
        <v>46086</v>
      </c>
      <c r="C123" s="35">
        <f t="shared" si="6"/>
        <v>46092</v>
      </c>
      <c r="D123" s="34">
        <v>3284</v>
      </c>
      <c r="E123" s="34">
        <v>338</v>
      </c>
      <c r="F123" s="34">
        <v>4</v>
      </c>
      <c r="G123" s="34">
        <v>4</v>
      </c>
      <c r="H123" s="34">
        <v>81146</v>
      </c>
      <c r="I123" s="34" t="s">
        <v>17</v>
      </c>
      <c r="J123" s="34">
        <v>48225116</v>
      </c>
      <c r="K123" s="34" t="s">
        <v>4507</v>
      </c>
      <c r="L123" s="40" t="s">
        <v>4509</v>
      </c>
      <c r="M123" s="36">
        <v>239900</v>
      </c>
      <c r="N123" s="37" t="s">
        <v>2569</v>
      </c>
      <c r="O123" s="36" t="str">
        <f t="shared" si="7"/>
        <v>B1G2</v>
      </c>
      <c r="P123" s="34" t="s">
        <v>2569</v>
      </c>
    </row>
    <row r="124" spans="1:16" x14ac:dyDescent="0.35">
      <c r="A124" s="14" t="str">
        <f t="shared" si="4"/>
        <v xml:space="preserve"> 2024 JUL-DEC B1G2 LICENSE BABY</v>
      </c>
      <c r="B124" s="35">
        <f t="shared" si="5"/>
        <v>46086</v>
      </c>
      <c r="C124" s="35">
        <f t="shared" si="6"/>
        <v>46092</v>
      </c>
      <c r="D124" s="34">
        <v>3284</v>
      </c>
      <c r="E124" s="34">
        <v>338</v>
      </c>
      <c r="F124" s="34">
        <v>4</v>
      </c>
      <c r="G124" s="34">
        <v>4</v>
      </c>
      <c r="H124" s="34">
        <v>81146</v>
      </c>
      <c r="I124" s="34" t="s">
        <v>17</v>
      </c>
      <c r="J124" s="34">
        <v>48225125</v>
      </c>
      <c r="K124" s="34" t="s">
        <v>4507</v>
      </c>
      <c r="L124" s="40" t="s">
        <v>4511</v>
      </c>
      <c r="M124" s="36">
        <v>239900</v>
      </c>
      <c r="N124" s="37" t="s">
        <v>2569</v>
      </c>
      <c r="O124" s="36" t="str">
        <f t="shared" si="7"/>
        <v>B1G2</v>
      </c>
      <c r="P124" s="34" t="s">
        <v>2569</v>
      </c>
    </row>
    <row r="125" spans="1:16" x14ac:dyDescent="0.35">
      <c r="A125" s="14" t="str">
        <f t="shared" si="4"/>
        <v xml:space="preserve"> 2024 JUL-DEC B1G2 LICENSE BABY</v>
      </c>
      <c r="B125" s="35">
        <f t="shared" si="5"/>
        <v>46086</v>
      </c>
      <c r="C125" s="35">
        <f t="shared" si="6"/>
        <v>46092</v>
      </c>
      <c r="D125" s="34">
        <v>3284</v>
      </c>
      <c r="E125" s="34">
        <v>338</v>
      </c>
      <c r="F125" s="34">
        <v>4</v>
      </c>
      <c r="G125" s="34">
        <v>4</v>
      </c>
      <c r="H125" s="34">
        <v>80920</v>
      </c>
      <c r="I125" s="34" t="s">
        <v>17</v>
      </c>
      <c r="J125" s="34">
        <v>48225134</v>
      </c>
      <c r="K125" s="34" t="s">
        <v>4472</v>
      </c>
      <c r="L125" s="40" t="s">
        <v>4473</v>
      </c>
      <c r="M125" s="36">
        <v>219900</v>
      </c>
      <c r="N125" s="37" t="s">
        <v>2569</v>
      </c>
      <c r="O125" s="36" t="str">
        <f t="shared" si="7"/>
        <v>B1G2</v>
      </c>
      <c r="P125" s="34" t="s">
        <v>2569</v>
      </c>
    </row>
    <row r="126" spans="1:16" x14ac:dyDescent="0.35">
      <c r="A126" s="14" t="str">
        <f t="shared" si="4"/>
        <v xml:space="preserve"> 2024 JUL-DEC B1G2 LICENSE BABY</v>
      </c>
      <c r="B126" s="35">
        <f t="shared" si="5"/>
        <v>46086</v>
      </c>
      <c r="C126" s="35">
        <f t="shared" si="6"/>
        <v>46092</v>
      </c>
      <c r="D126" s="34">
        <v>3284</v>
      </c>
      <c r="E126" s="34">
        <v>338</v>
      </c>
      <c r="F126" s="34">
        <v>4</v>
      </c>
      <c r="G126" s="34">
        <v>4</v>
      </c>
      <c r="H126" s="34">
        <v>80920</v>
      </c>
      <c r="I126" s="34" t="s">
        <v>17</v>
      </c>
      <c r="J126" s="34">
        <v>48225143</v>
      </c>
      <c r="K126" s="34" t="s">
        <v>4472</v>
      </c>
      <c r="L126" s="40" t="s">
        <v>4474</v>
      </c>
      <c r="M126" s="36">
        <v>219900</v>
      </c>
      <c r="N126" s="37" t="s">
        <v>2569</v>
      </c>
      <c r="O126" s="36" t="str">
        <f t="shared" si="7"/>
        <v>B1G2</v>
      </c>
      <c r="P126" s="34" t="s">
        <v>2569</v>
      </c>
    </row>
    <row r="127" spans="1:16" x14ac:dyDescent="0.35">
      <c r="A127" s="14" t="str">
        <f t="shared" si="4"/>
        <v xml:space="preserve"> 2024 JUL-DEC B1G2 LICENSE BABY</v>
      </c>
      <c r="B127" s="35">
        <f t="shared" si="5"/>
        <v>46086</v>
      </c>
      <c r="C127" s="35">
        <f t="shared" si="6"/>
        <v>46092</v>
      </c>
      <c r="D127" s="34">
        <v>3284</v>
      </c>
      <c r="E127" s="34">
        <v>338</v>
      </c>
      <c r="F127" s="34">
        <v>4</v>
      </c>
      <c r="G127" s="34">
        <v>4</v>
      </c>
      <c r="H127" s="34">
        <v>80920</v>
      </c>
      <c r="I127" s="34" t="s">
        <v>17</v>
      </c>
      <c r="J127" s="34">
        <v>48225152</v>
      </c>
      <c r="K127" s="34" t="s">
        <v>4472</v>
      </c>
      <c r="L127" s="40" t="s">
        <v>4476</v>
      </c>
      <c r="M127" s="36">
        <v>219900</v>
      </c>
      <c r="N127" s="37" t="s">
        <v>2569</v>
      </c>
      <c r="O127" s="36" t="str">
        <f t="shared" si="7"/>
        <v>B1G2</v>
      </c>
      <c r="P127" s="34" t="s">
        <v>2569</v>
      </c>
    </row>
    <row r="128" spans="1:16" x14ac:dyDescent="0.35">
      <c r="A128" s="14" t="str">
        <f t="shared" si="4"/>
        <v xml:space="preserve"> 2024 JUL-DEC B1G2 LICENSE BABY</v>
      </c>
      <c r="B128" s="35">
        <f t="shared" si="5"/>
        <v>46086</v>
      </c>
      <c r="C128" s="35">
        <f t="shared" si="6"/>
        <v>46092</v>
      </c>
      <c r="D128" s="34">
        <v>3284</v>
      </c>
      <c r="E128" s="34">
        <v>338</v>
      </c>
      <c r="F128" s="34">
        <v>4</v>
      </c>
      <c r="G128" s="34">
        <v>4</v>
      </c>
      <c r="H128" s="34">
        <v>80920</v>
      </c>
      <c r="I128" s="34" t="s">
        <v>17</v>
      </c>
      <c r="J128" s="34">
        <v>48225161</v>
      </c>
      <c r="K128" s="34" t="s">
        <v>4472</v>
      </c>
      <c r="L128" s="40" t="s">
        <v>4475</v>
      </c>
      <c r="M128" s="36">
        <v>219900</v>
      </c>
      <c r="N128" s="37" t="s">
        <v>2569</v>
      </c>
      <c r="O128" s="36" t="str">
        <f t="shared" si="7"/>
        <v>B1G2</v>
      </c>
      <c r="P128" s="34" t="s">
        <v>2569</v>
      </c>
    </row>
    <row r="129" spans="1:16" x14ac:dyDescent="0.35">
      <c r="A129" s="14" t="str">
        <f t="shared" si="4"/>
        <v xml:space="preserve"> 2024 JUL-DEC B1G2 LICENSE BABY</v>
      </c>
      <c r="B129" s="35">
        <f t="shared" si="5"/>
        <v>46086</v>
      </c>
      <c r="C129" s="35">
        <f t="shared" si="6"/>
        <v>46092</v>
      </c>
      <c r="D129" s="34">
        <v>3284</v>
      </c>
      <c r="E129" s="34">
        <v>338</v>
      </c>
      <c r="F129" s="34">
        <v>4</v>
      </c>
      <c r="G129" s="34">
        <v>5</v>
      </c>
      <c r="H129" s="34">
        <v>850</v>
      </c>
      <c r="I129" s="34" t="s">
        <v>17</v>
      </c>
      <c r="J129" s="34">
        <v>48225170</v>
      </c>
      <c r="K129" s="34" t="s">
        <v>4487</v>
      </c>
      <c r="L129" s="40" t="s">
        <v>4489</v>
      </c>
      <c r="M129" s="36">
        <v>219900</v>
      </c>
      <c r="N129" s="37" t="s">
        <v>2569</v>
      </c>
      <c r="O129" s="36" t="str">
        <f t="shared" si="7"/>
        <v>B1G2</v>
      </c>
      <c r="P129" s="34" t="s">
        <v>2569</v>
      </c>
    </row>
    <row r="130" spans="1:16" x14ac:dyDescent="0.35">
      <c r="A130" s="14" t="str">
        <f t="shared" si="4"/>
        <v xml:space="preserve"> 2024 JUL-DEC B1G2 LICENSE BABY</v>
      </c>
      <c r="B130" s="35">
        <f t="shared" si="5"/>
        <v>46086</v>
      </c>
      <c r="C130" s="35">
        <f t="shared" si="6"/>
        <v>46092</v>
      </c>
      <c r="D130" s="34">
        <v>3284</v>
      </c>
      <c r="E130" s="34">
        <v>338</v>
      </c>
      <c r="F130" s="34">
        <v>4</v>
      </c>
      <c r="G130" s="34">
        <v>5</v>
      </c>
      <c r="H130" s="34">
        <v>850</v>
      </c>
      <c r="I130" s="34" t="s">
        <v>17</v>
      </c>
      <c r="J130" s="34">
        <v>48225189</v>
      </c>
      <c r="K130" s="34" t="s">
        <v>4487</v>
      </c>
      <c r="L130" s="40" t="s">
        <v>4490</v>
      </c>
      <c r="M130" s="36">
        <v>219900</v>
      </c>
      <c r="N130" s="37" t="s">
        <v>2569</v>
      </c>
      <c r="O130" s="36" t="str">
        <f t="shared" si="7"/>
        <v>B1G2</v>
      </c>
      <c r="P130" s="34" t="s">
        <v>2569</v>
      </c>
    </row>
    <row r="131" spans="1:16" x14ac:dyDescent="0.35">
      <c r="A131" s="14" t="str">
        <f t="shared" si="4"/>
        <v xml:space="preserve"> 2024 JUL-DEC B1G2 LICENSE BABY</v>
      </c>
      <c r="B131" s="35">
        <f t="shared" si="5"/>
        <v>46086</v>
      </c>
      <c r="C131" s="35">
        <f t="shared" si="6"/>
        <v>46092</v>
      </c>
      <c r="D131" s="34">
        <v>3284</v>
      </c>
      <c r="E131" s="34">
        <v>338</v>
      </c>
      <c r="F131" s="34">
        <v>4</v>
      </c>
      <c r="G131" s="34">
        <v>5</v>
      </c>
      <c r="H131" s="34">
        <v>850</v>
      </c>
      <c r="I131" s="34" t="s">
        <v>17</v>
      </c>
      <c r="J131" s="34">
        <v>48225198</v>
      </c>
      <c r="K131" s="34" t="s">
        <v>4487</v>
      </c>
      <c r="L131" s="40" t="s">
        <v>4491</v>
      </c>
      <c r="M131" s="36">
        <v>219900</v>
      </c>
      <c r="N131" s="37" t="s">
        <v>2569</v>
      </c>
      <c r="O131" s="36" t="str">
        <f t="shared" si="7"/>
        <v>B1G2</v>
      </c>
      <c r="P131" s="34" t="s">
        <v>2569</v>
      </c>
    </row>
    <row r="132" spans="1:16" x14ac:dyDescent="0.35">
      <c r="A132" s="14" t="str">
        <f t="shared" ref="A132:A147" si="8">A131</f>
        <v xml:space="preserve"> 2024 JUL-DEC B1G2 LICENSE BABY</v>
      </c>
      <c r="B132" s="35">
        <f t="shared" ref="B132:B147" si="9">B131</f>
        <v>46086</v>
      </c>
      <c r="C132" s="35">
        <f t="shared" ref="C132:C147" si="10">C131</f>
        <v>46092</v>
      </c>
      <c r="D132" s="34">
        <v>3284</v>
      </c>
      <c r="E132" s="34">
        <v>338</v>
      </c>
      <c r="F132" s="34">
        <v>4</v>
      </c>
      <c r="G132" s="34">
        <v>5</v>
      </c>
      <c r="H132" s="34">
        <v>850</v>
      </c>
      <c r="I132" s="34" t="s">
        <v>17</v>
      </c>
      <c r="J132" s="34">
        <v>48225205</v>
      </c>
      <c r="K132" s="34" t="s">
        <v>4487</v>
      </c>
      <c r="L132" s="40" t="s">
        <v>4488</v>
      </c>
      <c r="M132" s="36">
        <v>219900</v>
      </c>
      <c r="N132" s="37" t="s">
        <v>2569</v>
      </c>
      <c r="O132" s="36" t="str">
        <f t="shared" ref="O132:O147" si="11">O131</f>
        <v>B1G2</v>
      </c>
      <c r="P132" s="34" t="s">
        <v>2569</v>
      </c>
    </row>
    <row r="133" spans="1:16" x14ac:dyDescent="0.35">
      <c r="A133" s="14" t="str">
        <f t="shared" si="8"/>
        <v xml:space="preserve"> 2024 JUL-DEC B1G2 LICENSE BABY</v>
      </c>
      <c r="B133" s="35">
        <f t="shared" si="9"/>
        <v>46086</v>
      </c>
      <c r="C133" s="35">
        <f t="shared" si="10"/>
        <v>46092</v>
      </c>
      <c r="D133" s="34">
        <v>3284</v>
      </c>
      <c r="E133" s="34">
        <v>338</v>
      </c>
      <c r="F133" s="34">
        <v>4</v>
      </c>
      <c r="G133" s="34">
        <v>8</v>
      </c>
      <c r="H133" s="34">
        <v>81421</v>
      </c>
      <c r="I133" s="34" t="s">
        <v>17</v>
      </c>
      <c r="J133" s="34">
        <v>51710568</v>
      </c>
      <c r="K133" s="34" t="s">
        <v>5340</v>
      </c>
      <c r="L133" s="40" t="s">
        <v>5341</v>
      </c>
      <c r="M133" s="36">
        <v>189900</v>
      </c>
      <c r="N133" s="37" t="s">
        <v>2569</v>
      </c>
      <c r="O133" s="36" t="str">
        <f t="shared" si="11"/>
        <v>B1G2</v>
      </c>
      <c r="P133" s="34" t="s">
        <v>2569</v>
      </c>
    </row>
    <row r="134" spans="1:16" x14ac:dyDescent="0.35">
      <c r="A134" s="14" t="str">
        <f t="shared" si="8"/>
        <v xml:space="preserve"> 2024 JUL-DEC B1G2 LICENSE BABY</v>
      </c>
      <c r="B134" s="35">
        <f t="shared" si="9"/>
        <v>46086</v>
      </c>
      <c r="C134" s="35">
        <f t="shared" si="10"/>
        <v>46092</v>
      </c>
      <c r="D134" s="34">
        <v>3284</v>
      </c>
      <c r="E134" s="34">
        <v>338</v>
      </c>
      <c r="F134" s="34">
        <v>4</v>
      </c>
      <c r="G134" s="34">
        <v>8</v>
      </c>
      <c r="H134" s="34">
        <v>81421</v>
      </c>
      <c r="I134" s="34" t="s">
        <v>17</v>
      </c>
      <c r="J134" s="34">
        <v>51710577</v>
      </c>
      <c r="K134" s="34" t="s">
        <v>5340</v>
      </c>
      <c r="L134" s="40" t="s">
        <v>5342</v>
      </c>
      <c r="M134" s="36">
        <v>189900</v>
      </c>
      <c r="N134" s="37" t="s">
        <v>2569</v>
      </c>
      <c r="O134" s="36" t="str">
        <f t="shared" si="11"/>
        <v>B1G2</v>
      </c>
      <c r="P134" s="34" t="s">
        <v>2569</v>
      </c>
    </row>
    <row r="135" spans="1:16" x14ac:dyDescent="0.35">
      <c r="A135" s="14" t="str">
        <f t="shared" si="8"/>
        <v xml:space="preserve"> 2024 JUL-DEC B1G2 LICENSE BABY</v>
      </c>
      <c r="B135" s="35">
        <f t="shared" si="9"/>
        <v>46086</v>
      </c>
      <c r="C135" s="35">
        <f t="shared" si="10"/>
        <v>46092</v>
      </c>
      <c r="D135" s="34">
        <v>3284</v>
      </c>
      <c r="E135" s="34">
        <v>338</v>
      </c>
      <c r="F135" s="34">
        <v>4</v>
      </c>
      <c r="G135" s="34">
        <v>8</v>
      </c>
      <c r="H135" s="34">
        <v>81421</v>
      </c>
      <c r="I135" s="34" t="s">
        <v>17</v>
      </c>
      <c r="J135" s="34">
        <v>51710586</v>
      </c>
      <c r="K135" s="34" t="s">
        <v>5340</v>
      </c>
      <c r="L135" s="40" t="s">
        <v>5343</v>
      </c>
      <c r="M135" s="36">
        <v>189900</v>
      </c>
      <c r="N135" s="37" t="s">
        <v>2569</v>
      </c>
      <c r="O135" s="36" t="str">
        <f t="shared" si="11"/>
        <v>B1G2</v>
      </c>
      <c r="P135" s="34" t="s">
        <v>2569</v>
      </c>
    </row>
    <row r="136" spans="1:16" x14ac:dyDescent="0.35">
      <c r="A136" s="14" t="str">
        <f t="shared" si="8"/>
        <v xml:space="preserve"> 2024 JUL-DEC B1G2 LICENSE BABY</v>
      </c>
      <c r="B136" s="35">
        <f t="shared" si="9"/>
        <v>46086</v>
      </c>
      <c r="C136" s="35">
        <f t="shared" si="10"/>
        <v>46092</v>
      </c>
      <c r="D136" s="34">
        <v>3284</v>
      </c>
      <c r="E136" s="34">
        <v>338</v>
      </c>
      <c r="F136" s="34">
        <v>4</v>
      </c>
      <c r="G136" s="34">
        <v>8</v>
      </c>
      <c r="H136" s="34">
        <v>81421</v>
      </c>
      <c r="I136" s="34" t="s">
        <v>17</v>
      </c>
      <c r="J136" s="34">
        <v>51710595</v>
      </c>
      <c r="K136" s="34" t="s">
        <v>5340</v>
      </c>
      <c r="L136" s="40" t="s">
        <v>5344</v>
      </c>
      <c r="M136" s="36">
        <v>189900</v>
      </c>
      <c r="N136" s="37" t="s">
        <v>2569</v>
      </c>
      <c r="O136" s="36" t="str">
        <f t="shared" si="11"/>
        <v>B1G2</v>
      </c>
      <c r="P136" s="34" t="s">
        <v>2569</v>
      </c>
    </row>
    <row r="137" spans="1:16" x14ac:dyDescent="0.35">
      <c r="A137" s="14" t="str">
        <f t="shared" si="8"/>
        <v xml:space="preserve"> 2024 JUL-DEC B1G2 LICENSE BABY</v>
      </c>
      <c r="B137" s="35">
        <f t="shared" si="9"/>
        <v>46086</v>
      </c>
      <c r="C137" s="35">
        <f t="shared" si="10"/>
        <v>46092</v>
      </c>
      <c r="D137" s="34">
        <v>3284</v>
      </c>
      <c r="E137" s="34">
        <v>338</v>
      </c>
      <c r="F137" s="34">
        <v>4</v>
      </c>
      <c r="G137" s="34">
        <v>8</v>
      </c>
      <c r="H137" s="34">
        <v>81421</v>
      </c>
      <c r="I137" s="34" t="s">
        <v>17</v>
      </c>
      <c r="J137" s="24">
        <v>51710602</v>
      </c>
      <c r="K137" s="25" t="s">
        <v>5340</v>
      </c>
      <c r="L137" s="24" t="s">
        <v>5345</v>
      </c>
      <c r="M137" s="26">
        <v>189900</v>
      </c>
      <c r="N137" s="37" t="s">
        <v>2569</v>
      </c>
      <c r="O137" s="36" t="str">
        <f t="shared" si="11"/>
        <v>B1G2</v>
      </c>
      <c r="P137" s="34" t="s">
        <v>2569</v>
      </c>
    </row>
    <row r="138" spans="1:16" x14ac:dyDescent="0.35">
      <c r="A138" s="14" t="str">
        <f t="shared" si="8"/>
        <v xml:space="preserve"> 2024 JUL-DEC B1G2 LICENSE BABY</v>
      </c>
      <c r="B138" s="35">
        <f t="shared" si="9"/>
        <v>46086</v>
      </c>
      <c r="C138" s="35">
        <f t="shared" si="10"/>
        <v>46092</v>
      </c>
      <c r="D138" s="34">
        <v>3284</v>
      </c>
      <c r="E138" s="34">
        <v>338</v>
      </c>
      <c r="F138" s="34">
        <v>4</v>
      </c>
      <c r="G138" s="34">
        <v>8</v>
      </c>
      <c r="H138" s="34">
        <v>81421</v>
      </c>
      <c r="I138" s="34" t="s">
        <v>17</v>
      </c>
      <c r="J138" s="24">
        <v>51710611</v>
      </c>
      <c r="K138" s="25" t="s">
        <v>5346</v>
      </c>
      <c r="L138" s="24" t="s">
        <v>5347</v>
      </c>
      <c r="M138" s="26">
        <v>219900</v>
      </c>
      <c r="N138" s="37" t="s">
        <v>2569</v>
      </c>
      <c r="O138" s="36" t="str">
        <f t="shared" si="11"/>
        <v>B1G2</v>
      </c>
      <c r="P138" s="34" t="s">
        <v>2569</v>
      </c>
    </row>
    <row r="139" spans="1:16" x14ac:dyDescent="0.35">
      <c r="A139" s="14" t="str">
        <f t="shared" si="8"/>
        <v xml:space="preserve"> 2024 JUL-DEC B1G2 LICENSE BABY</v>
      </c>
      <c r="B139" s="35">
        <f t="shared" si="9"/>
        <v>46086</v>
      </c>
      <c r="C139" s="35">
        <f t="shared" si="10"/>
        <v>46092</v>
      </c>
      <c r="D139" s="34">
        <v>3284</v>
      </c>
      <c r="E139" s="34">
        <v>338</v>
      </c>
      <c r="F139" s="34">
        <v>4</v>
      </c>
      <c r="G139" s="34">
        <v>8</v>
      </c>
      <c r="H139" s="34">
        <v>81421</v>
      </c>
      <c r="I139" s="34" t="s">
        <v>17</v>
      </c>
      <c r="J139" s="24">
        <v>51710620</v>
      </c>
      <c r="K139" s="25" t="s">
        <v>5346</v>
      </c>
      <c r="L139" s="24" t="s">
        <v>5348</v>
      </c>
      <c r="M139" s="26">
        <v>219900</v>
      </c>
      <c r="N139" s="37" t="s">
        <v>2569</v>
      </c>
      <c r="O139" s="36" t="str">
        <f t="shared" si="11"/>
        <v>B1G2</v>
      </c>
      <c r="P139" s="34" t="s">
        <v>2569</v>
      </c>
    </row>
    <row r="140" spans="1:16" x14ac:dyDescent="0.35">
      <c r="A140" s="14" t="str">
        <f t="shared" si="8"/>
        <v xml:space="preserve"> 2024 JUL-DEC B1G2 LICENSE BABY</v>
      </c>
      <c r="B140" s="35">
        <f t="shared" si="9"/>
        <v>46086</v>
      </c>
      <c r="C140" s="35">
        <f t="shared" si="10"/>
        <v>46092</v>
      </c>
      <c r="D140" s="34">
        <v>3284</v>
      </c>
      <c r="E140" s="34">
        <v>338</v>
      </c>
      <c r="F140" s="34">
        <v>4</v>
      </c>
      <c r="G140" s="34">
        <v>8</v>
      </c>
      <c r="H140" s="34">
        <v>81421</v>
      </c>
      <c r="I140" s="34" t="s">
        <v>17</v>
      </c>
      <c r="J140" s="24">
        <v>51710639</v>
      </c>
      <c r="K140" s="25" t="s">
        <v>5346</v>
      </c>
      <c r="L140" s="24" t="s">
        <v>5349</v>
      </c>
      <c r="M140" s="26">
        <v>219900</v>
      </c>
      <c r="N140" s="37" t="s">
        <v>2569</v>
      </c>
      <c r="O140" s="36" t="str">
        <f t="shared" si="11"/>
        <v>B1G2</v>
      </c>
      <c r="P140" s="34" t="s">
        <v>2569</v>
      </c>
    </row>
    <row r="141" spans="1:16" x14ac:dyDescent="0.35">
      <c r="A141" s="14" t="str">
        <f t="shared" si="8"/>
        <v xml:space="preserve"> 2024 JUL-DEC B1G2 LICENSE BABY</v>
      </c>
      <c r="B141" s="35">
        <f t="shared" si="9"/>
        <v>46086</v>
      </c>
      <c r="C141" s="35">
        <f t="shared" si="10"/>
        <v>46092</v>
      </c>
      <c r="D141" s="34">
        <v>3284</v>
      </c>
      <c r="E141" s="34">
        <v>338</v>
      </c>
      <c r="F141" s="34">
        <v>4</v>
      </c>
      <c r="G141" s="34">
        <v>8</v>
      </c>
      <c r="H141" s="34">
        <v>81421</v>
      </c>
      <c r="I141" s="34" t="s">
        <v>17</v>
      </c>
      <c r="J141" s="34">
        <v>51710648</v>
      </c>
      <c r="K141" s="34" t="s">
        <v>5346</v>
      </c>
      <c r="L141" s="40" t="s">
        <v>5350</v>
      </c>
      <c r="M141" s="36">
        <v>219900</v>
      </c>
      <c r="N141" s="37" t="s">
        <v>2569</v>
      </c>
      <c r="O141" s="36" t="str">
        <f t="shared" si="11"/>
        <v>B1G2</v>
      </c>
      <c r="P141" s="34" t="s">
        <v>2569</v>
      </c>
    </row>
    <row r="142" spans="1:16" x14ac:dyDescent="0.35">
      <c r="A142" s="14" t="str">
        <f t="shared" si="8"/>
        <v xml:space="preserve"> 2024 JUL-DEC B1G2 LICENSE BABY</v>
      </c>
      <c r="B142" s="35">
        <f t="shared" si="9"/>
        <v>46086</v>
      </c>
      <c r="C142" s="35">
        <f t="shared" si="10"/>
        <v>46092</v>
      </c>
      <c r="D142" s="34">
        <v>3284</v>
      </c>
      <c r="E142" s="34">
        <v>338</v>
      </c>
      <c r="F142" s="34">
        <v>4</v>
      </c>
      <c r="G142" s="34">
        <v>8</v>
      </c>
      <c r="H142" s="34">
        <v>81421</v>
      </c>
      <c r="I142" s="34" t="s">
        <v>17</v>
      </c>
      <c r="J142" s="34">
        <v>51710657</v>
      </c>
      <c r="K142" s="34" t="s">
        <v>5346</v>
      </c>
      <c r="L142" s="40" t="s">
        <v>5351</v>
      </c>
      <c r="M142" s="36">
        <v>219900</v>
      </c>
      <c r="N142" s="37" t="s">
        <v>2569</v>
      </c>
      <c r="O142" s="36" t="str">
        <f t="shared" si="11"/>
        <v>B1G2</v>
      </c>
      <c r="P142" s="34" t="s">
        <v>2569</v>
      </c>
    </row>
    <row r="143" spans="1:16" x14ac:dyDescent="0.35">
      <c r="A143" s="14" t="str">
        <f t="shared" si="8"/>
        <v xml:space="preserve"> 2024 JUL-DEC B1G2 LICENSE BABY</v>
      </c>
      <c r="B143" s="35">
        <f t="shared" si="9"/>
        <v>46086</v>
      </c>
      <c r="C143" s="35">
        <f t="shared" si="10"/>
        <v>46092</v>
      </c>
      <c r="D143" s="34">
        <v>3284</v>
      </c>
      <c r="E143" s="34">
        <v>338</v>
      </c>
      <c r="F143" s="34">
        <v>4</v>
      </c>
      <c r="G143" s="34">
        <v>8</v>
      </c>
      <c r="H143" s="34">
        <v>81421</v>
      </c>
      <c r="I143" s="34" t="s">
        <v>17</v>
      </c>
      <c r="J143" s="34">
        <v>51710666</v>
      </c>
      <c r="K143" s="34" t="s">
        <v>5352</v>
      </c>
      <c r="L143" s="40" t="s">
        <v>5353</v>
      </c>
      <c r="M143" s="36">
        <v>189900</v>
      </c>
      <c r="N143" s="37" t="s">
        <v>2569</v>
      </c>
      <c r="O143" s="36" t="str">
        <f t="shared" si="11"/>
        <v>B1G2</v>
      </c>
      <c r="P143" s="34" t="s">
        <v>2569</v>
      </c>
    </row>
    <row r="144" spans="1:16" x14ac:dyDescent="0.35">
      <c r="A144" s="14" t="str">
        <f t="shared" si="8"/>
        <v xml:space="preserve"> 2024 JUL-DEC B1G2 LICENSE BABY</v>
      </c>
      <c r="B144" s="35">
        <f t="shared" si="9"/>
        <v>46086</v>
      </c>
      <c r="C144" s="35">
        <f t="shared" si="10"/>
        <v>46092</v>
      </c>
      <c r="D144" s="34">
        <v>3284</v>
      </c>
      <c r="E144" s="34">
        <v>338</v>
      </c>
      <c r="F144" s="34">
        <v>4</v>
      </c>
      <c r="G144" s="34">
        <v>8</v>
      </c>
      <c r="H144" s="34">
        <v>81421</v>
      </c>
      <c r="I144" s="34" t="s">
        <v>17</v>
      </c>
      <c r="J144" s="34">
        <v>51710675</v>
      </c>
      <c r="K144" s="34" t="s">
        <v>5352</v>
      </c>
      <c r="L144" s="40" t="s">
        <v>5354</v>
      </c>
      <c r="M144" s="36">
        <v>189900</v>
      </c>
      <c r="N144" s="37" t="s">
        <v>2569</v>
      </c>
      <c r="O144" s="36" t="str">
        <f t="shared" si="11"/>
        <v>B1G2</v>
      </c>
      <c r="P144" s="34" t="s">
        <v>2569</v>
      </c>
    </row>
    <row r="145" spans="1:16" x14ac:dyDescent="0.35">
      <c r="A145" s="14" t="str">
        <f t="shared" si="8"/>
        <v xml:space="preserve"> 2024 JUL-DEC B1G2 LICENSE BABY</v>
      </c>
      <c r="B145" s="35">
        <f t="shared" si="9"/>
        <v>46086</v>
      </c>
      <c r="C145" s="35">
        <f t="shared" si="10"/>
        <v>46092</v>
      </c>
      <c r="D145" s="34">
        <v>3284</v>
      </c>
      <c r="E145" s="34">
        <v>338</v>
      </c>
      <c r="F145" s="34">
        <v>4</v>
      </c>
      <c r="G145" s="34">
        <v>8</v>
      </c>
      <c r="H145" s="34">
        <v>81421</v>
      </c>
      <c r="I145" s="34" t="s">
        <v>17</v>
      </c>
      <c r="J145" s="34">
        <v>51710684</v>
      </c>
      <c r="K145" s="34" t="s">
        <v>5352</v>
      </c>
      <c r="L145" s="40" t="s">
        <v>5355</v>
      </c>
      <c r="M145" s="36">
        <v>189900</v>
      </c>
      <c r="N145" s="37" t="s">
        <v>2569</v>
      </c>
      <c r="O145" s="36" t="str">
        <f t="shared" si="11"/>
        <v>B1G2</v>
      </c>
      <c r="P145" s="34" t="s">
        <v>2569</v>
      </c>
    </row>
    <row r="146" spans="1:16" x14ac:dyDescent="0.35">
      <c r="A146" s="14" t="str">
        <f t="shared" si="8"/>
        <v xml:space="preserve"> 2024 JUL-DEC B1G2 LICENSE BABY</v>
      </c>
      <c r="B146" s="35">
        <f t="shared" si="9"/>
        <v>46086</v>
      </c>
      <c r="C146" s="35">
        <f t="shared" si="10"/>
        <v>46092</v>
      </c>
      <c r="D146" s="34">
        <v>3284</v>
      </c>
      <c r="E146" s="34">
        <v>338</v>
      </c>
      <c r="F146" s="34">
        <v>4</v>
      </c>
      <c r="G146" s="34">
        <v>8</v>
      </c>
      <c r="H146" s="34">
        <v>81421</v>
      </c>
      <c r="I146" s="34" t="s">
        <v>17</v>
      </c>
      <c r="J146" s="34">
        <v>51710693</v>
      </c>
      <c r="K146" s="34" t="s">
        <v>5352</v>
      </c>
      <c r="L146" s="40" t="s">
        <v>5356</v>
      </c>
      <c r="M146" s="36">
        <v>189900</v>
      </c>
      <c r="N146" s="37" t="s">
        <v>2569</v>
      </c>
      <c r="O146" s="36" t="str">
        <f t="shared" si="11"/>
        <v>B1G2</v>
      </c>
      <c r="P146" s="34" t="s">
        <v>2569</v>
      </c>
    </row>
    <row r="147" spans="1:16" x14ac:dyDescent="0.35">
      <c r="A147" s="14" t="str">
        <f t="shared" si="8"/>
        <v xml:space="preserve"> 2024 JUL-DEC B1G2 LICENSE BABY</v>
      </c>
      <c r="B147" s="35">
        <f t="shared" si="9"/>
        <v>46086</v>
      </c>
      <c r="C147" s="35">
        <f t="shared" si="10"/>
        <v>46092</v>
      </c>
      <c r="D147" s="34">
        <v>3284</v>
      </c>
      <c r="E147" s="34">
        <v>338</v>
      </c>
      <c r="F147" s="34">
        <v>4</v>
      </c>
      <c r="G147" s="34">
        <v>8</v>
      </c>
      <c r="H147" s="34">
        <v>81421</v>
      </c>
      <c r="I147" s="34" t="s">
        <v>17</v>
      </c>
      <c r="J147" s="34">
        <v>51710700</v>
      </c>
      <c r="K147" s="34" t="s">
        <v>5352</v>
      </c>
      <c r="L147" s="40" t="s">
        <v>5357</v>
      </c>
      <c r="M147" s="36">
        <v>189900</v>
      </c>
      <c r="N147" s="37" t="s">
        <v>2569</v>
      </c>
      <c r="O147" s="36" t="str">
        <f t="shared" si="11"/>
        <v>B1G2</v>
      </c>
      <c r="P147" s="34" t="s">
        <v>2569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" activePane="bottomLeft" state="frozen"/>
      <selection activeCell="C13" sqref="C13"/>
      <selection pane="bottomLeft" activeCell="C13" sqref="C13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9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6786</v>
      </c>
      <c r="B2" s="7">
        <f>'2025 HILITE D80 - 3321'!B2</f>
        <v>46086</v>
      </c>
      <c r="C2" s="7">
        <f>'2025 HILITE D80 - 3321'!C2</f>
        <v>46092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2921</v>
      </c>
      <c r="L2" s="17" t="s">
        <v>2922</v>
      </c>
      <c r="M2" s="8">
        <v>149900</v>
      </c>
      <c r="N2" s="9">
        <v>0.7</v>
      </c>
      <c r="O2" s="8">
        <f>M2-((70*M2)/100)</f>
        <v>44970</v>
      </c>
      <c r="P2" s="22" t="s">
        <v>16</v>
      </c>
    </row>
    <row r="3" spans="1:16" x14ac:dyDescent="0.35">
      <c r="A3" s="14" t="str">
        <f>A2</f>
        <v xml:space="preserve"> 2024 JAN-JUN D70 LICENSE BABY</v>
      </c>
      <c r="B3" s="7">
        <f>B2</f>
        <v>46086</v>
      </c>
      <c r="C3" s="7">
        <f>C2</f>
        <v>46092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2921</v>
      </c>
      <c r="L3" s="17" t="s">
        <v>3287</v>
      </c>
      <c r="M3" s="8">
        <v>149900</v>
      </c>
      <c r="N3" s="37">
        <f>N2</f>
        <v>0.7</v>
      </c>
      <c r="O3" s="36">
        <f t="shared" ref="O3:O66" si="0">M3-((70*M3)/100)</f>
        <v>44970</v>
      </c>
      <c r="P3" s="22" t="s">
        <v>16</v>
      </c>
    </row>
    <row r="4" spans="1:16" x14ac:dyDescent="0.35">
      <c r="A4" s="14" t="str">
        <f t="shared" ref="A4:A67" si="1">A3</f>
        <v xml:space="preserve"> 2024 JAN-JUN D70 LICENSE BABY</v>
      </c>
      <c r="B4" s="7">
        <f t="shared" ref="B4:C19" si="2">B3</f>
        <v>46086</v>
      </c>
      <c r="C4" s="7">
        <f t="shared" si="2"/>
        <v>46092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2921</v>
      </c>
      <c r="L4" s="17" t="s">
        <v>2923</v>
      </c>
      <c r="M4" s="8">
        <v>149900</v>
      </c>
      <c r="N4" s="37">
        <f t="shared" ref="N4:N67" si="3">N3</f>
        <v>0.7</v>
      </c>
      <c r="O4" s="36">
        <f t="shared" si="0"/>
        <v>44970</v>
      </c>
      <c r="P4" s="22" t="s">
        <v>16</v>
      </c>
    </row>
    <row r="5" spans="1:16" x14ac:dyDescent="0.35">
      <c r="A5" s="14" t="str">
        <f t="shared" si="1"/>
        <v xml:space="preserve"> 2024 JAN-JUN D70 LICENSE BABY</v>
      </c>
      <c r="B5" s="7">
        <f t="shared" si="2"/>
        <v>46086</v>
      </c>
      <c r="C5" s="7">
        <f t="shared" si="2"/>
        <v>46092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2921</v>
      </c>
      <c r="L5" s="17" t="s">
        <v>2924</v>
      </c>
      <c r="M5" s="8">
        <v>149900</v>
      </c>
      <c r="N5" s="37">
        <f t="shared" si="3"/>
        <v>0.7</v>
      </c>
      <c r="O5" s="36">
        <f t="shared" si="0"/>
        <v>44970</v>
      </c>
      <c r="P5" s="22" t="s">
        <v>16</v>
      </c>
    </row>
    <row r="6" spans="1:16" x14ac:dyDescent="0.35">
      <c r="A6" s="14" t="str">
        <f t="shared" si="1"/>
        <v xml:space="preserve"> 2024 JAN-JUN D70 LICENSE BABY</v>
      </c>
      <c r="B6" s="7">
        <f t="shared" si="2"/>
        <v>46086</v>
      </c>
      <c r="C6" s="7">
        <f t="shared" si="2"/>
        <v>46092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3288</v>
      </c>
      <c r="L6" s="17" t="s">
        <v>3289</v>
      </c>
      <c r="M6" s="8">
        <v>199900</v>
      </c>
      <c r="N6" s="37">
        <f t="shared" si="3"/>
        <v>0.7</v>
      </c>
      <c r="O6" s="36">
        <f t="shared" si="0"/>
        <v>59970</v>
      </c>
      <c r="P6" s="22" t="s">
        <v>16</v>
      </c>
    </row>
    <row r="7" spans="1:16" x14ac:dyDescent="0.35">
      <c r="A7" s="14" t="str">
        <f t="shared" si="1"/>
        <v xml:space="preserve"> 2024 JAN-JUN D70 LICENSE BABY</v>
      </c>
      <c r="B7" s="7">
        <f t="shared" si="2"/>
        <v>46086</v>
      </c>
      <c r="C7" s="7">
        <f t="shared" si="2"/>
        <v>46092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3288</v>
      </c>
      <c r="L7" s="17" t="s">
        <v>3290</v>
      </c>
      <c r="M7" s="8">
        <v>199900</v>
      </c>
      <c r="N7" s="37">
        <f t="shared" si="3"/>
        <v>0.7</v>
      </c>
      <c r="O7" s="36">
        <f t="shared" si="0"/>
        <v>59970</v>
      </c>
      <c r="P7" s="22" t="s">
        <v>16</v>
      </c>
    </row>
    <row r="8" spans="1:16" x14ac:dyDescent="0.35">
      <c r="A8" s="14" t="str">
        <f t="shared" si="1"/>
        <v xml:space="preserve"> 2024 JAN-JUN D70 LICENSE BABY</v>
      </c>
      <c r="B8" s="7">
        <f t="shared" si="2"/>
        <v>46086</v>
      </c>
      <c r="C8" s="7">
        <f t="shared" si="2"/>
        <v>46092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3288</v>
      </c>
      <c r="L8" s="17" t="s">
        <v>3291</v>
      </c>
      <c r="M8" s="8">
        <v>199900</v>
      </c>
      <c r="N8" s="37">
        <f t="shared" si="3"/>
        <v>0.7</v>
      </c>
      <c r="O8" s="36">
        <f t="shared" si="0"/>
        <v>59970</v>
      </c>
      <c r="P8" s="22" t="s">
        <v>16</v>
      </c>
    </row>
    <row r="9" spans="1:16" x14ac:dyDescent="0.35">
      <c r="A9" s="14" t="str">
        <f t="shared" si="1"/>
        <v xml:space="preserve"> 2024 JAN-JUN D70 LICENSE BABY</v>
      </c>
      <c r="B9" s="7">
        <f t="shared" si="2"/>
        <v>46086</v>
      </c>
      <c r="C9" s="7">
        <f t="shared" si="2"/>
        <v>46092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3288</v>
      </c>
      <c r="L9" s="17" t="s">
        <v>3292</v>
      </c>
      <c r="M9" s="8">
        <v>199900</v>
      </c>
      <c r="N9" s="37">
        <f t="shared" si="3"/>
        <v>0.7</v>
      </c>
      <c r="O9" s="36">
        <f t="shared" si="0"/>
        <v>59970</v>
      </c>
      <c r="P9" s="22" t="s">
        <v>16</v>
      </c>
    </row>
    <row r="10" spans="1:16" x14ac:dyDescent="0.35">
      <c r="A10" s="14" t="str">
        <f t="shared" si="1"/>
        <v xml:space="preserve"> 2024 JAN-JUN D70 LICENSE BABY</v>
      </c>
      <c r="B10" s="7">
        <f t="shared" si="2"/>
        <v>46086</v>
      </c>
      <c r="C10" s="7">
        <f t="shared" si="2"/>
        <v>46092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2925</v>
      </c>
      <c r="L10" s="17" t="s">
        <v>2926</v>
      </c>
      <c r="M10" s="8">
        <v>129900</v>
      </c>
      <c r="N10" s="37">
        <f t="shared" si="3"/>
        <v>0.7</v>
      </c>
      <c r="O10" s="36">
        <f t="shared" si="0"/>
        <v>38970</v>
      </c>
      <c r="P10" s="22" t="s">
        <v>16</v>
      </c>
    </row>
    <row r="11" spans="1:16" x14ac:dyDescent="0.35">
      <c r="A11" s="14" t="str">
        <f t="shared" si="1"/>
        <v xml:space="preserve"> 2024 JAN-JUN D70 LICENSE BABY</v>
      </c>
      <c r="B11" s="7">
        <f t="shared" si="2"/>
        <v>46086</v>
      </c>
      <c r="C11" s="7">
        <f t="shared" si="2"/>
        <v>46092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2925</v>
      </c>
      <c r="L11" s="17" t="s">
        <v>2927</v>
      </c>
      <c r="M11" s="8">
        <v>129900</v>
      </c>
      <c r="N11" s="37">
        <f t="shared" si="3"/>
        <v>0.7</v>
      </c>
      <c r="O11" s="36">
        <f t="shared" si="0"/>
        <v>38970</v>
      </c>
      <c r="P11" s="22" t="s">
        <v>16</v>
      </c>
    </row>
    <row r="12" spans="1:16" x14ac:dyDescent="0.35">
      <c r="A12" s="14" t="str">
        <f t="shared" si="1"/>
        <v xml:space="preserve"> 2024 JAN-JUN D70 LICENSE BABY</v>
      </c>
      <c r="B12" s="7">
        <f t="shared" si="2"/>
        <v>46086</v>
      </c>
      <c r="C12" s="7">
        <f t="shared" si="2"/>
        <v>46092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2925</v>
      </c>
      <c r="L12" s="17" t="s">
        <v>2928</v>
      </c>
      <c r="M12" s="8">
        <v>129900</v>
      </c>
      <c r="N12" s="37">
        <f t="shared" si="3"/>
        <v>0.7</v>
      </c>
      <c r="O12" s="36">
        <f t="shared" si="0"/>
        <v>38970</v>
      </c>
      <c r="P12" s="22" t="s">
        <v>16</v>
      </c>
    </row>
    <row r="13" spans="1:16" x14ac:dyDescent="0.35">
      <c r="A13" s="14" t="str">
        <f t="shared" si="1"/>
        <v xml:space="preserve"> 2024 JAN-JUN D70 LICENSE BABY</v>
      </c>
      <c r="B13" s="7">
        <f t="shared" si="2"/>
        <v>46086</v>
      </c>
      <c r="C13" s="7">
        <f t="shared" si="2"/>
        <v>46092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2925</v>
      </c>
      <c r="L13" s="17" t="s">
        <v>2929</v>
      </c>
      <c r="M13" s="8">
        <v>129900</v>
      </c>
      <c r="N13" s="37">
        <f t="shared" si="3"/>
        <v>0.7</v>
      </c>
      <c r="O13" s="36">
        <f t="shared" si="0"/>
        <v>38970</v>
      </c>
      <c r="P13" s="22" t="s">
        <v>16</v>
      </c>
    </row>
    <row r="14" spans="1:16" x14ac:dyDescent="0.35">
      <c r="A14" s="14" t="str">
        <f t="shared" si="1"/>
        <v xml:space="preserve"> 2024 JAN-JUN D70 LICENSE BABY</v>
      </c>
      <c r="B14" s="7">
        <f t="shared" si="2"/>
        <v>46086</v>
      </c>
      <c r="C14" s="7">
        <f t="shared" si="2"/>
        <v>46092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3293</v>
      </c>
      <c r="L14" s="17" t="s">
        <v>3294</v>
      </c>
      <c r="M14" s="8">
        <v>99900</v>
      </c>
      <c r="N14" s="37">
        <f t="shared" si="3"/>
        <v>0.7</v>
      </c>
      <c r="O14" s="36">
        <f t="shared" si="0"/>
        <v>29970</v>
      </c>
      <c r="P14" s="22" t="s">
        <v>16</v>
      </c>
    </row>
    <row r="15" spans="1:16" x14ac:dyDescent="0.35">
      <c r="A15" s="14" t="str">
        <f t="shared" si="1"/>
        <v xml:space="preserve"> 2024 JAN-JUN D70 LICENSE BABY</v>
      </c>
      <c r="B15" s="7">
        <f t="shared" si="2"/>
        <v>46086</v>
      </c>
      <c r="C15" s="7">
        <f t="shared" si="2"/>
        <v>46092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3293</v>
      </c>
      <c r="L15" s="17" t="s">
        <v>3295</v>
      </c>
      <c r="M15" s="8">
        <v>99900</v>
      </c>
      <c r="N15" s="37">
        <f t="shared" si="3"/>
        <v>0.7</v>
      </c>
      <c r="O15" s="36">
        <f t="shared" si="0"/>
        <v>29970</v>
      </c>
      <c r="P15" s="22" t="s">
        <v>16</v>
      </c>
    </row>
    <row r="16" spans="1:16" x14ac:dyDescent="0.35">
      <c r="A16" s="14" t="str">
        <f t="shared" si="1"/>
        <v xml:space="preserve"> 2024 JAN-JUN D70 LICENSE BABY</v>
      </c>
      <c r="B16" s="7">
        <f t="shared" si="2"/>
        <v>46086</v>
      </c>
      <c r="C16" s="7">
        <f t="shared" si="2"/>
        <v>46092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3293</v>
      </c>
      <c r="L16" s="17" t="s">
        <v>3296</v>
      </c>
      <c r="M16" s="8">
        <v>99900</v>
      </c>
      <c r="N16" s="37">
        <f t="shared" si="3"/>
        <v>0.7</v>
      </c>
      <c r="O16" s="36">
        <f t="shared" si="0"/>
        <v>29970</v>
      </c>
      <c r="P16" s="22" t="s">
        <v>16</v>
      </c>
    </row>
    <row r="17" spans="1:16" x14ac:dyDescent="0.35">
      <c r="A17" s="14" t="str">
        <f t="shared" si="1"/>
        <v xml:space="preserve"> 2024 JAN-JUN D70 LICENSE BABY</v>
      </c>
      <c r="B17" s="7">
        <f t="shared" si="2"/>
        <v>46086</v>
      </c>
      <c r="C17" s="7">
        <f t="shared" si="2"/>
        <v>46092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3293</v>
      </c>
      <c r="L17" s="17" t="s">
        <v>3297</v>
      </c>
      <c r="M17" s="8">
        <v>99900</v>
      </c>
      <c r="N17" s="37">
        <f t="shared" si="3"/>
        <v>0.7</v>
      </c>
      <c r="O17" s="36">
        <f t="shared" si="0"/>
        <v>29970</v>
      </c>
      <c r="P17" s="22" t="s">
        <v>16</v>
      </c>
    </row>
    <row r="18" spans="1:16" x14ac:dyDescent="0.35">
      <c r="A18" s="14" t="str">
        <f t="shared" si="1"/>
        <v xml:space="preserve"> 2024 JAN-JUN D70 LICENSE BABY</v>
      </c>
      <c r="B18" s="7">
        <f t="shared" si="2"/>
        <v>46086</v>
      </c>
      <c r="C18" s="7">
        <f t="shared" si="2"/>
        <v>46092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2930</v>
      </c>
      <c r="L18" s="17" t="s">
        <v>2931</v>
      </c>
      <c r="M18" s="8">
        <v>99900</v>
      </c>
      <c r="N18" s="37">
        <f t="shared" si="3"/>
        <v>0.7</v>
      </c>
      <c r="O18" s="36">
        <f t="shared" si="0"/>
        <v>29970</v>
      </c>
      <c r="P18" s="22" t="s">
        <v>16</v>
      </c>
    </row>
    <row r="19" spans="1:16" x14ac:dyDescent="0.35">
      <c r="A19" s="14" t="str">
        <f t="shared" si="1"/>
        <v xml:space="preserve"> 2024 JAN-JUN D70 LICENSE BABY</v>
      </c>
      <c r="B19" s="7">
        <f t="shared" si="2"/>
        <v>46086</v>
      </c>
      <c r="C19" s="7">
        <f t="shared" si="2"/>
        <v>46092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2930</v>
      </c>
      <c r="L19" s="17" t="s">
        <v>3298</v>
      </c>
      <c r="M19" s="8">
        <v>99900</v>
      </c>
      <c r="N19" s="37">
        <f t="shared" si="3"/>
        <v>0.7</v>
      </c>
      <c r="O19" s="36">
        <f t="shared" si="0"/>
        <v>29970</v>
      </c>
      <c r="P19" s="22" t="s">
        <v>16</v>
      </c>
    </row>
    <row r="20" spans="1:16" x14ac:dyDescent="0.35">
      <c r="A20" s="14" t="str">
        <f t="shared" si="1"/>
        <v xml:space="preserve"> 2024 JAN-JUN D70 LICENSE BABY</v>
      </c>
      <c r="B20" s="7">
        <f t="shared" ref="B20:C29" si="4">B19</f>
        <v>46086</v>
      </c>
      <c r="C20" s="7">
        <f t="shared" si="4"/>
        <v>46092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2930</v>
      </c>
      <c r="L20" s="17" t="s">
        <v>2932</v>
      </c>
      <c r="M20" s="8">
        <v>99900</v>
      </c>
      <c r="N20" s="37">
        <f t="shared" si="3"/>
        <v>0.7</v>
      </c>
      <c r="O20" s="36">
        <f t="shared" si="0"/>
        <v>29970</v>
      </c>
      <c r="P20" s="22" t="s">
        <v>16</v>
      </c>
    </row>
    <row r="21" spans="1:16" x14ac:dyDescent="0.35">
      <c r="A21" s="14" t="str">
        <f t="shared" si="1"/>
        <v xml:space="preserve"> 2024 JAN-JUN D70 LICENSE BABY</v>
      </c>
      <c r="B21" s="7">
        <f t="shared" si="4"/>
        <v>46086</v>
      </c>
      <c r="C21" s="7">
        <f t="shared" si="4"/>
        <v>46092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2930</v>
      </c>
      <c r="L21" s="17" t="s">
        <v>2933</v>
      </c>
      <c r="M21" s="8">
        <v>99900</v>
      </c>
      <c r="N21" s="37">
        <f t="shared" si="3"/>
        <v>0.7</v>
      </c>
      <c r="O21" s="36">
        <f t="shared" si="0"/>
        <v>29970</v>
      </c>
      <c r="P21" s="22" t="s">
        <v>16</v>
      </c>
    </row>
    <row r="22" spans="1:16" x14ac:dyDescent="0.35">
      <c r="A22" s="14" t="str">
        <f t="shared" si="1"/>
        <v xml:space="preserve"> 2024 JAN-JUN D70 LICENSE BABY</v>
      </c>
      <c r="B22" s="7">
        <f t="shared" si="4"/>
        <v>46086</v>
      </c>
      <c r="C22" s="7">
        <f t="shared" si="4"/>
        <v>46092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7" t="s">
        <v>3299</v>
      </c>
      <c r="M22" s="8">
        <v>229900</v>
      </c>
      <c r="N22" s="37">
        <f t="shared" si="3"/>
        <v>0.7</v>
      </c>
      <c r="O22" s="36">
        <f t="shared" si="0"/>
        <v>68970</v>
      </c>
      <c r="P22" s="22" t="s">
        <v>16</v>
      </c>
    </row>
    <row r="23" spans="1:16" x14ac:dyDescent="0.35">
      <c r="A23" s="14" t="str">
        <f t="shared" si="1"/>
        <v xml:space="preserve"> 2024 JAN-JUN D70 LICENSE BABY</v>
      </c>
      <c r="B23" s="7">
        <f t="shared" si="4"/>
        <v>46086</v>
      </c>
      <c r="C23" s="7">
        <f t="shared" si="4"/>
        <v>46092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7" t="s">
        <v>3300</v>
      </c>
      <c r="M23" s="8">
        <v>229900</v>
      </c>
      <c r="N23" s="37">
        <f t="shared" si="3"/>
        <v>0.7</v>
      </c>
      <c r="O23" s="36">
        <f t="shared" si="0"/>
        <v>68970</v>
      </c>
      <c r="P23" s="22" t="s">
        <v>16</v>
      </c>
    </row>
    <row r="24" spans="1:16" x14ac:dyDescent="0.35">
      <c r="A24" s="14" t="str">
        <f t="shared" si="1"/>
        <v xml:space="preserve"> 2024 JAN-JUN D70 LICENSE BABY</v>
      </c>
      <c r="B24" s="7">
        <f t="shared" si="4"/>
        <v>46086</v>
      </c>
      <c r="C24" s="7">
        <f t="shared" si="4"/>
        <v>46092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7" t="s">
        <v>3301</v>
      </c>
      <c r="M24" s="8">
        <v>229900</v>
      </c>
      <c r="N24" s="37">
        <f t="shared" si="3"/>
        <v>0.7</v>
      </c>
      <c r="O24" s="36">
        <f t="shared" si="0"/>
        <v>68970</v>
      </c>
      <c r="P24" s="22" t="s">
        <v>16</v>
      </c>
    </row>
    <row r="25" spans="1:16" x14ac:dyDescent="0.35">
      <c r="A25" s="14" t="str">
        <f t="shared" si="1"/>
        <v xml:space="preserve"> 2024 JAN-JUN D70 LICENSE BABY</v>
      </c>
      <c r="B25" s="7">
        <f t="shared" si="4"/>
        <v>46086</v>
      </c>
      <c r="C25" s="7">
        <f t="shared" si="4"/>
        <v>46092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7" t="s">
        <v>3302</v>
      </c>
      <c r="M25" s="8">
        <v>229900</v>
      </c>
      <c r="N25" s="37">
        <f t="shared" si="3"/>
        <v>0.7</v>
      </c>
      <c r="O25" s="36">
        <f t="shared" si="0"/>
        <v>68970</v>
      </c>
      <c r="P25" s="22" t="s">
        <v>16</v>
      </c>
    </row>
    <row r="26" spans="1:16" x14ac:dyDescent="0.35">
      <c r="A26" s="14" t="str">
        <f t="shared" si="1"/>
        <v xml:space="preserve"> 2024 JAN-JUN D70 LICENSE BABY</v>
      </c>
      <c r="B26" s="7">
        <f t="shared" si="4"/>
        <v>46086</v>
      </c>
      <c r="C26" s="7">
        <f t="shared" si="4"/>
        <v>46092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3303</v>
      </c>
      <c r="L26" s="17" t="s">
        <v>3304</v>
      </c>
      <c r="M26" s="8">
        <v>179900</v>
      </c>
      <c r="N26" s="37">
        <f t="shared" si="3"/>
        <v>0.7</v>
      </c>
      <c r="O26" s="36">
        <f t="shared" si="0"/>
        <v>53970</v>
      </c>
      <c r="P26" s="22" t="s">
        <v>16</v>
      </c>
    </row>
    <row r="27" spans="1:16" x14ac:dyDescent="0.35">
      <c r="A27" s="14" t="str">
        <f t="shared" si="1"/>
        <v xml:space="preserve"> 2024 JAN-JUN D70 LICENSE BABY</v>
      </c>
      <c r="B27" s="7">
        <f t="shared" si="4"/>
        <v>46086</v>
      </c>
      <c r="C27" s="7">
        <f t="shared" si="4"/>
        <v>46092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3303</v>
      </c>
      <c r="L27" s="17" t="s">
        <v>3305</v>
      </c>
      <c r="M27" s="8">
        <v>179900</v>
      </c>
      <c r="N27" s="37">
        <f t="shared" si="3"/>
        <v>0.7</v>
      </c>
      <c r="O27" s="36">
        <f t="shared" si="0"/>
        <v>53970</v>
      </c>
      <c r="P27" s="22" t="s">
        <v>16</v>
      </c>
    </row>
    <row r="28" spans="1:16" x14ac:dyDescent="0.35">
      <c r="A28" s="14" t="str">
        <f t="shared" si="1"/>
        <v xml:space="preserve"> 2024 JAN-JUN D70 LICENSE BABY</v>
      </c>
      <c r="B28" s="7">
        <f t="shared" si="4"/>
        <v>46086</v>
      </c>
      <c r="C28" s="7">
        <f t="shared" si="4"/>
        <v>46092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3303</v>
      </c>
      <c r="L28" s="17" t="s">
        <v>3306</v>
      </c>
      <c r="M28" s="8">
        <v>179900</v>
      </c>
      <c r="N28" s="37">
        <f t="shared" si="3"/>
        <v>0.7</v>
      </c>
      <c r="O28" s="36">
        <f t="shared" si="0"/>
        <v>53970</v>
      </c>
      <c r="P28" s="22" t="s">
        <v>16</v>
      </c>
    </row>
    <row r="29" spans="1:16" x14ac:dyDescent="0.35">
      <c r="A29" s="14" t="str">
        <f t="shared" si="1"/>
        <v xml:space="preserve"> 2024 JAN-JUN D70 LICENSE BABY</v>
      </c>
      <c r="B29" s="7">
        <f t="shared" si="4"/>
        <v>46086</v>
      </c>
      <c r="C29" s="7">
        <f t="shared" si="4"/>
        <v>46092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3303</v>
      </c>
      <c r="L29" s="17" t="s">
        <v>3307</v>
      </c>
      <c r="M29" s="8">
        <v>179900</v>
      </c>
      <c r="N29" s="37">
        <f t="shared" si="3"/>
        <v>0.7</v>
      </c>
      <c r="O29" s="36">
        <f t="shared" si="0"/>
        <v>53970</v>
      </c>
      <c r="P29" s="22" t="s">
        <v>16</v>
      </c>
    </row>
    <row r="30" spans="1:16" x14ac:dyDescent="0.35">
      <c r="A30" s="14" t="str">
        <f t="shared" si="1"/>
        <v xml:space="preserve"> 2024 JAN-JUN D70 LICENSE BABY</v>
      </c>
      <c r="B30" s="7">
        <f t="shared" ref="B30:B61" si="5">B29</f>
        <v>46086</v>
      </c>
      <c r="C30" s="7">
        <f t="shared" ref="C30:C61" si="6">C29</f>
        <v>46092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2934</v>
      </c>
      <c r="L30" s="17" t="s">
        <v>2935</v>
      </c>
      <c r="M30" s="8">
        <v>179900</v>
      </c>
      <c r="N30" s="37">
        <f t="shared" si="3"/>
        <v>0.7</v>
      </c>
      <c r="O30" s="36">
        <f t="shared" si="0"/>
        <v>53970</v>
      </c>
      <c r="P30" s="22" t="s">
        <v>16</v>
      </c>
    </row>
    <row r="31" spans="1:16" x14ac:dyDescent="0.35">
      <c r="A31" s="14" t="str">
        <f t="shared" si="1"/>
        <v xml:space="preserve"> 2024 JAN-JUN D70 LICENSE BABY</v>
      </c>
      <c r="B31" s="7">
        <f t="shared" si="5"/>
        <v>46086</v>
      </c>
      <c r="C31" s="7">
        <f t="shared" si="6"/>
        <v>46092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2934</v>
      </c>
      <c r="L31" s="17" t="s">
        <v>3308</v>
      </c>
      <c r="M31" s="8">
        <v>179900</v>
      </c>
      <c r="N31" s="37">
        <f t="shared" si="3"/>
        <v>0.7</v>
      </c>
      <c r="O31" s="36">
        <f t="shared" si="0"/>
        <v>53970</v>
      </c>
      <c r="P31" s="22" t="s">
        <v>16</v>
      </c>
    </row>
    <row r="32" spans="1:16" x14ac:dyDescent="0.35">
      <c r="A32" s="14" t="str">
        <f t="shared" si="1"/>
        <v xml:space="preserve"> 2024 JAN-JUN D70 LICENSE BABY</v>
      </c>
      <c r="B32" s="7">
        <f t="shared" si="5"/>
        <v>46086</v>
      </c>
      <c r="C32" s="7">
        <f t="shared" si="6"/>
        <v>46092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2934</v>
      </c>
      <c r="L32" s="17" t="s">
        <v>2936</v>
      </c>
      <c r="M32" s="8">
        <v>179900</v>
      </c>
      <c r="N32" s="37">
        <f t="shared" si="3"/>
        <v>0.7</v>
      </c>
      <c r="O32" s="36">
        <f t="shared" si="0"/>
        <v>53970</v>
      </c>
      <c r="P32" s="22" t="s">
        <v>16</v>
      </c>
    </row>
    <row r="33" spans="1:16" x14ac:dyDescent="0.35">
      <c r="A33" s="14" t="str">
        <f t="shared" si="1"/>
        <v xml:space="preserve"> 2024 JAN-JUN D70 LICENSE BABY</v>
      </c>
      <c r="B33" s="7">
        <f t="shared" si="5"/>
        <v>46086</v>
      </c>
      <c r="C33" s="7">
        <f t="shared" si="6"/>
        <v>46092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2934</v>
      </c>
      <c r="L33" s="17" t="s">
        <v>2937</v>
      </c>
      <c r="M33" s="8">
        <v>179900</v>
      </c>
      <c r="N33" s="37">
        <f t="shared" si="3"/>
        <v>0.7</v>
      </c>
      <c r="O33" s="36">
        <f t="shared" si="0"/>
        <v>53970</v>
      </c>
      <c r="P33" s="22" t="s">
        <v>16</v>
      </c>
    </row>
    <row r="34" spans="1:16" x14ac:dyDescent="0.35">
      <c r="A34" s="14" t="str">
        <f t="shared" si="1"/>
        <v xml:space="preserve"> 2024 JAN-JUN D70 LICENSE BABY</v>
      </c>
      <c r="B34" s="7">
        <f t="shared" si="5"/>
        <v>46086</v>
      </c>
      <c r="C34" s="7">
        <f t="shared" si="6"/>
        <v>46092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3309</v>
      </c>
      <c r="L34" s="17" t="s">
        <v>3310</v>
      </c>
      <c r="M34" s="8">
        <v>179900</v>
      </c>
      <c r="N34" s="37">
        <f t="shared" si="3"/>
        <v>0.7</v>
      </c>
      <c r="O34" s="36">
        <f t="shared" si="0"/>
        <v>53970</v>
      </c>
      <c r="P34" s="22" t="s">
        <v>16</v>
      </c>
    </row>
    <row r="35" spans="1:16" x14ac:dyDescent="0.35">
      <c r="A35" s="14" t="str">
        <f t="shared" si="1"/>
        <v xml:space="preserve"> 2024 JAN-JUN D70 LICENSE BABY</v>
      </c>
      <c r="B35" s="7">
        <f t="shared" si="5"/>
        <v>46086</v>
      </c>
      <c r="C35" s="7">
        <f t="shared" si="6"/>
        <v>46092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3309</v>
      </c>
      <c r="L35" s="17" t="s">
        <v>3311</v>
      </c>
      <c r="M35" s="8">
        <v>179900</v>
      </c>
      <c r="N35" s="37">
        <f t="shared" si="3"/>
        <v>0.7</v>
      </c>
      <c r="O35" s="36">
        <f t="shared" si="0"/>
        <v>53970</v>
      </c>
      <c r="P35" s="22" t="s">
        <v>16</v>
      </c>
    </row>
    <row r="36" spans="1:16" x14ac:dyDescent="0.35">
      <c r="A36" s="14" t="str">
        <f t="shared" si="1"/>
        <v xml:space="preserve"> 2024 JAN-JUN D70 LICENSE BABY</v>
      </c>
      <c r="B36" s="7">
        <f t="shared" si="5"/>
        <v>46086</v>
      </c>
      <c r="C36" s="7">
        <f t="shared" si="6"/>
        <v>46092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3309</v>
      </c>
      <c r="L36" s="17" t="s">
        <v>3312</v>
      </c>
      <c r="M36" s="8">
        <v>179900</v>
      </c>
      <c r="N36" s="37">
        <f t="shared" si="3"/>
        <v>0.7</v>
      </c>
      <c r="O36" s="36">
        <f t="shared" si="0"/>
        <v>53970</v>
      </c>
      <c r="P36" s="22" t="s">
        <v>16</v>
      </c>
    </row>
    <row r="37" spans="1:16" x14ac:dyDescent="0.35">
      <c r="A37" s="14" t="str">
        <f t="shared" si="1"/>
        <v xml:space="preserve"> 2024 JAN-JUN D70 LICENSE BABY</v>
      </c>
      <c r="B37" s="7">
        <f t="shared" si="5"/>
        <v>46086</v>
      </c>
      <c r="C37" s="7">
        <f t="shared" si="6"/>
        <v>46092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3309</v>
      </c>
      <c r="L37" s="17" t="s">
        <v>3313</v>
      </c>
      <c r="M37" s="8">
        <v>179900</v>
      </c>
      <c r="N37" s="37">
        <f t="shared" si="3"/>
        <v>0.7</v>
      </c>
      <c r="O37" s="36">
        <f t="shared" si="0"/>
        <v>53970</v>
      </c>
      <c r="P37" s="22" t="s">
        <v>16</v>
      </c>
    </row>
    <row r="38" spans="1:16" x14ac:dyDescent="0.35">
      <c r="A38" s="14" t="str">
        <f t="shared" si="1"/>
        <v xml:space="preserve"> 2024 JAN-JUN D70 LICENSE BABY</v>
      </c>
      <c r="B38" s="7">
        <f t="shared" si="5"/>
        <v>46086</v>
      </c>
      <c r="C38" s="7">
        <f t="shared" si="6"/>
        <v>46092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3641</v>
      </c>
      <c r="L38" s="17" t="s">
        <v>3642</v>
      </c>
      <c r="M38" s="8">
        <v>179900</v>
      </c>
      <c r="N38" s="37">
        <f t="shared" si="3"/>
        <v>0.7</v>
      </c>
      <c r="O38" s="36">
        <f t="shared" si="0"/>
        <v>53970</v>
      </c>
      <c r="P38" s="22" t="s">
        <v>16</v>
      </c>
    </row>
    <row r="39" spans="1:16" x14ac:dyDescent="0.35">
      <c r="A39" s="14" t="str">
        <f t="shared" si="1"/>
        <v xml:space="preserve"> 2024 JAN-JUN D70 LICENSE BABY</v>
      </c>
      <c r="B39" s="7">
        <f t="shared" si="5"/>
        <v>46086</v>
      </c>
      <c r="C39" s="7">
        <f t="shared" si="6"/>
        <v>46092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3641</v>
      </c>
      <c r="L39" s="17" t="s">
        <v>3643</v>
      </c>
      <c r="M39" s="8">
        <v>179900</v>
      </c>
      <c r="N39" s="37">
        <f t="shared" si="3"/>
        <v>0.7</v>
      </c>
      <c r="O39" s="36">
        <f t="shared" si="0"/>
        <v>53970</v>
      </c>
      <c r="P39" s="22" t="s">
        <v>16</v>
      </c>
    </row>
    <row r="40" spans="1:16" x14ac:dyDescent="0.35">
      <c r="A40" s="14" t="str">
        <f t="shared" si="1"/>
        <v xml:space="preserve"> 2024 JAN-JUN D70 LICENSE BABY</v>
      </c>
      <c r="B40" s="7">
        <f t="shared" si="5"/>
        <v>46086</v>
      </c>
      <c r="C40" s="7">
        <f t="shared" si="6"/>
        <v>46092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3641</v>
      </c>
      <c r="L40" s="17" t="s">
        <v>3644</v>
      </c>
      <c r="M40" s="8">
        <v>179900</v>
      </c>
      <c r="N40" s="37">
        <f t="shared" si="3"/>
        <v>0.7</v>
      </c>
      <c r="O40" s="36">
        <f t="shared" si="0"/>
        <v>53970</v>
      </c>
      <c r="P40" s="22" t="s">
        <v>16</v>
      </c>
    </row>
    <row r="41" spans="1:16" x14ac:dyDescent="0.35">
      <c r="A41" s="14" t="str">
        <f t="shared" si="1"/>
        <v xml:space="preserve"> 2024 JAN-JUN D70 LICENSE BABY</v>
      </c>
      <c r="B41" s="7">
        <f t="shared" si="5"/>
        <v>46086</v>
      </c>
      <c r="C41" s="7">
        <f t="shared" si="6"/>
        <v>46092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3641</v>
      </c>
      <c r="L41" s="17" t="s">
        <v>3645</v>
      </c>
      <c r="M41" s="8">
        <v>179900</v>
      </c>
      <c r="N41" s="37">
        <f t="shared" si="3"/>
        <v>0.7</v>
      </c>
      <c r="O41" s="36">
        <f t="shared" si="0"/>
        <v>53970</v>
      </c>
      <c r="P41" s="22" t="s">
        <v>16</v>
      </c>
    </row>
    <row r="42" spans="1:16" x14ac:dyDescent="0.35">
      <c r="A42" s="14" t="str">
        <f t="shared" si="1"/>
        <v xml:space="preserve"> 2024 JAN-JUN D70 LICENSE BABY</v>
      </c>
      <c r="B42" s="7">
        <f t="shared" si="5"/>
        <v>46086</v>
      </c>
      <c r="C42" s="7">
        <f t="shared" si="6"/>
        <v>46092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2938</v>
      </c>
      <c r="L42" s="17" t="s">
        <v>2939</v>
      </c>
      <c r="M42" s="8">
        <v>179900</v>
      </c>
      <c r="N42" s="37">
        <f t="shared" si="3"/>
        <v>0.7</v>
      </c>
      <c r="O42" s="36">
        <f t="shared" si="0"/>
        <v>53970</v>
      </c>
      <c r="P42" s="22" t="s">
        <v>16</v>
      </c>
    </row>
    <row r="43" spans="1:16" x14ac:dyDescent="0.35">
      <c r="A43" s="14" t="str">
        <f t="shared" si="1"/>
        <v xml:space="preserve"> 2024 JAN-JUN D70 LICENSE BABY</v>
      </c>
      <c r="B43" s="7">
        <f t="shared" si="5"/>
        <v>46086</v>
      </c>
      <c r="C43" s="7">
        <f t="shared" si="6"/>
        <v>46092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2938</v>
      </c>
      <c r="L43" s="17" t="s">
        <v>2940</v>
      </c>
      <c r="M43" s="8">
        <v>179900</v>
      </c>
      <c r="N43" s="37">
        <f t="shared" si="3"/>
        <v>0.7</v>
      </c>
      <c r="O43" s="36">
        <f t="shared" si="0"/>
        <v>53970</v>
      </c>
      <c r="P43" s="22" t="s">
        <v>16</v>
      </c>
    </row>
    <row r="44" spans="1:16" x14ac:dyDescent="0.35">
      <c r="A44" s="14" t="str">
        <f t="shared" si="1"/>
        <v xml:space="preserve"> 2024 JAN-JUN D70 LICENSE BABY</v>
      </c>
      <c r="B44" s="7">
        <f t="shared" si="5"/>
        <v>46086</v>
      </c>
      <c r="C44" s="7">
        <f t="shared" si="6"/>
        <v>46092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2938</v>
      </c>
      <c r="L44" s="17" t="s">
        <v>2941</v>
      </c>
      <c r="M44" s="8">
        <v>179900</v>
      </c>
      <c r="N44" s="37">
        <f t="shared" si="3"/>
        <v>0.7</v>
      </c>
      <c r="O44" s="36">
        <f t="shared" si="0"/>
        <v>53970</v>
      </c>
      <c r="P44" s="22" t="s">
        <v>16</v>
      </c>
    </row>
    <row r="45" spans="1:16" x14ac:dyDescent="0.35">
      <c r="A45" s="14" t="str">
        <f t="shared" si="1"/>
        <v xml:space="preserve"> 2024 JAN-JUN D70 LICENSE BABY</v>
      </c>
      <c r="B45" s="7">
        <f t="shared" si="5"/>
        <v>46086</v>
      </c>
      <c r="C45" s="7">
        <f t="shared" si="6"/>
        <v>46092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2938</v>
      </c>
      <c r="L45" s="17" t="s">
        <v>2942</v>
      </c>
      <c r="M45" s="8">
        <v>179900</v>
      </c>
      <c r="N45" s="37">
        <f t="shared" si="3"/>
        <v>0.7</v>
      </c>
      <c r="O45" s="36">
        <f t="shared" si="0"/>
        <v>53970</v>
      </c>
      <c r="P45" s="22" t="s">
        <v>16</v>
      </c>
    </row>
    <row r="46" spans="1:16" x14ac:dyDescent="0.35">
      <c r="A46" s="14" t="str">
        <f t="shared" si="1"/>
        <v xml:space="preserve"> 2024 JAN-JUN D70 LICENSE BABY</v>
      </c>
      <c r="B46" s="7">
        <f t="shared" si="5"/>
        <v>46086</v>
      </c>
      <c r="C46" s="7">
        <f t="shared" si="6"/>
        <v>46092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2943</v>
      </c>
      <c r="L46" s="17" t="s">
        <v>2944</v>
      </c>
      <c r="M46" s="8">
        <v>179900</v>
      </c>
      <c r="N46" s="37">
        <f t="shared" si="3"/>
        <v>0.7</v>
      </c>
      <c r="O46" s="36">
        <f t="shared" si="0"/>
        <v>53970</v>
      </c>
      <c r="P46" s="22" t="s">
        <v>16</v>
      </c>
    </row>
    <row r="47" spans="1:16" x14ac:dyDescent="0.35">
      <c r="A47" s="14" t="str">
        <f t="shared" si="1"/>
        <v xml:space="preserve"> 2024 JAN-JUN D70 LICENSE BABY</v>
      </c>
      <c r="B47" s="7">
        <f t="shared" si="5"/>
        <v>46086</v>
      </c>
      <c r="C47" s="7">
        <f t="shared" si="6"/>
        <v>46092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2943</v>
      </c>
      <c r="L47" s="17" t="s">
        <v>2945</v>
      </c>
      <c r="M47" s="8">
        <v>179900</v>
      </c>
      <c r="N47" s="37">
        <f t="shared" si="3"/>
        <v>0.7</v>
      </c>
      <c r="O47" s="36">
        <f t="shared" si="0"/>
        <v>53970</v>
      </c>
      <c r="P47" s="22" t="s">
        <v>16</v>
      </c>
    </row>
    <row r="48" spans="1:16" x14ac:dyDescent="0.35">
      <c r="A48" s="14" t="str">
        <f t="shared" si="1"/>
        <v xml:space="preserve"> 2024 JAN-JUN D70 LICENSE BABY</v>
      </c>
      <c r="B48" s="7">
        <f t="shared" si="5"/>
        <v>46086</v>
      </c>
      <c r="C48" s="7">
        <f t="shared" si="6"/>
        <v>46092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2943</v>
      </c>
      <c r="L48" s="17" t="s">
        <v>2946</v>
      </c>
      <c r="M48" s="8">
        <v>179900</v>
      </c>
      <c r="N48" s="37">
        <f t="shared" si="3"/>
        <v>0.7</v>
      </c>
      <c r="O48" s="36">
        <f t="shared" si="0"/>
        <v>53970</v>
      </c>
      <c r="P48" s="22" t="s">
        <v>16</v>
      </c>
    </row>
    <row r="49" spans="1:16" x14ac:dyDescent="0.35">
      <c r="A49" s="14" t="str">
        <f t="shared" si="1"/>
        <v xml:space="preserve"> 2024 JAN-JUN D70 LICENSE BABY</v>
      </c>
      <c r="B49" s="7">
        <f t="shared" si="5"/>
        <v>46086</v>
      </c>
      <c r="C49" s="7">
        <f t="shared" si="6"/>
        <v>46092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2943</v>
      </c>
      <c r="L49" s="17" t="s">
        <v>2947</v>
      </c>
      <c r="M49" s="8">
        <v>179900</v>
      </c>
      <c r="N49" s="37">
        <f t="shared" si="3"/>
        <v>0.7</v>
      </c>
      <c r="O49" s="36">
        <f t="shared" si="0"/>
        <v>53970</v>
      </c>
      <c r="P49" s="22" t="s">
        <v>16</v>
      </c>
    </row>
    <row r="50" spans="1:16" x14ac:dyDescent="0.35">
      <c r="A50" s="14" t="str">
        <f t="shared" si="1"/>
        <v xml:space="preserve"> 2024 JAN-JUN D70 LICENSE BABY</v>
      </c>
      <c r="B50" s="7">
        <f t="shared" si="5"/>
        <v>46086</v>
      </c>
      <c r="C50" s="7">
        <f t="shared" si="6"/>
        <v>46092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3651</v>
      </c>
      <c r="L50" s="17" t="s">
        <v>3652</v>
      </c>
      <c r="M50" s="8">
        <v>189900</v>
      </c>
      <c r="N50" s="37">
        <f t="shared" si="3"/>
        <v>0.7</v>
      </c>
      <c r="O50" s="36">
        <f t="shared" si="0"/>
        <v>56970</v>
      </c>
      <c r="P50" s="22" t="s">
        <v>16</v>
      </c>
    </row>
    <row r="51" spans="1:16" x14ac:dyDescent="0.35">
      <c r="A51" s="14" t="str">
        <f t="shared" si="1"/>
        <v xml:space="preserve"> 2024 JAN-JUN D70 LICENSE BABY</v>
      </c>
      <c r="B51" s="7">
        <f t="shared" si="5"/>
        <v>46086</v>
      </c>
      <c r="C51" s="7">
        <f t="shared" si="6"/>
        <v>46092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3651</v>
      </c>
      <c r="L51" s="17" t="s">
        <v>3653</v>
      </c>
      <c r="M51" s="8">
        <v>189900</v>
      </c>
      <c r="N51" s="37">
        <f t="shared" si="3"/>
        <v>0.7</v>
      </c>
      <c r="O51" s="36">
        <f t="shared" si="0"/>
        <v>56970</v>
      </c>
      <c r="P51" s="22" t="s">
        <v>16</v>
      </c>
    </row>
    <row r="52" spans="1:16" x14ac:dyDescent="0.35">
      <c r="A52" s="14" t="str">
        <f t="shared" si="1"/>
        <v xml:space="preserve"> 2024 JAN-JUN D70 LICENSE BABY</v>
      </c>
      <c r="B52" s="7">
        <f t="shared" si="5"/>
        <v>46086</v>
      </c>
      <c r="C52" s="7">
        <f t="shared" si="6"/>
        <v>46092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3651</v>
      </c>
      <c r="L52" s="17" t="s">
        <v>3654</v>
      </c>
      <c r="M52" s="8">
        <v>189900</v>
      </c>
      <c r="N52" s="37">
        <f t="shared" si="3"/>
        <v>0.7</v>
      </c>
      <c r="O52" s="36">
        <f t="shared" si="0"/>
        <v>56970</v>
      </c>
      <c r="P52" s="22" t="s">
        <v>16</v>
      </c>
    </row>
    <row r="53" spans="1:16" x14ac:dyDescent="0.35">
      <c r="A53" s="14" t="str">
        <f t="shared" si="1"/>
        <v xml:space="preserve"> 2024 JAN-JUN D70 LICENSE BABY</v>
      </c>
      <c r="B53" s="7">
        <f t="shared" si="5"/>
        <v>46086</v>
      </c>
      <c r="C53" s="7">
        <f t="shared" si="6"/>
        <v>46092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3651</v>
      </c>
      <c r="L53" s="17" t="s">
        <v>3655</v>
      </c>
      <c r="M53" s="8">
        <v>189900</v>
      </c>
      <c r="N53" s="37">
        <f t="shared" si="3"/>
        <v>0.7</v>
      </c>
      <c r="O53" s="36">
        <f t="shared" si="0"/>
        <v>56970</v>
      </c>
      <c r="P53" s="22" t="s">
        <v>16</v>
      </c>
    </row>
    <row r="54" spans="1:16" x14ac:dyDescent="0.35">
      <c r="A54" s="14" t="str">
        <f t="shared" si="1"/>
        <v xml:space="preserve"> 2024 JAN-JUN D70 LICENSE BABY</v>
      </c>
      <c r="B54" s="7">
        <f t="shared" si="5"/>
        <v>46086</v>
      </c>
      <c r="C54" s="7">
        <f t="shared" si="6"/>
        <v>46092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3314</v>
      </c>
      <c r="L54" s="17" t="s">
        <v>3315</v>
      </c>
      <c r="M54" s="8">
        <v>219900</v>
      </c>
      <c r="N54" s="37">
        <f t="shared" si="3"/>
        <v>0.7</v>
      </c>
      <c r="O54" s="36">
        <f t="shared" si="0"/>
        <v>65970</v>
      </c>
      <c r="P54" s="22" t="s">
        <v>16</v>
      </c>
    </row>
    <row r="55" spans="1:16" x14ac:dyDescent="0.35">
      <c r="A55" s="14" t="str">
        <f t="shared" si="1"/>
        <v xml:space="preserve"> 2024 JAN-JUN D70 LICENSE BABY</v>
      </c>
      <c r="B55" s="7">
        <f t="shared" si="5"/>
        <v>46086</v>
      </c>
      <c r="C55" s="7">
        <f t="shared" si="6"/>
        <v>46092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3314</v>
      </c>
      <c r="L55" s="17" t="s">
        <v>3316</v>
      </c>
      <c r="M55" s="8">
        <v>219900</v>
      </c>
      <c r="N55" s="37">
        <f t="shared" si="3"/>
        <v>0.7</v>
      </c>
      <c r="O55" s="36">
        <f t="shared" si="0"/>
        <v>65970</v>
      </c>
      <c r="P55" s="22" t="s">
        <v>16</v>
      </c>
    </row>
    <row r="56" spans="1:16" x14ac:dyDescent="0.35">
      <c r="A56" s="14" t="str">
        <f t="shared" si="1"/>
        <v xml:space="preserve"> 2024 JAN-JUN D70 LICENSE BABY</v>
      </c>
      <c r="B56" s="7">
        <f t="shared" si="5"/>
        <v>46086</v>
      </c>
      <c r="C56" s="7">
        <f t="shared" si="6"/>
        <v>46092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3314</v>
      </c>
      <c r="L56" s="17" t="s">
        <v>3317</v>
      </c>
      <c r="M56" s="8">
        <v>219900</v>
      </c>
      <c r="N56" s="37">
        <f t="shared" si="3"/>
        <v>0.7</v>
      </c>
      <c r="O56" s="36">
        <f t="shared" si="0"/>
        <v>65970</v>
      </c>
      <c r="P56" s="22" t="s">
        <v>16</v>
      </c>
    </row>
    <row r="57" spans="1:16" x14ac:dyDescent="0.35">
      <c r="A57" s="14" t="str">
        <f t="shared" si="1"/>
        <v xml:space="preserve"> 2024 JAN-JUN D70 LICENSE BABY</v>
      </c>
      <c r="B57" s="7">
        <f t="shared" si="5"/>
        <v>46086</v>
      </c>
      <c r="C57" s="7">
        <f t="shared" si="6"/>
        <v>46092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3314</v>
      </c>
      <c r="L57" s="17" t="s">
        <v>3318</v>
      </c>
      <c r="M57" s="8">
        <v>219900</v>
      </c>
      <c r="N57" s="37">
        <f t="shared" si="3"/>
        <v>0.7</v>
      </c>
      <c r="O57" s="36">
        <f t="shared" si="0"/>
        <v>65970</v>
      </c>
      <c r="P57" s="22" t="s">
        <v>16</v>
      </c>
    </row>
    <row r="58" spans="1:16" x14ac:dyDescent="0.35">
      <c r="A58" s="14" t="str">
        <f t="shared" si="1"/>
        <v xml:space="preserve"> 2024 JAN-JUN D70 LICENSE BABY</v>
      </c>
      <c r="B58" s="7">
        <f t="shared" si="5"/>
        <v>46086</v>
      </c>
      <c r="C58" s="7">
        <f t="shared" si="6"/>
        <v>46092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3319</v>
      </c>
      <c r="L58" s="17" t="s">
        <v>3320</v>
      </c>
      <c r="M58" s="8">
        <v>189900</v>
      </c>
      <c r="N58" s="37">
        <f t="shared" si="3"/>
        <v>0.7</v>
      </c>
      <c r="O58" s="36">
        <f t="shared" si="0"/>
        <v>56970</v>
      </c>
      <c r="P58" s="22" t="s">
        <v>16</v>
      </c>
    </row>
    <row r="59" spans="1:16" x14ac:dyDescent="0.35">
      <c r="A59" s="14" t="str">
        <f t="shared" si="1"/>
        <v xml:space="preserve"> 2024 JAN-JUN D70 LICENSE BABY</v>
      </c>
      <c r="B59" s="7">
        <f t="shared" si="5"/>
        <v>46086</v>
      </c>
      <c r="C59" s="7">
        <f t="shared" si="6"/>
        <v>46092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3319</v>
      </c>
      <c r="L59" s="17" t="s">
        <v>3321</v>
      </c>
      <c r="M59" s="8">
        <v>189900</v>
      </c>
      <c r="N59" s="37">
        <f t="shared" si="3"/>
        <v>0.7</v>
      </c>
      <c r="O59" s="36">
        <f t="shared" si="0"/>
        <v>56970</v>
      </c>
      <c r="P59" s="22" t="s">
        <v>16</v>
      </c>
    </row>
    <row r="60" spans="1:16" x14ac:dyDescent="0.35">
      <c r="A60" s="14" t="str">
        <f t="shared" si="1"/>
        <v xml:space="preserve"> 2024 JAN-JUN D70 LICENSE BABY</v>
      </c>
      <c r="B60" s="7">
        <f t="shared" si="5"/>
        <v>46086</v>
      </c>
      <c r="C60" s="7">
        <f t="shared" si="6"/>
        <v>46092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3319</v>
      </c>
      <c r="L60" s="17" t="s">
        <v>3322</v>
      </c>
      <c r="M60" s="8">
        <v>189900</v>
      </c>
      <c r="N60" s="37">
        <f t="shared" si="3"/>
        <v>0.7</v>
      </c>
      <c r="O60" s="36">
        <f t="shared" si="0"/>
        <v>56970</v>
      </c>
      <c r="P60" s="22" t="s">
        <v>16</v>
      </c>
    </row>
    <row r="61" spans="1:16" x14ac:dyDescent="0.35">
      <c r="A61" s="14" t="str">
        <f t="shared" si="1"/>
        <v xml:space="preserve"> 2024 JAN-JUN D70 LICENSE BABY</v>
      </c>
      <c r="B61" s="7">
        <f t="shared" si="5"/>
        <v>46086</v>
      </c>
      <c r="C61" s="7">
        <f t="shared" si="6"/>
        <v>46092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3319</v>
      </c>
      <c r="L61" s="17" t="s">
        <v>3323</v>
      </c>
      <c r="M61" s="8">
        <v>189900</v>
      </c>
      <c r="N61" s="37">
        <f t="shared" si="3"/>
        <v>0.7</v>
      </c>
      <c r="O61" s="36">
        <f t="shared" si="0"/>
        <v>56970</v>
      </c>
      <c r="P61" s="22" t="s">
        <v>16</v>
      </c>
    </row>
    <row r="62" spans="1:16" x14ac:dyDescent="0.35">
      <c r="A62" s="14" t="str">
        <f t="shared" si="1"/>
        <v xml:space="preserve"> 2024 JAN-JUN D70 LICENSE BABY</v>
      </c>
      <c r="B62" s="7">
        <f t="shared" ref="B62:B93" si="7">B61</f>
        <v>46086</v>
      </c>
      <c r="C62" s="7">
        <f t="shared" ref="C62:C93" si="8">C61</f>
        <v>46092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3661</v>
      </c>
      <c r="L62" s="17" t="s">
        <v>3662</v>
      </c>
      <c r="M62" s="8">
        <v>219900</v>
      </c>
      <c r="N62" s="37">
        <f t="shared" si="3"/>
        <v>0.7</v>
      </c>
      <c r="O62" s="36">
        <f t="shared" si="0"/>
        <v>65970</v>
      </c>
      <c r="P62" s="22" t="s">
        <v>16</v>
      </c>
    </row>
    <row r="63" spans="1:16" x14ac:dyDescent="0.35">
      <c r="A63" s="14" t="str">
        <f t="shared" si="1"/>
        <v xml:space="preserve"> 2024 JAN-JUN D70 LICENSE BABY</v>
      </c>
      <c r="B63" s="7">
        <f t="shared" si="7"/>
        <v>46086</v>
      </c>
      <c r="C63" s="7">
        <f t="shared" si="8"/>
        <v>46092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3661</v>
      </c>
      <c r="L63" s="17" t="s">
        <v>3663</v>
      </c>
      <c r="M63" s="8">
        <v>219900</v>
      </c>
      <c r="N63" s="37">
        <f t="shared" si="3"/>
        <v>0.7</v>
      </c>
      <c r="O63" s="36">
        <f t="shared" si="0"/>
        <v>65970</v>
      </c>
      <c r="P63" s="22" t="s">
        <v>16</v>
      </c>
    </row>
    <row r="64" spans="1:16" x14ac:dyDescent="0.35">
      <c r="A64" s="14" t="str">
        <f t="shared" si="1"/>
        <v xml:space="preserve"> 2024 JAN-JUN D70 LICENSE BABY</v>
      </c>
      <c r="B64" s="7">
        <f t="shared" si="7"/>
        <v>46086</v>
      </c>
      <c r="C64" s="7">
        <f t="shared" si="8"/>
        <v>46092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3661</v>
      </c>
      <c r="L64" s="17" t="s">
        <v>3664</v>
      </c>
      <c r="M64" s="8">
        <v>219900</v>
      </c>
      <c r="N64" s="37">
        <f t="shared" si="3"/>
        <v>0.7</v>
      </c>
      <c r="O64" s="36">
        <f t="shared" si="0"/>
        <v>65970</v>
      </c>
      <c r="P64" s="22" t="s">
        <v>16</v>
      </c>
    </row>
    <row r="65" spans="1:16" x14ac:dyDescent="0.35">
      <c r="A65" s="14" t="str">
        <f t="shared" si="1"/>
        <v xml:space="preserve"> 2024 JAN-JUN D70 LICENSE BABY</v>
      </c>
      <c r="B65" s="7">
        <f t="shared" si="7"/>
        <v>46086</v>
      </c>
      <c r="C65" s="7">
        <f t="shared" si="8"/>
        <v>46092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3661</v>
      </c>
      <c r="L65" s="17" t="s">
        <v>3665</v>
      </c>
      <c r="M65" s="8">
        <v>219900</v>
      </c>
      <c r="N65" s="37">
        <f t="shared" si="3"/>
        <v>0.7</v>
      </c>
      <c r="O65" s="36">
        <f t="shared" si="0"/>
        <v>65970</v>
      </c>
      <c r="P65" s="22" t="s">
        <v>16</v>
      </c>
    </row>
    <row r="66" spans="1:16" x14ac:dyDescent="0.35">
      <c r="A66" s="14" t="str">
        <f t="shared" si="1"/>
        <v xml:space="preserve"> 2024 JAN-JUN D70 LICENSE BABY</v>
      </c>
      <c r="B66" s="7">
        <f t="shared" si="7"/>
        <v>46086</v>
      </c>
      <c r="C66" s="7">
        <f t="shared" si="8"/>
        <v>46092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2948</v>
      </c>
      <c r="L66" s="17" t="s">
        <v>2949</v>
      </c>
      <c r="M66" s="8">
        <v>179900</v>
      </c>
      <c r="N66" s="37">
        <f t="shared" si="3"/>
        <v>0.7</v>
      </c>
      <c r="O66" s="36">
        <f t="shared" si="0"/>
        <v>53970</v>
      </c>
      <c r="P66" s="22" t="s">
        <v>16</v>
      </c>
    </row>
    <row r="67" spans="1:16" x14ac:dyDescent="0.35">
      <c r="A67" s="14" t="str">
        <f t="shared" si="1"/>
        <v xml:space="preserve"> 2024 JAN-JUN D70 LICENSE BABY</v>
      </c>
      <c r="B67" s="7">
        <f t="shared" si="7"/>
        <v>46086</v>
      </c>
      <c r="C67" s="7">
        <f t="shared" si="8"/>
        <v>46092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2948</v>
      </c>
      <c r="L67" s="17" t="s">
        <v>2950</v>
      </c>
      <c r="M67" s="8">
        <v>179900</v>
      </c>
      <c r="N67" s="37">
        <f t="shared" si="3"/>
        <v>0.7</v>
      </c>
      <c r="O67" s="36">
        <f t="shared" ref="O67:O130" si="9">M67-((70*M67)/100)</f>
        <v>53970</v>
      </c>
      <c r="P67" s="22" t="s">
        <v>16</v>
      </c>
    </row>
    <row r="68" spans="1:16" x14ac:dyDescent="0.35">
      <c r="A68" s="14" t="str">
        <f t="shared" ref="A68:A131" si="10">A67</f>
        <v xml:space="preserve"> 2024 JAN-JUN D70 LICENSE BABY</v>
      </c>
      <c r="B68" s="7">
        <f t="shared" si="7"/>
        <v>46086</v>
      </c>
      <c r="C68" s="7">
        <f t="shared" si="8"/>
        <v>46092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2948</v>
      </c>
      <c r="L68" s="17" t="s">
        <v>2951</v>
      </c>
      <c r="M68" s="8">
        <v>179900</v>
      </c>
      <c r="N68" s="37">
        <f t="shared" ref="N68:N131" si="11">N67</f>
        <v>0.7</v>
      </c>
      <c r="O68" s="36">
        <f t="shared" si="9"/>
        <v>53970</v>
      </c>
      <c r="P68" s="22" t="s">
        <v>16</v>
      </c>
    </row>
    <row r="69" spans="1:16" x14ac:dyDescent="0.35">
      <c r="A69" s="14" t="str">
        <f t="shared" si="10"/>
        <v xml:space="preserve"> 2024 JAN-JUN D70 LICENSE BABY</v>
      </c>
      <c r="B69" s="7">
        <f t="shared" si="7"/>
        <v>46086</v>
      </c>
      <c r="C69" s="7">
        <f t="shared" si="8"/>
        <v>46092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2948</v>
      </c>
      <c r="L69" s="17" t="s">
        <v>2952</v>
      </c>
      <c r="M69" s="8">
        <v>179900</v>
      </c>
      <c r="N69" s="37">
        <f t="shared" si="11"/>
        <v>0.7</v>
      </c>
      <c r="O69" s="36">
        <f t="shared" si="9"/>
        <v>53970</v>
      </c>
      <c r="P69" s="22" t="s">
        <v>16</v>
      </c>
    </row>
    <row r="70" spans="1:16" x14ac:dyDescent="0.35">
      <c r="A70" s="14" t="str">
        <f t="shared" si="10"/>
        <v xml:space="preserve"> 2024 JAN-JUN D70 LICENSE BABY</v>
      </c>
      <c r="B70" s="7">
        <f t="shared" si="7"/>
        <v>46086</v>
      </c>
      <c r="C70" s="7">
        <f t="shared" si="8"/>
        <v>46092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3324</v>
      </c>
      <c r="L70" s="17" t="s">
        <v>3325</v>
      </c>
      <c r="M70" s="8">
        <v>179900</v>
      </c>
      <c r="N70" s="37">
        <f t="shared" si="11"/>
        <v>0.7</v>
      </c>
      <c r="O70" s="36">
        <f t="shared" si="9"/>
        <v>53970</v>
      </c>
      <c r="P70" s="22" t="s">
        <v>16</v>
      </c>
    </row>
    <row r="71" spans="1:16" x14ac:dyDescent="0.35">
      <c r="A71" s="14" t="str">
        <f t="shared" si="10"/>
        <v xml:space="preserve"> 2024 JAN-JUN D70 LICENSE BABY</v>
      </c>
      <c r="B71" s="7">
        <f t="shared" si="7"/>
        <v>46086</v>
      </c>
      <c r="C71" s="7">
        <f t="shared" si="8"/>
        <v>46092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3324</v>
      </c>
      <c r="L71" s="17" t="s">
        <v>3326</v>
      </c>
      <c r="M71" s="8">
        <v>179900</v>
      </c>
      <c r="N71" s="37">
        <f t="shared" si="11"/>
        <v>0.7</v>
      </c>
      <c r="O71" s="36">
        <f t="shared" si="9"/>
        <v>53970</v>
      </c>
      <c r="P71" s="22" t="s">
        <v>16</v>
      </c>
    </row>
    <row r="72" spans="1:16" x14ac:dyDescent="0.35">
      <c r="A72" s="14" t="str">
        <f t="shared" si="10"/>
        <v xml:space="preserve"> 2024 JAN-JUN D70 LICENSE BABY</v>
      </c>
      <c r="B72" s="7">
        <f t="shared" si="7"/>
        <v>46086</v>
      </c>
      <c r="C72" s="7">
        <f t="shared" si="8"/>
        <v>46092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3324</v>
      </c>
      <c r="L72" s="17" t="s">
        <v>3327</v>
      </c>
      <c r="M72" s="8">
        <v>179900</v>
      </c>
      <c r="N72" s="37">
        <f t="shared" si="11"/>
        <v>0.7</v>
      </c>
      <c r="O72" s="36">
        <f t="shared" si="9"/>
        <v>53970</v>
      </c>
      <c r="P72" s="22" t="s">
        <v>16</v>
      </c>
    </row>
    <row r="73" spans="1:16" x14ac:dyDescent="0.35">
      <c r="A73" s="14" t="str">
        <f t="shared" si="10"/>
        <v xml:space="preserve"> 2024 JAN-JUN D70 LICENSE BABY</v>
      </c>
      <c r="B73" s="7">
        <f t="shared" si="7"/>
        <v>46086</v>
      </c>
      <c r="C73" s="7">
        <f t="shared" si="8"/>
        <v>46092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3324</v>
      </c>
      <c r="L73" s="17" t="s">
        <v>3328</v>
      </c>
      <c r="M73" s="8">
        <v>179900</v>
      </c>
      <c r="N73" s="37">
        <f t="shared" si="11"/>
        <v>0.7</v>
      </c>
      <c r="O73" s="36">
        <f t="shared" si="9"/>
        <v>53970</v>
      </c>
      <c r="P73" s="22" t="s">
        <v>16</v>
      </c>
    </row>
    <row r="74" spans="1:16" x14ac:dyDescent="0.35">
      <c r="A74" s="14" t="str">
        <f t="shared" si="10"/>
        <v xml:space="preserve"> 2024 JAN-JUN D70 LICENSE BABY</v>
      </c>
      <c r="B74" s="7">
        <f t="shared" si="7"/>
        <v>46086</v>
      </c>
      <c r="C74" s="7">
        <f t="shared" si="8"/>
        <v>46092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3666</v>
      </c>
      <c r="L74" s="17" t="s">
        <v>3667</v>
      </c>
      <c r="M74" s="8">
        <v>169900</v>
      </c>
      <c r="N74" s="37">
        <f t="shared" si="11"/>
        <v>0.7</v>
      </c>
      <c r="O74" s="36">
        <f t="shared" si="9"/>
        <v>50970</v>
      </c>
      <c r="P74" s="22" t="s">
        <v>16</v>
      </c>
    </row>
    <row r="75" spans="1:16" x14ac:dyDescent="0.35">
      <c r="A75" s="14" t="str">
        <f t="shared" si="10"/>
        <v xml:space="preserve"> 2024 JAN-JUN D70 LICENSE BABY</v>
      </c>
      <c r="B75" s="7">
        <f t="shared" si="7"/>
        <v>46086</v>
      </c>
      <c r="C75" s="7">
        <f t="shared" si="8"/>
        <v>46092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3666</v>
      </c>
      <c r="L75" s="17" t="s">
        <v>3668</v>
      </c>
      <c r="M75" s="8">
        <v>169900</v>
      </c>
      <c r="N75" s="37">
        <f t="shared" si="11"/>
        <v>0.7</v>
      </c>
      <c r="O75" s="36">
        <f t="shared" si="9"/>
        <v>50970</v>
      </c>
      <c r="P75" s="22" t="s">
        <v>16</v>
      </c>
    </row>
    <row r="76" spans="1:16" x14ac:dyDescent="0.35">
      <c r="A76" s="14" t="str">
        <f t="shared" si="10"/>
        <v xml:space="preserve"> 2024 JAN-JUN D70 LICENSE BABY</v>
      </c>
      <c r="B76" s="7">
        <f t="shared" si="7"/>
        <v>46086</v>
      </c>
      <c r="C76" s="7">
        <f t="shared" si="8"/>
        <v>46092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3666</v>
      </c>
      <c r="L76" s="17" t="s">
        <v>3669</v>
      </c>
      <c r="M76" s="8">
        <v>169900</v>
      </c>
      <c r="N76" s="37">
        <f t="shared" si="11"/>
        <v>0.7</v>
      </c>
      <c r="O76" s="36">
        <f t="shared" si="9"/>
        <v>50970</v>
      </c>
      <c r="P76" s="22" t="s">
        <v>16</v>
      </c>
    </row>
    <row r="77" spans="1:16" x14ac:dyDescent="0.35">
      <c r="A77" s="14" t="str">
        <f t="shared" si="10"/>
        <v xml:space="preserve"> 2024 JAN-JUN D70 LICENSE BABY</v>
      </c>
      <c r="B77" s="7">
        <f t="shared" si="7"/>
        <v>46086</v>
      </c>
      <c r="C77" s="7">
        <f t="shared" si="8"/>
        <v>46092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3666</v>
      </c>
      <c r="L77" s="17" t="s">
        <v>3670</v>
      </c>
      <c r="M77" s="8">
        <v>169900</v>
      </c>
      <c r="N77" s="37">
        <f t="shared" si="11"/>
        <v>0.7</v>
      </c>
      <c r="O77" s="36">
        <f t="shared" si="9"/>
        <v>50970</v>
      </c>
      <c r="P77" s="22" t="s">
        <v>16</v>
      </c>
    </row>
    <row r="78" spans="1:16" x14ac:dyDescent="0.35">
      <c r="A78" s="14" t="str">
        <f t="shared" si="10"/>
        <v xml:space="preserve"> 2024 JAN-JUN D70 LICENSE BABY</v>
      </c>
      <c r="B78" s="7">
        <f t="shared" si="7"/>
        <v>46086</v>
      </c>
      <c r="C78" s="7">
        <f t="shared" si="8"/>
        <v>46092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2953</v>
      </c>
      <c r="L78" s="17" t="s">
        <v>2954</v>
      </c>
      <c r="M78" s="8">
        <v>179900</v>
      </c>
      <c r="N78" s="37">
        <f t="shared" si="11"/>
        <v>0.7</v>
      </c>
      <c r="O78" s="36">
        <f t="shared" si="9"/>
        <v>53970</v>
      </c>
      <c r="P78" s="22" t="s">
        <v>16</v>
      </c>
    </row>
    <row r="79" spans="1:16" x14ac:dyDescent="0.35">
      <c r="A79" s="14" t="str">
        <f t="shared" si="10"/>
        <v xml:space="preserve"> 2024 JAN-JUN D70 LICENSE BABY</v>
      </c>
      <c r="B79" s="7">
        <f t="shared" si="7"/>
        <v>46086</v>
      </c>
      <c r="C79" s="7">
        <f t="shared" si="8"/>
        <v>46092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2953</v>
      </c>
      <c r="L79" s="17" t="s">
        <v>2955</v>
      </c>
      <c r="M79" s="8">
        <v>179900</v>
      </c>
      <c r="N79" s="37">
        <f t="shared" si="11"/>
        <v>0.7</v>
      </c>
      <c r="O79" s="36">
        <f t="shared" si="9"/>
        <v>53970</v>
      </c>
      <c r="P79" s="22" t="s">
        <v>16</v>
      </c>
    </row>
    <row r="80" spans="1:16" x14ac:dyDescent="0.35">
      <c r="A80" s="14" t="str">
        <f t="shared" si="10"/>
        <v xml:space="preserve"> 2024 JAN-JUN D70 LICENSE BABY</v>
      </c>
      <c r="B80" s="7">
        <f t="shared" si="7"/>
        <v>46086</v>
      </c>
      <c r="C80" s="7">
        <f t="shared" si="8"/>
        <v>46092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2953</v>
      </c>
      <c r="L80" s="17" t="s">
        <v>2956</v>
      </c>
      <c r="M80" s="8">
        <v>179900</v>
      </c>
      <c r="N80" s="37">
        <f t="shared" si="11"/>
        <v>0.7</v>
      </c>
      <c r="O80" s="36">
        <f t="shared" si="9"/>
        <v>53970</v>
      </c>
      <c r="P80" s="22" t="s">
        <v>16</v>
      </c>
    </row>
    <row r="81" spans="1:16" x14ac:dyDescent="0.35">
      <c r="A81" s="14" t="str">
        <f t="shared" si="10"/>
        <v xml:space="preserve"> 2024 JAN-JUN D70 LICENSE BABY</v>
      </c>
      <c r="B81" s="7">
        <f t="shared" si="7"/>
        <v>46086</v>
      </c>
      <c r="C81" s="7">
        <f t="shared" si="8"/>
        <v>46092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2953</v>
      </c>
      <c r="L81" s="17" t="s">
        <v>2957</v>
      </c>
      <c r="M81" s="8">
        <v>179900</v>
      </c>
      <c r="N81" s="37">
        <f t="shared" si="11"/>
        <v>0.7</v>
      </c>
      <c r="O81" s="36">
        <f t="shared" si="9"/>
        <v>53970</v>
      </c>
      <c r="P81" s="22" t="s">
        <v>16</v>
      </c>
    </row>
    <row r="82" spans="1:16" x14ac:dyDescent="0.35">
      <c r="A82" s="14" t="str">
        <f t="shared" si="10"/>
        <v xml:space="preserve"> 2024 JAN-JUN D70 LICENSE BABY</v>
      </c>
      <c r="B82" s="7">
        <f t="shared" si="7"/>
        <v>46086</v>
      </c>
      <c r="C82" s="7">
        <f t="shared" si="8"/>
        <v>46092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2958</v>
      </c>
      <c r="L82" s="17" t="s">
        <v>2959</v>
      </c>
      <c r="M82" s="8">
        <v>199900</v>
      </c>
      <c r="N82" s="37">
        <f t="shared" si="11"/>
        <v>0.7</v>
      </c>
      <c r="O82" s="36">
        <f t="shared" si="9"/>
        <v>59970</v>
      </c>
      <c r="P82" s="22" t="s">
        <v>16</v>
      </c>
    </row>
    <row r="83" spans="1:16" x14ac:dyDescent="0.35">
      <c r="A83" s="14" t="str">
        <f t="shared" si="10"/>
        <v xml:space="preserve"> 2024 JAN-JUN D70 LICENSE BABY</v>
      </c>
      <c r="B83" s="7">
        <f t="shared" si="7"/>
        <v>46086</v>
      </c>
      <c r="C83" s="7">
        <f t="shared" si="8"/>
        <v>46092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2958</v>
      </c>
      <c r="L83" s="17" t="s">
        <v>2960</v>
      </c>
      <c r="M83" s="8">
        <v>199900</v>
      </c>
      <c r="N83" s="37">
        <f t="shared" si="11"/>
        <v>0.7</v>
      </c>
      <c r="O83" s="36">
        <f t="shared" si="9"/>
        <v>59970</v>
      </c>
      <c r="P83" s="22" t="s">
        <v>16</v>
      </c>
    </row>
    <row r="84" spans="1:16" x14ac:dyDescent="0.35">
      <c r="A84" s="14" t="str">
        <f t="shared" si="10"/>
        <v xml:space="preserve"> 2024 JAN-JUN D70 LICENSE BABY</v>
      </c>
      <c r="B84" s="7">
        <f t="shared" si="7"/>
        <v>46086</v>
      </c>
      <c r="C84" s="7">
        <f t="shared" si="8"/>
        <v>46092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2958</v>
      </c>
      <c r="L84" s="17" t="s">
        <v>2961</v>
      </c>
      <c r="M84" s="8">
        <v>199900</v>
      </c>
      <c r="N84" s="37">
        <f t="shared" si="11"/>
        <v>0.7</v>
      </c>
      <c r="O84" s="36">
        <f t="shared" si="9"/>
        <v>59970</v>
      </c>
      <c r="P84" s="22" t="s">
        <v>16</v>
      </c>
    </row>
    <row r="85" spans="1:16" x14ac:dyDescent="0.35">
      <c r="A85" s="14" t="str">
        <f t="shared" si="10"/>
        <v xml:space="preserve"> 2024 JAN-JUN D70 LICENSE BABY</v>
      </c>
      <c r="B85" s="7">
        <f t="shared" si="7"/>
        <v>46086</v>
      </c>
      <c r="C85" s="7">
        <f t="shared" si="8"/>
        <v>46092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2958</v>
      </c>
      <c r="L85" s="17" t="s">
        <v>2962</v>
      </c>
      <c r="M85" s="8">
        <v>199900</v>
      </c>
      <c r="N85" s="37">
        <f t="shared" si="11"/>
        <v>0.7</v>
      </c>
      <c r="O85" s="36">
        <f t="shared" si="9"/>
        <v>59970</v>
      </c>
      <c r="P85" s="22" t="s">
        <v>16</v>
      </c>
    </row>
    <row r="86" spans="1:16" x14ac:dyDescent="0.35">
      <c r="A86" s="14" t="str">
        <f t="shared" si="10"/>
        <v xml:space="preserve"> 2024 JAN-JUN D70 LICENSE BABY</v>
      </c>
      <c r="B86" s="7">
        <f t="shared" si="7"/>
        <v>46086</v>
      </c>
      <c r="C86" s="7">
        <f t="shared" si="8"/>
        <v>46092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2963</v>
      </c>
      <c r="L86" s="17" t="s">
        <v>2964</v>
      </c>
      <c r="M86" s="8">
        <v>199900</v>
      </c>
      <c r="N86" s="37">
        <f t="shared" si="11"/>
        <v>0.7</v>
      </c>
      <c r="O86" s="36">
        <f t="shared" si="9"/>
        <v>59970</v>
      </c>
      <c r="P86" s="22" t="s">
        <v>16</v>
      </c>
    </row>
    <row r="87" spans="1:16" x14ac:dyDescent="0.35">
      <c r="A87" s="14" t="str">
        <f t="shared" si="10"/>
        <v xml:space="preserve"> 2024 JAN-JUN D70 LICENSE BABY</v>
      </c>
      <c r="B87" s="7">
        <f t="shared" si="7"/>
        <v>46086</v>
      </c>
      <c r="C87" s="7">
        <f t="shared" si="8"/>
        <v>46092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2963</v>
      </c>
      <c r="L87" s="17" t="s">
        <v>3329</v>
      </c>
      <c r="M87" s="8">
        <v>199900</v>
      </c>
      <c r="N87" s="37">
        <f t="shared" si="11"/>
        <v>0.7</v>
      </c>
      <c r="O87" s="36">
        <f t="shared" si="9"/>
        <v>59970</v>
      </c>
      <c r="P87" s="22" t="s">
        <v>16</v>
      </c>
    </row>
    <row r="88" spans="1:16" x14ac:dyDescent="0.35">
      <c r="A88" s="14" t="str">
        <f t="shared" si="10"/>
        <v xml:space="preserve"> 2024 JAN-JUN D70 LICENSE BABY</v>
      </c>
      <c r="B88" s="7">
        <f t="shared" si="7"/>
        <v>46086</v>
      </c>
      <c r="C88" s="7">
        <f t="shared" si="8"/>
        <v>46092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2963</v>
      </c>
      <c r="L88" s="17" t="s">
        <v>2965</v>
      </c>
      <c r="M88" s="8">
        <v>199900</v>
      </c>
      <c r="N88" s="37">
        <f t="shared" si="11"/>
        <v>0.7</v>
      </c>
      <c r="O88" s="36">
        <f t="shared" si="9"/>
        <v>59970</v>
      </c>
      <c r="P88" s="22" t="s">
        <v>16</v>
      </c>
    </row>
    <row r="89" spans="1:16" x14ac:dyDescent="0.35">
      <c r="A89" s="14" t="str">
        <f t="shared" si="10"/>
        <v xml:space="preserve"> 2024 JAN-JUN D70 LICENSE BABY</v>
      </c>
      <c r="B89" s="7">
        <f t="shared" si="7"/>
        <v>46086</v>
      </c>
      <c r="C89" s="7">
        <f t="shared" si="8"/>
        <v>46092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2963</v>
      </c>
      <c r="L89" s="17" t="s">
        <v>2966</v>
      </c>
      <c r="M89" s="8">
        <v>199900</v>
      </c>
      <c r="N89" s="37">
        <f t="shared" si="11"/>
        <v>0.7</v>
      </c>
      <c r="O89" s="36">
        <f t="shared" si="9"/>
        <v>59970</v>
      </c>
      <c r="P89" s="22" t="s">
        <v>16</v>
      </c>
    </row>
    <row r="90" spans="1:16" x14ac:dyDescent="0.35">
      <c r="A90" s="14" t="str">
        <f t="shared" si="10"/>
        <v xml:space="preserve"> 2024 JAN-JUN D70 LICENSE BABY</v>
      </c>
      <c r="B90" s="7">
        <f t="shared" si="7"/>
        <v>46086</v>
      </c>
      <c r="C90" s="7">
        <f t="shared" si="8"/>
        <v>46092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2967</v>
      </c>
      <c r="L90" s="17" t="s">
        <v>2968</v>
      </c>
      <c r="M90" s="8">
        <v>219900</v>
      </c>
      <c r="N90" s="37">
        <f t="shared" si="11"/>
        <v>0.7</v>
      </c>
      <c r="O90" s="36">
        <f t="shared" si="9"/>
        <v>65970</v>
      </c>
      <c r="P90" s="22" t="s">
        <v>16</v>
      </c>
    </row>
    <row r="91" spans="1:16" x14ac:dyDescent="0.35">
      <c r="A91" s="14" t="str">
        <f t="shared" si="10"/>
        <v xml:space="preserve"> 2024 JAN-JUN D70 LICENSE BABY</v>
      </c>
      <c r="B91" s="7">
        <f t="shared" si="7"/>
        <v>46086</v>
      </c>
      <c r="C91" s="7">
        <f t="shared" si="8"/>
        <v>46092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2967</v>
      </c>
      <c r="L91" s="17" t="s">
        <v>2969</v>
      </c>
      <c r="M91" s="8">
        <v>219900</v>
      </c>
      <c r="N91" s="37">
        <f t="shared" si="11"/>
        <v>0.7</v>
      </c>
      <c r="O91" s="36">
        <f t="shared" si="9"/>
        <v>65970</v>
      </c>
      <c r="P91" s="22" t="s">
        <v>16</v>
      </c>
    </row>
    <row r="92" spans="1:16" x14ac:dyDescent="0.35">
      <c r="A92" s="14" t="str">
        <f t="shared" si="10"/>
        <v xml:space="preserve"> 2024 JAN-JUN D70 LICENSE BABY</v>
      </c>
      <c r="B92" s="7">
        <f t="shared" si="7"/>
        <v>46086</v>
      </c>
      <c r="C92" s="7">
        <f t="shared" si="8"/>
        <v>46092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2967</v>
      </c>
      <c r="L92" s="17" t="s">
        <v>2970</v>
      </c>
      <c r="M92" s="8">
        <v>219900</v>
      </c>
      <c r="N92" s="37">
        <f t="shared" si="11"/>
        <v>0.7</v>
      </c>
      <c r="O92" s="36">
        <f t="shared" si="9"/>
        <v>65970</v>
      </c>
      <c r="P92" s="22" t="s">
        <v>16</v>
      </c>
    </row>
    <row r="93" spans="1:16" x14ac:dyDescent="0.35">
      <c r="A93" s="14" t="str">
        <f t="shared" si="10"/>
        <v xml:space="preserve"> 2024 JAN-JUN D70 LICENSE BABY</v>
      </c>
      <c r="B93" s="7">
        <f t="shared" si="7"/>
        <v>46086</v>
      </c>
      <c r="C93" s="7">
        <f t="shared" si="8"/>
        <v>46092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2967</v>
      </c>
      <c r="L93" s="17" t="s">
        <v>2971</v>
      </c>
      <c r="M93" s="8">
        <v>219900</v>
      </c>
      <c r="N93" s="37">
        <f t="shared" si="11"/>
        <v>0.7</v>
      </c>
      <c r="O93" s="36">
        <f t="shared" si="9"/>
        <v>65970</v>
      </c>
      <c r="P93" s="22" t="s">
        <v>16</v>
      </c>
    </row>
    <row r="94" spans="1:16" x14ac:dyDescent="0.35">
      <c r="A94" s="14" t="str">
        <f t="shared" si="10"/>
        <v xml:space="preserve"> 2024 JAN-JUN D70 LICENSE BABY</v>
      </c>
      <c r="B94" s="7">
        <f t="shared" ref="B94:B125" si="12">B93</f>
        <v>46086</v>
      </c>
      <c r="C94" s="7">
        <f t="shared" ref="C94:C125" si="13">C93</f>
        <v>46092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2972</v>
      </c>
      <c r="L94" s="17" t="s">
        <v>2973</v>
      </c>
      <c r="M94" s="8">
        <v>199900</v>
      </c>
      <c r="N94" s="37">
        <f t="shared" si="11"/>
        <v>0.7</v>
      </c>
      <c r="O94" s="36">
        <f t="shared" si="9"/>
        <v>59970</v>
      </c>
      <c r="P94" s="22" t="s">
        <v>16</v>
      </c>
    </row>
    <row r="95" spans="1:16" x14ac:dyDescent="0.35">
      <c r="A95" s="14" t="str">
        <f t="shared" si="10"/>
        <v xml:space="preserve"> 2024 JAN-JUN D70 LICENSE BABY</v>
      </c>
      <c r="B95" s="7">
        <f t="shared" si="12"/>
        <v>46086</v>
      </c>
      <c r="C95" s="7">
        <f t="shared" si="13"/>
        <v>46092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2972</v>
      </c>
      <c r="L95" s="17" t="s">
        <v>2974</v>
      </c>
      <c r="M95" s="8">
        <v>199900</v>
      </c>
      <c r="N95" s="37">
        <f t="shared" si="11"/>
        <v>0.7</v>
      </c>
      <c r="O95" s="36">
        <f t="shared" si="9"/>
        <v>59970</v>
      </c>
      <c r="P95" s="22" t="s">
        <v>16</v>
      </c>
    </row>
    <row r="96" spans="1:16" x14ac:dyDescent="0.35">
      <c r="A96" s="14" t="str">
        <f t="shared" si="10"/>
        <v xml:space="preserve"> 2024 JAN-JUN D70 LICENSE BABY</v>
      </c>
      <c r="B96" s="7">
        <f t="shared" si="12"/>
        <v>46086</v>
      </c>
      <c r="C96" s="7">
        <f t="shared" si="13"/>
        <v>46092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2972</v>
      </c>
      <c r="L96" s="17" t="s">
        <v>2975</v>
      </c>
      <c r="M96" s="8">
        <v>199900</v>
      </c>
      <c r="N96" s="37">
        <f t="shared" si="11"/>
        <v>0.7</v>
      </c>
      <c r="O96" s="36">
        <f t="shared" si="9"/>
        <v>59970</v>
      </c>
      <c r="P96" s="22" t="s">
        <v>16</v>
      </c>
    </row>
    <row r="97" spans="1:16" x14ac:dyDescent="0.35">
      <c r="A97" s="14" t="str">
        <f t="shared" si="10"/>
        <v xml:space="preserve"> 2024 JAN-JUN D70 LICENSE BABY</v>
      </c>
      <c r="B97" s="7">
        <f t="shared" si="12"/>
        <v>46086</v>
      </c>
      <c r="C97" s="7">
        <f t="shared" si="13"/>
        <v>46092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2972</v>
      </c>
      <c r="L97" s="17" t="s">
        <v>2976</v>
      </c>
      <c r="M97" s="8">
        <v>199900</v>
      </c>
      <c r="N97" s="37">
        <f t="shared" si="11"/>
        <v>0.7</v>
      </c>
      <c r="O97" s="36">
        <f t="shared" si="9"/>
        <v>59970</v>
      </c>
      <c r="P97" s="22" t="s">
        <v>16</v>
      </c>
    </row>
    <row r="98" spans="1:16" x14ac:dyDescent="0.35">
      <c r="A98" s="14" t="str">
        <f t="shared" si="10"/>
        <v xml:space="preserve"> 2024 JAN-JUN D70 LICENSE BABY</v>
      </c>
      <c r="B98" s="7">
        <f t="shared" si="12"/>
        <v>46086</v>
      </c>
      <c r="C98" s="7">
        <f t="shared" si="13"/>
        <v>46092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3330</v>
      </c>
      <c r="L98" s="17" t="s">
        <v>3331</v>
      </c>
      <c r="M98" s="8">
        <v>219900</v>
      </c>
      <c r="N98" s="37">
        <f t="shared" si="11"/>
        <v>0.7</v>
      </c>
      <c r="O98" s="36">
        <f t="shared" si="9"/>
        <v>65970</v>
      </c>
      <c r="P98" s="22" t="s">
        <v>16</v>
      </c>
    </row>
    <row r="99" spans="1:16" x14ac:dyDescent="0.35">
      <c r="A99" s="14" t="str">
        <f t="shared" si="10"/>
        <v xml:space="preserve"> 2024 JAN-JUN D70 LICENSE BABY</v>
      </c>
      <c r="B99" s="7">
        <f t="shared" si="12"/>
        <v>46086</v>
      </c>
      <c r="C99" s="7">
        <f t="shared" si="13"/>
        <v>46092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3330</v>
      </c>
      <c r="L99" s="17" t="s">
        <v>3332</v>
      </c>
      <c r="M99" s="8">
        <v>219900</v>
      </c>
      <c r="N99" s="37">
        <f t="shared" si="11"/>
        <v>0.7</v>
      </c>
      <c r="O99" s="36">
        <f t="shared" si="9"/>
        <v>65970</v>
      </c>
      <c r="P99" s="22" t="s">
        <v>16</v>
      </c>
    </row>
    <row r="100" spans="1:16" x14ac:dyDescent="0.35">
      <c r="A100" s="14" t="str">
        <f t="shared" si="10"/>
        <v xml:space="preserve"> 2024 JAN-JUN D70 LICENSE BABY</v>
      </c>
      <c r="B100" s="7">
        <f t="shared" si="12"/>
        <v>46086</v>
      </c>
      <c r="C100" s="7">
        <f t="shared" si="13"/>
        <v>46092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3330</v>
      </c>
      <c r="L100" s="17" t="s">
        <v>3333</v>
      </c>
      <c r="M100" s="8">
        <v>219900</v>
      </c>
      <c r="N100" s="37">
        <f t="shared" si="11"/>
        <v>0.7</v>
      </c>
      <c r="O100" s="36">
        <f t="shared" si="9"/>
        <v>65970</v>
      </c>
      <c r="P100" s="22" t="s">
        <v>16</v>
      </c>
    </row>
    <row r="101" spans="1:16" x14ac:dyDescent="0.35">
      <c r="A101" s="14" t="str">
        <f t="shared" si="10"/>
        <v xml:space="preserve"> 2024 JAN-JUN D70 LICENSE BABY</v>
      </c>
      <c r="B101" s="7">
        <f t="shared" si="12"/>
        <v>46086</v>
      </c>
      <c r="C101" s="7">
        <f t="shared" si="13"/>
        <v>46092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3330</v>
      </c>
      <c r="L101" s="17" t="s">
        <v>3334</v>
      </c>
      <c r="M101" s="8">
        <v>219900</v>
      </c>
      <c r="N101" s="37">
        <f t="shared" si="11"/>
        <v>0.7</v>
      </c>
      <c r="O101" s="36">
        <f t="shared" si="9"/>
        <v>65970</v>
      </c>
      <c r="P101" s="22" t="s">
        <v>16</v>
      </c>
    </row>
    <row r="102" spans="1:16" x14ac:dyDescent="0.35">
      <c r="A102" s="14" t="str">
        <f t="shared" si="10"/>
        <v xml:space="preserve"> 2024 JAN-JUN D70 LICENSE BABY</v>
      </c>
      <c r="B102" s="7">
        <f t="shared" si="12"/>
        <v>46086</v>
      </c>
      <c r="C102" s="7">
        <f t="shared" si="13"/>
        <v>46092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3671</v>
      </c>
      <c r="L102" s="17" t="s">
        <v>3672</v>
      </c>
      <c r="M102" s="8">
        <v>199900</v>
      </c>
      <c r="N102" s="37">
        <f t="shared" si="11"/>
        <v>0.7</v>
      </c>
      <c r="O102" s="36">
        <f t="shared" si="9"/>
        <v>59970</v>
      </c>
      <c r="P102" s="22" t="s">
        <v>16</v>
      </c>
    </row>
    <row r="103" spans="1:16" x14ac:dyDescent="0.35">
      <c r="A103" s="14" t="str">
        <f t="shared" si="10"/>
        <v xml:space="preserve"> 2024 JAN-JUN D70 LICENSE BABY</v>
      </c>
      <c r="B103" s="7">
        <f t="shared" si="12"/>
        <v>46086</v>
      </c>
      <c r="C103" s="7">
        <f t="shared" si="13"/>
        <v>46092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3671</v>
      </c>
      <c r="L103" s="17" t="s">
        <v>3673</v>
      </c>
      <c r="M103" s="8">
        <v>199900</v>
      </c>
      <c r="N103" s="37">
        <f t="shared" si="11"/>
        <v>0.7</v>
      </c>
      <c r="O103" s="36">
        <f t="shared" si="9"/>
        <v>59970</v>
      </c>
      <c r="P103" s="22" t="s">
        <v>16</v>
      </c>
    </row>
    <row r="104" spans="1:16" x14ac:dyDescent="0.35">
      <c r="A104" s="14" t="str">
        <f t="shared" si="10"/>
        <v xml:space="preserve"> 2024 JAN-JUN D70 LICENSE BABY</v>
      </c>
      <c r="B104" s="7">
        <f t="shared" si="12"/>
        <v>46086</v>
      </c>
      <c r="C104" s="7">
        <f t="shared" si="13"/>
        <v>46092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3671</v>
      </c>
      <c r="L104" s="17" t="s">
        <v>3674</v>
      </c>
      <c r="M104" s="8">
        <v>199900</v>
      </c>
      <c r="N104" s="37">
        <f t="shared" si="11"/>
        <v>0.7</v>
      </c>
      <c r="O104" s="36">
        <f t="shared" si="9"/>
        <v>59970</v>
      </c>
      <c r="P104" s="22" t="s">
        <v>16</v>
      </c>
    </row>
    <row r="105" spans="1:16" x14ac:dyDescent="0.35">
      <c r="A105" s="14" t="str">
        <f t="shared" si="10"/>
        <v xml:space="preserve"> 2024 JAN-JUN D70 LICENSE BABY</v>
      </c>
      <c r="B105" s="7">
        <f t="shared" si="12"/>
        <v>46086</v>
      </c>
      <c r="C105" s="7">
        <f t="shared" si="13"/>
        <v>46092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3671</v>
      </c>
      <c r="L105" s="17" t="s">
        <v>3675</v>
      </c>
      <c r="M105" s="8">
        <v>199900</v>
      </c>
      <c r="N105" s="37">
        <f t="shared" si="11"/>
        <v>0.7</v>
      </c>
      <c r="O105" s="36">
        <f t="shared" si="9"/>
        <v>59970</v>
      </c>
      <c r="P105" s="22" t="s">
        <v>16</v>
      </c>
    </row>
    <row r="106" spans="1:16" x14ac:dyDescent="0.35">
      <c r="A106" s="14" t="str">
        <f t="shared" si="10"/>
        <v xml:space="preserve"> 2024 JAN-JUN D70 LICENSE BABY</v>
      </c>
      <c r="B106" s="7">
        <f t="shared" si="12"/>
        <v>46086</v>
      </c>
      <c r="C106" s="7">
        <f t="shared" si="13"/>
        <v>46092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2977</v>
      </c>
      <c r="L106" s="17" t="s">
        <v>2978</v>
      </c>
      <c r="M106" s="8">
        <v>199900</v>
      </c>
      <c r="N106" s="37">
        <f t="shared" si="11"/>
        <v>0.7</v>
      </c>
      <c r="O106" s="36">
        <f t="shared" si="9"/>
        <v>59970</v>
      </c>
      <c r="P106" s="22" t="s">
        <v>16</v>
      </c>
    </row>
    <row r="107" spans="1:16" x14ac:dyDescent="0.35">
      <c r="A107" s="14" t="str">
        <f t="shared" si="10"/>
        <v xml:space="preserve"> 2024 JAN-JUN D70 LICENSE BABY</v>
      </c>
      <c r="B107" s="7">
        <f t="shared" si="12"/>
        <v>46086</v>
      </c>
      <c r="C107" s="7">
        <f t="shared" si="13"/>
        <v>46092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2977</v>
      </c>
      <c r="L107" s="17" t="s">
        <v>2979</v>
      </c>
      <c r="M107" s="8">
        <v>199900</v>
      </c>
      <c r="N107" s="37">
        <f t="shared" si="11"/>
        <v>0.7</v>
      </c>
      <c r="O107" s="36">
        <f t="shared" si="9"/>
        <v>59970</v>
      </c>
      <c r="P107" s="22" t="s">
        <v>16</v>
      </c>
    </row>
    <row r="108" spans="1:16" x14ac:dyDescent="0.35">
      <c r="A108" s="14" t="str">
        <f t="shared" si="10"/>
        <v xml:space="preserve"> 2024 JAN-JUN D70 LICENSE BABY</v>
      </c>
      <c r="B108" s="7">
        <f t="shared" si="12"/>
        <v>46086</v>
      </c>
      <c r="C108" s="7">
        <f t="shared" si="13"/>
        <v>46092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2977</v>
      </c>
      <c r="L108" s="17" t="s">
        <v>2980</v>
      </c>
      <c r="M108" s="8">
        <v>199900</v>
      </c>
      <c r="N108" s="37">
        <f t="shared" si="11"/>
        <v>0.7</v>
      </c>
      <c r="O108" s="36">
        <f t="shared" si="9"/>
        <v>59970</v>
      </c>
      <c r="P108" s="22" t="s">
        <v>16</v>
      </c>
    </row>
    <row r="109" spans="1:16" x14ac:dyDescent="0.35">
      <c r="A109" s="14" t="str">
        <f t="shared" si="10"/>
        <v xml:space="preserve"> 2024 JAN-JUN D70 LICENSE BABY</v>
      </c>
      <c r="B109" s="7">
        <f t="shared" si="12"/>
        <v>46086</v>
      </c>
      <c r="C109" s="7">
        <f t="shared" si="13"/>
        <v>46092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2977</v>
      </c>
      <c r="L109" s="17" t="s">
        <v>2981</v>
      </c>
      <c r="M109" s="8">
        <v>199900</v>
      </c>
      <c r="N109" s="37">
        <f t="shared" si="11"/>
        <v>0.7</v>
      </c>
      <c r="O109" s="36">
        <f t="shared" si="9"/>
        <v>59970</v>
      </c>
      <c r="P109" s="22" t="s">
        <v>16</v>
      </c>
    </row>
    <row r="110" spans="1:16" x14ac:dyDescent="0.35">
      <c r="A110" s="14" t="str">
        <f t="shared" si="10"/>
        <v xml:space="preserve"> 2024 JAN-JUN D70 LICENSE BABY</v>
      </c>
      <c r="B110" s="7">
        <f t="shared" si="12"/>
        <v>46086</v>
      </c>
      <c r="C110" s="7">
        <f t="shared" si="13"/>
        <v>46092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2982</v>
      </c>
      <c r="L110" s="17" t="s">
        <v>2983</v>
      </c>
      <c r="M110" s="8">
        <v>219900</v>
      </c>
      <c r="N110" s="37">
        <f t="shared" si="11"/>
        <v>0.7</v>
      </c>
      <c r="O110" s="36">
        <f t="shared" si="9"/>
        <v>65970</v>
      </c>
      <c r="P110" s="22" t="s">
        <v>16</v>
      </c>
    </row>
    <row r="111" spans="1:16" x14ac:dyDescent="0.35">
      <c r="A111" s="14" t="str">
        <f t="shared" si="10"/>
        <v xml:space="preserve"> 2024 JAN-JUN D70 LICENSE BABY</v>
      </c>
      <c r="B111" s="7">
        <f t="shared" si="12"/>
        <v>46086</v>
      </c>
      <c r="C111" s="7">
        <f t="shared" si="13"/>
        <v>46092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2982</v>
      </c>
      <c r="L111" s="17" t="s">
        <v>2984</v>
      </c>
      <c r="M111" s="8">
        <v>219900</v>
      </c>
      <c r="N111" s="37">
        <f t="shared" si="11"/>
        <v>0.7</v>
      </c>
      <c r="O111" s="36">
        <f t="shared" si="9"/>
        <v>65970</v>
      </c>
      <c r="P111" s="22" t="s">
        <v>16</v>
      </c>
    </row>
    <row r="112" spans="1:16" x14ac:dyDescent="0.35">
      <c r="A112" s="14" t="str">
        <f t="shared" si="10"/>
        <v xml:space="preserve"> 2024 JAN-JUN D70 LICENSE BABY</v>
      </c>
      <c r="B112" s="7">
        <f t="shared" si="12"/>
        <v>46086</v>
      </c>
      <c r="C112" s="7">
        <f t="shared" si="13"/>
        <v>46092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2982</v>
      </c>
      <c r="L112" s="17" t="s">
        <v>2985</v>
      </c>
      <c r="M112" s="8">
        <v>219900</v>
      </c>
      <c r="N112" s="37">
        <f t="shared" si="11"/>
        <v>0.7</v>
      </c>
      <c r="O112" s="36">
        <f t="shared" si="9"/>
        <v>65970</v>
      </c>
      <c r="P112" s="22" t="s">
        <v>16</v>
      </c>
    </row>
    <row r="113" spans="1:16" x14ac:dyDescent="0.35">
      <c r="A113" s="14" t="str">
        <f t="shared" si="10"/>
        <v xml:space="preserve"> 2024 JAN-JUN D70 LICENSE BABY</v>
      </c>
      <c r="B113" s="7">
        <f t="shared" si="12"/>
        <v>46086</v>
      </c>
      <c r="C113" s="7">
        <f t="shared" si="13"/>
        <v>46092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2982</v>
      </c>
      <c r="L113" s="17" t="s">
        <v>2986</v>
      </c>
      <c r="M113" s="8">
        <v>219900</v>
      </c>
      <c r="N113" s="37">
        <f t="shared" si="11"/>
        <v>0.7</v>
      </c>
      <c r="O113" s="36">
        <f t="shared" si="9"/>
        <v>65970</v>
      </c>
      <c r="P113" s="22" t="s">
        <v>16</v>
      </c>
    </row>
    <row r="114" spans="1:16" x14ac:dyDescent="0.35">
      <c r="A114" s="14" t="str">
        <f t="shared" si="10"/>
        <v xml:space="preserve"> 2024 JAN-JUN D70 LICENSE BABY</v>
      </c>
      <c r="B114" s="7">
        <f t="shared" si="12"/>
        <v>46086</v>
      </c>
      <c r="C114" s="7">
        <f t="shared" si="13"/>
        <v>46092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3335</v>
      </c>
      <c r="L114" s="17" t="s">
        <v>3336</v>
      </c>
      <c r="M114" s="8">
        <v>229900</v>
      </c>
      <c r="N114" s="37">
        <f t="shared" si="11"/>
        <v>0.7</v>
      </c>
      <c r="O114" s="36">
        <f t="shared" si="9"/>
        <v>68970</v>
      </c>
      <c r="P114" s="22" t="s">
        <v>16</v>
      </c>
    </row>
    <row r="115" spans="1:16" x14ac:dyDescent="0.35">
      <c r="A115" s="14" t="str">
        <f t="shared" si="10"/>
        <v xml:space="preserve"> 2024 JAN-JUN D70 LICENSE BABY</v>
      </c>
      <c r="B115" s="7">
        <f t="shared" si="12"/>
        <v>46086</v>
      </c>
      <c r="C115" s="7">
        <f t="shared" si="13"/>
        <v>46092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3335</v>
      </c>
      <c r="L115" s="17" t="s">
        <v>3337</v>
      </c>
      <c r="M115" s="8">
        <v>229900</v>
      </c>
      <c r="N115" s="37">
        <f t="shared" si="11"/>
        <v>0.7</v>
      </c>
      <c r="O115" s="36">
        <f t="shared" si="9"/>
        <v>68970</v>
      </c>
      <c r="P115" s="22" t="s">
        <v>16</v>
      </c>
    </row>
    <row r="116" spans="1:16" x14ac:dyDescent="0.35">
      <c r="A116" s="14" t="str">
        <f t="shared" si="10"/>
        <v xml:space="preserve"> 2024 JAN-JUN D70 LICENSE BABY</v>
      </c>
      <c r="B116" s="7">
        <f t="shared" si="12"/>
        <v>46086</v>
      </c>
      <c r="C116" s="7">
        <f t="shared" si="13"/>
        <v>46092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3335</v>
      </c>
      <c r="L116" s="17" t="s">
        <v>3338</v>
      </c>
      <c r="M116" s="8">
        <v>229900</v>
      </c>
      <c r="N116" s="37">
        <f t="shared" si="11"/>
        <v>0.7</v>
      </c>
      <c r="O116" s="36">
        <f t="shared" si="9"/>
        <v>68970</v>
      </c>
      <c r="P116" s="22" t="s">
        <v>16</v>
      </c>
    </row>
    <row r="117" spans="1:16" x14ac:dyDescent="0.35">
      <c r="A117" s="14" t="str">
        <f t="shared" si="10"/>
        <v xml:space="preserve"> 2024 JAN-JUN D70 LICENSE BABY</v>
      </c>
      <c r="B117" s="7">
        <f t="shared" si="12"/>
        <v>46086</v>
      </c>
      <c r="C117" s="7">
        <f t="shared" si="13"/>
        <v>46092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3335</v>
      </c>
      <c r="L117" s="17" t="s">
        <v>3339</v>
      </c>
      <c r="M117" s="8">
        <v>229900</v>
      </c>
      <c r="N117" s="37">
        <f t="shared" si="11"/>
        <v>0.7</v>
      </c>
      <c r="O117" s="36">
        <f t="shared" si="9"/>
        <v>68970</v>
      </c>
      <c r="P117" s="22" t="s">
        <v>16</v>
      </c>
    </row>
    <row r="118" spans="1:16" x14ac:dyDescent="0.35">
      <c r="A118" s="14" t="str">
        <f t="shared" si="10"/>
        <v xml:space="preserve"> 2024 JAN-JUN D70 LICENSE BABY</v>
      </c>
      <c r="B118" s="7">
        <f t="shared" si="12"/>
        <v>46086</v>
      </c>
      <c r="C118" s="7">
        <f t="shared" si="13"/>
        <v>46092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3340</v>
      </c>
      <c r="L118" s="17" t="s">
        <v>3341</v>
      </c>
      <c r="M118" s="8">
        <v>219900</v>
      </c>
      <c r="N118" s="37">
        <f t="shared" si="11"/>
        <v>0.7</v>
      </c>
      <c r="O118" s="36">
        <f t="shared" si="9"/>
        <v>65970</v>
      </c>
      <c r="P118" s="22" t="s">
        <v>16</v>
      </c>
    </row>
    <row r="119" spans="1:16" x14ac:dyDescent="0.35">
      <c r="A119" s="14" t="str">
        <f t="shared" si="10"/>
        <v xml:space="preserve"> 2024 JAN-JUN D70 LICENSE BABY</v>
      </c>
      <c r="B119" s="7">
        <f t="shared" si="12"/>
        <v>46086</v>
      </c>
      <c r="C119" s="7">
        <f t="shared" si="13"/>
        <v>46092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3340</v>
      </c>
      <c r="L119" s="17" t="s">
        <v>3342</v>
      </c>
      <c r="M119" s="8">
        <v>219900</v>
      </c>
      <c r="N119" s="37">
        <f t="shared" si="11"/>
        <v>0.7</v>
      </c>
      <c r="O119" s="36">
        <f t="shared" si="9"/>
        <v>65970</v>
      </c>
      <c r="P119" s="22" t="s">
        <v>16</v>
      </c>
    </row>
    <row r="120" spans="1:16" x14ac:dyDescent="0.35">
      <c r="A120" s="14" t="str">
        <f t="shared" si="10"/>
        <v xml:space="preserve"> 2024 JAN-JUN D70 LICENSE BABY</v>
      </c>
      <c r="B120" s="7">
        <f t="shared" si="12"/>
        <v>46086</v>
      </c>
      <c r="C120" s="7">
        <f t="shared" si="13"/>
        <v>46092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3340</v>
      </c>
      <c r="L120" s="17" t="s">
        <v>3343</v>
      </c>
      <c r="M120" s="8">
        <v>219900</v>
      </c>
      <c r="N120" s="37">
        <f t="shared" si="11"/>
        <v>0.7</v>
      </c>
      <c r="O120" s="36">
        <f t="shared" si="9"/>
        <v>65970</v>
      </c>
      <c r="P120" s="22" t="s">
        <v>16</v>
      </c>
    </row>
    <row r="121" spans="1:16" x14ac:dyDescent="0.35">
      <c r="A121" s="14" t="str">
        <f t="shared" si="10"/>
        <v xml:space="preserve"> 2024 JAN-JUN D70 LICENSE BABY</v>
      </c>
      <c r="B121" s="7">
        <f t="shared" si="12"/>
        <v>46086</v>
      </c>
      <c r="C121" s="7">
        <f t="shared" si="13"/>
        <v>46092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3340</v>
      </c>
      <c r="L121" s="17" t="s">
        <v>3344</v>
      </c>
      <c r="M121" s="8">
        <v>219900</v>
      </c>
      <c r="N121" s="37">
        <f t="shared" si="11"/>
        <v>0.7</v>
      </c>
      <c r="O121" s="36">
        <f t="shared" si="9"/>
        <v>65970</v>
      </c>
      <c r="P121" s="22" t="s">
        <v>16</v>
      </c>
    </row>
    <row r="122" spans="1:16" x14ac:dyDescent="0.35">
      <c r="A122" s="14" t="str">
        <f t="shared" si="10"/>
        <v xml:space="preserve"> 2024 JAN-JUN D70 LICENSE BABY</v>
      </c>
      <c r="B122" s="7">
        <f t="shared" si="12"/>
        <v>46086</v>
      </c>
      <c r="C122" s="7">
        <f t="shared" si="13"/>
        <v>46092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3676</v>
      </c>
      <c r="L122" s="17" t="s">
        <v>3677</v>
      </c>
      <c r="M122" s="8">
        <v>239900</v>
      </c>
      <c r="N122" s="37">
        <f t="shared" si="11"/>
        <v>0.7</v>
      </c>
      <c r="O122" s="36">
        <f t="shared" si="9"/>
        <v>71970</v>
      </c>
      <c r="P122" s="22" t="s">
        <v>16</v>
      </c>
    </row>
    <row r="123" spans="1:16" x14ac:dyDescent="0.35">
      <c r="A123" s="14" t="str">
        <f t="shared" si="10"/>
        <v xml:space="preserve"> 2024 JAN-JUN D70 LICENSE BABY</v>
      </c>
      <c r="B123" s="7">
        <f t="shared" si="12"/>
        <v>46086</v>
      </c>
      <c r="C123" s="7">
        <f t="shared" si="13"/>
        <v>46092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3676</v>
      </c>
      <c r="L123" s="17" t="s">
        <v>3678</v>
      </c>
      <c r="M123" s="8">
        <v>239900</v>
      </c>
      <c r="N123" s="37">
        <f t="shared" si="11"/>
        <v>0.7</v>
      </c>
      <c r="O123" s="36">
        <f t="shared" si="9"/>
        <v>71970</v>
      </c>
      <c r="P123" s="22" t="s">
        <v>16</v>
      </c>
    </row>
    <row r="124" spans="1:16" x14ac:dyDescent="0.35">
      <c r="A124" s="14" t="str">
        <f t="shared" si="10"/>
        <v xml:space="preserve"> 2024 JAN-JUN D70 LICENSE BABY</v>
      </c>
      <c r="B124" s="7">
        <f t="shared" si="12"/>
        <v>46086</v>
      </c>
      <c r="C124" s="7">
        <f t="shared" si="13"/>
        <v>46092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3676</v>
      </c>
      <c r="L124" s="17" t="s">
        <v>3679</v>
      </c>
      <c r="M124" s="8">
        <v>239900</v>
      </c>
      <c r="N124" s="37">
        <f t="shared" si="11"/>
        <v>0.7</v>
      </c>
      <c r="O124" s="36">
        <f t="shared" si="9"/>
        <v>71970</v>
      </c>
      <c r="P124" s="22" t="s">
        <v>16</v>
      </c>
    </row>
    <row r="125" spans="1:16" x14ac:dyDescent="0.35">
      <c r="A125" s="14" t="str">
        <f t="shared" si="10"/>
        <v xml:space="preserve"> 2024 JAN-JUN D70 LICENSE BABY</v>
      </c>
      <c r="B125" s="7">
        <f t="shared" si="12"/>
        <v>46086</v>
      </c>
      <c r="C125" s="7">
        <f t="shared" si="13"/>
        <v>46092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3676</v>
      </c>
      <c r="L125" s="17" t="s">
        <v>3680</v>
      </c>
      <c r="M125" s="8">
        <v>239900</v>
      </c>
      <c r="N125" s="37">
        <f t="shared" si="11"/>
        <v>0.7</v>
      </c>
      <c r="O125" s="36">
        <f t="shared" si="9"/>
        <v>71970</v>
      </c>
      <c r="P125" s="22" t="s">
        <v>16</v>
      </c>
    </row>
    <row r="126" spans="1:16" x14ac:dyDescent="0.35">
      <c r="A126" s="14" t="str">
        <f t="shared" si="10"/>
        <v xml:space="preserve"> 2024 JAN-JUN D70 LICENSE BABY</v>
      </c>
      <c r="B126" s="7">
        <f t="shared" ref="B126:B157" si="14">B125</f>
        <v>46086</v>
      </c>
      <c r="C126" s="7">
        <f t="shared" ref="C126:C157" si="15">C125</f>
        <v>46092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3345</v>
      </c>
      <c r="L126" s="17" t="s">
        <v>3346</v>
      </c>
      <c r="M126" s="8">
        <v>199900</v>
      </c>
      <c r="N126" s="37">
        <f t="shared" si="11"/>
        <v>0.7</v>
      </c>
      <c r="O126" s="36">
        <f t="shared" si="9"/>
        <v>59970</v>
      </c>
      <c r="P126" s="22" t="s">
        <v>16</v>
      </c>
    </row>
    <row r="127" spans="1:16" x14ac:dyDescent="0.35">
      <c r="A127" s="14" t="str">
        <f t="shared" si="10"/>
        <v xml:space="preserve"> 2024 JAN-JUN D70 LICENSE BABY</v>
      </c>
      <c r="B127" s="7">
        <f t="shared" si="14"/>
        <v>46086</v>
      </c>
      <c r="C127" s="7">
        <f t="shared" si="15"/>
        <v>46092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3345</v>
      </c>
      <c r="L127" s="17" t="s">
        <v>3347</v>
      </c>
      <c r="M127" s="8">
        <v>199900</v>
      </c>
      <c r="N127" s="37">
        <f t="shared" si="11"/>
        <v>0.7</v>
      </c>
      <c r="O127" s="36">
        <f t="shared" si="9"/>
        <v>59970</v>
      </c>
      <c r="P127" s="22" t="s">
        <v>16</v>
      </c>
    </row>
    <row r="128" spans="1:16" x14ac:dyDescent="0.35">
      <c r="A128" s="14" t="str">
        <f t="shared" si="10"/>
        <v xml:space="preserve"> 2024 JAN-JUN D70 LICENSE BABY</v>
      </c>
      <c r="B128" s="7">
        <f t="shared" si="14"/>
        <v>46086</v>
      </c>
      <c r="C128" s="7">
        <f t="shared" si="15"/>
        <v>46092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3345</v>
      </c>
      <c r="L128" s="17" t="s">
        <v>3348</v>
      </c>
      <c r="M128" s="8">
        <v>199900</v>
      </c>
      <c r="N128" s="37">
        <f t="shared" si="11"/>
        <v>0.7</v>
      </c>
      <c r="O128" s="36">
        <f t="shared" si="9"/>
        <v>59970</v>
      </c>
      <c r="P128" s="22" t="s">
        <v>16</v>
      </c>
    </row>
    <row r="129" spans="1:16" x14ac:dyDescent="0.35">
      <c r="A129" s="14" t="str">
        <f t="shared" si="10"/>
        <v xml:space="preserve"> 2024 JAN-JUN D70 LICENSE BABY</v>
      </c>
      <c r="B129" s="7">
        <f t="shared" si="14"/>
        <v>46086</v>
      </c>
      <c r="C129" s="7">
        <f t="shared" si="15"/>
        <v>46092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3345</v>
      </c>
      <c r="L129" s="17" t="s">
        <v>3349</v>
      </c>
      <c r="M129" s="8">
        <v>199900</v>
      </c>
      <c r="N129" s="37">
        <f t="shared" si="11"/>
        <v>0.7</v>
      </c>
      <c r="O129" s="36">
        <f t="shared" si="9"/>
        <v>59970</v>
      </c>
      <c r="P129" s="22" t="s">
        <v>16</v>
      </c>
    </row>
    <row r="130" spans="1:16" x14ac:dyDescent="0.35">
      <c r="A130" s="14" t="str">
        <f t="shared" si="10"/>
        <v xml:space="preserve"> 2024 JAN-JUN D70 LICENSE BABY</v>
      </c>
      <c r="B130" s="7">
        <f t="shared" si="14"/>
        <v>46086</v>
      </c>
      <c r="C130" s="7">
        <f t="shared" si="15"/>
        <v>46092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2987</v>
      </c>
      <c r="L130" s="17" t="s">
        <v>2988</v>
      </c>
      <c r="M130" s="8">
        <v>219900</v>
      </c>
      <c r="N130" s="37">
        <f t="shared" si="11"/>
        <v>0.7</v>
      </c>
      <c r="O130" s="36">
        <f t="shared" si="9"/>
        <v>65970</v>
      </c>
      <c r="P130" s="22" t="s">
        <v>16</v>
      </c>
    </row>
    <row r="131" spans="1:16" x14ac:dyDescent="0.35">
      <c r="A131" s="14" t="str">
        <f t="shared" si="10"/>
        <v xml:space="preserve"> 2024 JAN-JUN D70 LICENSE BABY</v>
      </c>
      <c r="B131" s="7">
        <f t="shared" si="14"/>
        <v>46086</v>
      </c>
      <c r="C131" s="7">
        <f t="shared" si="15"/>
        <v>46092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2987</v>
      </c>
      <c r="L131" s="17" t="s">
        <v>3350</v>
      </c>
      <c r="M131" s="8">
        <v>219900</v>
      </c>
      <c r="N131" s="37">
        <f t="shared" si="11"/>
        <v>0.7</v>
      </c>
      <c r="O131" s="36">
        <f t="shared" ref="O131:O194" si="16">M131-((70*M131)/100)</f>
        <v>65970</v>
      </c>
      <c r="P131" s="22" t="s">
        <v>16</v>
      </c>
    </row>
    <row r="132" spans="1:16" x14ac:dyDescent="0.35">
      <c r="A132" s="14" t="str">
        <f t="shared" ref="A132:A195" si="17">A131</f>
        <v xml:space="preserve"> 2024 JAN-JUN D70 LICENSE BABY</v>
      </c>
      <c r="B132" s="7">
        <f t="shared" si="14"/>
        <v>46086</v>
      </c>
      <c r="C132" s="7">
        <f t="shared" si="15"/>
        <v>46092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2987</v>
      </c>
      <c r="L132" s="17" t="s">
        <v>2989</v>
      </c>
      <c r="M132" s="8">
        <v>219900</v>
      </c>
      <c r="N132" s="37">
        <f t="shared" ref="N132:N195" si="18">N131</f>
        <v>0.7</v>
      </c>
      <c r="O132" s="36">
        <f t="shared" si="16"/>
        <v>65970</v>
      </c>
      <c r="P132" s="22" t="s">
        <v>16</v>
      </c>
    </row>
    <row r="133" spans="1:16" x14ac:dyDescent="0.35">
      <c r="A133" s="14" t="str">
        <f t="shared" si="17"/>
        <v xml:space="preserve"> 2024 JAN-JUN D70 LICENSE BABY</v>
      </c>
      <c r="B133" s="7">
        <f t="shared" si="14"/>
        <v>46086</v>
      </c>
      <c r="C133" s="7">
        <f t="shared" si="15"/>
        <v>46092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2987</v>
      </c>
      <c r="L133" s="17" t="s">
        <v>2990</v>
      </c>
      <c r="M133" s="8">
        <v>219900</v>
      </c>
      <c r="N133" s="37">
        <f t="shared" si="18"/>
        <v>0.7</v>
      </c>
      <c r="O133" s="36">
        <f t="shared" si="16"/>
        <v>65970</v>
      </c>
      <c r="P133" s="22" t="s">
        <v>16</v>
      </c>
    </row>
    <row r="134" spans="1:16" x14ac:dyDescent="0.35">
      <c r="A134" s="14" t="str">
        <f t="shared" si="17"/>
        <v xml:space="preserve"> 2024 JAN-JUN D70 LICENSE BABY</v>
      </c>
      <c r="B134" s="7">
        <f t="shared" si="14"/>
        <v>46086</v>
      </c>
      <c r="C134" s="7">
        <f t="shared" si="15"/>
        <v>46092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2991</v>
      </c>
      <c r="L134" s="17" t="s">
        <v>2992</v>
      </c>
      <c r="M134" s="8">
        <v>199900</v>
      </c>
      <c r="N134" s="37">
        <f t="shared" si="18"/>
        <v>0.7</v>
      </c>
      <c r="O134" s="36">
        <f t="shared" si="16"/>
        <v>59970</v>
      </c>
      <c r="P134" s="22" t="s">
        <v>16</v>
      </c>
    </row>
    <row r="135" spans="1:16" x14ac:dyDescent="0.35">
      <c r="A135" s="14" t="str">
        <f t="shared" si="17"/>
        <v xml:space="preserve"> 2024 JAN-JUN D70 LICENSE BABY</v>
      </c>
      <c r="B135" s="7">
        <f t="shared" si="14"/>
        <v>46086</v>
      </c>
      <c r="C135" s="7">
        <f t="shared" si="15"/>
        <v>46092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2991</v>
      </c>
      <c r="L135" s="17" t="s">
        <v>2993</v>
      </c>
      <c r="M135" s="8">
        <v>199900</v>
      </c>
      <c r="N135" s="37">
        <f t="shared" si="18"/>
        <v>0.7</v>
      </c>
      <c r="O135" s="36">
        <f t="shared" si="16"/>
        <v>59970</v>
      </c>
      <c r="P135" s="22" t="s">
        <v>16</v>
      </c>
    </row>
    <row r="136" spans="1:16" x14ac:dyDescent="0.35">
      <c r="A136" s="14" t="str">
        <f t="shared" si="17"/>
        <v xml:space="preserve"> 2024 JAN-JUN D70 LICENSE BABY</v>
      </c>
      <c r="B136" s="7">
        <f t="shared" si="14"/>
        <v>46086</v>
      </c>
      <c r="C136" s="7">
        <f t="shared" si="15"/>
        <v>46092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2991</v>
      </c>
      <c r="L136" s="17" t="s">
        <v>2994</v>
      </c>
      <c r="M136" s="8">
        <v>199900</v>
      </c>
      <c r="N136" s="37">
        <f t="shared" si="18"/>
        <v>0.7</v>
      </c>
      <c r="O136" s="36">
        <f t="shared" si="16"/>
        <v>59970</v>
      </c>
      <c r="P136" s="22" t="s">
        <v>16</v>
      </c>
    </row>
    <row r="137" spans="1:16" x14ac:dyDescent="0.35">
      <c r="A137" s="14" t="str">
        <f t="shared" si="17"/>
        <v xml:space="preserve"> 2024 JAN-JUN D70 LICENSE BABY</v>
      </c>
      <c r="B137" s="7">
        <f t="shared" si="14"/>
        <v>46086</v>
      </c>
      <c r="C137" s="7">
        <f t="shared" si="15"/>
        <v>46092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2991</v>
      </c>
      <c r="L137" s="17" t="s">
        <v>2995</v>
      </c>
      <c r="M137" s="8">
        <v>199900</v>
      </c>
      <c r="N137" s="37">
        <f t="shared" si="18"/>
        <v>0.7</v>
      </c>
      <c r="O137" s="36">
        <f t="shared" si="16"/>
        <v>59970</v>
      </c>
      <c r="P137" s="22" t="s">
        <v>16</v>
      </c>
    </row>
    <row r="138" spans="1:16" x14ac:dyDescent="0.35">
      <c r="A138" s="14" t="str">
        <f t="shared" si="17"/>
        <v xml:space="preserve"> 2024 JAN-JUN D70 LICENSE BABY</v>
      </c>
      <c r="B138" s="7">
        <f t="shared" si="14"/>
        <v>46086</v>
      </c>
      <c r="C138" s="7">
        <f t="shared" si="15"/>
        <v>46092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2996</v>
      </c>
      <c r="L138" s="17" t="s">
        <v>2997</v>
      </c>
      <c r="M138" s="8">
        <v>199900</v>
      </c>
      <c r="N138" s="37">
        <f t="shared" si="18"/>
        <v>0.7</v>
      </c>
      <c r="O138" s="36">
        <f t="shared" si="16"/>
        <v>59970</v>
      </c>
      <c r="P138" s="22" t="s">
        <v>16</v>
      </c>
    </row>
    <row r="139" spans="1:16" x14ac:dyDescent="0.35">
      <c r="A139" s="14" t="str">
        <f t="shared" si="17"/>
        <v xml:space="preserve"> 2024 JAN-JUN D70 LICENSE BABY</v>
      </c>
      <c r="B139" s="7">
        <f t="shared" si="14"/>
        <v>46086</v>
      </c>
      <c r="C139" s="7">
        <f t="shared" si="15"/>
        <v>46092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2996</v>
      </c>
      <c r="L139" s="17" t="s">
        <v>2998</v>
      </c>
      <c r="M139" s="8">
        <v>199900</v>
      </c>
      <c r="N139" s="37">
        <f t="shared" si="18"/>
        <v>0.7</v>
      </c>
      <c r="O139" s="36">
        <f t="shared" si="16"/>
        <v>59970</v>
      </c>
      <c r="P139" s="22" t="s">
        <v>16</v>
      </c>
    </row>
    <row r="140" spans="1:16" x14ac:dyDescent="0.35">
      <c r="A140" s="14" t="str">
        <f t="shared" si="17"/>
        <v xml:space="preserve"> 2024 JAN-JUN D70 LICENSE BABY</v>
      </c>
      <c r="B140" s="7">
        <f t="shared" si="14"/>
        <v>46086</v>
      </c>
      <c r="C140" s="7">
        <f t="shared" si="15"/>
        <v>46092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2996</v>
      </c>
      <c r="L140" s="17" t="s">
        <v>2999</v>
      </c>
      <c r="M140" s="8">
        <v>199900</v>
      </c>
      <c r="N140" s="37">
        <f t="shared" si="18"/>
        <v>0.7</v>
      </c>
      <c r="O140" s="36">
        <f t="shared" si="16"/>
        <v>59970</v>
      </c>
      <c r="P140" s="22" t="s">
        <v>16</v>
      </c>
    </row>
    <row r="141" spans="1:16" x14ac:dyDescent="0.35">
      <c r="A141" s="14" t="str">
        <f t="shared" si="17"/>
        <v xml:space="preserve"> 2024 JAN-JUN D70 LICENSE BABY</v>
      </c>
      <c r="B141" s="7">
        <f t="shared" si="14"/>
        <v>46086</v>
      </c>
      <c r="C141" s="7">
        <f t="shared" si="15"/>
        <v>46092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2996</v>
      </c>
      <c r="L141" s="17" t="s">
        <v>3000</v>
      </c>
      <c r="M141" s="8">
        <v>199900</v>
      </c>
      <c r="N141" s="37">
        <f t="shared" si="18"/>
        <v>0.7</v>
      </c>
      <c r="O141" s="36">
        <f t="shared" si="16"/>
        <v>59970</v>
      </c>
      <c r="P141" s="22" t="s">
        <v>16</v>
      </c>
    </row>
    <row r="142" spans="1:16" x14ac:dyDescent="0.35">
      <c r="A142" s="14" t="str">
        <f t="shared" si="17"/>
        <v xml:space="preserve"> 2024 JAN-JUN D70 LICENSE BABY</v>
      </c>
      <c r="B142" s="7">
        <f t="shared" si="14"/>
        <v>46086</v>
      </c>
      <c r="C142" s="7">
        <f t="shared" si="15"/>
        <v>46092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3351</v>
      </c>
      <c r="L142" s="17" t="s">
        <v>3352</v>
      </c>
      <c r="M142" s="8">
        <v>199900</v>
      </c>
      <c r="N142" s="37">
        <f t="shared" si="18"/>
        <v>0.7</v>
      </c>
      <c r="O142" s="36">
        <f t="shared" si="16"/>
        <v>59970</v>
      </c>
      <c r="P142" s="22" t="s">
        <v>16</v>
      </c>
    </row>
    <row r="143" spans="1:16" x14ac:dyDescent="0.35">
      <c r="A143" s="14" t="str">
        <f t="shared" si="17"/>
        <v xml:space="preserve"> 2024 JAN-JUN D70 LICENSE BABY</v>
      </c>
      <c r="B143" s="7">
        <f t="shared" si="14"/>
        <v>46086</v>
      </c>
      <c r="C143" s="7">
        <f t="shared" si="15"/>
        <v>46092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3351</v>
      </c>
      <c r="L143" s="17" t="s">
        <v>3353</v>
      </c>
      <c r="M143" s="8">
        <v>199900</v>
      </c>
      <c r="N143" s="37">
        <f t="shared" si="18"/>
        <v>0.7</v>
      </c>
      <c r="O143" s="36">
        <f t="shared" si="16"/>
        <v>59970</v>
      </c>
      <c r="P143" s="22" t="s">
        <v>16</v>
      </c>
    </row>
    <row r="144" spans="1:16" x14ac:dyDescent="0.35">
      <c r="A144" s="14" t="str">
        <f t="shared" si="17"/>
        <v xml:space="preserve"> 2024 JAN-JUN D70 LICENSE BABY</v>
      </c>
      <c r="B144" s="7">
        <f t="shared" si="14"/>
        <v>46086</v>
      </c>
      <c r="C144" s="7">
        <f t="shared" si="15"/>
        <v>46092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3351</v>
      </c>
      <c r="L144" s="17" t="s">
        <v>3354</v>
      </c>
      <c r="M144" s="8">
        <v>199900</v>
      </c>
      <c r="N144" s="37">
        <f t="shared" si="18"/>
        <v>0.7</v>
      </c>
      <c r="O144" s="36">
        <f t="shared" si="16"/>
        <v>59970</v>
      </c>
      <c r="P144" s="22" t="s">
        <v>16</v>
      </c>
    </row>
    <row r="145" spans="1:16" x14ac:dyDescent="0.35">
      <c r="A145" s="14" t="str">
        <f t="shared" si="17"/>
        <v xml:space="preserve"> 2024 JAN-JUN D70 LICENSE BABY</v>
      </c>
      <c r="B145" s="7">
        <f t="shared" si="14"/>
        <v>46086</v>
      </c>
      <c r="C145" s="7">
        <f t="shared" si="15"/>
        <v>46092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3351</v>
      </c>
      <c r="L145" s="17" t="s">
        <v>3355</v>
      </c>
      <c r="M145" s="8">
        <v>199900</v>
      </c>
      <c r="N145" s="37">
        <f t="shared" si="18"/>
        <v>0.7</v>
      </c>
      <c r="O145" s="36">
        <f t="shared" si="16"/>
        <v>59970</v>
      </c>
      <c r="P145" s="22" t="s">
        <v>16</v>
      </c>
    </row>
    <row r="146" spans="1:16" x14ac:dyDescent="0.35">
      <c r="A146" s="14" t="str">
        <f t="shared" si="17"/>
        <v xml:space="preserve"> 2024 JAN-JUN D70 LICENSE BABY</v>
      </c>
      <c r="B146" s="7">
        <f t="shared" si="14"/>
        <v>46086</v>
      </c>
      <c r="C146" s="7">
        <f t="shared" si="15"/>
        <v>46092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3356</v>
      </c>
      <c r="L146" s="17" t="s">
        <v>3357</v>
      </c>
      <c r="M146" s="8">
        <v>219900</v>
      </c>
      <c r="N146" s="37">
        <f t="shared" si="18"/>
        <v>0.7</v>
      </c>
      <c r="O146" s="36">
        <f t="shared" si="16"/>
        <v>65970</v>
      </c>
      <c r="P146" s="22" t="s">
        <v>16</v>
      </c>
    </row>
    <row r="147" spans="1:16" x14ac:dyDescent="0.35">
      <c r="A147" s="14" t="str">
        <f t="shared" si="17"/>
        <v xml:space="preserve"> 2024 JAN-JUN D70 LICENSE BABY</v>
      </c>
      <c r="B147" s="7">
        <f t="shared" si="14"/>
        <v>46086</v>
      </c>
      <c r="C147" s="7">
        <f t="shared" si="15"/>
        <v>46092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3356</v>
      </c>
      <c r="L147" s="17" t="s">
        <v>3358</v>
      </c>
      <c r="M147" s="8">
        <v>219900</v>
      </c>
      <c r="N147" s="37">
        <f t="shared" si="18"/>
        <v>0.7</v>
      </c>
      <c r="O147" s="36">
        <f t="shared" si="16"/>
        <v>65970</v>
      </c>
      <c r="P147" s="22" t="s">
        <v>16</v>
      </c>
    </row>
    <row r="148" spans="1:16" x14ac:dyDescent="0.35">
      <c r="A148" s="14" t="str">
        <f t="shared" si="17"/>
        <v xml:space="preserve"> 2024 JAN-JUN D70 LICENSE BABY</v>
      </c>
      <c r="B148" s="7">
        <f t="shared" si="14"/>
        <v>46086</v>
      </c>
      <c r="C148" s="7">
        <f t="shared" si="15"/>
        <v>46092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3356</v>
      </c>
      <c r="L148" s="17" t="s">
        <v>3359</v>
      </c>
      <c r="M148" s="8">
        <v>219900</v>
      </c>
      <c r="N148" s="37">
        <f t="shared" si="18"/>
        <v>0.7</v>
      </c>
      <c r="O148" s="36">
        <f t="shared" si="16"/>
        <v>65970</v>
      </c>
      <c r="P148" s="22" t="s">
        <v>16</v>
      </c>
    </row>
    <row r="149" spans="1:16" x14ac:dyDescent="0.35">
      <c r="A149" s="14" t="str">
        <f t="shared" si="17"/>
        <v xml:space="preserve"> 2024 JAN-JUN D70 LICENSE BABY</v>
      </c>
      <c r="B149" s="7">
        <f t="shared" si="14"/>
        <v>46086</v>
      </c>
      <c r="C149" s="7">
        <f t="shared" si="15"/>
        <v>46092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3356</v>
      </c>
      <c r="L149" s="17" t="s">
        <v>3360</v>
      </c>
      <c r="M149" s="8">
        <v>219900</v>
      </c>
      <c r="N149" s="37">
        <f t="shared" si="18"/>
        <v>0.7</v>
      </c>
      <c r="O149" s="36">
        <f t="shared" si="16"/>
        <v>65970</v>
      </c>
      <c r="P149" s="22" t="s">
        <v>16</v>
      </c>
    </row>
    <row r="150" spans="1:16" x14ac:dyDescent="0.35">
      <c r="A150" s="14" t="str">
        <f t="shared" si="17"/>
        <v xml:space="preserve"> 2024 JAN-JUN D70 LICENSE BABY</v>
      </c>
      <c r="B150" s="7">
        <f t="shared" si="14"/>
        <v>46086</v>
      </c>
      <c r="C150" s="7">
        <f t="shared" si="15"/>
        <v>46092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3361</v>
      </c>
      <c r="L150" s="17" t="s">
        <v>3362</v>
      </c>
      <c r="M150" s="8">
        <v>219900</v>
      </c>
      <c r="N150" s="37">
        <f t="shared" si="18"/>
        <v>0.7</v>
      </c>
      <c r="O150" s="36">
        <f t="shared" si="16"/>
        <v>65970</v>
      </c>
      <c r="P150" s="22" t="s">
        <v>16</v>
      </c>
    </row>
    <row r="151" spans="1:16" x14ac:dyDescent="0.35">
      <c r="A151" s="14" t="str">
        <f t="shared" si="17"/>
        <v xml:space="preserve"> 2024 JAN-JUN D70 LICENSE BABY</v>
      </c>
      <c r="B151" s="7">
        <f t="shared" si="14"/>
        <v>46086</v>
      </c>
      <c r="C151" s="7">
        <f t="shared" si="15"/>
        <v>46092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3361</v>
      </c>
      <c r="L151" s="17" t="s">
        <v>3363</v>
      </c>
      <c r="M151" s="8">
        <v>219900</v>
      </c>
      <c r="N151" s="37">
        <f t="shared" si="18"/>
        <v>0.7</v>
      </c>
      <c r="O151" s="36">
        <f t="shared" si="16"/>
        <v>65970</v>
      </c>
      <c r="P151" s="22" t="s">
        <v>16</v>
      </c>
    </row>
    <row r="152" spans="1:16" x14ac:dyDescent="0.35">
      <c r="A152" s="14" t="str">
        <f t="shared" si="17"/>
        <v xml:space="preserve"> 2024 JAN-JUN D70 LICENSE BABY</v>
      </c>
      <c r="B152" s="7">
        <f t="shared" si="14"/>
        <v>46086</v>
      </c>
      <c r="C152" s="7">
        <f t="shared" si="15"/>
        <v>46092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3361</v>
      </c>
      <c r="L152" s="17" t="s">
        <v>3364</v>
      </c>
      <c r="M152" s="8">
        <v>219900</v>
      </c>
      <c r="N152" s="37">
        <f t="shared" si="18"/>
        <v>0.7</v>
      </c>
      <c r="O152" s="36">
        <f t="shared" si="16"/>
        <v>65970</v>
      </c>
      <c r="P152" s="22" t="s">
        <v>16</v>
      </c>
    </row>
    <row r="153" spans="1:16" x14ac:dyDescent="0.35">
      <c r="A153" s="14" t="str">
        <f t="shared" si="17"/>
        <v xml:space="preserve"> 2024 JAN-JUN D70 LICENSE BABY</v>
      </c>
      <c r="B153" s="7">
        <f t="shared" si="14"/>
        <v>46086</v>
      </c>
      <c r="C153" s="7">
        <f t="shared" si="15"/>
        <v>46092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3361</v>
      </c>
      <c r="L153" s="17" t="s">
        <v>3365</v>
      </c>
      <c r="M153" s="8">
        <v>219900</v>
      </c>
      <c r="N153" s="37">
        <f t="shared" si="18"/>
        <v>0.7</v>
      </c>
      <c r="O153" s="36">
        <f t="shared" si="16"/>
        <v>65970</v>
      </c>
      <c r="P153" s="22" t="s">
        <v>16</v>
      </c>
    </row>
    <row r="154" spans="1:16" x14ac:dyDescent="0.35">
      <c r="A154" s="14" t="str">
        <f t="shared" si="17"/>
        <v xml:space="preserve"> 2024 JAN-JUN D70 LICENSE BABY</v>
      </c>
      <c r="B154" s="7">
        <f t="shared" si="14"/>
        <v>46086</v>
      </c>
      <c r="C154" s="7">
        <f t="shared" si="15"/>
        <v>46092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3001</v>
      </c>
      <c r="L154" s="17" t="s">
        <v>3002</v>
      </c>
      <c r="M154" s="8">
        <v>199900</v>
      </c>
      <c r="N154" s="37">
        <f t="shared" si="18"/>
        <v>0.7</v>
      </c>
      <c r="O154" s="36">
        <f t="shared" si="16"/>
        <v>59970</v>
      </c>
      <c r="P154" s="22" t="s">
        <v>16</v>
      </c>
    </row>
    <row r="155" spans="1:16" x14ac:dyDescent="0.35">
      <c r="A155" s="14" t="str">
        <f t="shared" si="17"/>
        <v xml:space="preserve"> 2024 JAN-JUN D70 LICENSE BABY</v>
      </c>
      <c r="B155" s="7">
        <f t="shared" si="14"/>
        <v>46086</v>
      </c>
      <c r="C155" s="7">
        <f t="shared" si="15"/>
        <v>46092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3001</v>
      </c>
      <c r="L155" s="17" t="s">
        <v>3366</v>
      </c>
      <c r="M155" s="8">
        <v>199900</v>
      </c>
      <c r="N155" s="37">
        <f t="shared" si="18"/>
        <v>0.7</v>
      </c>
      <c r="O155" s="36">
        <f t="shared" si="16"/>
        <v>59970</v>
      </c>
      <c r="P155" s="22" t="s">
        <v>16</v>
      </c>
    </row>
    <row r="156" spans="1:16" x14ac:dyDescent="0.35">
      <c r="A156" s="14" t="str">
        <f t="shared" si="17"/>
        <v xml:space="preserve"> 2024 JAN-JUN D70 LICENSE BABY</v>
      </c>
      <c r="B156" s="7">
        <f t="shared" si="14"/>
        <v>46086</v>
      </c>
      <c r="C156" s="7">
        <f t="shared" si="15"/>
        <v>46092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3001</v>
      </c>
      <c r="L156" s="17" t="s">
        <v>3003</v>
      </c>
      <c r="M156" s="8">
        <v>199900</v>
      </c>
      <c r="N156" s="37">
        <f t="shared" si="18"/>
        <v>0.7</v>
      </c>
      <c r="O156" s="36">
        <f t="shared" si="16"/>
        <v>59970</v>
      </c>
      <c r="P156" s="22" t="s">
        <v>16</v>
      </c>
    </row>
    <row r="157" spans="1:16" x14ac:dyDescent="0.35">
      <c r="A157" s="14" t="str">
        <f t="shared" si="17"/>
        <v xml:space="preserve"> 2024 JAN-JUN D70 LICENSE BABY</v>
      </c>
      <c r="B157" s="7">
        <f t="shared" si="14"/>
        <v>46086</v>
      </c>
      <c r="C157" s="7">
        <f t="shared" si="15"/>
        <v>46092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3001</v>
      </c>
      <c r="L157" s="17" t="s">
        <v>3004</v>
      </c>
      <c r="M157" s="8">
        <v>199900</v>
      </c>
      <c r="N157" s="37">
        <f t="shared" si="18"/>
        <v>0.7</v>
      </c>
      <c r="O157" s="36">
        <f t="shared" si="16"/>
        <v>59970</v>
      </c>
      <c r="P157" s="22" t="s">
        <v>16</v>
      </c>
    </row>
    <row r="158" spans="1:16" x14ac:dyDescent="0.35">
      <c r="A158" s="14" t="str">
        <f t="shared" si="17"/>
        <v xml:space="preserve"> 2024 JAN-JUN D70 LICENSE BABY</v>
      </c>
      <c r="B158" s="7">
        <f t="shared" ref="B158:B189" si="19">B157</f>
        <v>46086</v>
      </c>
      <c r="C158" s="7">
        <f t="shared" ref="C158:C189" si="20">C157</f>
        <v>46092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3005</v>
      </c>
      <c r="L158" s="17" t="s">
        <v>3006</v>
      </c>
      <c r="M158" s="8">
        <v>199900</v>
      </c>
      <c r="N158" s="37">
        <f t="shared" si="18"/>
        <v>0.7</v>
      </c>
      <c r="O158" s="36">
        <f t="shared" si="16"/>
        <v>59970</v>
      </c>
      <c r="P158" s="22" t="s">
        <v>16</v>
      </c>
    </row>
    <row r="159" spans="1:16" x14ac:dyDescent="0.35">
      <c r="A159" s="14" t="str">
        <f t="shared" si="17"/>
        <v xml:space="preserve"> 2024 JAN-JUN D70 LICENSE BABY</v>
      </c>
      <c r="B159" s="7">
        <f t="shared" si="19"/>
        <v>46086</v>
      </c>
      <c r="C159" s="7">
        <f t="shared" si="20"/>
        <v>46092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3005</v>
      </c>
      <c r="L159" s="17" t="s">
        <v>3367</v>
      </c>
      <c r="M159" s="8">
        <v>199900</v>
      </c>
      <c r="N159" s="37">
        <f t="shared" si="18"/>
        <v>0.7</v>
      </c>
      <c r="O159" s="36">
        <f t="shared" si="16"/>
        <v>59970</v>
      </c>
      <c r="P159" s="22" t="s">
        <v>16</v>
      </c>
    </row>
    <row r="160" spans="1:16" x14ac:dyDescent="0.35">
      <c r="A160" s="14" t="str">
        <f t="shared" si="17"/>
        <v xml:space="preserve"> 2024 JAN-JUN D70 LICENSE BABY</v>
      </c>
      <c r="B160" s="7">
        <f t="shared" si="19"/>
        <v>46086</v>
      </c>
      <c r="C160" s="7">
        <f t="shared" si="20"/>
        <v>46092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3005</v>
      </c>
      <c r="L160" s="17" t="s">
        <v>3007</v>
      </c>
      <c r="M160" s="8">
        <v>199900</v>
      </c>
      <c r="N160" s="37">
        <f t="shared" si="18"/>
        <v>0.7</v>
      </c>
      <c r="O160" s="36">
        <f t="shared" si="16"/>
        <v>59970</v>
      </c>
      <c r="P160" s="22" t="s">
        <v>16</v>
      </c>
    </row>
    <row r="161" spans="1:16" x14ac:dyDescent="0.35">
      <c r="A161" s="14" t="str">
        <f t="shared" si="17"/>
        <v xml:space="preserve"> 2024 JAN-JUN D70 LICENSE BABY</v>
      </c>
      <c r="B161" s="7">
        <f t="shared" si="19"/>
        <v>46086</v>
      </c>
      <c r="C161" s="7">
        <f t="shared" si="20"/>
        <v>46092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3005</v>
      </c>
      <c r="L161" s="17" t="s">
        <v>3008</v>
      </c>
      <c r="M161" s="8">
        <v>199900</v>
      </c>
      <c r="N161" s="37">
        <f t="shared" si="18"/>
        <v>0.7</v>
      </c>
      <c r="O161" s="36">
        <f t="shared" si="16"/>
        <v>59970</v>
      </c>
      <c r="P161" s="22" t="s">
        <v>16</v>
      </c>
    </row>
    <row r="162" spans="1:16" x14ac:dyDescent="0.35">
      <c r="A162" s="14" t="str">
        <f t="shared" si="17"/>
        <v xml:space="preserve"> 2024 JAN-JUN D70 LICENSE BABY</v>
      </c>
      <c r="B162" s="7">
        <f t="shared" si="19"/>
        <v>46086</v>
      </c>
      <c r="C162" s="7">
        <f t="shared" si="20"/>
        <v>46092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3368</v>
      </c>
      <c r="L162" s="17" t="s">
        <v>3369</v>
      </c>
      <c r="M162" s="8">
        <v>199900</v>
      </c>
      <c r="N162" s="37">
        <f t="shared" si="18"/>
        <v>0.7</v>
      </c>
      <c r="O162" s="36">
        <f t="shared" si="16"/>
        <v>59970</v>
      </c>
      <c r="P162" s="22" t="s">
        <v>16</v>
      </c>
    </row>
    <row r="163" spans="1:16" x14ac:dyDescent="0.35">
      <c r="A163" s="14" t="str">
        <f t="shared" si="17"/>
        <v xml:space="preserve"> 2024 JAN-JUN D70 LICENSE BABY</v>
      </c>
      <c r="B163" s="7">
        <f t="shared" si="19"/>
        <v>46086</v>
      </c>
      <c r="C163" s="7">
        <f t="shared" si="20"/>
        <v>46092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3368</v>
      </c>
      <c r="L163" s="17" t="s">
        <v>3370</v>
      </c>
      <c r="M163" s="8">
        <v>199900</v>
      </c>
      <c r="N163" s="37">
        <f t="shared" si="18"/>
        <v>0.7</v>
      </c>
      <c r="O163" s="36">
        <f t="shared" si="16"/>
        <v>59970</v>
      </c>
      <c r="P163" s="22" t="s">
        <v>16</v>
      </c>
    </row>
    <row r="164" spans="1:16" x14ac:dyDescent="0.35">
      <c r="A164" s="14" t="str">
        <f t="shared" si="17"/>
        <v xml:space="preserve"> 2024 JAN-JUN D70 LICENSE BABY</v>
      </c>
      <c r="B164" s="7">
        <f t="shared" si="19"/>
        <v>46086</v>
      </c>
      <c r="C164" s="7">
        <f t="shared" si="20"/>
        <v>46092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3368</v>
      </c>
      <c r="L164" s="17" t="s">
        <v>3371</v>
      </c>
      <c r="M164" s="8">
        <v>199900</v>
      </c>
      <c r="N164" s="37">
        <f t="shared" si="18"/>
        <v>0.7</v>
      </c>
      <c r="O164" s="36">
        <f t="shared" si="16"/>
        <v>59970</v>
      </c>
      <c r="P164" s="22" t="s">
        <v>16</v>
      </c>
    </row>
    <row r="165" spans="1:16" x14ac:dyDescent="0.35">
      <c r="A165" s="14" t="str">
        <f t="shared" si="17"/>
        <v xml:space="preserve"> 2024 JAN-JUN D70 LICENSE BABY</v>
      </c>
      <c r="B165" s="7">
        <f t="shared" si="19"/>
        <v>46086</v>
      </c>
      <c r="C165" s="7">
        <f t="shared" si="20"/>
        <v>46092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3368</v>
      </c>
      <c r="L165" s="17" t="s">
        <v>3372</v>
      </c>
      <c r="M165" s="8">
        <v>199900</v>
      </c>
      <c r="N165" s="37">
        <f t="shared" si="18"/>
        <v>0.7</v>
      </c>
      <c r="O165" s="36">
        <f t="shared" si="16"/>
        <v>59970</v>
      </c>
      <c r="P165" s="22" t="s">
        <v>16</v>
      </c>
    </row>
    <row r="166" spans="1:16" x14ac:dyDescent="0.35">
      <c r="A166" s="14" t="str">
        <f t="shared" si="17"/>
        <v xml:space="preserve"> 2024 JAN-JUN D70 LICENSE BABY</v>
      </c>
      <c r="B166" s="7">
        <f t="shared" si="19"/>
        <v>46086</v>
      </c>
      <c r="C166" s="7">
        <f t="shared" si="20"/>
        <v>46092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3373</v>
      </c>
      <c r="L166" s="17" t="s">
        <v>3374</v>
      </c>
      <c r="M166" s="8">
        <v>199900</v>
      </c>
      <c r="N166" s="37">
        <f t="shared" si="18"/>
        <v>0.7</v>
      </c>
      <c r="O166" s="36">
        <f t="shared" si="16"/>
        <v>59970</v>
      </c>
      <c r="P166" s="22" t="s">
        <v>16</v>
      </c>
    </row>
    <row r="167" spans="1:16" x14ac:dyDescent="0.35">
      <c r="A167" s="14" t="str">
        <f t="shared" si="17"/>
        <v xml:space="preserve"> 2024 JAN-JUN D70 LICENSE BABY</v>
      </c>
      <c r="B167" s="7">
        <f t="shared" si="19"/>
        <v>46086</v>
      </c>
      <c r="C167" s="7">
        <f t="shared" si="20"/>
        <v>46092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3373</v>
      </c>
      <c r="L167" s="17" t="s">
        <v>3375</v>
      </c>
      <c r="M167" s="8">
        <v>199900</v>
      </c>
      <c r="N167" s="37">
        <f t="shared" si="18"/>
        <v>0.7</v>
      </c>
      <c r="O167" s="36">
        <f t="shared" si="16"/>
        <v>59970</v>
      </c>
      <c r="P167" s="22" t="s">
        <v>16</v>
      </c>
    </row>
    <row r="168" spans="1:16" x14ac:dyDescent="0.35">
      <c r="A168" s="14" t="str">
        <f t="shared" si="17"/>
        <v xml:space="preserve"> 2024 JAN-JUN D70 LICENSE BABY</v>
      </c>
      <c r="B168" s="7">
        <f t="shared" si="19"/>
        <v>46086</v>
      </c>
      <c r="C168" s="7">
        <f t="shared" si="20"/>
        <v>46092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3373</v>
      </c>
      <c r="L168" s="17" t="s">
        <v>3376</v>
      </c>
      <c r="M168" s="8">
        <v>199900</v>
      </c>
      <c r="N168" s="37">
        <f t="shared" si="18"/>
        <v>0.7</v>
      </c>
      <c r="O168" s="36">
        <f t="shared" si="16"/>
        <v>59970</v>
      </c>
      <c r="P168" s="22" t="s">
        <v>16</v>
      </c>
    </row>
    <row r="169" spans="1:16" x14ac:dyDescent="0.35">
      <c r="A169" s="14" t="str">
        <f t="shared" si="17"/>
        <v xml:space="preserve"> 2024 JAN-JUN D70 LICENSE BABY</v>
      </c>
      <c r="B169" s="7">
        <f t="shared" si="19"/>
        <v>46086</v>
      </c>
      <c r="C169" s="7">
        <f t="shared" si="20"/>
        <v>46092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3373</v>
      </c>
      <c r="L169" s="17" t="s">
        <v>3377</v>
      </c>
      <c r="M169" s="8">
        <v>199900</v>
      </c>
      <c r="N169" s="37">
        <f t="shared" si="18"/>
        <v>0.7</v>
      </c>
      <c r="O169" s="36">
        <f t="shared" si="16"/>
        <v>59970</v>
      </c>
      <c r="P169" s="22" t="s">
        <v>16</v>
      </c>
    </row>
    <row r="170" spans="1:16" x14ac:dyDescent="0.35">
      <c r="A170" s="14" t="str">
        <f t="shared" si="17"/>
        <v xml:space="preserve"> 2024 JAN-JUN D70 LICENSE BABY</v>
      </c>
      <c r="B170" s="7">
        <f t="shared" si="19"/>
        <v>46086</v>
      </c>
      <c r="C170" s="7">
        <f t="shared" si="20"/>
        <v>46092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3009</v>
      </c>
      <c r="L170" s="17" t="s">
        <v>3010</v>
      </c>
      <c r="M170" s="8">
        <v>99900</v>
      </c>
      <c r="N170" s="37">
        <f t="shared" si="18"/>
        <v>0.7</v>
      </c>
      <c r="O170" s="36">
        <f t="shared" si="16"/>
        <v>29970</v>
      </c>
      <c r="P170" s="22" t="s">
        <v>16</v>
      </c>
    </row>
    <row r="171" spans="1:16" x14ac:dyDescent="0.35">
      <c r="A171" s="14" t="str">
        <f t="shared" si="17"/>
        <v xml:space="preserve"> 2024 JAN-JUN D70 LICENSE BABY</v>
      </c>
      <c r="B171" s="7">
        <f t="shared" si="19"/>
        <v>46086</v>
      </c>
      <c r="C171" s="7">
        <f t="shared" si="20"/>
        <v>46092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3009</v>
      </c>
      <c r="L171" s="17" t="s">
        <v>3378</v>
      </c>
      <c r="M171" s="8">
        <v>99900</v>
      </c>
      <c r="N171" s="37">
        <f t="shared" si="18"/>
        <v>0.7</v>
      </c>
      <c r="O171" s="36">
        <f t="shared" si="16"/>
        <v>29970</v>
      </c>
      <c r="P171" s="22" t="s">
        <v>16</v>
      </c>
    </row>
    <row r="172" spans="1:16" x14ac:dyDescent="0.35">
      <c r="A172" s="14" t="str">
        <f t="shared" si="17"/>
        <v xml:space="preserve"> 2024 JAN-JUN D70 LICENSE BABY</v>
      </c>
      <c r="B172" s="7">
        <f t="shared" si="19"/>
        <v>46086</v>
      </c>
      <c r="C172" s="7">
        <f t="shared" si="20"/>
        <v>46092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3009</v>
      </c>
      <c r="L172" s="17" t="s">
        <v>3011</v>
      </c>
      <c r="M172" s="8">
        <v>99900</v>
      </c>
      <c r="N172" s="37">
        <f t="shared" si="18"/>
        <v>0.7</v>
      </c>
      <c r="O172" s="36">
        <f t="shared" si="16"/>
        <v>29970</v>
      </c>
      <c r="P172" s="22" t="s">
        <v>16</v>
      </c>
    </row>
    <row r="173" spans="1:16" x14ac:dyDescent="0.35">
      <c r="A173" s="14" t="str">
        <f t="shared" si="17"/>
        <v xml:space="preserve"> 2024 JAN-JUN D70 LICENSE BABY</v>
      </c>
      <c r="B173" s="7">
        <f t="shared" si="19"/>
        <v>46086</v>
      </c>
      <c r="C173" s="7">
        <f t="shared" si="20"/>
        <v>46092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3009</v>
      </c>
      <c r="L173" s="17" t="s">
        <v>3012</v>
      </c>
      <c r="M173" s="8">
        <v>99900</v>
      </c>
      <c r="N173" s="37">
        <f t="shared" si="18"/>
        <v>0.7</v>
      </c>
      <c r="O173" s="36">
        <f t="shared" si="16"/>
        <v>29970</v>
      </c>
      <c r="P173" s="22" t="s">
        <v>16</v>
      </c>
    </row>
    <row r="174" spans="1:16" x14ac:dyDescent="0.35">
      <c r="A174" s="14" t="str">
        <f t="shared" si="17"/>
        <v xml:space="preserve"> 2024 JAN-JUN D70 LICENSE BABY</v>
      </c>
      <c r="B174" s="7">
        <f t="shared" si="19"/>
        <v>46086</v>
      </c>
      <c r="C174" s="7">
        <f t="shared" si="20"/>
        <v>46092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3013</v>
      </c>
      <c r="L174" s="17" t="s">
        <v>3014</v>
      </c>
      <c r="M174" s="8">
        <v>169900</v>
      </c>
      <c r="N174" s="37">
        <f t="shared" si="18"/>
        <v>0.7</v>
      </c>
      <c r="O174" s="36">
        <f t="shared" si="16"/>
        <v>50970</v>
      </c>
      <c r="P174" s="22" t="s">
        <v>16</v>
      </c>
    </row>
    <row r="175" spans="1:16" x14ac:dyDescent="0.35">
      <c r="A175" s="14" t="str">
        <f t="shared" si="17"/>
        <v xml:space="preserve"> 2024 JAN-JUN D70 LICENSE BABY</v>
      </c>
      <c r="B175" s="7">
        <f t="shared" si="19"/>
        <v>46086</v>
      </c>
      <c r="C175" s="7">
        <f t="shared" si="20"/>
        <v>46092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3013</v>
      </c>
      <c r="L175" s="17" t="s">
        <v>3384</v>
      </c>
      <c r="M175" s="8">
        <v>169900</v>
      </c>
      <c r="N175" s="37">
        <f t="shared" si="18"/>
        <v>0.7</v>
      </c>
      <c r="O175" s="36">
        <f t="shared" si="16"/>
        <v>50970</v>
      </c>
      <c r="P175" s="22" t="s">
        <v>16</v>
      </c>
    </row>
    <row r="176" spans="1:16" x14ac:dyDescent="0.35">
      <c r="A176" s="14" t="str">
        <f t="shared" si="17"/>
        <v xml:space="preserve"> 2024 JAN-JUN D70 LICENSE BABY</v>
      </c>
      <c r="B176" s="7">
        <f t="shared" si="19"/>
        <v>46086</v>
      </c>
      <c r="C176" s="7">
        <f t="shared" si="20"/>
        <v>46092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3013</v>
      </c>
      <c r="L176" s="17" t="s">
        <v>3015</v>
      </c>
      <c r="M176" s="8">
        <v>169900</v>
      </c>
      <c r="N176" s="37">
        <f t="shared" si="18"/>
        <v>0.7</v>
      </c>
      <c r="O176" s="36">
        <f t="shared" si="16"/>
        <v>50970</v>
      </c>
      <c r="P176" s="22" t="s">
        <v>16</v>
      </c>
    </row>
    <row r="177" spans="1:16" x14ac:dyDescent="0.35">
      <c r="A177" s="14" t="str">
        <f t="shared" si="17"/>
        <v xml:space="preserve"> 2024 JAN-JUN D70 LICENSE BABY</v>
      </c>
      <c r="B177" s="7">
        <f t="shared" si="19"/>
        <v>46086</v>
      </c>
      <c r="C177" s="7">
        <f t="shared" si="20"/>
        <v>46092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3013</v>
      </c>
      <c r="L177" s="17" t="s">
        <v>3016</v>
      </c>
      <c r="M177" s="8">
        <v>169900</v>
      </c>
      <c r="N177" s="37">
        <f t="shared" si="18"/>
        <v>0.7</v>
      </c>
      <c r="O177" s="36">
        <f t="shared" si="16"/>
        <v>50970</v>
      </c>
      <c r="P177" s="22" t="s">
        <v>16</v>
      </c>
    </row>
    <row r="178" spans="1:16" x14ac:dyDescent="0.35">
      <c r="A178" s="14" t="str">
        <f t="shared" si="17"/>
        <v xml:space="preserve"> 2024 JAN-JUN D70 LICENSE BABY</v>
      </c>
      <c r="B178" s="7">
        <f t="shared" si="19"/>
        <v>46086</v>
      </c>
      <c r="C178" s="7">
        <f t="shared" si="20"/>
        <v>46092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3379</v>
      </c>
      <c r="L178" s="17" t="s">
        <v>3380</v>
      </c>
      <c r="M178" s="8">
        <v>199900</v>
      </c>
      <c r="N178" s="37">
        <f t="shared" si="18"/>
        <v>0.7</v>
      </c>
      <c r="O178" s="36">
        <f t="shared" si="16"/>
        <v>59970</v>
      </c>
      <c r="P178" s="22" t="s">
        <v>16</v>
      </c>
    </row>
    <row r="179" spans="1:16" x14ac:dyDescent="0.35">
      <c r="A179" s="14" t="str">
        <f t="shared" si="17"/>
        <v xml:space="preserve"> 2024 JAN-JUN D70 LICENSE BABY</v>
      </c>
      <c r="B179" s="7">
        <f t="shared" si="19"/>
        <v>46086</v>
      </c>
      <c r="C179" s="7">
        <f t="shared" si="20"/>
        <v>46092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3379</v>
      </c>
      <c r="L179" s="17" t="s">
        <v>3381</v>
      </c>
      <c r="M179" s="8">
        <v>199900</v>
      </c>
      <c r="N179" s="37">
        <f t="shared" si="18"/>
        <v>0.7</v>
      </c>
      <c r="O179" s="36">
        <f t="shared" si="16"/>
        <v>59970</v>
      </c>
      <c r="P179" s="22" t="s">
        <v>16</v>
      </c>
    </row>
    <row r="180" spans="1:16" x14ac:dyDescent="0.35">
      <c r="A180" s="14" t="str">
        <f t="shared" si="17"/>
        <v xml:space="preserve"> 2024 JAN-JUN D70 LICENSE BABY</v>
      </c>
      <c r="B180" s="7">
        <f t="shared" si="19"/>
        <v>46086</v>
      </c>
      <c r="C180" s="7">
        <f t="shared" si="20"/>
        <v>46092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3379</v>
      </c>
      <c r="L180" s="17" t="s">
        <v>3382</v>
      </c>
      <c r="M180" s="8">
        <v>199900</v>
      </c>
      <c r="N180" s="37">
        <f t="shared" si="18"/>
        <v>0.7</v>
      </c>
      <c r="O180" s="36">
        <f t="shared" si="16"/>
        <v>59970</v>
      </c>
      <c r="P180" s="22" t="s">
        <v>16</v>
      </c>
    </row>
    <row r="181" spans="1:16" x14ac:dyDescent="0.35">
      <c r="A181" s="14" t="str">
        <f t="shared" si="17"/>
        <v xml:space="preserve"> 2024 JAN-JUN D70 LICENSE BABY</v>
      </c>
      <c r="B181" s="7">
        <f t="shared" si="19"/>
        <v>46086</v>
      </c>
      <c r="C181" s="7">
        <f t="shared" si="20"/>
        <v>46092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3379</v>
      </c>
      <c r="L181" s="17" t="s">
        <v>3383</v>
      </c>
      <c r="M181" s="8">
        <v>199900</v>
      </c>
      <c r="N181" s="37">
        <f t="shared" si="18"/>
        <v>0.7</v>
      </c>
      <c r="O181" s="36">
        <f t="shared" si="16"/>
        <v>59970</v>
      </c>
      <c r="P181" s="22" t="s">
        <v>16</v>
      </c>
    </row>
    <row r="182" spans="1:16" x14ac:dyDescent="0.35">
      <c r="A182" s="14" t="str">
        <f t="shared" si="17"/>
        <v xml:space="preserve"> 2024 JAN-JUN D70 LICENSE BABY</v>
      </c>
      <c r="B182" s="7">
        <f t="shared" si="19"/>
        <v>46086</v>
      </c>
      <c r="C182" s="7">
        <f t="shared" si="20"/>
        <v>46092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3385</v>
      </c>
      <c r="L182" s="17" t="s">
        <v>3386</v>
      </c>
      <c r="M182" s="8">
        <v>199900</v>
      </c>
      <c r="N182" s="37">
        <f t="shared" si="18"/>
        <v>0.7</v>
      </c>
      <c r="O182" s="36">
        <f t="shared" si="16"/>
        <v>59970</v>
      </c>
      <c r="P182" s="22" t="s">
        <v>16</v>
      </c>
    </row>
    <row r="183" spans="1:16" x14ac:dyDescent="0.35">
      <c r="A183" s="14" t="str">
        <f t="shared" si="17"/>
        <v xml:space="preserve"> 2024 JAN-JUN D70 LICENSE BABY</v>
      </c>
      <c r="B183" s="7">
        <f t="shared" si="19"/>
        <v>46086</v>
      </c>
      <c r="C183" s="7">
        <f t="shared" si="20"/>
        <v>46092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3385</v>
      </c>
      <c r="L183" s="17" t="s">
        <v>3387</v>
      </c>
      <c r="M183" s="8">
        <v>199900</v>
      </c>
      <c r="N183" s="37">
        <f t="shared" si="18"/>
        <v>0.7</v>
      </c>
      <c r="O183" s="36">
        <f t="shared" si="16"/>
        <v>59970</v>
      </c>
      <c r="P183" s="22" t="s">
        <v>16</v>
      </c>
    </row>
    <row r="184" spans="1:16" x14ac:dyDescent="0.35">
      <c r="A184" s="14" t="str">
        <f t="shared" si="17"/>
        <v xml:space="preserve"> 2024 JAN-JUN D70 LICENSE BABY</v>
      </c>
      <c r="B184" s="7">
        <f t="shared" si="19"/>
        <v>46086</v>
      </c>
      <c r="C184" s="7">
        <f t="shared" si="20"/>
        <v>46092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3385</v>
      </c>
      <c r="L184" s="17" t="s">
        <v>3388</v>
      </c>
      <c r="M184" s="8">
        <v>199900</v>
      </c>
      <c r="N184" s="37">
        <f t="shared" si="18"/>
        <v>0.7</v>
      </c>
      <c r="O184" s="36">
        <f t="shared" si="16"/>
        <v>59970</v>
      </c>
      <c r="P184" s="22" t="s">
        <v>16</v>
      </c>
    </row>
    <row r="185" spans="1:16" x14ac:dyDescent="0.35">
      <c r="A185" s="14" t="str">
        <f t="shared" si="17"/>
        <v xml:space="preserve"> 2024 JAN-JUN D70 LICENSE BABY</v>
      </c>
      <c r="B185" s="7">
        <f t="shared" si="19"/>
        <v>46086</v>
      </c>
      <c r="C185" s="7">
        <f t="shared" si="20"/>
        <v>46092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3385</v>
      </c>
      <c r="L185" s="17" t="s">
        <v>3389</v>
      </c>
      <c r="M185" s="8">
        <v>199900</v>
      </c>
      <c r="N185" s="37">
        <f t="shared" si="18"/>
        <v>0.7</v>
      </c>
      <c r="O185" s="36">
        <f t="shared" si="16"/>
        <v>59970</v>
      </c>
      <c r="P185" s="22" t="s">
        <v>16</v>
      </c>
    </row>
    <row r="186" spans="1:16" x14ac:dyDescent="0.35">
      <c r="A186" s="14" t="str">
        <f t="shared" si="17"/>
        <v xml:space="preserve"> 2024 JAN-JUN D70 LICENSE BABY</v>
      </c>
      <c r="B186" s="7">
        <f t="shared" si="19"/>
        <v>46086</v>
      </c>
      <c r="C186" s="7">
        <f t="shared" si="20"/>
        <v>46092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5358</v>
      </c>
      <c r="L186" s="17" t="s">
        <v>5359</v>
      </c>
      <c r="M186" s="8">
        <v>189900</v>
      </c>
      <c r="N186" s="37">
        <f t="shared" si="18"/>
        <v>0.7</v>
      </c>
      <c r="O186" s="36">
        <f t="shared" si="16"/>
        <v>56970</v>
      </c>
      <c r="P186" s="22" t="s">
        <v>16</v>
      </c>
    </row>
    <row r="187" spans="1:16" x14ac:dyDescent="0.35">
      <c r="A187" s="14" t="str">
        <f t="shared" si="17"/>
        <v xml:space="preserve"> 2024 JAN-JUN D70 LICENSE BABY</v>
      </c>
      <c r="B187" s="7">
        <f t="shared" si="19"/>
        <v>46086</v>
      </c>
      <c r="C187" s="7">
        <f t="shared" si="20"/>
        <v>46092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5358</v>
      </c>
      <c r="L187" s="17" t="s">
        <v>5360</v>
      </c>
      <c r="M187" s="8">
        <v>189900</v>
      </c>
      <c r="N187" s="37">
        <f t="shared" si="18"/>
        <v>0.7</v>
      </c>
      <c r="O187" s="36">
        <f t="shared" si="16"/>
        <v>56970</v>
      </c>
      <c r="P187" s="22" t="s">
        <v>16</v>
      </c>
    </row>
    <row r="188" spans="1:16" x14ac:dyDescent="0.35">
      <c r="A188" s="14" t="str">
        <f t="shared" si="17"/>
        <v xml:space="preserve"> 2024 JAN-JUN D70 LICENSE BABY</v>
      </c>
      <c r="B188" s="7">
        <f t="shared" si="19"/>
        <v>46086</v>
      </c>
      <c r="C188" s="7">
        <f t="shared" si="20"/>
        <v>46092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5358</v>
      </c>
      <c r="L188" s="17" t="s">
        <v>5361</v>
      </c>
      <c r="M188" s="8">
        <v>189900</v>
      </c>
      <c r="N188" s="37">
        <f t="shared" si="18"/>
        <v>0.7</v>
      </c>
      <c r="O188" s="36">
        <f t="shared" si="16"/>
        <v>56970</v>
      </c>
      <c r="P188" s="22" t="s">
        <v>16</v>
      </c>
    </row>
    <row r="189" spans="1:16" x14ac:dyDescent="0.35">
      <c r="A189" s="14" t="str">
        <f t="shared" si="17"/>
        <v xml:space="preserve"> 2024 JAN-JUN D70 LICENSE BABY</v>
      </c>
      <c r="B189" s="7">
        <f t="shared" si="19"/>
        <v>46086</v>
      </c>
      <c r="C189" s="7">
        <f t="shared" si="20"/>
        <v>46092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5358</v>
      </c>
      <c r="L189" s="17" t="s">
        <v>5362</v>
      </c>
      <c r="M189" s="8">
        <v>189900</v>
      </c>
      <c r="N189" s="37">
        <f t="shared" si="18"/>
        <v>0.7</v>
      </c>
      <c r="O189" s="36">
        <f t="shared" si="16"/>
        <v>56970</v>
      </c>
      <c r="P189" s="22" t="s">
        <v>16</v>
      </c>
    </row>
    <row r="190" spans="1:16" x14ac:dyDescent="0.35">
      <c r="A190" s="14" t="str">
        <f t="shared" si="17"/>
        <v xml:space="preserve"> 2024 JAN-JUN D70 LICENSE BABY</v>
      </c>
      <c r="B190" s="7">
        <f t="shared" ref="B190:B205" si="21">B189</f>
        <v>46086</v>
      </c>
      <c r="C190" s="7">
        <f t="shared" ref="C190:C205" si="22">C189</f>
        <v>46092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5358</v>
      </c>
      <c r="L190" s="17" t="s">
        <v>5363</v>
      </c>
      <c r="M190" s="8">
        <v>189900</v>
      </c>
      <c r="N190" s="37">
        <f t="shared" si="18"/>
        <v>0.7</v>
      </c>
      <c r="O190" s="36">
        <f t="shared" si="16"/>
        <v>56970</v>
      </c>
      <c r="P190" s="22" t="s">
        <v>16</v>
      </c>
    </row>
    <row r="191" spans="1:16" x14ac:dyDescent="0.35">
      <c r="A191" s="14" t="str">
        <f t="shared" si="17"/>
        <v xml:space="preserve"> 2024 JAN-JUN D70 LICENSE BABY</v>
      </c>
      <c r="B191" s="7">
        <f t="shared" si="21"/>
        <v>46086</v>
      </c>
      <c r="C191" s="7">
        <f t="shared" si="22"/>
        <v>46092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5364</v>
      </c>
      <c r="L191" s="17" t="s">
        <v>5365</v>
      </c>
      <c r="M191" s="8">
        <v>189900</v>
      </c>
      <c r="N191" s="37">
        <f t="shared" si="18"/>
        <v>0.7</v>
      </c>
      <c r="O191" s="36">
        <f t="shared" si="16"/>
        <v>56970</v>
      </c>
      <c r="P191" s="22" t="s">
        <v>16</v>
      </c>
    </row>
    <row r="192" spans="1:16" x14ac:dyDescent="0.35">
      <c r="A192" s="14" t="str">
        <f t="shared" si="17"/>
        <v xml:space="preserve"> 2024 JAN-JUN D70 LICENSE BABY</v>
      </c>
      <c r="B192" s="7">
        <f t="shared" si="21"/>
        <v>46086</v>
      </c>
      <c r="C192" s="7">
        <f t="shared" si="22"/>
        <v>46092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5364</v>
      </c>
      <c r="L192" s="17" t="s">
        <v>5366</v>
      </c>
      <c r="M192" s="8">
        <v>189900</v>
      </c>
      <c r="N192" s="37">
        <f t="shared" si="18"/>
        <v>0.7</v>
      </c>
      <c r="O192" s="36">
        <f t="shared" si="16"/>
        <v>56970</v>
      </c>
      <c r="P192" s="22" t="s">
        <v>16</v>
      </c>
    </row>
    <row r="193" spans="1:16" x14ac:dyDescent="0.35">
      <c r="A193" s="14" t="str">
        <f t="shared" si="17"/>
        <v xml:space="preserve"> 2024 JAN-JUN D70 LICENSE BABY</v>
      </c>
      <c r="B193" s="7">
        <f t="shared" si="21"/>
        <v>46086</v>
      </c>
      <c r="C193" s="7">
        <f t="shared" si="22"/>
        <v>46092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5364</v>
      </c>
      <c r="L193" s="17" t="s">
        <v>5367</v>
      </c>
      <c r="M193" s="8">
        <v>189900</v>
      </c>
      <c r="N193" s="37">
        <f t="shared" si="18"/>
        <v>0.7</v>
      </c>
      <c r="O193" s="36">
        <f t="shared" si="16"/>
        <v>56970</v>
      </c>
      <c r="P193" s="22" t="s">
        <v>16</v>
      </c>
    </row>
    <row r="194" spans="1:16" x14ac:dyDescent="0.35">
      <c r="A194" s="14" t="str">
        <f t="shared" si="17"/>
        <v xml:space="preserve"> 2024 JAN-JUN D70 LICENSE BABY</v>
      </c>
      <c r="B194" s="7">
        <f t="shared" si="21"/>
        <v>46086</v>
      </c>
      <c r="C194" s="7">
        <f t="shared" si="22"/>
        <v>46092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5364</v>
      </c>
      <c r="L194" s="17" t="s">
        <v>5368</v>
      </c>
      <c r="M194" s="8">
        <v>189900</v>
      </c>
      <c r="N194" s="37">
        <f t="shared" si="18"/>
        <v>0.7</v>
      </c>
      <c r="O194" s="36">
        <f t="shared" si="16"/>
        <v>56970</v>
      </c>
      <c r="P194" s="22" t="s">
        <v>16</v>
      </c>
    </row>
    <row r="195" spans="1:16" x14ac:dyDescent="0.35">
      <c r="A195" s="14" t="str">
        <f t="shared" si="17"/>
        <v xml:space="preserve"> 2024 JAN-JUN D70 LICENSE BABY</v>
      </c>
      <c r="B195" s="7">
        <f t="shared" si="21"/>
        <v>46086</v>
      </c>
      <c r="C195" s="7">
        <f t="shared" si="22"/>
        <v>46092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5364</v>
      </c>
      <c r="L195" s="17" t="s">
        <v>5369</v>
      </c>
      <c r="M195" s="8">
        <v>189900</v>
      </c>
      <c r="N195" s="37">
        <f t="shared" si="18"/>
        <v>0.7</v>
      </c>
      <c r="O195" s="36">
        <f t="shared" ref="O195:O205" si="23">M195-((70*M195)/100)</f>
        <v>56970</v>
      </c>
      <c r="P195" s="22" t="s">
        <v>16</v>
      </c>
    </row>
    <row r="196" spans="1:16" x14ac:dyDescent="0.35">
      <c r="A196" s="14" t="str">
        <f t="shared" ref="A196:A205" si="24">A195</f>
        <v xml:space="preserve"> 2024 JAN-JUN D70 LICENSE BABY</v>
      </c>
      <c r="B196" s="7">
        <f t="shared" si="21"/>
        <v>46086</v>
      </c>
      <c r="C196" s="7">
        <f t="shared" si="22"/>
        <v>46092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5370</v>
      </c>
      <c r="L196" s="17" t="s">
        <v>5371</v>
      </c>
      <c r="M196" s="8">
        <v>189900</v>
      </c>
      <c r="N196" s="37">
        <f t="shared" ref="N196:N205" si="25">N195</f>
        <v>0.7</v>
      </c>
      <c r="O196" s="36">
        <f t="shared" si="23"/>
        <v>56970</v>
      </c>
      <c r="P196" s="22" t="s">
        <v>16</v>
      </c>
    </row>
    <row r="197" spans="1:16" x14ac:dyDescent="0.35">
      <c r="A197" s="14" t="str">
        <f t="shared" si="24"/>
        <v xml:space="preserve"> 2024 JAN-JUN D70 LICENSE BABY</v>
      </c>
      <c r="B197" s="7">
        <f t="shared" si="21"/>
        <v>46086</v>
      </c>
      <c r="C197" s="7">
        <f t="shared" si="22"/>
        <v>46092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5370</v>
      </c>
      <c r="L197" s="17" t="s">
        <v>5372</v>
      </c>
      <c r="M197" s="8">
        <v>189900</v>
      </c>
      <c r="N197" s="37">
        <f t="shared" si="25"/>
        <v>0.7</v>
      </c>
      <c r="O197" s="36">
        <f t="shared" si="23"/>
        <v>56970</v>
      </c>
      <c r="P197" s="22" t="s">
        <v>16</v>
      </c>
    </row>
    <row r="198" spans="1:16" x14ac:dyDescent="0.35">
      <c r="A198" s="14" t="str">
        <f t="shared" si="24"/>
        <v xml:space="preserve"> 2024 JAN-JUN D70 LICENSE BABY</v>
      </c>
      <c r="B198" s="7">
        <f t="shared" si="21"/>
        <v>46086</v>
      </c>
      <c r="C198" s="7">
        <f t="shared" si="22"/>
        <v>46092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5370</v>
      </c>
      <c r="L198" s="17" t="s">
        <v>5373</v>
      </c>
      <c r="M198" s="8">
        <v>189900</v>
      </c>
      <c r="N198" s="37">
        <f t="shared" si="25"/>
        <v>0.7</v>
      </c>
      <c r="O198" s="36">
        <f t="shared" si="23"/>
        <v>56970</v>
      </c>
      <c r="P198" s="22" t="s">
        <v>16</v>
      </c>
    </row>
    <row r="199" spans="1:16" x14ac:dyDescent="0.35">
      <c r="A199" s="14" t="str">
        <f t="shared" si="24"/>
        <v xml:space="preserve"> 2024 JAN-JUN D70 LICENSE BABY</v>
      </c>
      <c r="B199" s="7">
        <f t="shared" si="21"/>
        <v>46086</v>
      </c>
      <c r="C199" s="7">
        <f t="shared" si="22"/>
        <v>46092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5370</v>
      </c>
      <c r="L199" s="17" t="s">
        <v>5374</v>
      </c>
      <c r="M199" s="8">
        <v>189900</v>
      </c>
      <c r="N199" s="37">
        <f t="shared" si="25"/>
        <v>0.7</v>
      </c>
      <c r="O199" s="36">
        <f t="shared" si="23"/>
        <v>56970</v>
      </c>
      <c r="P199" s="22" t="s">
        <v>16</v>
      </c>
    </row>
    <row r="200" spans="1:16" x14ac:dyDescent="0.35">
      <c r="A200" s="14" t="str">
        <f t="shared" si="24"/>
        <v xml:space="preserve"> 2024 JAN-JUN D70 LICENSE BABY</v>
      </c>
      <c r="B200" s="7">
        <f t="shared" si="21"/>
        <v>46086</v>
      </c>
      <c r="C200" s="7">
        <f t="shared" si="22"/>
        <v>46092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5370</v>
      </c>
      <c r="L200" s="17" t="s">
        <v>5375</v>
      </c>
      <c r="M200" s="8">
        <v>189900</v>
      </c>
      <c r="N200" s="37">
        <f t="shared" si="25"/>
        <v>0.7</v>
      </c>
      <c r="O200" s="36">
        <f t="shared" si="23"/>
        <v>56970</v>
      </c>
      <c r="P200" s="22" t="s">
        <v>16</v>
      </c>
    </row>
    <row r="201" spans="1:16" x14ac:dyDescent="0.35">
      <c r="A201" s="14" t="str">
        <f t="shared" si="24"/>
        <v xml:space="preserve"> 2024 JAN-JUN D70 LICENSE BABY</v>
      </c>
      <c r="B201" s="7">
        <f t="shared" si="21"/>
        <v>46086</v>
      </c>
      <c r="C201" s="7">
        <f t="shared" si="22"/>
        <v>46092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5376</v>
      </c>
      <c r="L201" s="17" t="s">
        <v>5377</v>
      </c>
      <c r="M201" s="8">
        <v>219900</v>
      </c>
      <c r="N201" s="37">
        <f t="shared" si="25"/>
        <v>0.7</v>
      </c>
      <c r="O201" s="36">
        <f t="shared" si="23"/>
        <v>65970</v>
      </c>
      <c r="P201" s="22" t="s">
        <v>16</v>
      </c>
    </row>
    <row r="202" spans="1:16" x14ac:dyDescent="0.35">
      <c r="A202" s="14" t="str">
        <f t="shared" si="24"/>
        <v xml:space="preserve"> 2024 JAN-JUN D70 LICENSE BABY</v>
      </c>
      <c r="B202" s="7">
        <f t="shared" si="21"/>
        <v>46086</v>
      </c>
      <c r="C202" s="7">
        <f t="shared" si="22"/>
        <v>46092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5376</v>
      </c>
      <c r="L202" s="17" t="s">
        <v>5378</v>
      </c>
      <c r="M202" s="8">
        <v>219900</v>
      </c>
      <c r="N202" s="37">
        <f t="shared" si="25"/>
        <v>0.7</v>
      </c>
      <c r="O202" s="36">
        <f t="shared" si="23"/>
        <v>65970</v>
      </c>
      <c r="P202" s="22" t="s">
        <v>16</v>
      </c>
    </row>
    <row r="203" spans="1:16" x14ac:dyDescent="0.35">
      <c r="A203" s="14" t="str">
        <f t="shared" si="24"/>
        <v xml:space="preserve"> 2024 JAN-JUN D70 LICENSE BABY</v>
      </c>
      <c r="B203" s="7">
        <f t="shared" si="21"/>
        <v>46086</v>
      </c>
      <c r="C203" s="7">
        <f t="shared" si="22"/>
        <v>46092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5376</v>
      </c>
      <c r="L203" s="17" t="s">
        <v>5379</v>
      </c>
      <c r="M203" s="8">
        <v>219900</v>
      </c>
      <c r="N203" s="37">
        <f t="shared" si="25"/>
        <v>0.7</v>
      </c>
      <c r="O203" s="36">
        <f t="shared" si="23"/>
        <v>65970</v>
      </c>
      <c r="P203" s="22" t="s">
        <v>16</v>
      </c>
    </row>
    <row r="204" spans="1:16" x14ac:dyDescent="0.35">
      <c r="A204" s="14" t="str">
        <f t="shared" si="24"/>
        <v xml:space="preserve"> 2024 JAN-JUN D70 LICENSE BABY</v>
      </c>
      <c r="B204" s="7">
        <f t="shared" si="21"/>
        <v>46086</v>
      </c>
      <c r="C204" s="7">
        <f t="shared" si="22"/>
        <v>46092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5376</v>
      </c>
      <c r="L204" s="17" t="s">
        <v>5380</v>
      </c>
      <c r="M204" s="8">
        <v>219900</v>
      </c>
      <c r="N204" s="37">
        <f t="shared" si="25"/>
        <v>0.7</v>
      </c>
      <c r="O204" s="36">
        <f t="shared" si="23"/>
        <v>65970</v>
      </c>
      <c r="P204" s="22" t="s">
        <v>16</v>
      </c>
    </row>
    <row r="205" spans="1:16" x14ac:dyDescent="0.35">
      <c r="A205" s="14" t="str">
        <f t="shared" si="24"/>
        <v xml:space="preserve"> 2024 JAN-JUN D70 LICENSE BABY</v>
      </c>
      <c r="B205" s="7">
        <f t="shared" si="21"/>
        <v>46086</v>
      </c>
      <c r="C205" s="7">
        <f t="shared" si="22"/>
        <v>46092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5376</v>
      </c>
      <c r="L205" s="17" t="s">
        <v>5381</v>
      </c>
      <c r="M205" s="8">
        <v>219900</v>
      </c>
      <c r="N205" s="37">
        <f t="shared" si="25"/>
        <v>0.7</v>
      </c>
      <c r="O205" s="36">
        <f t="shared" si="23"/>
        <v>65970</v>
      </c>
      <c r="P205" s="22" t="s">
        <v>16</v>
      </c>
    </row>
  </sheetData>
  <autoFilter ref="A1:P1" xr:uid="{00000000-0009-0000-0000-000011000000}"/>
  <phoneticPr fontId="8" type="noConversion"/>
  <conditionalFormatting sqref="J1:J1048576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14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6644</v>
      </c>
      <c r="B2" s="7">
        <f>'2025 HILITE D80 - 3321'!B2</f>
        <v>46086</v>
      </c>
      <c r="C2" s="7">
        <f>'2025 HILITE D80 - 3321'!C2</f>
        <v>46092</v>
      </c>
      <c r="D2" s="6">
        <v>3284</v>
      </c>
      <c r="E2" s="6">
        <v>338</v>
      </c>
      <c r="F2" s="6">
        <v>4</v>
      </c>
      <c r="G2" s="34">
        <v>1</v>
      </c>
      <c r="H2" s="34">
        <v>81421</v>
      </c>
      <c r="I2" s="34" t="s">
        <v>17</v>
      </c>
      <c r="J2" s="24">
        <v>79694570</v>
      </c>
      <c r="K2" s="24" t="s">
        <v>1191</v>
      </c>
      <c r="L2" s="24" t="s">
        <v>1192</v>
      </c>
      <c r="M2" s="43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6644</v>
      </c>
      <c r="B3" s="7">
        <f>B2</f>
        <v>46086</v>
      </c>
      <c r="C3" s="7">
        <f>C2</f>
        <v>46092</v>
      </c>
      <c r="D3" s="6">
        <v>3284</v>
      </c>
      <c r="E3" s="6">
        <v>338</v>
      </c>
      <c r="F3" s="6">
        <v>4</v>
      </c>
      <c r="G3" s="34">
        <v>1</v>
      </c>
      <c r="H3" s="34">
        <v>81421</v>
      </c>
      <c r="I3" s="34" t="s">
        <v>17</v>
      </c>
      <c r="J3" s="24">
        <v>73515854</v>
      </c>
      <c r="K3" s="24" t="s">
        <v>1159</v>
      </c>
      <c r="L3" s="24" t="s">
        <v>1160</v>
      </c>
      <c r="M3" s="43">
        <v>79900</v>
      </c>
      <c r="N3" s="37">
        <v>0.9</v>
      </c>
      <c r="O3" s="36">
        <f>M3-((90*M3)/100)</f>
        <v>7990</v>
      </c>
      <c r="P3" s="6" t="s">
        <v>16</v>
      </c>
    </row>
    <row r="4" spans="1:16" x14ac:dyDescent="0.35">
      <c r="A4" s="34" t="s">
        <v>6644</v>
      </c>
      <c r="B4" s="7">
        <f t="shared" ref="B4:B67" si="0">B3</f>
        <v>46086</v>
      </c>
      <c r="C4" s="7">
        <f t="shared" ref="C4:C67" si="1">C3</f>
        <v>46092</v>
      </c>
      <c r="D4" s="6">
        <v>3284</v>
      </c>
      <c r="E4" s="6">
        <v>338</v>
      </c>
      <c r="F4" s="6">
        <v>4</v>
      </c>
      <c r="G4" s="34">
        <v>1</v>
      </c>
      <c r="H4" s="34">
        <v>190</v>
      </c>
      <c r="I4" s="34" t="s">
        <v>17</v>
      </c>
      <c r="J4" s="24">
        <v>84324469</v>
      </c>
      <c r="K4" s="24" t="s">
        <v>1137</v>
      </c>
      <c r="L4" s="24" t="s">
        <v>1138</v>
      </c>
      <c r="M4" s="43">
        <v>139900</v>
      </c>
      <c r="N4" s="37">
        <v>0.9</v>
      </c>
      <c r="O4" s="36">
        <f t="shared" ref="O4:O67" si="2">M4-((90*M4)/100)</f>
        <v>13990</v>
      </c>
      <c r="P4" s="6" t="s">
        <v>16</v>
      </c>
    </row>
    <row r="5" spans="1:16" x14ac:dyDescent="0.35">
      <c r="A5" s="34" t="s">
        <v>6644</v>
      </c>
      <c r="B5" s="7">
        <f t="shared" si="0"/>
        <v>46086</v>
      </c>
      <c r="C5" s="7">
        <f t="shared" si="1"/>
        <v>46092</v>
      </c>
      <c r="D5" s="6">
        <v>3284</v>
      </c>
      <c r="E5" s="6">
        <v>338</v>
      </c>
      <c r="F5" s="6">
        <v>4</v>
      </c>
      <c r="G5" s="34">
        <v>1</v>
      </c>
      <c r="H5" s="34">
        <v>190</v>
      </c>
      <c r="I5" s="34" t="s">
        <v>17</v>
      </c>
      <c r="J5" s="24">
        <v>84324487</v>
      </c>
      <c r="K5" s="24" t="s">
        <v>1137</v>
      </c>
      <c r="L5" s="24" t="s">
        <v>1139</v>
      </c>
      <c r="M5" s="43">
        <v>139900</v>
      </c>
      <c r="N5" s="37">
        <v>0.9</v>
      </c>
      <c r="O5" s="36">
        <f t="shared" si="2"/>
        <v>13990</v>
      </c>
      <c r="P5" s="6" t="s">
        <v>16</v>
      </c>
    </row>
    <row r="6" spans="1:16" x14ac:dyDescent="0.35">
      <c r="A6" s="34" t="s">
        <v>6644</v>
      </c>
      <c r="B6" s="7">
        <f t="shared" si="0"/>
        <v>46086</v>
      </c>
      <c r="C6" s="7">
        <f t="shared" si="1"/>
        <v>46092</v>
      </c>
      <c r="D6" s="6">
        <v>3284</v>
      </c>
      <c r="E6" s="6">
        <v>338</v>
      </c>
      <c r="F6" s="6">
        <v>4</v>
      </c>
      <c r="G6" s="34">
        <v>1</v>
      </c>
      <c r="H6" s="34">
        <v>190</v>
      </c>
      <c r="I6" s="34" t="s">
        <v>17</v>
      </c>
      <c r="J6" s="24">
        <v>84324496</v>
      </c>
      <c r="K6" s="24" t="s">
        <v>1137</v>
      </c>
      <c r="L6" s="24" t="s">
        <v>1140</v>
      </c>
      <c r="M6" s="43">
        <v>139900</v>
      </c>
      <c r="N6" s="37">
        <v>0.9</v>
      </c>
      <c r="O6" s="36">
        <f t="shared" si="2"/>
        <v>13990</v>
      </c>
      <c r="P6" s="6" t="s">
        <v>16</v>
      </c>
    </row>
    <row r="7" spans="1:16" x14ac:dyDescent="0.35">
      <c r="A7" s="34" t="s">
        <v>6644</v>
      </c>
      <c r="B7" s="7">
        <f t="shared" si="0"/>
        <v>46086</v>
      </c>
      <c r="C7" s="7">
        <f t="shared" si="1"/>
        <v>46092</v>
      </c>
      <c r="D7" s="6">
        <v>3284</v>
      </c>
      <c r="E7" s="6">
        <v>338</v>
      </c>
      <c r="F7" s="6">
        <v>4</v>
      </c>
      <c r="G7" s="34">
        <v>1</v>
      </c>
      <c r="H7" s="34">
        <v>80920</v>
      </c>
      <c r="I7" s="34" t="s">
        <v>17</v>
      </c>
      <c r="J7" s="24">
        <v>79584608</v>
      </c>
      <c r="K7" s="24" t="s">
        <v>1189</v>
      </c>
      <c r="L7" s="24" t="s">
        <v>1190</v>
      </c>
      <c r="M7" s="43">
        <v>129900</v>
      </c>
      <c r="N7" s="37">
        <v>0.9</v>
      </c>
      <c r="O7" s="36">
        <f t="shared" si="2"/>
        <v>12990</v>
      </c>
      <c r="P7" s="6" t="s">
        <v>16</v>
      </c>
    </row>
    <row r="8" spans="1:16" x14ac:dyDescent="0.35">
      <c r="A8" s="34" t="s">
        <v>6644</v>
      </c>
      <c r="B8" s="7">
        <f t="shared" si="0"/>
        <v>46086</v>
      </c>
      <c r="C8" s="7">
        <f t="shared" si="1"/>
        <v>46092</v>
      </c>
      <c r="D8" s="6">
        <v>3284</v>
      </c>
      <c r="E8" s="6">
        <v>338</v>
      </c>
      <c r="F8" s="6">
        <v>4</v>
      </c>
      <c r="G8" s="34">
        <v>1</v>
      </c>
      <c r="H8" s="34">
        <v>80920</v>
      </c>
      <c r="I8" s="34" t="s">
        <v>17</v>
      </c>
      <c r="J8" s="24">
        <v>79694516</v>
      </c>
      <c r="K8" s="24" t="s">
        <v>1246</v>
      </c>
      <c r="L8" s="24" t="s">
        <v>1247</v>
      </c>
      <c r="M8" s="43">
        <v>129900</v>
      </c>
      <c r="N8" s="37">
        <v>0.9</v>
      </c>
      <c r="O8" s="36">
        <f t="shared" si="2"/>
        <v>12990</v>
      </c>
      <c r="P8" s="6" t="s">
        <v>16</v>
      </c>
    </row>
    <row r="9" spans="1:16" x14ac:dyDescent="0.35">
      <c r="A9" s="34" t="s">
        <v>6644</v>
      </c>
      <c r="B9" s="7">
        <f t="shared" si="0"/>
        <v>46086</v>
      </c>
      <c r="C9" s="7">
        <f t="shared" si="1"/>
        <v>46092</v>
      </c>
      <c r="D9" s="6">
        <v>3284</v>
      </c>
      <c r="E9" s="6">
        <v>338</v>
      </c>
      <c r="F9" s="6">
        <v>4</v>
      </c>
      <c r="G9" s="34">
        <v>1</v>
      </c>
      <c r="H9" s="34">
        <v>81676</v>
      </c>
      <c r="I9" s="34" t="s">
        <v>17</v>
      </c>
      <c r="J9" s="24">
        <v>79758359</v>
      </c>
      <c r="K9" s="24" t="s">
        <v>1161</v>
      </c>
      <c r="L9" s="24" t="s">
        <v>1162</v>
      </c>
      <c r="M9" s="43">
        <v>79900</v>
      </c>
      <c r="N9" s="37">
        <v>0.9</v>
      </c>
      <c r="O9" s="36">
        <f t="shared" si="2"/>
        <v>7990</v>
      </c>
      <c r="P9" s="6" t="s">
        <v>16</v>
      </c>
    </row>
    <row r="10" spans="1:16" x14ac:dyDescent="0.35">
      <c r="A10" s="34" t="s">
        <v>6644</v>
      </c>
      <c r="B10" s="7">
        <f t="shared" si="0"/>
        <v>46086</v>
      </c>
      <c r="C10" s="7">
        <f t="shared" si="1"/>
        <v>46092</v>
      </c>
      <c r="D10" s="6">
        <v>3284</v>
      </c>
      <c r="E10" s="6">
        <v>338</v>
      </c>
      <c r="F10" s="6">
        <v>4</v>
      </c>
      <c r="G10" s="34">
        <v>1</v>
      </c>
      <c r="H10" s="34">
        <v>81676</v>
      </c>
      <c r="I10" s="34" t="s">
        <v>17</v>
      </c>
      <c r="J10" s="24">
        <v>79758368</v>
      </c>
      <c r="K10" s="24" t="s">
        <v>1161</v>
      </c>
      <c r="L10" s="24" t="s">
        <v>1163</v>
      </c>
      <c r="M10" s="43">
        <v>79900</v>
      </c>
      <c r="N10" s="37">
        <v>0.9</v>
      </c>
      <c r="O10" s="36">
        <f t="shared" si="2"/>
        <v>7990</v>
      </c>
      <c r="P10" s="6" t="s">
        <v>16</v>
      </c>
    </row>
    <row r="11" spans="1:16" x14ac:dyDescent="0.35">
      <c r="A11" s="34" t="s">
        <v>6644</v>
      </c>
      <c r="B11" s="7">
        <f t="shared" si="0"/>
        <v>46086</v>
      </c>
      <c r="C11" s="7">
        <f t="shared" si="1"/>
        <v>46092</v>
      </c>
      <c r="D11" s="6">
        <v>3284</v>
      </c>
      <c r="E11" s="6">
        <v>338</v>
      </c>
      <c r="F11" s="6">
        <v>4</v>
      </c>
      <c r="G11" s="34">
        <v>1</v>
      </c>
      <c r="H11" s="34">
        <v>81676</v>
      </c>
      <c r="I11" s="34" t="s">
        <v>17</v>
      </c>
      <c r="J11" s="24">
        <v>81270531</v>
      </c>
      <c r="K11" s="24" t="s">
        <v>1248</v>
      </c>
      <c r="L11" s="24" t="s">
        <v>1249</v>
      </c>
      <c r="M11" s="43">
        <v>89900</v>
      </c>
      <c r="N11" s="37">
        <v>0.9</v>
      </c>
      <c r="O11" s="36">
        <f t="shared" si="2"/>
        <v>8990</v>
      </c>
      <c r="P11" s="6" t="s">
        <v>16</v>
      </c>
    </row>
    <row r="12" spans="1:16" x14ac:dyDescent="0.35">
      <c r="A12" s="34" t="s">
        <v>6644</v>
      </c>
      <c r="B12" s="7">
        <f t="shared" si="0"/>
        <v>46086</v>
      </c>
      <c r="C12" s="7">
        <f t="shared" si="1"/>
        <v>46092</v>
      </c>
      <c r="D12" s="6">
        <v>3284</v>
      </c>
      <c r="E12" s="6">
        <v>338</v>
      </c>
      <c r="F12" s="6">
        <v>4</v>
      </c>
      <c r="G12" s="34">
        <v>1</v>
      </c>
      <c r="H12" s="34">
        <v>81676</v>
      </c>
      <c r="I12" s="34" t="s">
        <v>17</v>
      </c>
      <c r="J12" s="24">
        <v>81270540</v>
      </c>
      <c r="K12" s="24" t="s">
        <v>1248</v>
      </c>
      <c r="L12" s="24" t="s">
        <v>1250</v>
      </c>
      <c r="M12" s="43">
        <v>89900</v>
      </c>
      <c r="N12" s="37">
        <v>0.9</v>
      </c>
      <c r="O12" s="36">
        <f t="shared" si="2"/>
        <v>8990</v>
      </c>
      <c r="P12" s="6" t="s">
        <v>16</v>
      </c>
    </row>
    <row r="13" spans="1:16" x14ac:dyDescent="0.35">
      <c r="A13" s="34" t="s">
        <v>6644</v>
      </c>
      <c r="B13" s="7">
        <f t="shared" si="0"/>
        <v>46086</v>
      </c>
      <c r="C13" s="7">
        <f t="shared" si="1"/>
        <v>46092</v>
      </c>
      <c r="D13" s="6">
        <v>3284</v>
      </c>
      <c r="E13" s="6">
        <v>338</v>
      </c>
      <c r="F13" s="6">
        <v>4</v>
      </c>
      <c r="G13" s="34">
        <v>1</v>
      </c>
      <c r="H13" s="34">
        <v>81676</v>
      </c>
      <c r="I13" s="34" t="s">
        <v>17</v>
      </c>
      <c r="J13" s="24">
        <v>81270559</v>
      </c>
      <c r="K13" s="24" t="s">
        <v>1248</v>
      </c>
      <c r="L13" s="24" t="s">
        <v>1251</v>
      </c>
      <c r="M13" s="43">
        <v>89900</v>
      </c>
      <c r="N13" s="37">
        <v>0.9</v>
      </c>
      <c r="O13" s="36">
        <f t="shared" si="2"/>
        <v>8990</v>
      </c>
      <c r="P13" s="6" t="s">
        <v>16</v>
      </c>
    </row>
    <row r="14" spans="1:16" x14ac:dyDescent="0.35">
      <c r="A14" s="34" t="s">
        <v>6644</v>
      </c>
      <c r="B14" s="7">
        <f t="shared" si="0"/>
        <v>46086</v>
      </c>
      <c r="C14" s="7">
        <f t="shared" si="1"/>
        <v>46092</v>
      </c>
      <c r="D14" s="6">
        <v>3284</v>
      </c>
      <c r="E14" s="6">
        <v>338</v>
      </c>
      <c r="F14" s="6">
        <v>4</v>
      </c>
      <c r="G14" s="34">
        <v>1</v>
      </c>
      <c r="H14" s="34">
        <v>81676</v>
      </c>
      <c r="I14" s="34" t="s">
        <v>17</v>
      </c>
      <c r="J14" s="24">
        <v>81270568</v>
      </c>
      <c r="K14" s="24" t="s">
        <v>1248</v>
      </c>
      <c r="L14" s="24" t="s">
        <v>1252</v>
      </c>
      <c r="M14" s="43">
        <v>89900</v>
      </c>
      <c r="N14" s="37">
        <v>0.9</v>
      </c>
      <c r="O14" s="36">
        <f t="shared" si="2"/>
        <v>8990</v>
      </c>
      <c r="P14" s="6" t="s">
        <v>16</v>
      </c>
    </row>
    <row r="15" spans="1:16" x14ac:dyDescent="0.35">
      <c r="A15" s="34" t="s">
        <v>6644</v>
      </c>
      <c r="B15" s="7">
        <f t="shared" si="0"/>
        <v>46086</v>
      </c>
      <c r="C15" s="7">
        <f t="shared" si="1"/>
        <v>46092</v>
      </c>
      <c r="D15" s="6">
        <v>3284</v>
      </c>
      <c r="E15" s="6">
        <v>338</v>
      </c>
      <c r="F15" s="6">
        <v>4</v>
      </c>
      <c r="G15" s="34">
        <v>1</v>
      </c>
      <c r="H15" s="34">
        <v>81676</v>
      </c>
      <c r="I15" s="34" t="s">
        <v>17</v>
      </c>
      <c r="J15" s="24">
        <v>81840737</v>
      </c>
      <c r="K15" s="24" t="s">
        <v>2734</v>
      </c>
      <c r="L15" s="24" t="s">
        <v>2736</v>
      </c>
      <c r="M15" s="43">
        <v>89900</v>
      </c>
      <c r="N15" s="37">
        <v>0.9</v>
      </c>
      <c r="O15" s="36">
        <f t="shared" si="2"/>
        <v>8990</v>
      </c>
      <c r="P15" s="6" t="s">
        <v>16</v>
      </c>
    </row>
    <row r="16" spans="1:16" x14ac:dyDescent="0.35">
      <c r="A16" s="34" t="s">
        <v>6644</v>
      </c>
      <c r="B16" s="7">
        <f t="shared" si="0"/>
        <v>46086</v>
      </c>
      <c r="C16" s="7">
        <f t="shared" si="1"/>
        <v>46092</v>
      </c>
      <c r="D16" s="6">
        <v>3284</v>
      </c>
      <c r="E16" s="6">
        <v>338</v>
      </c>
      <c r="F16" s="6">
        <v>4</v>
      </c>
      <c r="G16" s="34">
        <v>1</v>
      </c>
      <c r="H16" s="34">
        <v>81676</v>
      </c>
      <c r="I16" s="34" t="s">
        <v>17</v>
      </c>
      <c r="J16" s="24">
        <v>81840746</v>
      </c>
      <c r="K16" s="24" t="s">
        <v>2734</v>
      </c>
      <c r="L16" s="24" t="s">
        <v>2735</v>
      </c>
      <c r="M16" s="43">
        <v>89900</v>
      </c>
      <c r="N16" s="37">
        <v>0.9</v>
      </c>
      <c r="O16" s="36">
        <f t="shared" si="2"/>
        <v>8990</v>
      </c>
      <c r="P16" s="6" t="s">
        <v>16</v>
      </c>
    </row>
    <row r="17" spans="1:16" x14ac:dyDescent="0.35">
      <c r="A17" s="34" t="s">
        <v>6644</v>
      </c>
      <c r="B17" s="7">
        <f t="shared" si="0"/>
        <v>46086</v>
      </c>
      <c r="C17" s="7">
        <f t="shared" si="1"/>
        <v>46092</v>
      </c>
      <c r="D17" s="6">
        <v>3284</v>
      </c>
      <c r="E17" s="6">
        <v>338</v>
      </c>
      <c r="F17" s="6">
        <v>4</v>
      </c>
      <c r="G17" s="34">
        <v>1</v>
      </c>
      <c r="H17" s="34">
        <v>81676</v>
      </c>
      <c r="I17" s="34" t="s">
        <v>17</v>
      </c>
      <c r="J17" s="24">
        <v>81840791</v>
      </c>
      <c r="K17" s="24" t="s">
        <v>2733</v>
      </c>
      <c r="L17" s="24" t="s">
        <v>2732</v>
      </c>
      <c r="M17" s="43">
        <v>199900</v>
      </c>
      <c r="N17" s="37">
        <v>0.9</v>
      </c>
      <c r="O17" s="36">
        <f t="shared" si="2"/>
        <v>19990</v>
      </c>
      <c r="P17" s="6" t="s">
        <v>16</v>
      </c>
    </row>
    <row r="18" spans="1:16" x14ac:dyDescent="0.35">
      <c r="A18" s="34" t="s">
        <v>6644</v>
      </c>
      <c r="B18" s="7">
        <f t="shared" si="0"/>
        <v>46086</v>
      </c>
      <c r="C18" s="7">
        <f t="shared" si="1"/>
        <v>46092</v>
      </c>
      <c r="D18" s="6">
        <v>3284</v>
      </c>
      <c r="E18" s="6">
        <v>338</v>
      </c>
      <c r="F18" s="6">
        <v>4</v>
      </c>
      <c r="G18" s="34">
        <v>1</v>
      </c>
      <c r="H18" s="34">
        <v>81574</v>
      </c>
      <c r="I18" s="34" t="s">
        <v>17</v>
      </c>
      <c r="J18" s="24">
        <v>79584224</v>
      </c>
      <c r="K18" s="24" t="s">
        <v>1187</v>
      </c>
      <c r="L18" s="24" t="s">
        <v>1188</v>
      </c>
      <c r="M18" s="43">
        <v>79900</v>
      </c>
      <c r="N18" s="37">
        <v>0.9</v>
      </c>
      <c r="O18" s="36">
        <f t="shared" si="2"/>
        <v>7990</v>
      </c>
      <c r="P18" s="6" t="s">
        <v>16</v>
      </c>
    </row>
    <row r="19" spans="1:16" x14ac:dyDescent="0.35">
      <c r="A19" s="34" t="s">
        <v>6644</v>
      </c>
      <c r="B19" s="7">
        <f t="shared" si="0"/>
        <v>46086</v>
      </c>
      <c r="C19" s="7">
        <f t="shared" si="1"/>
        <v>46092</v>
      </c>
      <c r="D19" s="6">
        <v>3284</v>
      </c>
      <c r="E19" s="6">
        <v>338</v>
      </c>
      <c r="F19" s="6">
        <v>4</v>
      </c>
      <c r="G19" s="34">
        <v>2</v>
      </c>
      <c r="H19" s="34">
        <v>81421</v>
      </c>
      <c r="I19" s="34" t="s">
        <v>17</v>
      </c>
      <c r="J19" s="24">
        <v>79584313</v>
      </c>
      <c r="K19" s="24" t="s">
        <v>1193</v>
      </c>
      <c r="L19" s="24" t="s">
        <v>1194</v>
      </c>
      <c r="M19" s="43">
        <v>139900</v>
      </c>
      <c r="N19" s="37">
        <v>0.9</v>
      </c>
      <c r="O19" s="36">
        <f t="shared" si="2"/>
        <v>13990</v>
      </c>
      <c r="P19" s="6" t="s">
        <v>16</v>
      </c>
    </row>
    <row r="20" spans="1:16" x14ac:dyDescent="0.35">
      <c r="A20" s="34" t="s">
        <v>6644</v>
      </c>
      <c r="B20" s="7">
        <f t="shared" si="0"/>
        <v>46086</v>
      </c>
      <c r="C20" s="7">
        <f t="shared" si="1"/>
        <v>46092</v>
      </c>
      <c r="D20" s="6">
        <v>3284</v>
      </c>
      <c r="E20" s="6">
        <v>338</v>
      </c>
      <c r="F20" s="6">
        <v>4</v>
      </c>
      <c r="G20" s="34">
        <v>2</v>
      </c>
      <c r="H20" s="34">
        <v>81421</v>
      </c>
      <c r="I20" s="34" t="s">
        <v>17</v>
      </c>
      <c r="J20" s="24">
        <v>79584331</v>
      </c>
      <c r="K20" s="24" t="s">
        <v>1193</v>
      </c>
      <c r="L20" s="24" t="s">
        <v>1195</v>
      </c>
      <c r="M20" s="43">
        <v>139900</v>
      </c>
      <c r="N20" s="37">
        <v>0.9</v>
      </c>
      <c r="O20" s="36">
        <f t="shared" si="2"/>
        <v>13990</v>
      </c>
      <c r="P20" s="6" t="s">
        <v>16</v>
      </c>
    </row>
    <row r="21" spans="1:16" x14ac:dyDescent="0.35">
      <c r="A21" s="34" t="s">
        <v>6644</v>
      </c>
      <c r="B21" s="7">
        <f t="shared" si="0"/>
        <v>46086</v>
      </c>
      <c r="C21" s="7">
        <f t="shared" si="1"/>
        <v>46092</v>
      </c>
      <c r="D21" s="6">
        <v>3284</v>
      </c>
      <c r="E21" s="6">
        <v>338</v>
      </c>
      <c r="F21" s="6">
        <v>4</v>
      </c>
      <c r="G21" s="34">
        <v>2</v>
      </c>
      <c r="H21" s="34">
        <v>81421</v>
      </c>
      <c r="I21" s="34" t="s">
        <v>17</v>
      </c>
      <c r="J21" s="24">
        <v>79584340</v>
      </c>
      <c r="K21" s="24" t="s">
        <v>1193</v>
      </c>
      <c r="L21" s="24" t="s">
        <v>1196</v>
      </c>
      <c r="M21" s="43">
        <v>139900</v>
      </c>
      <c r="N21" s="37">
        <v>0.9</v>
      </c>
      <c r="O21" s="36">
        <f t="shared" si="2"/>
        <v>13990</v>
      </c>
      <c r="P21" s="6" t="s">
        <v>16</v>
      </c>
    </row>
    <row r="22" spans="1:16" x14ac:dyDescent="0.35">
      <c r="A22" s="34" t="s">
        <v>6644</v>
      </c>
      <c r="B22" s="7">
        <f t="shared" si="0"/>
        <v>46086</v>
      </c>
      <c r="C22" s="7">
        <f t="shared" si="1"/>
        <v>46092</v>
      </c>
      <c r="D22" s="6">
        <v>3284</v>
      </c>
      <c r="E22" s="6">
        <v>338</v>
      </c>
      <c r="F22" s="6">
        <v>4</v>
      </c>
      <c r="G22" s="34">
        <v>2</v>
      </c>
      <c r="H22" s="34">
        <v>190</v>
      </c>
      <c r="I22" s="34" t="s">
        <v>17</v>
      </c>
      <c r="J22" s="24">
        <v>84324503</v>
      </c>
      <c r="K22" s="24" t="s">
        <v>1141</v>
      </c>
      <c r="L22" s="24" t="s">
        <v>1142</v>
      </c>
      <c r="M22" s="43">
        <v>139900</v>
      </c>
      <c r="N22" s="37">
        <v>0.9</v>
      </c>
      <c r="O22" s="36">
        <f t="shared" si="2"/>
        <v>13990</v>
      </c>
      <c r="P22" s="6" t="s">
        <v>16</v>
      </c>
    </row>
    <row r="23" spans="1:16" x14ac:dyDescent="0.35">
      <c r="A23" s="34" t="s">
        <v>6644</v>
      </c>
      <c r="B23" s="7">
        <f t="shared" si="0"/>
        <v>46086</v>
      </c>
      <c r="C23" s="7">
        <f t="shared" si="1"/>
        <v>46092</v>
      </c>
      <c r="D23" s="6">
        <v>3284</v>
      </c>
      <c r="E23" s="6">
        <v>338</v>
      </c>
      <c r="F23" s="6">
        <v>4</v>
      </c>
      <c r="G23" s="34">
        <v>2</v>
      </c>
      <c r="H23" s="34">
        <v>190</v>
      </c>
      <c r="I23" s="34" t="s">
        <v>17</v>
      </c>
      <c r="J23" s="24">
        <v>84324512</v>
      </c>
      <c r="K23" s="24" t="s">
        <v>1141</v>
      </c>
      <c r="L23" s="24" t="s">
        <v>1143</v>
      </c>
      <c r="M23" s="43">
        <v>139900</v>
      </c>
      <c r="N23" s="37">
        <v>0.9</v>
      </c>
      <c r="O23" s="36">
        <f t="shared" si="2"/>
        <v>13990</v>
      </c>
      <c r="P23" s="6" t="s">
        <v>16</v>
      </c>
    </row>
    <row r="24" spans="1:16" x14ac:dyDescent="0.35">
      <c r="A24" s="34" t="s">
        <v>6644</v>
      </c>
      <c r="B24" s="7">
        <f t="shared" si="0"/>
        <v>46086</v>
      </c>
      <c r="C24" s="7">
        <f t="shared" si="1"/>
        <v>46092</v>
      </c>
      <c r="D24" s="6">
        <v>3284</v>
      </c>
      <c r="E24" s="6">
        <v>338</v>
      </c>
      <c r="F24" s="6">
        <v>4</v>
      </c>
      <c r="G24" s="34">
        <v>2</v>
      </c>
      <c r="H24" s="34">
        <v>190</v>
      </c>
      <c r="I24" s="34" t="s">
        <v>17</v>
      </c>
      <c r="J24" s="24">
        <v>84324521</v>
      </c>
      <c r="K24" s="24" t="s">
        <v>1141</v>
      </c>
      <c r="L24" s="24" t="s">
        <v>1144</v>
      </c>
      <c r="M24" s="43">
        <v>139900</v>
      </c>
      <c r="N24" s="37">
        <v>0.9</v>
      </c>
      <c r="O24" s="36">
        <f t="shared" si="2"/>
        <v>13990</v>
      </c>
      <c r="P24" s="6" t="s">
        <v>16</v>
      </c>
    </row>
    <row r="25" spans="1:16" x14ac:dyDescent="0.35">
      <c r="A25" s="34" t="s">
        <v>6644</v>
      </c>
      <c r="B25" s="7">
        <f t="shared" si="0"/>
        <v>46086</v>
      </c>
      <c r="C25" s="7">
        <f t="shared" si="1"/>
        <v>46092</v>
      </c>
      <c r="D25" s="6">
        <v>3284</v>
      </c>
      <c r="E25" s="6">
        <v>338</v>
      </c>
      <c r="F25" s="6">
        <v>4</v>
      </c>
      <c r="G25" s="34">
        <v>2</v>
      </c>
      <c r="H25" s="34">
        <v>190</v>
      </c>
      <c r="I25" s="34" t="s">
        <v>17</v>
      </c>
      <c r="J25" s="24">
        <v>84324530</v>
      </c>
      <c r="K25" s="24" t="s">
        <v>1141</v>
      </c>
      <c r="L25" s="24" t="s">
        <v>1145</v>
      </c>
      <c r="M25" s="43">
        <v>139900</v>
      </c>
      <c r="N25" s="37">
        <v>0.9</v>
      </c>
      <c r="O25" s="36">
        <f t="shared" si="2"/>
        <v>13990</v>
      </c>
      <c r="P25" s="6" t="s">
        <v>16</v>
      </c>
    </row>
    <row r="26" spans="1:16" x14ac:dyDescent="0.35">
      <c r="A26" s="34" t="s">
        <v>6644</v>
      </c>
      <c r="B26" s="7">
        <f t="shared" si="0"/>
        <v>46086</v>
      </c>
      <c r="C26" s="7">
        <f t="shared" si="1"/>
        <v>46092</v>
      </c>
      <c r="D26" s="6">
        <v>3284</v>
      </c>
      <c r="E26" s="6">
        <v>338</v>
      </c>
      <c r="F26" s="6">
        <v>4</v>
      </c>
      <c r="G26" s="34">
        <v>2</v>
      </c>
      <c r="H26" s="34">
        <v>81676</v>
      </c>
      <c r="I26" s="34" t="s">
        <v>17</v>
      </c>
      <c r="J26" s="24">
        <v>79758420</v>
      </c>
      <c r="K26" s="24" t="s">
        <v>1164</v>
      </c>
      <c r="L26" s="24" t="s">
        <v>1165</v>
      </c>
      <c r="M26" s="43">
        <v>139900</v>
      </c>
      <c r="N26" s="37">
        <v>0.9</v>
      </c>
      <c r="O26" s="36">
        <f t="shared" si="2"/>
        <v>13990</v>
      </c>
      <c r="P26" s="6" t="s">
        <v>16</v>
      </c>
    </row>
    <row r="27" spans="1:16" x14ac:dyDescent="0.35">
      <c r="A27" s="34" t="s">
        <v>6644</v>
      </c>
      <c r="B27" s="7">
        <f t="shared" si="0"/>
        <v>46086</v>
      </c>
      <c r="C27" s="7">
        <f t="shared" si="1"/>
        <v>46092</v>
      </c>
      <c r="D27" s="6">
        <v>3284</v>
      </c>
      <c r="E27" s="6">
        <v>338</v>
      </c>
      <c r="F27" s="6">
        <v>4</v>
      </c>
      <c r="G27" s="34">
        <v>2</v>
      </c>
      <c r="H27" s="34">
        <v>81676</v>
      </c>
      <c r="I27" s="34" t="s">
        <v>17</v>
      </c>
      <c r="J27" s="24">
        <v>79758439</v>
      </c>
      <c r="K27" s="24" t="s">
        <v>1164</v>
      </c>
      <c r="L27" s="24" t="s">
        <v>1166</v>
      </c>
      <c r="M27" s="43">
        <v>139900</v>
      </c>
      <c r="N27" s="37">
        <v>0.9</v>
      </c>
      <c r="O27" s="36">
        <f t="shared" si="2"/>
        <v>13990</v>
      </c>
      <c r="P27" s="6" t="s">
        <v>16</v>
      </c>
    </row>
    <row r="28" spans="1:16" x14ac:dyDescent="0.35">
      <c r="A28" s="34" t="s">
        <v>6644</v>
      </c>
      <c r="B28" s="7">
        <f t="shared" si="0"/>
        <v>46086</v>
      </c>
      <c r="C28" s="7">
        <f t="shared" si="1"/>
        <v>46092</v>
      </c>
      <c r="D28" s="6">
        <v>3284</v>
      </c>
      <c r="E28" s="6">
        <v>338</v>
      </c>
      <c r="F28" s="6">
        <v>4</v>
      </c>
      <c r="G28" s="34">
        <v>2</v>
      </c>
      <c r="H28" s="34">
        <v>81676</v>
      </c>
      <c r="I28" s="34" t="s">
        <v>17</v>
      </c>
      <c r="J28" s="24">
        <v>79758448</v>
      </c>
      <c r="K28" s="24" t="s">
        <v>1164</v>
      </c>
      <c r="L28" s="24" t="s">
        <v>1167</v>
      </c>
      <c r="M28" s="43">
        <v>139900</v>
      </c>
      <c r="N28" s="37">
        <v>0.9</v>
      </c>
      <c r="O28" s="36">
        <f t="shared" si="2"/>
        <v>13990</v>
      </c>
      <c r="P28" s="6" t="s">
        <v>16</v>
      </c>
    </row>
    <row r="29" spans="1:16" x14ac:dyDescent="0.35">
      <c r="A29" s="34" t="s">
        <v>6644</v>
      </c>
      <c r="B29" s="7">
        <f t="shared" si="0"/>
        <v>46086</v>
      </c>
      <c r="C29" s="7">
        <f t="shared" si="1"/>
        <v>46092</v>
      </c>
      <c r="D29" s="6">
        <v>3284</v>
      </c>
      <c r="E29" s="6">
        <v>338</v>
      </c>
      <c r="F29" s="6">
        <v>4</v>
      </c>
      <c r="G29" s="34">
        <v>2</v>
      </c>
      <c r="H29" s="34">
        <v>81676</v>
      </c>
      <c r="I29" s="34" t="s">
        <v>17</v>
      </c>
      <c r="J29" s="24">
        <v>81840817</v>
      </c>
      <c r="K29" s="24" t="s">
        <v>2729</v>
      </c>
      <c r="L29" s="24" t="s">
        <v>2731</v>
      </c>
      <c r="M29" s="43">
        <v>119900</v>
      </c>
      <c r="N29" s="37">
        <v>0.9</v>
      </c>
      <c r="O29" s="36">
        <f t="shared" si="2"/>
        <v>11990</v>
      </c>
      <c r="P29" s="6" t="s">
        <v>16</v>
      </c>
    </row>
    <row r="30" spans="1:16" x14ac:dyDescent="0.35">
      <c r="A30" s="34" t="s">
        <v>6644</v>
      </c>
      <c r="B30" s="7">
        <f t="shared" si="0"/>
        <v>46086</v>
      </c>
      <c r="C30" s="7">
        <f t="shared" si="1"/>
        <v>46092</v>
      </c>
      <c r="D30" s="6">
        <v>3284</v>
      </c>
      <c r="E30" s="6">
        <v>338</v>
      </c>
      <c r="F30" s="6">
        <v>4</v>
      </c>
      <c r="G30" s="34">
        <v>2</v>
      </c>
      <c r="H30" s="34">
        <v>81676</v>
      </c>
      <c r="I30" s="34" t="s">
        <v>17</v>
      </c>
      <c r="J30" s="24">
        <v>81840826</v>
      </c>
      <c r="K30" s="24" t="s">
        <v>2729</v>
      </c>
      <c r="L30" s="24" t="s">
        <v>2730</v>
      </c>
      <c r="M30" s="43">
        <v>119900</v>
      </c>
      <c r="N30" s="37">
        <v>0.9</v>
      </c>
      <c r="O30" s="36">
        <f t="shared" si="2"/>
        <v>11990</v>
      </c>
      <c r="P30" s="6" t="s">
        <v>16</v>
      </c>
    </row>
    <row r="31" spans="1:16" x14ac:dyDescent="0.35">
      <c r="A31" s="34" t="s">
        <v>6644</v>
      </c>
      <c r="B31" s="7">
        <f t="shared" si="0"/>
        <v>46086</v>
      </c>
      <c r="C31" s="7">
        <f t="shared" si="1"/>
        <v>46092</v>
      </c>
      <c r="D31" s="6">
        <v>3284</v>
      </c>
      <c r="E31" s="6">
        <v>338</v>
      </c>
      <c r="F31" s="6">
        <v>4</v>
      </c>
      <c r="G31" s="34">
        <v>3</v>
      </c>
      <c r="H31" s="34">
        <v>81146</v>
      </c>
      <c r="I31" s="34" t="s">
        <v>17</v>
      </c>
      <c r="J31" s="24">
        <v>81802322</v>
      </c>
      <c r="K31" s="24" t="s">
        <v>2727</v>
      </c>
      <c r="L31" s="24" t="s">
        <v>2728</v>
      </c>
      <c r="M31" s="43">
        <v>179900</v>
      </c>
      <c r="N31" s="37">
        <v>0.9</v>
      </c>
      <c r="O31" s="36">
        <f t="shared" si="2"/>
        <v>17990</v>
      </c>
      <c r="P31" s="6" t="s">
        <v>16</v>
      </c>
    </row>
    <row r="32" spans="1:16" x14ac:dyDescent="0.35">
      <c r="A32" s="34" t="s">
        <v>6644</v>
      </c>
      <c r="B32" s="7">
        <f t="shared" si="0"/>
        <v>46086</v>
      </c>
      <c r="C32" s="7">
        <f t="shared" si="1"/>
        <v>46092</v>
      </c>
      <c r="D32" s="6">
        <v>3284</v>
      </c>
      <c r="E32" s="6">
        <v>338</v>
      </c>
      <c r="F32" s="6">
        <v>4</v>
      </c>
      <c r="G32" s="34">
        <v>3</v>
      </c>
      <c r="H32" s="34">
        <v>81421</v>
      </c>
      <c r="I32" s="34" t="s">
        <v>17</v>
      </c>
      <c r="J32" s="24">
        <v>79584420</v>
      </c>
      <c r="K32" s="24" t="s">
        <v>1197</v>
      </c>
      <c r="L32" s="24" t="s">
        <v>1198</v>
      </c>
      <c r="M32" s="43">
        <v>179900</v>
      </c>
      <c r="N32" s="37">
        <v>0.9</v>
      </c>
      <c r="O32" s="36">
        <f t="shared" si="2"/>
        <v>17990</v>
      </c>
      <c r="P32" s="6" t="s">
        <v>16</v>
      </c>
    </row>
    <row r="33" spans="1:16" x14ac:dyDescent="0.35">
      <c r="A33" s="34" t="s">
        <v>6644</v>
      </c>
      <c r="B33" s="7">
        <f t="shared" si="0"/>
        <v>46086</v>
      </c>
      <c r="C33" s="7">
        <f t="shared" si="1"/>
        <v>46092</v>
      </c>
      <c r="D33" s="6">
        <v>3284</v>
      </c>
      <c r="E33" s="6">
        <v>338</v>
      </c>
      <c r="F33" s="6">
        <v>4</v>
      </c>
      <c r="G33" s="34">
        <v>3</v>
      </c>
      <c r="H33" s="34">
        <v>81421</v>
      </c>
      <c r="I33" s="34" t="s">
        <v>17</v>
      </c>
      <c r="J33" s="24">
        <v>79584439</v>
      </c>
      <c r="K33" s="24" t="s">
        <v>1253</v>
      </c>
      <c r="L33" s="24" t="s">
        <v>1254</v>
      </c>
      <c r="M33" s="43">
        <v>179900</v>
      </c>
      <c r="N33" s="37">
        <v>0.9</v>
      </c>
      <c r="O33" s="36">
        <f t="shared" si="2"/>
        <v>17990</v>
      </c>
      <c r="P33" s="6" t="s">
        <v>16</v>
      </c>
    </row>
    <row r="34" spans="1:16" x14ac:dyDescent="0.35">
      <c r="A34" s="34" t="s">
        <v>6644</v>
      </c>
      <c r="B34" s="7">
        <f t="shared" si="0"/>
        <v>46086</v>
      </c>
      <c r="C34" s="7">
        <f t="shared" si="1"/>
        <v>46092</v>
      </c>
      <c r="D34" s="6">
        <v>3284</v>
      </c>
      <c r="E34" s="6">
        <v>338</v>
      </c>
      <c r="F34" s="6">
        <v>4</v>
      </c>
      <c r="G34" s="34">
        <v>3</v>
      </c>
      <c r="H34" s="34">
        <v>81421</v>
      </c>
      <c r="I34" s="34" t="s">
        <v>17</v>
      </c>
      <c r="J34" s="24">
        <v>79584448</v>
      </c>
      <c r="K34" s="24" t="s">
        <v>1253</v>
      </c>
      <c r="L34" s="24" t="s">
        <v>1255</v>
      </c>
      <c r="M34" s="43">
        <v>179900</v>
      </c>
      <c r="N34" s="37">
        <v>0.9</v>
      </c>
      <c r="O34" s="36">
        <f t="shared" si="2"/>
        <v>17990</v>
      </c>
      <c r="P34" s="6" t="s">
        <v>16</v>
      </c>
    </row>
    <row r="35" spans="1:16" x14ac:dyDescent="0.35">
      <c r="A35" s="34" t="s">
        <v>6644</v>
      </c>
      <c r="B35" s="7">
        <f t="shared" si="0"/>
        <v>46086</v>
      </c>
      <c r="C35" s="7">
        <f t="shared" si="1"/>
        <v>46092</v>
      </c>
      <c r="D35" s="6">
        <v>3284</v>
      </c>
      <c r="E35" s="6">
        <v>338</v>
      </c>
      <c r="F35" s="6">
        <v>4</v>
      </c>
      <c r="G35" s="34">
        <v>3</v>
      </c>
      <c r="H35" s="34">
        <v>81421</v>
      </c>
      <c r="I35" s="34" t="s">
        <v>17</v>
      </c>
      <c r="J35" s="24">
        <v>79584457</v>
      </c>
      <c r="K35" s="24" t="s">
        <v>1253</v>
      </c>
      <c r="L35" s="24" t="s">
        <v>1256</v>
      </c>
      <c r="M35" s="43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6644</v>
      </c>
      <c r="B36" s="7">
        <f t="shared" si="0"/>
        <v>46086</v>
      </c>
      <c r="C36" s="7">
        <f t="shared" si="1"/>
        <v>46092</v>
      </c>
      <c r="D36" s="6">
        <v>3284</v>
      </c>
      <c r="E36" s="6">
        <v>338</v>
      </c>
      <c r="F36" s="6">
        <v>4</v>
      </c>
      <c r="G36" s="34">
        <v>3</v>
      </c>
      <c r="H36" s="34">
        <v>81421</v>
      </c>
      <c r="I36" s="34" t="s">
        <v>17</v>
      </c>
      <c r="J36" s="24">
        <v>79584466</v>
      </c>
      <c r="K36" s="24" t="s">
        <v>1253</v>
      </c>
      <c r="L36" s="24" t="s">
        <v>1257</v>
      </c>
      <c r="M36" s="43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6644</v>
      </c>
      <c r="B37" s="7">
        <f t="shared" si="0"/>
        <v>46086</v>
      </c>
      <c r="C37" s="7">
        <f t="shared" si="1"/>
        <v>46092</v>
      </c>
      <c r="D37" s="6">
        <v>3284</v>
      </c>
      <c r="E37" s="6">
        <v>338</v>
      </c>
      <c r="F37" s="6">
        <v>4</v>
      </c>
      <c r="G37" s="34">
        <v>3</v>
      </c>
      <c r="H37" s="34">
        <v>81421</v>
      </c>
      <c r="I37" s="34" t="s">
        <v>17</v>
      </c>
      <c r="J37" s="24">
        <v>79706477</v>
      </c>
      <c r="K37" s="24" t="s">
        <v>1199</v>
      </c>
      <c r="L37" s="24" t="s">
        <v>1200</v>
      </c>
      <c r="M37" s="43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6644</v>
      </c>
      <c r="B38" s="7">
        <f t="shared" si="0"/>
        <v>46086</v>
      </c>
      <c r="C38" s="7">
        <f t="shared" si="1"/>
        <v>46092</v>
      </c>
      <c r="D38" s="6">
        <v>3284</v>
      </c>
      <c r="E38" s="6">
        <v>338</v>
      </c>
      <c r="F38" s="6">
        <v>4</v>
      </c>
      <c r="G38" s="34">
        <v>3</v>
      </c>
      <c r="H38" s="34">
        <v>81421</v>
      </c>
      <c r="I38" s="34" t="s">
        <v>17</v>
      </c>
      <c r="J38" s="24">
        <v>79706486</v>
      </c>
      <c r="K38" s="24" t="s">
        <v>1199</v>
      </c>
      <c r="L38" s="24" t="s">
        <v>1201</v>
      </c>
      <c r="M38" s="43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6644</v>
      </c>
      <c r="B39" s="7">
        <f t="shared" si="0"/>
        <v>46086</v>
      </c>
      <c r="C39" s="7">
        <f t="shared" si="1"/>
        <v>46092</v>
      </c>
      <c r="D39" s="6">
        <v>3284</v>
      </c>
      <c r="E39" s="6">
        <v>338</v>
      </c>
      <c r="F39" s="6">
        <v>4</v>
      </c>
      <c r="G39" s="34">
        <v>3</v>
      </c>
      <c r="H39" s="34">
        <v>81421</v>
      </c>
      <c r="I39" s="34" t="s">
        <v>17</v>
      </c>
      <c r="J39" s="24">
        <v>79771692</v>
      </c>
      <c r="K39" s="24" t="s">
        <v>5018</v>
      </c>
      <c r="L39" s="24" t="s">
        <v>5019</v>
      </c>
      <c r="M39" s="43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6644</v>
      </c>
      <c r="B40" s="7">
        <f t="shared" si="0"/>
        <v>46086</v>
      </c>
      <c r="C40" s="7">
        <f t="shared" si="1"/>
        <v>46092</v>
      </c>
      <c r="D40" s="6">
        <v>3284</v>
      </c>
      <c r="E40" s="6">
        <v>338</v>
      </c>
      <c r="F40" s="6">
        <v>4</v>
      </c>
      <c r="G40" s="34">
        <v>3</v>
      </c>
      <c r="H40" s="34">
        <v>81421</v>
      </c>
      <c r="I40" s="34" t="s">
        <v>17</v>
      </c>
      <c r="J40" s="24">
        <v>79771709</v>
      </c>
      <c r="K40" s="24" t="s">
        <v>5018</v>
      </c>
      <c r="L40" s="24" t="s">
        <v>5020</v>
      </c>
      <c r="M40" s="43">
        <v>179900</v>
      </c>
      <c r="N40" s="37">
        <v>0.9</v>
      </c>
      <c r="O40" s="36">
        <f t="shared" si="2"/>
        <v>17990</v>
      </c>
      <c r="P40" s="6" t="s">
        <v>16</v>
      </c>
    </row>
    <row r="41" spans="1:16" x14ac:dyDescent="0.35">
      <c r="A41" s="34" t="s">
        <v>6644</v>
      </c>
      <c r="B41" s="7">
        <f t="shared" si="0"/>
        <v>46086</v>
      </c>
      <c r="C41" s="7">
        <f t="shared" si="1"/>
        <v>46092</v>
      </c>
      <c r="D41" s="6">
        <v>3284</v>
      </c>
      <c r="E41" s="6">
        <v>338</v>
      </c>
      <c r="F41" s="6">
        <v>4</v>
      </c>
      <c r="G41" s="34">
        <v>3</v>
      </c>
      <c r="H41" s="34">
        <v>81421</v>
      </c>
      <c r="I41" s="34" t="s">
        <v>17</v>
      </c>
      <c r="J41" s="24">
        <v>79771718</v>
      </c>
      <c r="K41" s="24" t="s">
        <v>5018</v>
      </c>
      <c r="L41" s="24" t="s">
        <v>5021</v>
      </c>
      <c r="M41" s="43">
        <v>179900</v>
      </c>
      <c r="N41" s="37">
        <v>0.9</v>
      </c>
      <c r="O41" s="36">
        <f t="shared" si="2"/>
        <v>17990</v>
      </c>
      <c r="P41" s="6" t="s">
        <v>16</v>
      </c>
    </row>
    <row r="42" spans="1:16" x14ac:dyDescent="0.35">
      <c r="A42" s="34" t="s">
        <v>6644</v>
      </c>
      <c r="B42" s="7">
        <f t="shared" si="0"/>
        <v>46086</v>
      </c>
      <c r="C42" s="7">
        <f t="shared" si="1"/>
        <v>46092</v>
      </c>
      <c r="D42" s="6">
        <v>3284</v>
      </c>
      <c r="E42" s="6">
        <v>338</v>
      </c>
      <c r="F42" s="6">
        <v>4</v>
      </c>
      <c r="G42" s="34">
        <v>3</v>
      </c>
      <c r="H42" s="34">
        <v>81421</v>
      </c>
      <c r="I42" s="34" t="s">
        <v>17</v>
      </c>
      <c r="J42" s="24">
        <v>81270451</v>
      </c>
      <c r="K42" s="24" t="s">
        <v>1149</v>
      </c>
      <c r="L42" s="24" t="s">
        <v>1150</v>
      </c>
      <c r="M42" s="43">
        <v>179900</v>
      </c>
      <c r="N42" s="37">
        <v>0.9</v>
      </c>
      <c r="O42" s="36">
        <f t="shared" si="2"/>
        <v>17990</v>
      </c>
      <c r="P42" s="6" t="s">
        <v>16</v>
      </c>
    </row>
    <row r="43" spans="1:16" x14ac:dyDescent="0.35">
      <c r="A43" s="34" t="s">
        <v>6644</v>
      </c>
      <c r="B43" s="7">
        <f t="shared" si="0"/>
        <v>46086</v>
      </c>
      <c r="C43" s="7">
        <f t="shared" si="1"/>
        <v>46092</v>
      </c>
      <c r="D43" s="6">
        <v>3284</v>
      </c>
      <c r="E43" s="6">
        <v>338</v>
      </c>
      <c r="F43" s="6">
        <v>4</v>
      </c>
      <c r="G43" s="34">
        <v>3</v>
      </c>
      <c r="H43" s="34">
        <v>81421</v>
      </c>
      <c r="I43" s="34" t="s">
        <v>17</v>
      </c>
      <c r="J43" s="24">
        <v>81270479</v>
      </c>
      <c r="K43" s="24" t="s">
        <v>1149</v>
      </c>
      <c r="L43" s="24" t="s">
        <v>1151</v>
      </c>
      <c r="M43" s="43">
        <v>179900</v>
      </c>
      <c r="N43" s="37">
        <v>0.9</v>
      </c>
      <c r="O43" s="36">
        <f t="shared" si="2"/>
        <v>17990</v>
      </c>
      <c r="P43" s="6" t="s">
        <v>16</v>
      </c>
    </row>
    <row r="44" spans="1:16" x14ac:dyDescent="0.35">
      <c r="A44" s="34" t="s">
        <v>6644</v>
      </c>
      <c r="B44" s="7">
        <f t="shared" si="0"/>
        <v>46086</v>
      </c>
      <c r="C44" s="7">
        <f t="shared" si="1"/>
        <v>46092</v>
      </c>
      <c r="D44" s="6">
        <v>3284</v>
      </c>
      <c r="E44" s="6">
        <v>338</v>
      </c>
      <c r="F44" s="6">
        <v>4</v>
      </c>
      <c r="G44" s="34">
        <v>3</v>
      </c>
      <c r="H44" s="34">
        <v>81676</v>
      </c>
      <c r="I44" s="34" t="s">
        <v>17</v>
      </c>
      <c r="J44" s="24">
        <v>79863575</v>
      </c>
      <c r="K44" s="24" t="s">
        <v>1202</v>
      </c>
      <c r="L44" s="24" t="s">
        <v>1203</v>
      </c>
      <c r="M44" s="43">
        <v>169900</v>
      </c>
      <c r="N44" s="37">
        <v>0.9</v>
      </c>
      <c r="O44" s="36">
        <f t="shared" si="2"/>
        <v>16990</v>
      </c>
      <c r="P44" s="6" t="s">
        <v>16</v>
      </c>
    </row>
    <row r="45" spans="1:16" x14ac:dyDescent="0.35">
      <c r="A45" s="34" t="s">
        <v>6644</v>
      </c>
      <c r="B45" s="7">
        <f t="shared" si="0"/>
        <v>46086</v>
      </c>
      <c r="C45" s="7">
        <f t="shared" si="1"/>
        <v>46092</v>
      </c>
      <c r="D45" s="6">
        <v>3284</v>
      </c>
      <c r="E45" s="6">
        <v>338</v>
      </c>
      <c r="F45" s="6">
        <v>4</v>
      </c>
      <c r="G45" s="34">
        <v>3</v>
      </c>
      <c r="H45" s="34">
        <v>81676</v>
      </c>
      <c r="I45" s="34" t="s">
        <v>17</v>
      </c>
      <c r="J45" s="24">
        <v>79863600</v>
      </c>
      <c r="K45" s="24" t="s">
        <v>1204</v>
      </c>
      <c r="L45" s="24" t="s">
        <v>1205</v>
      </c>
      <c r="M45" s="43">
        <v>169900</v>
      </c>
      <c r="N45" s="37">
        <v>0.9</v>
      </c>
      <c r="O45" s="36">
        <f t="shared" si="2"/>
        <v>16990</v>
      </c>
      <c r="P45" s="6" t="s">
        <v>16</v>
      </c>
    </row>
    <row r="46" spans="1:16" x14ac:dyDescent="0.35">
      <c r="A46" s="34" t="s">
        <v>6644</v>
      </c>
      <c r="B46" s="7">
        <f t="shared" si="0"/>
        <v>46086</v>
      </c>
      <c r="C46" s="7">
        <f t="shared" si="1"/>
        <v>46092</v>
      </c>
      <c r="D46" s="6">
        <v>3284</v>
      </c>
      <c r="E46" s="6">
        <v>338</v>
      </c>
      <c r="F46" s="6">
        <v>4</v>
      </c>
      <c r="G46" s="34">
        <v>3</v>
      </c>
      <c r="H46" s="34">
        <v>81676</v>
      </c>
      <c r="I46" s="34" t="s">
        <v>17</v>
      </c>
      <c r="J46" s="24">
        <v>79863619</v>
      </c>
      <c r="K46" s="24" t="s">
        <v>1204</v>
      </c>
      <c r="L46" s="24" t="s">
        <v>1206</v>
      </c>
      <c r="M46" s="43">
        <v>169900</v>
      </c>
      <c r="N46" s="37">
        <v>0.9</v>
      </c>
      <c r="O46" s="36">
        <f t="shared" si="2"/>
        <v>16990</v>
      </c>
      <c r="P46" s="6" t="s">
        <v>16</v>
      </c>
    </row>
    <row r="47" spans="1:16" x14ac:dyDescent="0.35">
      <c r="A47" s="34" t="s">
        <v>6644</v>
      </c>
      <c r="B47" s="7">
        <f t="shared" si="0"/>
        <v>46086</v>
      </c>
      <c r="C47" s="7">
        <f t="shared" si="1"/>
        <v>46092</v>
      </c>
      <c r="D47" s="6">
        <v>3284</v>
      </c>
      <c r="E47" s="6">
        <v>338</v>
      </c>
      <c r="F47" s="6">
        <v>4</v>
      </c>
      <c r="G47" s="34">
        <v>3</v>
      </c>
      <c r="H47" s="34">
        <v>81676</v>
      </c>
      <c r="I47" s="34" t="s">
        <v>17</v>
      </c>
      <c r="J47" s="24">
        <v>79863628</v>
      </c>
      <c r="K47" s="24" t="s">
        <v>1204</v>
      </c>
      <c r="L47" s="24" t="s">
        <v>1207</v>
      </c>
      <c r="M47" s="43">
        <v>169900</v>
      </c>
      <c r="N47" s="37">
        <v>0.9</v>
      </c>
      <c r="O47" s="36">
        <f t="shared" si="2"/>
        <v>16990</v>
      </c>
      <c r="P47" s="6" t="s">
        <v>16</v>
      </c>
    </row>
    <row r="48" spans="1:16" x14ac:dyDescent="0.35">
      <c r="A48" s="34" t="s">
        <v>6644</v>
      </c>
      <c r="B48" s="7">
        <f t="shared" si="0"/>
        <v>46086</v>
      </c>
      <c r="C48" s="7">
        <f t="shared" si="1"/>
        <v>46092</v>
      </c>
      <c r="D48" s="6">
        <v>3284</v>
      </c>
      <c r="E48" s="6">
        <v>338</v>
      </c>
      <c r="F48" s="6">
        <v>4</v>
      </c>
      <c r="G48" s="34">
        <v>3</v>
      </c>
      <c r="H48" s="34">
        <v>81676</v>
      </c>
      <c r="I48" s="34" t="s">
        <v>17</v>
      </c>
      <c r="J48" s="24">
        <v>81270586</v>
      </c>
      <c r="K48" s="24" t="s">
        <v>1258</v>
      </c>
      <c r="L48" s="24" t="s">
        <v>1259</v>
      </c>
      <c r="M48" s="43">
        <v>169900</v>
      </c>
      <c r="N48" s="37">
        <v>0.9</v>
      </c>
      <c r="O48" s="36">
        <f t="shared" si="2"/>
        <v>16990</v>
      </c>
      <c r="P48" s="6" t="s">
        <v>16</v>
      </c>
    </row>
    <row r="49" spans="1:16" x14ac:dyDescent="0.35">
      <c r="A49" s="34" t="s">
        <v>6644</v>
      </c>
      <c r="B49" s="7">
        <f t="shared" si="0"/>
        <v>46086</v>
      </c>
      <c r="C49" s="7">
        <f t="shared" si="1"/>
        <v>46092</v>
      </c>
      <c r="D49" s="6">
        <v>3284</v>
      </c>
      <c r="E49" s="6">
        <v>338</v>
      </c>
      <c r="F49" s="6">
        <v>4</v>
      </c>
      <c r="G49" s="34">
        <v>3</v>
      </c>
      <c r="H49" s="34">
        <v>81676</v>
      </c>
      <c r="I49" s="34" t="s">
        <v>17</v>
      </c>
      <c r="J49" s="24">
        <v>81270595</v>
      </c>
      <c r="K49" s="24" t="s">
        <v>1258</v>
      </c>
      <c r="L49" s="24" t="s">
        <v>1260</v>
      </c>
      <c r="M49" s="43">
        <v>169900</v>
      </c>
      <c r="N49" s="37">
        <v>0.9</v>
      </c>
      <c r="O49" s="36">
        <f t="shared" si="2"/>
        <v>16990</v>
      </c>
      <c r="P49" s="6" t="s">
        <v>16</v>
      </c>
    </row>
    <row r="50" spans="1:16" x14ac:dyDescent="0.35">
      <c r="A50" s="34" t="s">
        <v>6644</v>
      </c>
      <c r="B50" s="7">
        <f t="shared" si="0"/>
        <v>46086</v>
      </c>
      <c r="C50" s="7">
        <f t="shared" si="1"/>
        <v>46092</v>
      </c>
      <c r="D50" s="6">
        <v>3284</v>
      </c>
      <c r="E50" s="6">
        <v>338</v>
      </c>
      <c r="F50" s="6">
        <v>4</v>
      </c>
      <c r="G50" s="34">
        <v>3</v>
      </c>
      <c r="H50" s="34">
        <v>81676</v>
      </c>
      <c r="I50" s="34" t="s">
        <v>17</v>
      </c>
      <c r="J50" s="24">
        <v>81270602</v>
      </c>
      <c r="K50" s="24" t="s">
        <v>1258</v>
      </c>
      <c r="L50" s="24" t="s">
        <v>1261</v>
      </c>
      <c r="M50" s="43">
        <v>169900</v>
      </c>
      <c r="N50" s="37">
        <v>0.9</v>
      </c>
      <c r="O50" s="36">
        <f t="shared" si="2"/>
        <v>16990</v>
      </c>
      <c r="P50" s="6" t="s">
        <v>16</v>
      </c>
    </row>
    <row r="51" spans="1:16" x14ac:dyDescent="0.35">
      <c r="A51" s="34" t="s">
        <v>6644</v>
      </c>
      <c r="B51" s="7">
        <f t="shared" si="0"/>
        <v>46086</v>
      </c>
      <c r="C51" s="7">
        <f t="shared" si="1"/>
        <v>46092</v>
      </c>
      <c r="D51" s="6">
        <v>3284</v>
      </c>
      <c r="E51" s="6">
        <v>338</v>
      </c>
      <c r="F51" s="6">
        <v>4</v>
      </c>
      <c r="G51" s="34">
        <v>3</v>
      </c>
      <c r="H51" s="34">
        <v>81676</v>
      </c>
      <c r="I51" s="34" t="s">
        <v>17</v>
      </c>
      <c r="J51" s="24">
        <v>87629830</v>
      </c>
      <c r="K51" s="24" t="s">
        <v>1154</v>
      </c>
      <c r="L51" s="24" t="s">
        <v>1155</v>
      </c>
      <c r="M51" s="43">
        <v>169900</v>
      </c>
      <c r="N51" s="37">
        <v>0.9</v>
      </c>
      <c r="O51" s="36">
        <f t="shared" si="2"/>
        <v>16990</v>
      </c>
      <c r="P51" s="6" t="s">
        <v>16</v>
      </c>
    </row>
    <row r="52" spans="1:16" x14ac:dyDescent="0.35">
      <c r="A52" s="34" t="s">
        <v>6644</v>
      </c>
      <c r="B52" s="7">
        <f t="shared" si="0"/>
        <v>46086</v>
      </c>
      <c r="C52" s="7">
        <f t="shared" si="1"/>
        <v>46092</v>
      </c>
      <c r="D52" s="6">
        <v>3284</v>
      </c>
      <c r="E52" s="6">
        <v>338</v>
      </c>
      <c r="F52" s="6">
        <v>4</v>
      </c>
      <c r="G52" s="34">
        <v>3</v>
      </c>
      <c r="H52" s="34">
        <v>81676</v>
      </c>
      <c r="I52" s="34" t="s">
        <v>17</v>
      </c>
      <c r="J52" s="24">
        <v>87629849</v>
      </c>
      <c r="K52" s="24" t="s">
        <v>1154</v>
      </c>
      <c r="L52" s="24" t="s">
        <v>1156</v>
      </c>
      <c r="M52" s="43">
        <v>169900</v>
      </c>
      <c r="N52" s="37">
        <v>0.9</v>
      </c>
      <c r="O52" s="36">
        <f t="shared" si="2"/>
        <v>16990</v>
      </c>
      <c r="P52" s="6" t="s">
        <v>16</v>
      </c>
    </row>
    <row r="53" spans="1:16" x14ac:dyDescent="0.35">
      <c r="A53" s="34" t="s">
        <v>6644</v>
      </c>
      <c r="B53" s="7">
        <f t="shared" si="0"/>
        <v>46086</v>
      </c>
      <c r="C53" s="7">
        <f t="shared" si="1"/>
        <v>46092</v>
      </c>
      <c r="D53" s="6">
        <v>3284</v>
      </c>
      <c r="E53" s="6">
        <v>338</v>
      </c>
      <c r="F53" s="6">
        <v>4</v>
      </c>
      <c r="G53" s="34">
        <v>3</v>
      </c>
      <c r="H53" s="34">
        <v>81574</v>
      </c>
      <c r="I53" s="34" t="s">
        <v>17</v>
      </c>
      <c r="J53" s="24">
        <v>81802420</v>
      </c>
      <c r="K53" s="24" t="s">
        <v>1152</v>
      </c>
      <c r="L53" s="24" t="s">
        <v>1153</v>
      </c>
      <c r="M53" s="43">
        <v>179900</v>
      </c>
      <c r="N53" s="37">
        <v>0.9</v>
      </c>
      <c r="O53" s="36">
        <f t="shared" si="2"/>
        <v>17990</v>
      </c>
      <c r="P53" s="6" t="s">
        <v>16</v>
      </c>
    </row>
    <row r="54" spans="1:16" x14ac:dyDescent="0.35">
      <c r="A54" s="34" t="s">
        <v>6644</v>
      </c>
      <c r="B54" s="7">
        <f t="shared" si="0"/>
        <v>46086</v>
      </c>
      <c r="C54" s="7">
        <f t="shared" si="1"/>
        <v>46092</v>
      </c>
      <c r="D54" s="6">
        <v>3284</v>
      </c>
      <c r="E54" s="6">
        <v>338</v>
      </c>
      <c r="F54" s="6">
        <v>4</v>
      </c>
      <c r="G54" s="34">
        <v>4</v>
      </c>
      <c r="H54" s="34">
        <v>81146</v>
      </c>
      <c r="I54" s="34" t="s">
        <v>17</v>
      </c>
      <c r="J54" s="24">
        <v>81802359</v>
      </c>
      <c r="K54" s="24" t="s">
        <v>2725</v>
      </c>
      <c r="L54" s="24" t="s">
        <v>2726</v>
      </c>
      <c r="M54" s="43">
        <v>199900</v>
      </c>
      <c r="N54" s="37">
        <v>0.9</v>
      </c>
      <c r="O54" s="36">
        <f t="shared" si="2"/>
        <v>19990</v>
      </c>
      <c r="P54" s="6" t="s">
        <v>16</v>
      </c>
    </row>
    <row r="55" spans="1:16" x14ac:dyDescent="0.35">
      <c r="A55" s="34" t="s">
        <v>6644</v>
      </c>
      <c r="B55" s="7">
        <f t="shared" si="0"/>
        <v>46086</v>
      </c>
      <c r="C55" s="7">
        <f t="shared" si="1"/>
        <v>46092</v>
      </c>
      <c r="D55" s="6">
        <v>3284</v>
      </c>
      <c r="E55" s="6">
        <v>338</v>
      </c>
      <c r="F55" s="6">
        <v>4</v>
      </c>
      <c r="G55" s="34">
        <v>4</v>
      </c>
      <c r="H55" s="34">
        <v>81421</v>
      </c>
      <c r="I55" s="34" t="s">
        <v>17</v>
      </c>
      <c r="J55" s="24">
        <v>75960520</v>
      </c>
      <c r="K55" s="24" t="s">
        <v>1168</v>
      </c>
      <c r="L55" s="24" t="s">
        <v>1169</v>
      </c>
      <c r="M55" s="43">
        <v>199900</v>
      </c>
      <c r="N55" s="37">
        <v>0.9</v>
      </c>
      <c r="O55" s="36">
        <f t="shared" si="2"/>
        <v>19990</v>
      </c>
      <c r="P55" s="6" t="s">
        <v>16</v>
      </c>
    </row>
    <row r="56" spans="1:16" x14ac:dyDescent="0.35">
      <c r="A56" s="34" t="s">
        <v>6644</v>
      </c>
      <c r="B56" s="7">
        <f t="shared" si="0"/>
        <v>46086</v>
      </c>
      <c r="C56" s="7">
        <f t="shared" si="1"/>
        <v>46092</v>
      </c>
      <c r="D56" s="6">
        <v>3284</v>
      </c>
      <c r="E56" s="6">
        <v>338</v>
      </c>
      <c r="F56" s="6">
        <v>4</v>
      </c>
      <c r="G56" s="34">
        <v>4</v>
      </c>
      <c r="H56" s="34">
        <v>81421</v>
      </c>
      <c r="I56" s="34" t="s">
        <v>17</v>
      </c>
      <c r="J56" s="24">
        <v>76155872</v>
      </c>
      <c r="K56" s="24" t="s">
        <v>1212</v>
      </c>
      <c r="L56" s="24" t="s">
        <v>1213</v>
      </c>
      <c r="M56" s="43">
        <v>199900</v>
      </c>
      <c r="N56" s="37">
        <v>0.9</v>
      </c>
      <c r="O56" s="36">
        <f t="shared" si="2"/>
        <v>19990</v>
      </c>
      <c r="P56" s="6" t="s">
        <v>16</v>
      </c>
    </row>
    <row r="57" spans="1:16" x14ac:dyDescent="0.35">
      <c r="A57" s="34" t="s">
        <v>6644</v>
      </c>
      <c r="B57" s="7">
        <f t="shared" si="0"/>
        <v>46086</v>
      </c>
      <c r="C57" s="7">
        <f t="shared" si="1"/>
        <v>46092</v>
      </c>
      <c r="D57" s="6">
        <v>3284</v>
      </c>
      <c r="E57" s="6">
        <v>338</v>
      </c>
      <c r="F57" s="6">
        <v>4</v>
      </c>
      <c r="G57" s="34">
        <v>4</v>
      </c>
      <c r="H57" s="34">
        <v>81421</v>
      </c>
      <c r="I57" s="34" t="s">
        <v>17</v>
      </c>
      <c r="J57" s="24">
        <v>76160320</v>
      </c>
      <c r="K57" s="24" t="s">
        <v>1212</v>
      </c>
      <c r="L57" s="24" t="s">
        <v>1214</v>
      </c>
      <c r="M57" s="43">
        <v>199900</v>
      </c>
      <c r="N57" s="37">
        <v>0.9</v>
      </c>
      <c r="O57" s="36">
        <f t="shared" si="2"/>
        <v>19990</v>
      </c>
      <c r="P57" s="6" t="s">
        <v>16</v>
      </c>
    </row>
    <row r="58" spans="1:16" x14ac:dyDescent="0.35">
      <c r="A58" s="34" t="s">
        <v>6644</v>
      </c>
      <c r="B58" s="7">
        <f t="shared" si="0"/>
        <v>46086</v>
      </c>
      <c r="C58" s="7">
        <f t="shared" si="1"/>
        <v>46092</v>
      </c>
      <c r="D58" s="6">
        <v>3284</v>
      </c>
      <c r="E58" s="6">
        <v>338</v>
      </c>
      <c r="F58" s="6">
        <v>4</v>
      </c>
      <c r="G58" s="34">
        <v>4</v>
      </c>
      <c r="H58" s="34">
        <v>81421</v>
      </c>
      <c r="I58" s="34" t="s">
        <v>17</v>
      </c>
      <c r="J58" s="24">
        <v>79584699</v>
      </c>
      <c r="K58" s="24" t="s">
        <v>1262</v>
      </c>
      <c r="L58" s="24" t="s">
        <v>1263</v>
      </c>
      <c r="M58" s="43">
        <v>219900</v>
      </c>
      <c r="N58" s="37">
        <v>0.9</v>
      </c>
      <c r="O58" s="36">
        <f t="shared" si="2"/>
        <v>21990</v>
      </c>
      <c r="P58" s="6" t="s">
        <v>16</v>
      </c>
    </row>
    <row r="59" spans="1:16" x14ac:dyDescent="0.35">
      <c r="A59" s="34" t="s">
        <v>6644</v>
      </c>
      <c r="B59" s="7">
        <f t="shared" si="0"/>
        <v>46086</v>
      </c>
      <c r="C59" s="7">
        <f t="shared" si="1"/>
        <v>46092</v>
      </c>
      <c r="D59" s="6">
        <v>3284</v>
      </c>
      <c r="E59" s="6">
        <v>338</v>
      </c>
      <c r="F59" s="6">
        <v>4</v>
      </c>
      <c r="G59" s="34">
        <v>4</v>
      </c>
      <c r="H59" s="34">
        <v>81421</v>
      </c>
      <c r="I59" s="34" t="s">
        <v>17</v>
      </c>
      <c r="J59" s="24">
        <v>79584724</v>
      </c>
      <c r="K59" s="24" t="s">
        <v>1264</v>
      </c>
      <c r="L59" s="24" t="s">
        <v>1265</v>
      </c>
      <c r="M59" s="43">
        <v>199900</v>
      </c>
      <c r="N59" s="37">
        <v>0.9</v>
      </c>
      <c r="O59" s="36">
        <f t="shared" si="2"/>
        <v>19990</v>
      </c>
      <c r="P59" s="6" t="s">
        <v>16</v>
      </c>
    </row>
    <row r="60" spans="1:16" x14ac:dyDescent="0.35">
      <c r="A60" s="34" t="s">
        <v>6644</v>
      </c>
      <c r="B60" s="7">
        <f t="shared" si="0"/>
        <v>46086</v>
      </c>
      <c r="C60" s="7">
        <f t="shared" si="1"/>
        <v>46092</v>
      </c>
      <c r="D60" s="6">
        <v>3284</v>
      </c>
      <c r="E60" s="6">
        <v>338</v>
      </c>
      <c r="F60" s="6">
        <v>4</v>
      </c>
      <c r="G60" s="34">
        <v>4</v>
      </c>
      <c r="H60" s="34">
        <v>81421</v>
      </c>
      <c r="I60" s="34" t="s">
        <v>17</v>
      </c>
      <c r="J60" s="24">
        <v>79584788</v>
      </c>
      <c r="K60" s="24" t="s">
        <v>1266</v>
      </c>
      <c r="L60" s="24" t="s">
        <v>1267</v>
      </c>
      <c r="M60" s="43">
        <v>199900</v>
      </c>
      <c r="N60" s="37">
        <v>0.9</v>
      </c>
      <c r="O60" s="36">
        <f t="shared" si="2"/>
        <v>19990</v>
      </c>
      <c r="P60" s="6" t="s">
        <v>16</v>
      </c>
    </row>
    <row r="61" spans="1:16" x14ac:dyDescent="0.35">
      <c r="A61" s="34" t="s">
        <v>6644</v>
      </c>
      <c r="B61" s="7">
        <f t="shared" si="0"/>
        <v>46086</v>
      </c>
      <c r="C61" s="7">
        <f t="shared" si="1"/>
        <v>46092</v>
      </c>
      <c r="D61" s="6">
        <v>3284</v>
      </c>
      <c r="E61" s="6">
        <v>338</v>
      </c>
      <c r="F61" s="6">
        <v>4</v>
      </c>
      <c r="G61" s="34">
        <v>4</v>
      </c>
      <c r="H61" s="34">
        <v>81421</v>
      </c>
      <c r="I61" s="34" t="s">
        <v>17</v>
      </c>
      <c r="J61" s="24">
        <v>79584822</v>
      </c>
      <c r="K61" s="24" t="s">
        <v>1215</v>
      </c>
      <c r="L61" s="24" t="s">
        <v>1216</v>
      </c>
      <c r="M61" s="43">
        <v>219900</v>
      </c>
      <c r="N61" s="37">
        <v>0.9</v>
      </c>
      <c r="O61" s="36">
        <f t="shared" si="2"/>
        <v>21990</v>
      </c>
      <c r="P61" s="6" t="s">
        <v>16</v>
      </c>
    </row>
    <row r="62" spans="1:16" x14ac:dyDescent="0.35">
      <c r="A62" s="34" t="s">
        <v>6644</v>
      </c>
      <c r="B62" s="7">
        <f t="shared" si="0"/>
        <v>46086</v>
      </c>
      <c r="C62" s="7">
        <f t="shared" si="1"/>
        <v>46092</v>
      </c>
      <c r="D62" s="6">
        <v>3284</v>
      </c>
      <c r="E62" s="6">
        <v>338</v>
      </c>
      <c r="F62" s="6">
        <v>4</v>
      </c>
      <c r="G62" s="34">
        <v>4</v>
      </c>
      <c r="H62" s="34">
        <v>81421</v>
      </c>
      <c r="I62" s="34" t="s">
        <v>17</v>
      </c>
      <c r="J62" s="24">
        <v>79863646</v>
      </c>
      <c r="K62" s="24" t="s">
        <v>1221</v>
      </c>
      <c r="L62" s="24" t="s">
        <v>1222</v>
      </c>
      <c r="M62" s="43">
        <v>219900</v>
      </c>
      <c r="N62" s="37">
        <v>0.9</v>
      </c>
      <c r="O62" s="36">
        <f t="shared" si="2"/>
        <v>21990</v>
      </c>
      <c r="P62" s="6" t="s">
        <v>16</v>
      </c>
    </row>
    <row r="63" spans="1:16" x14ac:dyDescent="0.35">
      <c r="A63" s="34" t="s">
        <v>6644</v>
      </c>
      <c r="B63" s="7">
        <f t="shared" si="0"/>
        <v>46086</v>
      </c>
      <c r="C63" s="7">
        <f t="shared" si="1"/>
        <v>46092</v>
      </c>
      <c r="D63" s="6">
        <v>3284</v>
      </c>
      <c r="E63" s="6">
        <v>338</v>
      </c>
      <c r="F63" s="6">
        <v>4</v>
      </c>
      <c r="G63" s="34">
        <v>4</v>
      </c>
      <c r="H63" s="34">
        <v>190</v>
      </c>
      <c r="I63" s="34" t="s">
        <v>17</v>
      </c>
      <c r="J63" s="24">
        <v>76155710</v>
      </c>
      <c r="K63" s="24" t="s">
        <v>1170</v>
      </c>
      <c r="L63" s="24" t="s">
        <v>1171</v>
      </c>
      <c r="M63" s="43">
        <v>219900</v>
      </c>
      <c r="N63" s="37">
        <v>0.9</v>
      </c>
      <c r="O63" s="36">
        <f t="shared" si="2"/>
        <v>21990</v>
      </c>
      <c r="P63" s="6" t="s">
        <v>16</v>
      </c>
    </row>
    <row r="64" spans="1:16" x14ac:dyDescent="0.35">
      <c r="A64" s="34" t="s">
        <v>6644</v>
      </c>
      <c r="B64" s="7">
        <f t="shared" si="0"/>
        <v>46086</v>
      </c>
      <c r="C64" s="7">
        <f t="shared" si="1"/>
        <v>46092</v>
      </c>
      <c r="D64" s="6">
        <v>3284</v>
      </c>
      <c r="E64" s="6">
        <v>338</v>
      </c>
      <c r="F64" s="6">
        <v>4</v>
      </c>
      <c r="G64" s="34">
        <v>4</v>
      </c>
      <c r="H64" s="34">
        <v>190</v>
      </c>
      <c r="I64" s="34" t="s">
        <v>17</v>
      </c>
      <c r="J64" s="24">
        <v>76155729</v>
      </c>
      <c r="K64" s="24" t="s">
        <v>1170</v>
      </c>
      <c r="L64" s="24" t="s">
        <v>1172</v>
      </c>
      <c r="M64" s="43">
        <v>219900</v>
      </c>
      <c r="N64" s="37">
        <v>0.9</v>
      </c>
      <c r="O64" s="36">
        <f t="shared" si="2"/>
        <v>21990</v>
      </c>
      <c r="P64" s="6" t="s">
        <v>16</v>
      </c>
    </row>
    <row r="65" spans="1:16" x14ac:dyDescent="0.35">
      <c r="A65" s="34" t="s">
        <v>6644</v>
      </c>
      <c r="B65" s="7">
        <f t="shared" si="0"/>
        <v>46086</v>
      </c>
      <c r="C65" s="7">
        <f t="shared" si="1"/>
        <v>46092</v>
      </c>
      <c r="D65" s="6">
        <v>3284</v>
      </c>
      <c r="E65" s="6">
        <v>338</v>
      </c>
      <c r="F65" s="6">
        <v>4</v>
      </c>
      <c r="G65" s="34">
        <v>4</v>
      </c>
      <c r="H65" s="34">
        <v>190</v>
      </c>
      <c r="I65" s="34" t="s">
        <v>17</v>
      </c>
      <c r="J65" s="24">
        <v>76160277</v>
      </c>
      <c r="K65" s="24" t="s">
        <v>1170</v>
      </c>
      <c r="L65" s="24" t="s">
        <v>1173</v>
      </c>
      <c r="M65" s="43">
        <v>219900</v>
      </c>
      <c r="N65" s="37">
        <v>0.9</v>
      </c>
      <c r="O65" s="36">
        <f t="shared" si="2"/>
        <v>21990</v>
      </c>
      <c r="P65" s="6" t="s">
        <v>16</v>
      </c>
    </row>
    <row r="66" spans="1:16" x14ac:dyDescent="0.35">
      <c r="A66" s="34" t="s">
        <v>6644</v>
      </c>
      <c r="B66" s="7">
        <f t="shared" si="0"/>
        <v>46086</v>
      </c>
      <c r="C66" s="7">
        <f t="shared" si="1"/>
        <v>46092</v>
      </c>
      <c r="D66" s="6">
        <v>3284</v>
      </c>
      <c r="E66" s="6">
        <v>338</v>
      </c>
      <c r="F66" s="6">
        <v>4</v>
      </c>
      <c r="G66" s="34">
        <v>4</v>
      </c>
      <c r="H66" s="34">
        <v>190</v>
      </c>
      <c r="I66" s="34" t="s">
        <v>17</v>
      </c>
      <c r="J66" s="24">
        <v>65072777</v>
      </c>
      <c r="K66" s="24" t="s">
        <v>1208</v>
      </c>
      <c r="L66" s="24" t="s">
        <v>1209</v>
      </c>
      <c r="M66" s="43">
        <v>219900</v>
      </c>
      <c r="N66" s="37">
        <v>0.9</v>
      </c>
      <c r="O66" s="36">
        <f t="shared" si="2"/>
        <v>21990</v>
      </c>
      <c r="P66" s="6" t="s">
        <v>16</v>
      </c>
    </row>
    <row r="67" spans="1:16" x14ac:dyDescent="0.35">
      <c r="A67" s="34" t="s">
        <v>6644</v>
      </c>
      <c r="B67" s="7">
        <f t="shared" si="0"/>
        <v>46086</v>
      </c>
      <c r="C67" s="7">
        <f t="shared" si="1"/>
        <v>46092</v>
      </c>
      <c r="D67" s="6">
        <v>3284</v>
      </c>
      <c r="E67" s="6">
        <v>338</v>
      </c>
      <c r="F67" s="6">
        <v>4</v>
      </c>
      <c r="G67" s="34">
        <v>4</v>
      </c>
      <c r="H67" s="34">
        <v>190</v>
      </c>
      <c r="I67" s="34" t="s">
        <v>17</v>
      </c>
      <c r="J67" s="24">
        <v>65072786</v>
      </c>
      <c r="K67" s="24" t="s">
        <v>1208</v>
      </c>
      <c r="L67" s="24" t="s">
        <v>1210</v>
      </c>
      <c r="M67" s="43">
        <v>219900</v>
      </c>
      <c r="N67" s="37">
        <v>0.9</v>
      </c>
      <c r="O67" s="36">
        <f t="shared" si="2"/>
        <v>21990</v>
      </c>
      <c r="P67" s="6" t="s">
        <v>16</v>
      </c>
    </row>
    <row r="68" spans="1:16" x14ac:dyDescent="0.35">
      <c r="A68" s="34" t="s">
        <v>6644</v>
      </c>
      <c r="B68" s="7">
        <f t="shared" ref="B68:B131" si="3">B67</f>
        <v>46086</v>
      </c>
      <c r="C68" s="7">
        <f t="shared" ref="C68:C131" si="4">C67</f>
        <v>46092</v>
      </c>
      <c r="D68" s="6">
        <v>3284</v>
      </c>
      <c r="E68" s="6">
        <v>338</v>
      </c>
      <c r="F68" s="6">
        <v>4</v>
      </c>
      <c r="G68" s="34">
        <v>4</v>
      </c>
      <c r="H68" s="34">
        <v>190</v>
      </c>
      <c r="I68" s="34" t="s">
        <v>17</v>
      </c>
      <c r="J68" s="24">
        <v>65072795</v>
      </c>
      <c r="K68" s="24" t="s">
        <v>1208</v>
      </c>
      <c r="L68" s="24" t="s">
        <v>1211</v>
      </c>
      <c r="M68" s="43">
        <v>219900</v>
      </c>
      <c r="N68" s="37">
        <v>0.9</v>
      </c>
      <c r="O68" s="36">
        <f t="shared" ref="O68:O131" si="5">M68-((90*M68)/100)</f>
        <v>21990</v>
      </c>
      <c r="P68" s="6" t="s">
        <v>16</v>
      </c>
    </row>
    <row r="69" spans="1:16" x14ac:dyDescent="0.35">
      <c r="A69" s="34" t="s">
        <v>6644</v>
      </c>
      <c r="B69" s="7">
        <f t="shared" si="3"/>
        <v>46086</v>
      </c>
      <c r="C69" s="7">
        <f t="shared" si="4"/>
        <v>46092</v>
      </c>
      <c r="D69" s="6">
        <v>3284</v>
      </c>
      <c r="E69" s="6">
        <v>338</v>
      </c>
      <c r="F69" s="6">
        <v>4</v>
      </c>
      <c r="G69" s="34">
        <v>4</v>
      </c>
      <c r="H69" s="34">
        <v>81574</v>
      </c>
      <c r="I69" s="34" t="s">
        <v>17</v>
      </c>
      <c r="J69" s="24">
        <v>79584877</v>
      </c>
      <c r="K69" s="24" t="s">
        <v>1217</v>
      </c>
      <c r="L69" s="24" t="s">
        <v>1218</v>
      </c>
      <c r="M69" s="43">
        <v>159900</v>
      </c>
      <c r="N69" s="37">
        <v>0.9</v>
      </c>
      <c r="O69" s="36">
        <f t="shared" si="5"/>
        <v>15990</v>
      </c>
      <c r="P69" s="6" t="s">
        <v>16</v>
      </c>
    </row>
    <row r="70" spans="1:16" x14ac:dyDescent="0.35">
      <c r="A70" s="34" t="s">
        <v>6644</v>
      </c>
      <c r="B70" s="7">
        <f t="shared" si="3"/>
        <v>46086</v>
      </c>
      <c r="C70" s="7">
        <f t="shared" si="4"/>
        <v>46092</v>
      </c>
      <c r="D70" s="6">
        <v>3284</v>
      </c>
      <c r="E70" s="6">
        <v>338</v>
      </c>
      <c r="F70" s="6">
        <v>4</v>
      </c>
      <c r="G70" s="34">
        <v>4</v>
      </c>
      <c r="H70" s="34">
        <v>81574</v>
      </c>
      <c r="I70" s="34" t="s">
        <v>17</v>
      </c>
      <c r="J70" s="24">
        <v>79584886</v>
      </c>
      <c r="K70" s="24" t="s">
        <v>1217</v>
      </c>
      <c r="L70" s="24" t="s">
        <v>1219</v>
      </c>
      <c r="M70" s="43">
        <v>159900</v>
      </c>
      <c r="N70" s="37">
        <v>0.9</v>
      </c>
      <c r="O70" s="36">
        <f t="shared" si="5"/>
        <v>15990</v>
      </c>
      <c r="P70" s="6" t="s">
        <v>16</v>
      </c>
    </row>
    <row r="71" spans="1:16" x14ac:dyDescent="0.35">
      <c r="A71" s="34" t="s">
        <v>6644</v>
      </c>
      <c r="B71" s="7">
        <f t="shared" si="3"/>
        <v>46086</v>
      </c>
      <c r="C71" s="7">
        <f t="shared" si="4"/>
        <v>46092</v>
      </c>
      <c r="D71" s="6">
        <v>3284</v>
      </c>
      <c r="E71" s="6">
        <v>338</v>
      </c>
      <c r="F71" s="6">
        <v>4</v>
      </c>
      <c r="G71" s="34">
        <v>4</v>
      </c>
      <c r="H71" s="34">
        <v>81574</v>
      </c>
      <c r="I71" s="34" t="s">
        <v>17</v>
      </c>
      <c r="J71" s="24">
        <v>79584895</v>
      </c>
      <c r="K71" s="24" t="s">
        <v>1217</v>
      </c>
      <c r="L71" s="24" t="s">
        <v>1220</v>
      </c>
      <c r="M71" s="43">
        <v>159900</v>
      </c>
      <c r="N71" s="37">
        <v>0.9</v>
      </c>
      <c r="O71" s="36">
        <f t="shared" si="5"/>
        <v>15990</v>
      </c>
      <c r="P71" s="6" t="s">
        <v>16</v>
      </c>
    </row>
    <row r="72" spans="1:16" x14ac:dyDescent="0.35">
      <c r="A72" s="34" t="s">
        <v>6644</v>
      </c>
      <c r="B72" s="7">
        <f t="shared" si="3"/>
        <v>46086</v>
      </c>
      <c r="C72" s="7">
        <f t="shared" si="4"/>
        <v>46092</v>
      </c>
      <c r="D72" s="6">
        <v>3284</v>
      </c>
      <c r="E72" s="6">
        <v>338</v>
      </c>
      <c r="F72" s="6">
        <v>4</v>
      </c>
      <c r="G72" s="34">
        <v>4</v>
      </c>
      <c r="H72" s="34">
        <v>81574</v>
      </c>
      <c r="I72" s="34" t="s">
        <v>17</v>
      </c>
      <c r="J72" s="24">
        <v>83469654</v>
      </c>
      <c r="K72" s="24" t="s">
        <v>1146</v>
      </c>
      <c r="L72" s="24" t="s">
        <v>1147</v>
      </c>
      <c r="M72" s="43">
        <v>219900</v>
      </c>
      <c r="N72" s="37">
        <v>0.9</v>
      </c>
      <c r="O72" s="36">
        <f t="shared" si="5"/>
        <v>21990</v>
      </c>
      <c r="P72" s="6" t="s">
        <v>16</v>
      </c>
    </row>
    <row r="73" spans="1:16" x14ac:dyDescent="0.35">
      <c r="A73" s="34" t="s">
        <v>6644</v>
      </c>
      <c r="B73" s="7">
        <f t="shared" si="3"/>
        <v>46086</v>
      </c>
      <c r="C73" s="7">
        <f t="shared" si="4"/>
        <v>46092</v>
      </c>
      <c r="D73" s="6">
        <v>3284</v>
      </c>
      <c r="E73" s="6">
        <v>338</v>
      </c>
      <c r="F73" s="6">
        <v>4</v>
      </c>
      <c r="G73" s="34">
        <v>4</v>
      </c>
      <c r="H73" s="34">
        <v>81574</v>
      </c>
      <c r="I73" s="34" t="s">
        <v>17</v>
      </c>
      <c r="J73" s="24">
        <v>83469663</v>
      </c>
      <c r="K73" s="24" t="s">
        <v>1146</v>
      </c>
      <c r="L73" s="24" t="s">
        <v>1148</v>
      </c>
      <c r="M73" s="43">
        <v>219900</v>
      </c>
      <c r="N73" s="37">
        <v>0.9</v>
      </c>
      <c r="O73" s="36">
        <f t="shared" si="5"/>
        <v>21990</v>
      </c>
      <c r="P73" s="6" t="s">
        <v>16</v>
      </c>
    </row>
    <row r="74" spans="1:16" x14ac:dyDescent="0.35">
      <c r="A74" s="34" t="s">
        <v>6644</v>
      </c>
      <c r="B74" s="7">
        <f t="shared" si="3"/>
        <v>46086</v>
      </c>
      <c r="C74" s="7">
        <f t="shared" si="4"/>
        <v>46092</v>
      </c>
      <c r="D74" s="6">
        <v>3284</v>
      </c>
      <c r="E74" s="6">
        <v>338</v>
      </c>
      <c r="F74" s="6">
        <v>4</v>
      </c>
      <c r="G74" s="34">
        <v>5</v>
      </c>
      <c r="H74" s="34">
        <v>81421</v>
      </c>
      <c r="I74" s="34" t="s">
        <v>17</v>
      </c>
      <c r="J74" s="24">
        <v>76155818</v>
      </c>
      <c r="K74" s="24" t="s">
        <v>1174</v>
      </c>
      <c r="L74" s="24" t="s">
        <v>1175</v>
      </c>
      <c r="M74" s="43">
        <v>199900</v>
      </c>
      <c r="N74" s="37">
        <v>0.9</v>
      </c>
      <c r="O74" s="36">
        <f t="shared" si="5"/>
        <v>19990</v>
      </c>
      <c r="P74" s="6" t="s">
        <v>16</v>
      </c>
    </row>
    <row r="75" spans="1:16" x14ac:dyDescent="0.35">
      <c r="A75" s="34" t="s">
        <v>6644</v>
      </c>
      <c r="B75" s="7">
        <f t="shared" si="3"/>
        <v>46086</v>
      </c>
      <c r="C75" s="7">
        <f t="shared" si="4"/>
        <v>46092</v>
      </c>
      <c r="D75" s="6">
        <v>3284</v>
      </c>
      <c r="E75" s="6">
        <v>338</v>
      </c>
      <c r="F75" s="6">
        <v>4</v>
      </c>
      <c r="G75" s="34">
        <v>5</v>
      </c>
      <c r="H75" s="34">
        <v>81421</v>
      </c>
      <c r="I75" s="34" t="s">
        <v>17</v>
      </c>
      <c r="J75" s="24">
        <v>76155827</v>
      </c>
      <c r="K75" s="24" t="s">
        <v>1174</v>
      </c>
      <c r="L75" s="24" t="s">
        <v>1176</v>
      </c>
      <c r="M75" s="43">
        <v>199900</v>
      </c>
      <c r="N75" s="37">
        <v>0.9</v>
      </c>
      <c r="O75" s="36">
        <f t="shared" si="5"/>
        <v>19990</v>
      </c>
      <c r="P75" s="6" t="s">
        <v>16</v>
      </c>
    </row>
    <row r="76" spans="1:16" x14ac:dyDescent="0.35">
      <c r="A76" s="34" t="s">
        <v>6644</v>
      </c>
      <c r="B76" s="7">
        <f t="shared" si="3"/>
        <v>46086</v>
      </c>
      <c r="C76" s="7">
        <f t="shared" si="4"/>
        <v>46092</v>
      </c>
      <c r="D76" s="6">
        <v>3284</v>
      </c>
      <c r="E76" s="6">
        <v>338</v>
      </c>
      <c r="F76" s="6">
        <v>4</v>
      </c>
      <c r="G76" s="34">
        <v>5</v>
      </c>
      <c r="H76" s="34">
        <v>81421</v>
      </c>
      <c r="I76" s="34" t="s">
        <v>17</v>
      </c>
      <c r="J76" s="24">
        <v>76160302</v>
      </c>
      <c r="K76" s="24" t="s">
        <v>1174</v>
      </c>
      <c r="L76" s="24" t="s">
        <v>1177</v>
      </c>
      <c r="M76" s="43">
        <v>199900</v>
      </c>
      <c r="N76" s="37">
        <v>0.9</v>
      </c>
      <c r="O76" s="36">
        <f t="shared" si="5"/>
        <v>19990</v>
      </c>
      <c r="P76" s="6" t="s">
        <v>16</v>
      </c>
    </row>
    <row r="77" spans="1:16" x14ac:dyDescent="0.35">
      <c r="A77" s="34" t="s">
        <v>6644</v>
      </c>
      <c r="B77" s="7">
        <f t="shared" si="3"/>
        <v>46086</v>
      </c>
      <c r="C77" s="7">
        <f t="shared" si="4"/>
        <v>46092</v>
      </c>
      <c r="D77" s="6">
        <v>3284</v>
      </c>
      <c r="E77" s="6">
        <v>338</v>
      </c>
      <c r="F77" s="6">
        <v>4</v>
      </c>
      <c r="G77" s="34">
        <v>5</v>
      </c>
      <c r="H77" s="34">
        <v>81421</v>
      </c>
      <c r="I77" s="34" t="s">
        <v>17</v>
      </c>
      <c r="J77" s="24">
        <v>81294551</v>
      </c>
      <c r="K77" s="24" t="s">
        <v>1272</v>
      </c>
      <c r="L77" s="24" t="s">
        <v>1273</v>
      </c>
      <c r="M77" s="43">
        <v>169900</v>
      </c>
      <c r="N77" s="37">
        <v>0.9</v>
      </c>
      <c r="O77" s="36">
        <f t="shared" si="5"/>
        <v>16990</v>
      </c>
      <c r="P77" s="6" t="s">
        <v>16</v>
      </c>
    </row>
    <row r="78" spans="1:16" x14ac:dyDescent="0.35">
      <c r="A78" s="34" t="s">
        <v>6644</v>
      </c>
      <c r="B78" s="7">
        <f t="shared" si="3"/>
        <v>46086</v>
      </c>
      <c r="C78" s="7">
        <f t="shared" si="4"/>
        <v>46092</v>
      </c>
      <c r="D78" s="6">
        <v>3284</v>
      </c>
      <c r="E78" s="6">
        <v>338</v>
      </c>
      <c r="F78" s="6">
        <v>4</v>
      </c>
      <c r="G78" s="34">
        <v>5</v>
      </c>
      <c r="H78" s="34">
        <v>81421</v>
      </c>
      <c r="I78" s="34" t="s">
        <v>17</v>
      </c>
      <c r="J78" s="24">
        <v>81294560</v>
      </c>
      <c r="K78" s="24" t="s">
        <v>1272</v>
      </c>
      <c r="L78" s="24" t="s">
        <v>1274</v>
      </c>
      <c r="M78" s="43">
        <v>169900</v>
      </c>
      <c r="N78" s="37">
        <v>0.9</v>
      </c>
      <c r="O78" s="36">
        <f t="shared" si="5"/>
        <v>16990</v>
      </c>
      <c r="P78" s="6" t="s">
        <v>16</v>
      </c>
    </row>
    <row r="79" spans="1:16" x14ac:dyDescent="0.35">
      <c r="A79" s="34" t="s">
        <v>6644</v>
      </c>
      <c r="B79" s="7">
        <f t="shared" si="3"/>
        <v>46086</v>
      </c>
      <c r="C79" s="7">
        <f t="shared" si="4"/>
        <v>46092</v>
      </c>
      <c r="D79" s="6">
        <v>3284</v>
      </c>
      <c r="E79" s="6">
        <v>338</v>
      </c>
      <c r="F79" s="6">
        <v>4</v>
      </c>
      <c r="G79" s="34">
        <v>5</v>
      </c>
      <c r="H79" s="34">
        <v>81421</v>
      </c>
      <c r="I79" s="34" t="s">
        <v>17</v>
      </c>
      <c r="J79" s="24">
        <v>81294579</v>
      </c>
      <c r="K79" s="24" t="s">
        <v>1272</v>
      </c>
      <c r="L79" s="24" t="s">
        <v>1275</v>
      </c>
      <c r="M79" s="43">
        <v>169900</v>
      </c>
      <c r="N79" s="37">
        <v>0.9</v>
      </c>
      <c r="O79" s="36">
        <f t="shared" si="5"/>
        <v>16990</v>
      </c>
      <c r="P79" s="6" t="s">
        <v>16</v>
      </c>
    </row>
    <row r="80" spans="1:16" x14ac:dyDescent="0.35">
      <c r="A80" s="34" t="s">
        <v>6644</v>
      </c>
      <c r="B80" s="7">
        <f t="shared" si="3"/>
        <v>46086</v>
      </c>
      <c r="C80" s="7">
        <f t="shared" si="4"/>
        <v>46092</v>
      </c>
      <c r="D80" s="6">
        <v>3284</v>
      </c>
      <c r="E80" s="6">
        <v>338</v>
      </c>
      <c r="F80" s="6">
        <v>4</v>
      </c>
      <c r="G80" s="34">
        <v>5</v>
      </c>
      <c r="H80" s="34">
        <v>81421</v>
      </c>
      <c r="I80" s="34" t="s">
        <v>17</v>
      </c>
      <c r="J80" s="24">
        <v>81294588</v>
      </c>
      <c r="K80" s="24" t="s">
        <v>1272</v>
      </c>
      <c r="L80" s="24" t="s">
        <v>1276</v>
      </c>
      <c r="M80" s="43">
        <v>169900</v>
      </c>
      <c r="N80" s="37">
        <v>0.9</v>
      </c>
      <c r="O80" s="36">
        <f t="shared" si="5"/>
        <v>16990</v>
      </c>
      <c r="P80" s="6" t="s">
        <v>16</v>
      </c>
    </row>
    <row r="81" spans="1:16" x14ac:dyDescent="0.35">
      <c r="A81" s="34" t="s">
        <v>6644</v>
      </c>
      <c r="B81" s="7">
        <f t="shared" si="3"/>
        <v>46086</v>
      </c>
      <c r="C81" s="7">
        <f t="shared" si="4"/>
        <v>46092</v>
      </c>
      <c r="D81" s="6">
        <v>3284</v>
      </c>
      <c r="E81" s="6">
        <v>338</v>
      </c>
      <c r="F81" s="6">
        <v>4</v>
      </c>
      <c r="G81" s="34">
        <v>5</v>
      </c>
      <c r="H81" s="34">
        <v>80920</v>
      </c>
      <c r="I81" s="34" t="s">
        <v>17</v>
      </c>
      <c r="J81" s="24">
        <v>79584573</v>
      </c>
      <c r="K81" s="24" t="s">
        <v>1223</v>
      </c>
      <c r="L81" s="24" t="s">
        <v>1224</v>
      </c>
      <c r="M81" s="43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6644</v>
      </c>
      <c r="B82" s="7">
        <f t="shared" si="3"/>
        <v>46086</v>
      </c>
      <c r="C82" s="7">
        <f t="shared" si="4"/>
        <v>46092</v>
      </c>
      <c r="D82" s="6">
        <v>3284</v>
      </c>
      <c r="E82" s="6">
        <v>338</v>
      </c>
      <c r="F82" s="6">
        <v>4</v>
      </c>
      <c r="G82" s="34">
        <v>5</v>
      </c>
      <c r="H82" s="34">
        <v>80920</v>
      </c>
      <c r="I82" s="34" t="s">
        <v>17</v>
      </c>
      <c r="J82" s="24">
        <v>79584582</v>
      </c>
      <c r="K82" s="24" t="s">
        <v>1223</v>
      </c>
      <c r="L82" s="24" t="s">
        <v>1225</v>
      </c>
      <c r="M82" s="43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6644</v>
      </c>
      <c r="B83" s="7">
        <f t="shared" si="3"/>
        <v>46086</v>
      </c>
      <c r="C83" s="7">
        <f t="shared" si="4"/>
        <v>46092</v>
      </c>
      <c r="D83" s="6">
        <v>3284</v>
      </c>
      <c r="E83" s="6">
        <v>338</v>
      </c>
      <c r="F83" s="6">
        <v>4</v>
      </c>
      <c r="G83" s="34">
        <v>5</v>
      </c>
      <c r="H83" s="34">
        <v>81676</v>
      </c>
      <c r="I83" s="34" t="s">
        <v>17</v>
      </c>
      <c r="J83" s="24">
        <v>79758493</v>
      </c>
      <c r="K83" s="24" t="s">
        <v>1178</v>
      </c>
      <c r="L83" s="24" t="s">
        <v>1179</v>
      </c>
      <c r="M83" s="43">
        <v>199900</v>
      </c>
      <c r="N83" s="37">
        <v>0.9</v>
      </c>
      <c r="O83" s="36">
        <f t="shared" si="5"/>
        <v>19990</v>
      </c>
      <c r="P83" s="6" t="s">
        <v>16</v>
      </c>
    </row>
    <row r="84" spans="1:16" x14ac:dyDescent="0.35">
      <c r="A84" s="34" t="s">
        <v>6644</v>
      </c>
      <c r="B84" s="7">
        <f t="shared" si="3"/>
        <v>46086</v>
      </c>
      <c r="C84" s="7">
        <f t="shared" si="4"/>
        <v>46092</v>
      </c>
      <c r="D84" s="6">
        <v>3284</v>
      </c>
      <c r="E84" s="6">
        <v>338</v>
      </c>
      <c r="F84" s="6">
        <v>4</v>
      </c>
      <c r="G84" s="34">
        <v>5</v>
      </c>
      <c r="H84" s="34">
        <v>81676</v>
      </c>
      <c r="I84" s="34" t="s">
        <v>17</v>
      </c>
      <c r="J84" s="24">
        <v>79758500</v>
      </c>
      <c r="K84" s="24" t="s">
        <v>1178</v>
      </c>
      <c r="L84" s="24" t="s">
        <v>1180</v>
      </c>
      <c r="M84" s="43">
        <v>199900</v>
      </c>
      <c r="N84" s="37">
        <v>0.9</v>
      </c>
      <c r="O84" s="36">
        <f t="shared" si="5"/>
        <v>19990</v>
      </c>
      <c r="P84" s="6" t="s">
        <v>16</v>
      </c>
    </row>
    <row r="85" spans="1:16" x14ac:dyDescent="0.35">
      <c r="A85" s="34" t="s">
        <v>6644</v>
      </c>
      <c r="B85" s="7">
        <f t="shared" si="3"/>
        <v>46086</v>
      </c>
      <c r="C85" s="7">
        <f t="shared" si="4"/>
        <v>46092</v>
      </c>
      <c r="D85" s="6">
        <v>3284</v>
      </c>
      <c r="E85" s="6">
        <v>338</v>
      </c>
      <c r="F85" s="6">
        <v>4</v>
      </c>
      <c r="G85" s="34">
        <v>5</v>
      </c>
      <c r="H85" s="34">
        <v>81676</v>
      </c>
      <c r="I85" s="34" t="s">
        <v>17</v>
      </c>
      <c r="J85" s="24">
        <v>79758519</v>
      </c>
      <c r="K85" s="24" t="s">
        <v>1178</v>
      </c>
      <c r="L85" s="24" t="s">
        <v>1181</v>
      </c>
      <c r="M85" s="43">
        <v>199900</v>
      </c>
      <c r="N85" s="37">
        <v>0.9</v>
      </c>
      <c r="O85" s="36">
        <f t="shared" si="5"/>
        <v>19990</v>
      </c>
      <c r="P85" s="6" t="s">
        <v>16</v>
      </c>
    </row>
    <row r="86" spans="1:16" x14ac:dyDescent="0.35">
      <c r="A86" s="34" t="s">
        <v>6644</v>
      </c>
      <c r="B86" s="7">
        <f t="shared" si="3"/>
        <v>46086</v>
      </c>
      <c r="C86" s="7">
        <f t="shared" si="4"/>
        <v>46092</v>
      </c>
      <c r="D86" s="6">
        <v>3284</v>
      </c>
      <c r="E86" s="6">
        <v>338</v>
      </c>
      <c r="F86" s="6">
        <v>4</v>
      </c>
      <c r="G86" s="34">
        <v>5</v>
      </c>
      <c r="H86" s="34">
        <v>81676</v>
      </c>
      <c r="I86" s="34" t="s">
        <v>17</v>
      </c>
      <c r="J86" s="24">
        <v>79758528</v>
      </c>
      <c r="K86" s="24" t="s">
        <v>1178</v>
      </c>
      <c r="L86" s="24" t="s">
        <v>1182</v>
      </c>
      <c r="M86" s="43">
        <v>199900</v>
      </c>
      <c r="N86" s="37">
        <v>0.9</v>
      </c>
      <c r="O86" s="36">
        <f t="shared" si="5"/>
        <v>19990</v>
      </c>
      <c r="P86" s="6" t="s">
        <v>16</v>
      </c>
    </row>
    <row r="87" spans="1:16" x14ac:dyDescent="0.35">
      <c r="A87" s="34" t="s">
        <v>6644</v>
      </c>
      <c r="B87" s="7">
        <f t="shared" si="3"/>
        <v>46086</v>
      </c>
      <c r="C87" s="7">
        <f t="shared" si="4"/>
        <v>46092</v>
      </c>
      <c r="D87" s="6">
        <v>3284</v>
      </c>
      <c r="E87" s="6">
        <v>338</v>
      </c>
      <c r="F87" s="6">
        <v>4</v>
      </c>
      <c r="G87" s="34">
        <v>5</v>
      </c>
      <c r="H87" s="34">
        <v>81676</v>
      </c>
      <c r="I87" s="34" t="s">
        <v>17</v>
      </c>
      <c r="J87" s="24">
        <v>81270611</v>
      </c>
      <c r="K87" s="24" t="s">
        <v>1268</v>
      </c>
      <c r="L87" s="24" t="s">
        <v>1269</v>
      </c>
      <c r="M87" s="43">
        <v>199900</v>
      </c>
      <c r="N87" s="37">
        <v>0.9</v>
      </c>
      <c r="O87" s="36">
        <f t="shared" si="5"/>
        <v>19990</v>
      </c>
      <c r="P87" s="6" t="s">
        <v>16</v>
      </c>
    </row>
    <row r="88" spans="1:16" x14ac:dyDescent="0.35">
      <c r="A88" s="34" t="s">
        <v>6644</v>
      </c>
      <c r="B88" s="7">
        <f t="shared" si="3"/>
        <v>46086</v>
      </c>
      <c r="C88" s="7">
        <f t="shared" si="4"/>
        <v>46092</v>
      </c>
      <c r="D88" s="6">
        <v>3284</v>
      </c>
      <c r="E88" s="6">
        <v>338</v>
      </c>
      <c r="F88" s="6">
        <v>4</v>
      </c>
      <c r="G88" s="34">
        <v>5</v>
      </c>
      <c r="H88" s="34">
        <v>81676</v>
      </c>
      <c r="I88" s="34" t="s">
        <v>17</v>
      </c>
      <c r="J88" s="24">
        <v>81270620</v>
      </c>
      <c r="K88" s="24" t="s">
        <v>1268</v>
      </c>
      <c r="L88" s="24" t="s">
        <v>1270</v>
      </c>
      <c r="M88" s="43">
        <v>199900</v>
      </c>
      <c r="N88" s="37">
        <v>0.9</v>
      </c>
      <c r="O88" s="36">
        <f t="shared" si="5"/>
        <v>19990</v>
      </c>
      <c r="P88" s="6" t="s">
        <v>16</v>
      </c>
    </row>
    <row r="89" spans="1:16" x14ac:dyDescent="0.35">
      <c r="A89" s="34" t="s">
        <v>6644</v>
      </c>
      <c r="B89" s="7">
        <f t="shared" si="3"/>
        <v>46086</v>
      </c>
      <c r="C89" s="7">
        <f t="shared" si="4"/>
        <v>46092</v>
      </c>
      <c r="D89" s="6">
        <v>3284</v>
      </c>
      <c r="E89" s="6">
        <v>338</v>
      </c>
      <c r="F89" s="6">
        <v>4</v>
      </c>
      <c r="G89" s="34">
        <v>5</v>
      </c>
      <c r="H89" s="34">
        <v>81676</v>
      </c>
      <c r="I89" s="34" t="s">
        <v>17</v>
      </c>
      <c r="J89" s="24">
        <v>81270639</v>
      </c>
      <c r="K89" s="24" t="s">
        <v>1268</v>
      </c>
      <c r="L89" s="24" t="s">
        <v>1271</v>
      </c>
      <c r="M89" s="43">
        <v>199900</v>
      </c>
      <c r="N89" s="37">
        <v>0.9</v>
      </c>
      <c r="O89" s="36">
        <f t="shared" si="5"/>
        <v>19990</v>
      </c>
      <c r="P89" s="6" t="s">
        <v>16</v>
      </c>
    </row>
    <row r="90" spans="1:16" x14ac:dyDescent="0.35">
      <c r="A90" s="34" t="s">
        <v>6644</v>
      </c>
      <c r="B90" s="7">
        <f t="shared" si="3"/>
        <v>46086</v>
      </c>
      <c r="C90" s="7">
        <f t="shared" si="4"/>
        <v>46092</v>
      </c>
      <c r="D90" s="6">
        <v>3284</v>
      </c>
      <c r="E90" s="6">
        <v>338</v>
      </c>
      <c r="F90" s="6">
        <v>4</v>
      </c>
      <c r="G90" s="34">
        <v>5</v>
      </c>
      <c r="H90" s="34">
        <v>81676</v>
      </c>
      <c r="I90" s="34" t="s">
        <v>17</v>
      </c>
      <c r="J90" s="24">
        <v>87629787</v>
      </c>
      <c r="K90" s="24" t="s">
        <v>1157</v>
      </c>
      <c r="L90" s="24" t="s">
        <v>1158</v>
      </c>
      <c r="M90" s="43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6644</v>
      </c>
      <c r="B91" s="7">
        <f t="shared" si="3"/>
        <v>46086</v>
      </c>
      <c r="C91" s="7">
        <f t="shared" si="4"/>
        <v>46092</v>
      </c>
      <c r="D91" s="6">
        <v>3284</v>
      </c>
      <c r="E91" s="6">
        <v>338</v>
      </c>
      <c r="F91" s="6">
        <v>4</v>
      </c>
      <c r="G91" s="34">
        <v>6</v>
      </c>
      <c r="H91" s="34">
        <v>599</v>
      </c>
      <c r="I91" s="34" t="s">
        <v>17</v>
      </c>
      <c r="J91" s="24">
        <v>80290502</v>
      </c>
      <c r="K91" s="24" t="s">
        <v>1277</v>
      </c>
      <c r="L91" s="24" t="s">
        <v>1278</v>
      </c>
      <c r="M91" s="43">
        <v>99900</v>
      </c>
      <c r="N91" s="37">
        <v>0.9</v>
      </c>
      <c r="O91" s="36">
        <f t="shared" si="5"/>
        <v>9990</v>
      </c>
      <c r="P91" s="6" t="s">
        <v>16</v>
      </c>
    </row>
    <row r="92" spans="1:16" x14ac:dyDescent="0.35">
      <c r="A92" s="34" t="s">
        <v>6644</v>
      </c>
      <c r="B92" s="7">
        <f t="shared" si="3"/>
        <v>46086</v>
      </c>
      <c r="C92" s="7">
        <f t="shared" si="4"/>
        <v>46092</v>
      </c>
      <c r="D92" s="6">
        <v>3284</v>
      </c>
      <c r="E92" s="6">
        <v>338</v>
      </c>
      <c r="F92" s="6">
        <v>4</v>
      </c>
      <c r="G92" s="34">
        <v>6</v>
      </c>
      <c r="H92" s="34">
        <v>599</v>
      </c>
      <c r="I92" s="34" t="s">
        <v>17</v>
      </c>
      <c r="J92" s="24">
        <v>80290520</v>
      </c>
      <c r="K92" s="24" t="s">
        <v>1293</v>
      </c>
      <c r="L92" s="24" t="s">
        <v>1294</v>
      </c>
      <c r="M92" s="43">
        <v>99900</v>
      </c>
      <c r="N92" s="37">
        <v>0.9</v>
      </c>
      <c r="O92" s="36">
        <f t="shared" si="5"/>
        <v>9990</v>
      </c>
      <c r="P92" s="6" t="s">
        <v>16</v>
      </c>
    </row>
    <row r="93" spans="1:16" x14ac:dyDescent="0.35">
      <c r="A93" s="34" t="s">
        <v>6644</v>
      </c>
      <c r="B93" s="7">
        <f t="shared" si="3"/>
        <v>46086</v>
      </c>
      <c r="C93" s="7">
        <f t="shared" si="4"/>
        <v>46092</v>
      </c>
      <c r="D93" s="6">
        <v>3284</v>
      </c>
      <c r="E93" s="6">
        <v>338</v>
      </c>
      <c r="F93" s="6">
        <v>4</v>
      </c>
      <c r="G93" s="34">
        <v>6</v>
      </c>
      <c r="H93" s="34">
        <v>599</v>
      </c>
      <c r="I93" s="34" t="s">
        <v>17</v>
      </c>
      <c r="J93" s="24">
        <v>80290539</v>
      </c>
      <c r="K93" s="24" t="s">
        <v>1293</v>
      </c>
      <c r="L93" s="24" t="s">
        <v>1295</v>
      </c>
      <c r="M93" s="43">
        <v>99900</v>
      </c>
      <c r="N93" s="37">
        <v>0.9</v>
      </c>
      <c r="O93" s="36">
        <f t="shared" si="5"/>
        <v>9990</v>
      </c>
      <c r="P93" s="6" t="s">
        <v>16</v>
      </c>
    </row>
    <row r="94" spans="1:16" x14ac:dyDescent="0.35">
      <c r="A94" s="34" t="s">
        <v>6644</v>
      </c>
      <c r="B94" s="7">
        <f t="shared" si="3"/>
        <v>46086</v>
      </c>
      <c r="C94" s="7">
        <f t="shared" si="4"/>
        <v>46092</v>
      </c>
      <c r="D94" s="6">
        <v>3284</v>
      </c>
      <c r="E94" s="6">
        <v>338</v>
      </c>
      <c r="F94" s="6">
        <v>4</v>
      </c>
      <c r="G94" s="34">
        <v>6</v>
      </c>
      <c r="H94" s="34">
        <v>599</v>
      </c>
      <c r="I94" s="34" t="s">
        <v>17</v>
      </c>
      <c r="J94" s="24">
        <v>80290548</v>
      </c>
      <c r="K94" s="24" t="s">
        <v>1296</v>
      </c>
      <c r="L94" s="24" t="s">
        <v>1297</v>
      </c>
      <c r="M94" s="43">
        <v>99900</v>
      </c>
      <c r="N94" s="37">
        <v>0.9</v>
      </c>
      <c r="O94" s="36">
        <f t="shared" si="5"/>
        <v>9990</v>
      </c>
      <c r="P94" s="6" t="s">
        <v>16</v>
      </c>
    </row>
    <row r="95" spans="1:16" x14ac:dyDescent="0.35">
      <c r="A95" s="34" t="s">
        <v>6644</v>
      </c>
      <c r="B95" s="7">
        <f t="shared" si="3"/>
        <v>46086</v>
      </c>
      <c r="C95" s="7">
        <f t="shared" si="4"/>
        <v>46092</v>
      </c>
      <c r="D95" s="6">
        <v>3284</v>
      </c>
      <c r="E95" s="6">
        <v>338</v>
      </c>
      <c r="F95" s="6">
        <v>4</v>
      </c>
      <c r="G95" s="34">
        <v>6</v>
      </c>
      <c r="H95" s="34">
        <v>599</v>
      </c>
      <c r="I95" s="34" t="s">
        <v>17</v>
      </c>
      <c r="J95" s="24">
        <v>80290557</v>
      </c>
      <c r="K95" s="24" t="s">
        <v>1296</v>
      </c>
      <c r="L95" s="24" t="s">
        <v>1298</v>
      </c>
      <c r="M95" s="43">
        <v>99900</v>
      </c>
      <c r="N95" s="37">
        <v>0.9</v>
      </c>
      <c r="O95" s="36">
        <f t="shared" si="5"/>
        <v>9990</v>
      </c>
      <c r="P95" s="6" t="s">
        <v>16</v>
      </c>
    </row>
    <row r="96" spans="1:16" x14ac:dyDescent="0.35">
      <c r="A96" s="34" t="s">
        <v>6644</v>
      </c>
      <c r="B96" s="7">
        <f t="shared" si="3"/>
        <v>46086</v>
      </c>
      <c r="C96" s="7">
        <f t="shared" si="4"/>
        <v>46092</v>
      </c>
      <c r="D96" s="6">
        <v>3284</v>
      </c>
      <c r="E96" s="6">
        <v>338</v>
      </c>
      <c r="F96" s="6">
        <v>4</v>
      </c>
      <c r="G96" s="34">
        <v>6</v>
      </c>
      <c r="H96" s="34">
        <v>599</v>
      </c>
      <c r="I96" s="34" t="s">
        <v>17</v>
      </c>
      <c r="J96" s="24">
        <v>80290575</v>
      </c>
      <c r="K96" s="24" t="s">
        <v>1279</v>
      </c>
      <c r="L96" s="24" t="s">
        <v>1280</v>
      </c>
      <c r="M96" s="43">
        <v>99900</v>
      </c>
      <c r="N96" s="37">
        <v>0.9</v>
      </c>
      <c r="O96" s="36">
        <f t="shared" si="5"/>
        <v>9990</v>
      </c>
      <c r="P96" s="6" t="s">
        <v>16</v>
      </c>
    </row>
    <row r="97" spans="1:16" x14ac:dyDescent="0.35">
      <c r="A97" s="34" t="s">
        <v>6644</v>
      </c>
      <c r="B97" s="7">
        <f t="shared" si="3"/>
        <v>46086</v>
      </c>
      <c r="C97" s="7">
        <f t="shared" si="4"/>
        <v>46092</v>
      </c>
      <c r="D97" s="6">
        <v>3284</v>
      </c>
      <c r="E97" s="6">
        <v>338</v>
      </c>
      <c r="F97" s="6">
        <v>4</v>
      </c>
      <c r="G97" s="34">
        <v>6</v>
      </c>
      <c r="H97" s="34">
        <v>599</v>
      </c>
      <c r="I97" s="34" t="s">
        <v>17</v>
      </c>
      <c r="J97" s="24">
        <v>80290593</v>
      </c>
      <c r="K97" s="24" t="s">
        <v>1281</v>
      </c>
      <c r="L97" s="24" t="s">
        <v>1282</v>
      </c>
      <c r="M97" s="43">
        <v>99900</v>
      </c>
      <c r="N97" s="37">
        <v>0.9</v>
      </c>
      <c r="O97" s="36">
        <f t="shared" si="5"/>
        <v>9990</v>
      </c>
      <c r="P97" s="6" t="s">
        <v>16</v>
      </c>
    </row>
    <row r="98" spans="1:16" x14ac:dyDescent="0.35">
      <c r="A98" s="34" t="s">
        <v>6644</v>
      </c>
      <c r="B98" s="7">
        <f t="shared" si="3"/>
        <v>46086</v>
      </c>
      <c r="C98" s="7">
        <f t="shared" si="4"/>
        <v>46092</v>
      </c>
      <c r="D98" s="6">
        <v>3284</v>
      </c>
      <c r="E98" s="6">
        <v>338</v>
      </c>
      <c r="F98" s="6">
        <v>4</v>
      </c>
      <c r="G98" s="34">
        <v>6</v>
      </c>
      <c r="H98" s="34">
        <v>599</v>
      </c>
      <c r="I98" s="34" t="s">
        <v>17</v>
      </c>
      <c r="J98" s="24">
        <v>80290600</v>
      </c>
      <c r="K98" s="24" t="s">
        <v>1283</v>
      </c>
      <c r="L98" s="24" t="s">
        <v>1284</v>
      </c>
      <c r="M98" s="43">
        <v>99900</v>
      </c>
      <c r="N98" s="37">
        <v>0.9</v>
      </c>
      <c r="O98" s="36">
        <f t="shared" si="5"/>
        <v>9990</v>
      </c>
      <c r="P98" s="6" t="s">
        <v>16</v>
      </c>
    </row>
    <row r="99" spans="1:16" x14ac:dyDescent="0.35">
      <c r="A99" s="34" t="s">
        <v>6644</v>
      </c>
      <c r="B99" s="7">
        <f t="shared" si="3"/>
        <v>46086</v>
      </c>
      <c r="C99" s="7">
        <f t="shared" si="4"/>
        <v>46092</v>
      </c>
      <c r="D99" s="6">
        <v>3284</v>
      </c>
      <c r="E99" s="6">
        <v>338</v>
      </c>
      <c r="F99" s="6">
        <v>4</v>
      </c>
      <c r="G99" s="34">
        <v>6</v>
      </c>
      <c r="H99" s="34">
        <v>599</v>
      </c>
      <c r="I99" s="34" t="s">
        <v>17</v>
      </c>
      <c r="J99" s="24">
        <v>80290619</v>
      </c>
      <c r="K99" s="24" t="s">
        <v>1283</v>
      </c>
      <c r="L99" s="24" t="s">
        <v>1285</v>
      </c>
      <c r="M99" s="43">
        <v>99900</v>
      </c>
      <c r="N99" s="37">
        <v>0.9</v>
      </c>
      <c r="O99" s="36">
        <f t="shared" si="5"/>
        <v>9990</v>
      </c>
      <c r="P99" s="6" t="s">
        <v>16</v>
      </c>
    </row>
    <row r="100" spans="1:16" x14ac:dyDescent="0.35">
      <c r="A100" s="34" t="s">
        <v>6644</v>
      </c>
      <c r="B100" s="7">
        <f t="shared" si="3"/>
        <v>46086</v>
      </c>
      <c r="C100" s="7">
        <f t="shared" si="4"/>
        <v>46092</v>
      </c>
      <c r="D100" s="6">
        <v>3284</v>
      </c>
      <c r="E100" s="6">
        <v>338</v>
      </c>
      <c r="F100" s="6">
        <v>4</v>
      </c>
      <c r="G100" s="34">
        <v>6</v>
      </c>
      <c r="H100" s="34">
        <v>599</v>
      </c>
      <c r="I100" s="34" t="s">
        <v>17</v>
      </c>
      <c r="J100" s="24">
        <v>80290628</v>
      </c>
      <c r="K100" s="24" t="s">
        <v>1286</v>
      </c>
      <c r="L100" s="24" t="s">
        <v>1287</v>
      </c>
      <c r="M100" s="43">
        <v>99900</v>
      </c>
      <c r="N100" s="37">
        <v>0.9</v>
      </c>
      <c r="O100" s="36">
        <f t="shared" si="5"/>
        <v>9990</v>
      </c>
      <c r="P100" s="6" t="s">
        <v>16</v>
      </c>
    </row>
    <row r="101" spans="1:16" x14ac:dyDescent="0.35">
      <c r="A101" s="34" t="s">
        <v>6644</v>
      </c>
      <c r="B101" s="7">
        <f t="shared" si="3"/>
        <v>46086</v>
      </c>
      <c r="C101" s="7">
        <f t="shared" si="4"/>
        <v>46092</v>
      </c>
      <c r="D101" s="6">
        <v>3284</v>
      </c>
      <c r="E101" s="6">
        <v>338</v>
      </c>
      <c r="F101" s="6">
        <v>4</v>
      </c>
      <c r="G101" s="34">
        <v>6</v>
      </c>
      <c r="H101" s="34">
        <v>599</v>
      </c>
      <c r="I101" s="34" t="s">
        <v>17</v>
      </c>
      <c r="J101" s="24">
        <v>80290637</v>
      </c>
      <c r="K101" s="24" t="s">
        <v>1286</v>
      </c>
      <c r="L101" s="24" t="s">
        <v>1288</v>
      </c>
      <c r="M101" s="43">
        <v>99900</v>
      </c>
      <c r="N101" s="37">
        <v>0.9</v>
      </c>
      <c r="O101" s="36">
        <f t="shared" si="5"/>
        <v>9990</v>
      </c>
      <c r="P101" s="6" t="s">
        <v>16</v>
      </c>
    </row>
    <row r="102" spans="1:16" x14ac:dyDescent="0.35">
      <c r="A102" s="34" t="s">
        <v>6644</v>
      </c>
      <c r="B102" s="7">
        <f t="shared" si="3"/>
        <v>46086</v>
      </c>
      <c r="C102" s="7">
        <f t="shared" si="4"/>
        <v>46092</v>
      </c>
      <c r="D102" s="6">
        <v>3284</v>
      </c>
      <c r="E102" s="6">
        <v>338</v>
      </c>
      <c r="F102" s="6">
        <v>4</v>
      </c>
      <c r="G102" s="34">
        <v>6</v>
      </c>
      <c r="H102" s="34">
        <v>599</v>
      </c>
      <c r="I102" s="34" t="s">
        <v>17</v>
      </c>
      <c r="J102" s="24">
        <v>80290655</v>
      </c>
      <c r="K102" s="24" t="s">
        <v>1289</v>
      </c>
      <c r="L102" s="24" t="s">
        <v>1290</v>
      </c>
      <c r="M102" s="43">
        <v>99900</v>
      </c>
      <c r="N102" s="37">
        <v>0.9</v>
      </c>
      <c r="O102" s="36">
        <f t="shared" si="5"/>
        <v>9990</v>
      </c>
      <c r="P102" s="6" t="s">
        <v>16</v>
      </c>
    </row>
    <row r="103" spans="1:16" x14ac:dyDescent="0.35">
      <c r="A103" s="34" t="s">
        <v>6644</v>
      </c>
      <c r="B103" s="7">
        <f t="shared" si="3"/>
        <v>46086</v>
      </c>
      <c r="C103" s="7">
        <f t="shared" si="4"/>
        <v>46092</v>
      </c>
      <c r="D103" s="6">
        <v>3284</v>
      </c>
      <c r="E103" s="6">
        <v>338</v>
      </c>
      <c r="F103" s="6">
        <v>4</v>
      </c>
      <c r="G103" s="34">
        <v>6</v>
      </c>
      <c r="H103" s="34">
        <v>599</v>
      </c>
      <c r="I103" s="34" t="s">
        <v>17</v>
      </c>
      <c r="J103" s="24">
        <v>80290673</v>
      </c>
      <c r="K103" s="24" t="s">
        <v>1291</v>
      </c>
      <c r="L103" s="24" t="s">
        <v>1292</v>
      </c>
      <c r="M103" s="43">
        <v>99900</v>
      </c>
      <c r="N103" s="37">
        <v>0.9</v>
      </c>
      <c r="O103" s="36">
        <f t="shared" si="5"/>
        <v>9990</v>
      </c>
      <c r="P103" s="6" t="s">
        <v>16</v>
      </c>
    </row>
    <row r="104" spans="1:16" x14ac:dyDescent="0.35">
      <c r="A104" s="34" t="s">
        <v>6644</v>
      </c>
      <c r="B104" s="7">
        <f t="shared" si="3"/>
        <v>46086</v>
      </c>
      <c r="C104" s="7">
        <f t="shared" si="4"/>
        <v>46092</v>
      </c>
      <c r="D104" s="6">
        <v>3284</v>
      </c>
      <c r="E104" s="6">
        <v>338</v>
      </c>
      <c r="F104" s="6">
        <v>4</v>
      </c>
      <c r="G104" s="34">
        <v>7</v>
      </c>
      <c r="H104" s="34">
        <v>81421</v>
      </c>
      <c r="I104" s="34" t="s">
        <v>17</v>
      </c>
      <c r="J104" s="24">
        <v>72012685</v>
      </c>
      <c r="K104" s="24" t="s">
        <v>1226</v>
      </c>
      <c r="L104" s="24" t="s">
        <v>1227</v>
      </c>
      <c r="M104" s="43">
        <v>79900</v>
      </c>
      <c r="N104" s="37">
        <v>0.9</v>
      </c>
      <c r="O104" s="36">
        <f t="shared" si="5"/>
        <v>7990</v>
      </c>
      <c r="P104" s="6" t="s">
        <v>16</v>
      </c>
    </row>
    <row r="105" spans="1:16" x14ac:dyDescent="0.35">
      <c r="A105" s="34" t="s">
        <v>6644</v>
      </c>
      <c r="B105" s="7">
        <f t="shared" si="3"/>
        <v>46086</v>
      </c>
      <c r="C105" s="7">
        <f t="shared" si="4"/>
        <v>46092</v>
      </c>
      <c r="D105" s="6">
        <v>3284</v>
      </c>
      <c r="E105" s="6">
        <v>338</v>
      </c>
      <c r="F105" s="6">
        <v>4</v>
      </c>
      <c r="G105" s="34">
        <v>7</v>
      </c>
      <c r="H105" s="34">
        <v>81421</v>
      </c>
      <c r="I105" s="34" t="s">
        <v>17</v>
      </c>
      <c r="J105" s="24">
        <v>72012701</v>
      </c>
      <c r="K105" s="24" t="s">
        <v>1226</v>
      </c>
      <c r="L105" s="24" t="s">
        <v>1228</v>
      </c>
      <c r="M105" s="43">
        <v>79900</v>
      </c>
      <c r="N105" s="37">
        <v>0.9</v>
      </c>
      <c r="O105" s="36">
        <f t="shared" si="5"/>
        <v>7990</v>
      </c>
      <c r="P105" s="6" t="s">
        <v>16</v>
      </c>
    </row>
    <row r="106" spans="1:16" x14ac:dyDescent="0.35">
      <c r="A106" s="34" t="s">
        <v>6644</v>
      </c>
      <c r="B106" s="7">
        <f t="shared" si="3"/>
        <v>46086</v>
      </c>
      <c r="C106" s="7">
        <f t="shared" si="4"/>
        <v>46092</v>
      </c>
      <c r="D106" s="6">
        <v>3284</v>
      </c>
      <c r="E106" s="6">
        <v>338</v>
      </c>
      <c r="F106" s="6">
        <v>4</v>
      </c>
      <c r="G106" s="34">
        <v>7</v>
      </c>
      <c r="H106" s="34">
        <v>81421</v>
      </c>
      <c r="I106" s="34" t="s">
        <v>17</v>
      </c>
      <c r="J106" s="24">
        <v>72012710</v>
      </c>
      <c r="K106" s="24" t="s">
        <v>1226</v>
      </c>
      <c r="L106" s="24" t="s">
        <v>1229</v>
      </c>
      <c r="M106" s="43">
        <v>79900</v>
      </c>
      <c r="N106" s="37">
        <v>0.9</v>
      </c>
      <c r="O106" s="36">
        <f t="shared" si="5"/>
        <v>7990</v>
      </c>
      <c r="P106" s="6" t="s">
        <v>16</v>
      </c>
    </row>
    <row r="107" spans="1:16" x14ac:dyDescent="0.35">
      <c r="A107" s="34" t="s">
        <v>6644</v>
      </c>
      <c r="B107" s="7">
        <f t="shared" si="3"/>
        <v>46086</v>
      </c>
      <c r="C107" s="7">
        <f t="shared" si="4"/>
        <v>46092</v>
      </c>
      <c r="D107" s="6">
        <v>3284</v>
      </c>
      <c r="E107" s="6">
        <v>338</v>
      </c>
      <c r="F107" s="6">
        <v>4</v>
      </c>
      <c r="G107" s="34">
        <v>7</v>
      </c>
      <c r="H107" s="34">
        <v>81676</v>
      </c>
      <c r="I107" s="34" t="s">
        <v>17</v>
      </c>
      <c r="J107" s="24">
        <v>79863351</v>
      </c>
      <c r="K107" s="24" t="s">
        <v>1230</v>
      </c>
      <c r="L107" s="24" t="s">
        <v>1231</v>
      </c>
      <c r="M107" s="43">
        <v>79900</v>
      </c>
      <c r="N107" s="37">
        <v>0.9</v>
      </c>
      <c r="O107" s="36">
        <f t="shared" si="5"/>
        <v>7990</v>
      </c>
      <c r="P107" s="6" t="s">
        <v>16</v>
      </c>
    </row>
    <row r="108" spans="1:16" x14ac:dyDescent="0.35">
      <c r="A108" s="34" t="s">
        <v>6644</v>
      </c>
      <c r="B108" s="7">
        <f t="shared" si="3"/>
        <v>46086</v>
      </c>
      <c r="C108" s="7">
        <f t="shared" si="4"/>
        <v>46092</v>
      </c>
      <c r="D108" s="6">
        <v>3284</v>
      </c>
      <c r="E108" s="6">
        <v>338</v>
      </c>
      <c r="F108" s="6">
        <v>4</v>
      </c>
      <c r="G108" s="34">
        <v>7</v>
      </c>
      <c r="H108" s="34">
        <v>81676</v>
      </c>
      <c r="I108" s="34" t="s">
        <v>17</v>
      </c>
      <c r="J108" s="24">
        <v>79863379</v>
      </c>
      <c r="K108" s="24" t="s">
        <v>1230</v>
      </c>
      <c r="L108" s="24" t="s">
        <v>1232</v>
      </c>
      <c r="M108" s="43">
        <v>79900</v>
      </c>
      <c r="N108" s="37">
        <v>0.9</v>
      </c>
      <c r="O108" s="36">
        <f t="shared" si="5"/>
        <v>7990</v>
      </c>
      <c r="P108" s="6" t="s">
        <v>16</v>
      </c>
    </row>
    <row r="109" spans="1:16" x14ac:dyDescent="0.35">
      <c r="A109" s="34" t="s">
        <v>6644</v>
      </c>
      <c r="B109" s="7">
        <f t="shared" si="3"/>
        <v>46086</v>
      </c>
      <c r="C109" s="7">
        <f t="shared" si="4"/>
        <v>46092</v>
      </c>
      <c r="D109" s="6">
        <v>3284</v>
      </c>
      <c r="E109" s="6">
        <v>338</v>
      </c>
      <c r="F109" s="6">
        <v>4</v>
      </c>
      <c r="G109" s="34">
        <v>7</v>
      </c>
      <c r="H109" s="34">
        <v>81676</v>
      </c>
      <c r="I109" s="34" t="s">
        <v>17</v>
      </c>
      <c r="J109" s="24">
        <v>79863388</v>
      </c>
      <c r="K109" s="24" t="s">
        <v>1230</v>
      </c>
      <c r="L109" s="24" t="s">
        <v>1233</v>
      </c>
      <c r="M109" s="43">
        <v>79900</v>
      </c>
      <c r="N109" s="37">
        <v>0.9</v>
      </c>
      <c r="O109" s="36">
        <f t="shared" si="5"/>
        <v>7990</v>
      </c>
      <c r="P109" s="6" t="s">
        <v>16</v>
      </c>
    </row>
    <row r="110" spans="1:16" x14ac:dyDescent="0.35">
      <c r="A110" s="34" t="s">
        <v>6644</v>
      </c>
      <c r="B110" s="7">
        <f t="shared" si="3"/>
        <v>46086</v>
      </c>
      <c r="C110" s="7">
        <f t="shared" si="4"/>
        <v>46092</v>
      </c>
      <c r="D110" s="6">
        <v>3284</v>
      </c>
      <c r="E110" s="6">
        <v>338</v>
      </c>
      <c r="F110" s="6">
        <v>4</v>
      </c>
      <c r="G110" s="34">
        <v>7</v>
      </c>
      <c r="H110" s="34">
        <v>81676</v>
      </c>
      <c r="I110" s="34" t="s">
        <v>17</v>
      </c>
      <c r="J110" s="24">
        <v>79863431</v>
      </c>
      <c r="K110" s="24" t="s">
        <v>1234</v>
      </c>
      <c r="L110" s="24" t="s">
        <v>1235</v>
      </c>
      <c r="M110" s="43">
        <v>199900</v>
      </c>
      <c r="N110" s="37">
        <v>0.9</v>
      </c>
      <c r="O110" s="36">
        <f t="shared" si="5"/>
        <v>19990</v>
      </c>
      <c r="P110" s="6" t="s">
        <v>16</v>
      </c>
    </row>
    <row r="111" spans="1:16" x14ac:dyDescent="0.35">
      <c r="A111" s="34" t="s">
        <v>6644</v>
      </c>
      <c r="B111" s="7">
        <f t="shared" si="3"/>
        <v>46086</v>
      </c>
      <c r="C111" s="7">
        <f t="shared" si="4"/>
        <v>46092</v>
      </c>
      <c r="D111" s="6">
        <v>3284</v>
      </c>
      <c r="E111" s="6">
        <v>338</v>
      </c>
      <c r="F111" s="6">
        <v>4</v>
      </c>
      <c r="G111" s="34">
        <v>7</v>
      </c>
      <c r="H111" s="34">
        <v>81676</v>
      </c>
      <c r="I111" s="34" t="s">
        <v>17</v>
      </c>
      <c r="J111" s="24">
        <v>79863440</v>
      </c>
      <c r="K111" s="24" t="s">
        <v>1234</v>
      </c>
      <c r="L111" s="24" t="s">
        <v>1236</v>
      </c>
      <c r="M111" s="43">
        <v>199900</v>
      </c>
      <c r="N111" s="37">
        <v>0.9</v>
      </c>
      <c r="O111" s="36">
        <f t="shared" si="5"/>
        <v>19990</v>
      </c>
      <c r="P111" s="6" t="s">
        <v>16</v>
      </c>
    </row>
    <row r="112" spans="1:16" x14ac:dyDescent="0.35">
      <c r="A112" s="34" t="s">
        <v>6644</v>
      </c>
      <c r="B112" s="7">
        <f t="shared" si="3"/>
        <v>46086</v>
      </c>
      <c r="C112" s="7">
        <f t="shared" si="4"/>
        <v>46092</v>
      </c>
      <c r="D112" s="6">
        <v>3284</v>
      </c>
      <c r="E112" s="6">
        <v>338</v>
      </c>
      <c r="F112" s="6">
        <v>4</v>
      </c>
      <c r="G112" s="34">
        <v>7</v>
      </c>
      <c r="H112" s="34">
        <v>81676</v>
      </c>
      <c r="I112" s="34" t="s">
        <v>17</v>
      </c>
      <c r="J112" s="24">
        <v>79863459</v>
      </c>
      <c r="K112" s="24" t="s">
        <v>1234</v>
      </c>
      <c r="L112" s="24" t="s">
        <v>1237</v>
      </c>
      <c r="M112" s="43">
        <v>199900</v>
      </c>
      <c r="N112" s="37">
        <v>0.9</v>
      </c>
      <c r="O112" s="36">
        <f t="shared" si="5"/>
        <v>19990</v>
      </c>
      <c r="P112" s="6" t="s">
        <v>16</v>
      </c>
    </row>
    <row r="113" spans="1:16" x14ac:dyDescent="0.35">
      <c r="A113" s="34" t="s">
        <v>6644</v>
      </c>
      <c r="B113" s="7">
        <f t="shared" si="3"/>
        <v>46086</v>
      </c>
      <c r="C113" s="7">
        <f t="shared" si="4"/>
        <v>46092</v>
      </c>
      <c r="D113" s="6">
        <v>3284</v>
      </c>
      <c r="E113" s="6">
        <v>338</v>
      </c>
      <c r="F113" s="6">
        <v>4</v>
      </c>
      <c r="G113" s="34">
        <v>7</v>
      </c>
      <c r="H113" s="34">
        <v>81676</v>
      </c>
      <c r="I113" s="34" t="s">
        <v>17</v>
      </c>
      <c r="J113" s="24">
        <v>79863468</v>
      </c>
      <c r="K113" s="24" t="s">
        <v>1234</v>
      </c>
      <c r="L113" s="24" t="s">
        <v>1238</v>
      </c>
      <c r="M113" s="43">
        <v>199900</v>
      </c>
      <c r="N113" s="37">
        <v>0.9</v>
      </c>
      <c r="O113" s="36">
        <f t="shared" si="5"/>
        <v>19990</v>
      </c>
      <c r="P113" s="6" t="s">
        <v>16</v>
      </c>
    </row>
    <row r="114" spans="1:16" x14ac:dyDescent="0.35">
      <c r="A114" s="34" t="s">
        <v>6644</v>
      </c>
      <c r="B114" s="7">
        <f t="shared" si="3"/>
        <v>46086</v>
      </c>
      <c r="C114" s="7">
        <f t="shared" si="4"/>
        <v>46092</v>
      </c>
      <c r="D114" s="6">
        <v>3284</v>
      </c>
      <c r="E114" s="6">
        <v>338</v>
      </c>
      <c r="F114" s="6">
        <v>4</v>
      </c>
      <c r="G114" s="34">
        <v>7</v>
      </c>
      <c r="H114" s="34">
        <v>81676</v>
      </c>
      <c r="I114" s="34" t="s">
        <v>17</v>
      </c>
      <c r="J114" s="24">
        <v>79863477</v>
      </c>
      <c r="K114" s="24" t="s">
        <v>1239</v>
      </c>
      <c r="L114" s="24" t="s">
        <v>1240</v>
      </c>
      <c r="M114" s="43">
        <v>139900</v>
      </c>
      <c r="N114" s="37">
        <v>0.9</v>
      </c>
      <c r="O114" s="36">
        <f t="shared" si="5"/>
        <v>13990</v>
      </c>
      <c r="P114" s="6" t="s">
        <v>16</v>
      </c>
    </row>
    <row r="115" spans="1:16" x14ac:dyDescent="0.35">
      <c r="A115" s="34" t="s">
        <v>6644</v>
      </c>
      <c r="B115" s="7">
        <f t="shared" si="3"/>
        <v>46086</v>
      </c>
      <c r="C115" s="7">
        <f t="shared" si="4"/>
        <v>46092</v>
      </c>
      <c r="D115" s="6">
        <v>3284</v>
      </c>
      <c r="E115" s="6">
        <v>338</v>
      </c>
      <c r="F115" s="6">
        <v>4</v>
      </c>
      <c r="G115" s="34">
        <v>7</v>
      </c>
      <c r="H115" s="34">
        <v>81676</v>
      </c>
      <c r="I115" s="34" t="s">
        <v>17</v>
      </c>
      <c r="J115" s="24">
        <v>79863486</v>
      </c>
      <c r="K115" s="24" t="s">
        <v>1239</v>
      </c>
      <c r="L115" s="24" t="s">
        <v>1241</v>
      </c>
      <c r="M115" s="43">
        <v>139900</v>
      </c>
      <c r="N115" s="37">
        <v>0.9</v>
      </c>
      <c r="O115" s="36">
        <f t="shared" si="5"/>
        <v>13990</v>
      </c>
      <c r="P115" s="6" t="s">
        <v>16</v>
      </c>
    </row>
    <row r="116" spans="1:16" x14ac:dyDescent="0.35">
      <c r="A116" s="34" t="s">
        <v>6644</v>
      </c>
      <c r="B116" s="7">
        <f t="shared" si="3"/>
        <v>46086</v>
      </c>
      <c r="C116" s="7">
        <f t="shared" si="4"/>
        <v>46092</v>
      </c>
      <c r="D116" s="6">
        <v>3284</v>
      </c>
      <c r="E116" s="6">
        <v>338</v>
      </c>
      <c r="F116" s="6">
        <v>4</v>
      </c>
      <c r="G116" s="34">
        <v>7</v>
      </c>
      <c r="H116" s="34">
        <v>81676</v>
      </c>
      <c r="I116" s="34" t="s">
        <v>17</v>
      </c>
      <c r="J116" s="24">
        <v>79863495</v>
      </c>
      <c r="K116" s="24" t="s">
        <v>1239</v>
      </c>
      <c r="L116" s="24" t="s">
        <v>1242</v>
      </c>
      <c r="M116" s="43">
        <v>139900</v>
      </c>
      <c r="N116" s="37">
        <v>0.9</v>
      </c>
      <c r="O116" s="36">
        <f t="shared" si="5"/>
        <v>13990</v>
      </c>
      <c r="P116" s="6" t="s">
        <v>16</v>
      </c>
    </row>
    <row r="117" spans="1:16" x14ac:dyDescent="0.35">
      <c r="A117" s="34" t="s">
        <v>6644</v>
      </c>
      <c r="B117" s="7">
        <f t="shared" si="3"/>
        <v>46086</v>
      </c>
      <c r="C117" s="7">
        <f t="shared" si="4"/>
        <v>46092</v>
      </c>
      <c r="D117" s="6">
        <v>3284</v>
      </c>
      <c r="E117" s="6">
        <v>338</v>
      </c>
      <c r="F117" s="6">
        <v>4</v>
      </c>
      <c r="G117" s="34">
        <v>7</v>
      </c>
      <c r="H117" s="34">
        <v>81676</v>
      </c>
      <c r="I117" s="34" t="s">
        <v>17</v>
      </c>
      <c r="J117" s="24">
        <v>79863502</v>
      </c>
      <c r="K117" s="24" t="s">
        <v>1239</v>
      </c>
      <c r="L117" s="24" t="s">
        <v>1243</v>
      </c>
      <c r="M117" s="43">
        <v>139900</v>
      </c>
      <c r="N117" s="37">
        <v>0.9</v>
      </c>
      <c r="O117" s="36">
        <f t="shared" si="5"/>
        <v>13990</v>
      </c>
      <c r="P117" s="6" t="s">
        <v>16</v>
      </c>
    </row>
    <row r="118" spans="1:16" x14ac:dyDescent="0.35">
      <c r="A118" s="34" t="s">
        <v>6644</v>
      </c>
      <c r="B118" s="7">
        <f t="shared" si="3"/>
        <v>46086</v>
      </c>
      <c r="C118" s="7">
        <f t="shared" si="4"/>
        <v>46092</v>
      </c>
      <c r="D118" s="6">
        <v>3284</v>
      </c>
      <c r="E118" s="6">
        <v>338</v>
      </c>
      <c r="F118" s="6">
        <v>4</v>
      </c>
      <c r="G118" s="34">
        <v>7</v>
      </c>
      <c r="H118" s="34">
        <v>81676</v>
      </c>
      <c r="I118" s="34" t="s">
        <v>17</v>
      </c>
      <c r="J118" s="24">
        <v>79863548</v>
      </c>
      <c r="K118" s="24" t="s">
        <v>1244</v>
      </c>
      <c r="L118" s="24" t="s">
        <v>1245</v>
      </c>
      <c r="M118" s="43">
        <v>199900</v>
      </c>
      <c r="N118" s="37">
        <v>0.9</v>
      </c>
      <c r="O118" s="36">
        <f t="shared" si="5"/>
        <v>19990</v>
      </c>
      <c r="P118" s="6" t="s">
        <v>16</v>
      </c>
    </row>
    <row r="119" spans="1:16" x14ac:dyDescent="0.35">
      <c r="A119" s="34" t="s">
        <v>6644</v>
      </c>
      <c r="B119" s="7">
        <f t="shared" si="3"/>
        <v>46086</v>
      </c>
      <c r="C119" s="7">
        <f t="shared" si="4"/>
        <v>46092</v>
      </c>
      <c r="D119" s="6">
        <v>3284</v>
      </c>
      <c r="E119" s="6">
        <v>338</v>
      </c>
      <c r="F119" s="6">
        <v>4</v>
      </c>
      <c r="G119" s="34">
        <v>7</v>
      </c>
      <c r="H119" s="34">
        <v>81676</v>
      </c>
      <c r="I119" s="34" t="s">
        <v>17</v>
      </c>
      <c r="J119" s="24">
        <v>65073310</v>
      </c>
      <c r="K119" s="24" t="s">
        <v>1183</v>
      </c>
      <c r="L119" s="24" t="s">
        <v>1184</v>
      </c>
      <c r="M119" s="43">
        <v>149900</v>
      </c>
      <c r="N119" s="37">
        <v>0.9</v>
      </c>
      <c r="O119" s="36">
        <f t="shared" si="5"/>
        <v>14990</v>
      </c>
      <c r="P119" s="6" t="s">
        <v>16</v>
      </c>
    </row>
    <row r="120" spans="1:16" x14ac:dyDescent="0.35">
      <c r="A120" s="34" t="s">
        <v>6644</v>
      </c>
      <c r="B120" s="7">
        <f t="shared" si="3"/>
        <v>46086</v>
      </c>
      <c r="C120" s="7">
        <f t="shared" si="4"/>
        <v>46092</v>
      </c>
      <c r="D120" s="6">
        <v>3284</v>
      </c>
      <c r="E120" s="6">
        <v>338</v>
      </c>
      <c r="F120" s="6">
        <v>4</v>
      </c>
      <c r="G120" s="34">
        <v>7</v>
      </c>
      <c r="H120" s="34">
        <v>81676</v>
      </c>
      <c r="I120" s="34" t="s">
        <v>17</v>
      </c>
      <c r="J120" s="24">
        <v>65073338</v>
      </c>
      <c r="K120" s="24" t="s">
        <v>1183</v>
      </c>
      <c r="L120" s="24" t="s">
        <v>1185</v>
      </c>
      <c r="M120" s="43">
        <v>149900</v>
      </c>
      <c r="N120" s="37">
        <v>0.9</v>
      </c>
      <c r="O120" s="36">
        <f t="shared" si="5"/>
        <v>14990</v>
      </c>
      <c r="P120" s="6" t="s">
        <v>16</v>
      </c>
    </row>
    <row r="121" spans="1:16" x14ac:dyDescent="0.35">
      <c r="A121" s="34" t="s">
        <v>6644</v>
      </c>
      <c r="B121" s="7">
        <f t="shared" si="3"/>
        <v>46086</v>
      </c>
      <c r="C121" s="7">
        <f t="shared" si="4"/>
        <v>46092</v>
      </c>
      <c r="D121" s="6">
        <v>3284</v>
      </c>
      <c r="E121" s="6">
        <v>338</v>
      </c>
      <c r="F121" s="6">
        <v>4</v>
      </c>
      <c r="G121" s="34">
        <v>7</v>
      </c>
      <c r="H121" s="34">
        <v>81676</v>
      </c>
      <c r="I121" s="34" t="s">
        <v>17</v>
      </c>
      <c r="J121" s="24">
        <v>65073347</v>
      </c>
      <c r="K121" s="24" t="s">
        <v>1183</v>
      </c>
      <c r="L121" s="24" t="s">
        <v>1186</v>
      </c>
      <c r="M121" s="43">
        <v>149900</v>
      </c>
      <c r="N121" s="37">
        <v>0.9</v>
      </c>
      <c r="O121" s="36">
        <f t="shared" si="5"/>
        <v>14990</v>
      </c>
      <c r="P121" s="6" t="s">
        <v>16</v>
      </c>
    </row>
    <row r="122" spans="1:16" x14ac:dyDescent="0.35">
      <c r="A122" s="34" t="s">
        <v>6644</v>
      </c>
      <c r="B122" s="7">
        <f t="shared" si="3"/>
        <v>46086</v>
      </c>
      <c r="C122" s="7">
        <f t="shared" si="4"/>
        <v>46092</v>
      </c>
      <c r="D122" s="6">
        <v>3284</v>
      </c>
      <c r="E122" s="6">
        <v>338</v>
      </c>
      <c r="F122" s="6">
        <v>4</v>
      </c>
      <c r="G122" s="34">
        <v>8</v>
      </c>
      <c r="H122" s="34">
        <v>81421</v>
      </c>
      <c r="I122" s="34" t="s">
        <v>17</v>
      </c>
      <c r="J122" s="24">
        <v>76616221</v>
      </c>
      <c r="K122" s="24" t="s">
        <v>5603</v>
      </c>
      <c r="L122" s="24" t="s">
        <v>5604</v>
      </c>
      <c r="M122" s="43">
        <v>199900</v>
      </c>
      <c r="N122" s="37">
        <v>0.9</v>
      </c>
      <c r="O122" s="36">
        <f t="shared" si="5"/>
        <v>19990</v>
      </c>
      <c r="P122" s="6" t="s">
        <v>16</v>
      </c>
    </row>
    <row r="123" spans="1:16" x14ac:dyDescent="0.35">
      <c r="A123" s="34" t="s">
        <v>6644</v>
      </c>
      <c r="B123" s="7">
        <f t="shared" si="3"/>
        <v>46086</v>
      </c>
      <c r="C123" s="7">
        <f t="shared" si="4"/>
        <v>46092</v>
      </c>
      <c r="D123" s="6">
        <v>3284</v>
      </c>
      <c r="E123" s="6">
        <v>338</v>
      </c>
      <c r="F123" s="6">
        <v>4</v>
      </c>
      <c r="G123" s="34">
        <v>8</v>
      </c>
      <c r="H123" s="34">
        <v>81421</v>
      </c>
      <c r="I123" s="34" t="s">
        <v>17</v>
      </c>
      <c r="J123" s="24">
        <v>76616230</v>
      </c>
      <c r="K123" s="24" t="s">
        <v>5603</v>
      </c>
      <c r="L123" s="24" t="s">
        <v>5605</v>
      </c>
      <c r="M123" s="43">
        <v>199900</v>
      </c>
      <c r="N123" s="37">
        <v>0.9</v>
      </c>
      <c r="O123" s="36">
        <f t="shared" si="5"/>
        <v>19990</v>
      </c>
      <c r="P123" s="6" t="s">
        <v>16</v>
      </c>
    </row>
    <row r="124" spans="1:16" x14ac:dyDescent="0.35">
      <c r="A124" s="34" t="s">
        <v>6644</v>
      </c>
      <c r="B124" s="7">
        <f t="shared" si="3"/>
        <v>46086</v>
      </c>
      <c r="C124" s="7">
        <f t="shared" si="4"/>
        <v>46092</v>
      </c>
      <c r="D124" s="6">
        <v>3284</v>
      </c>
      <c r="E124" s="6">
        <v>338</v>
      </c>
      <c r="F124" s="6">
        <v>4</v>
      </c>
      <c r="G124" s="34">
        <v>8</v>
      </c>
      <c r="H124" s="34">
        <v>81421</v>
      </c>
      <c r="I124" s="34" t="s">
        <v>17</v>
      </c>
      <c r="J124" s="24">
        <v>76616249</v>
      </c>
      <c r="K124" s="24" t="s">
        <v>5603</v>
      </c>
      <c r="L124" s="24" t="s">
        <v>5606</v>
      </c>
      <c r="M124" s="43">
        <v>199900</v>
      </c>
      <c r="N124" s="37">
        <v>0.9</v>
      </c>
      <c r="O124" s="36">
        <f t="shared" si="5"/>
        <v>19990</v>
      </c>
      <c r="P124" s="6" t="s">
        <v>16</v>
      </c>
    </row>
    <row r="125" spans="1:16" x14ac:dyDescent="0.35">
      <c r="A125" s="34" t="s">
        <v>6644</v>
      </c>
      <c r="B125" s="7">
        <f t="shared" si="3"/>
        <v>46086</v>
      </c>
      <c r="C125" s="7">
        <f t="shared" si="4"/>
        <v>46092</v>
      </c>
      <c r="D125" s="6">
        <v>3284</v>
      </c>
      <c r="E125" s="6">
        <v>338</v>
      </c>
      <c r="F125" s="6">
        <v>4</v>
      </c>
      <c r="G125" s="34">
        <v>8</v>
      </c>
      <c r="H125" s="34">
        <v>81421</v>
      </c>
      <c r="I125" s="34" t="s">
        <v>17</v>
      </c>
      <c r="J125" s="24">
        <v>76616276</v>
      </c>
      <c r="K125" s="24" t="s">
        <v>5607</v>
      </c>
      <c r="L125" s="24" t="s">
        <v>5608</v>
      </c>
      <c r="M125" s="43">
        <v>179900</v>
      </c>
      <c r="N125" s="37">
        <v>0.9</v>
      </c>
      <c r="O125" s="36">
        <f t="shared" si="5"/>
        <v>17990</v>
      </c>
      <c r="P125" s="6" t="s">
        <v>16</v>
      </c>
    </row>
    <row r="126" spans="1:16" x14ac:dyDescent="0.35">
      <c r="A126" s="34" t="s">
        <v>6644</v>
      </c>
      <c r="B126" s="7">
        <f t="shared" si="3"/>
        <v>46086</v>
      </c>
      <c r="C126" s="7">
        <f t="shared" si="4"/>
        <v>46092</v>
      </c>
      <c r="D126" s="6">
        <v>3284</v>
      </c>
      <c r="E126" s="6">
        <v>338</v>
      </c>
      <c r="F126" s="6">
        <v>4</v>
      </c>
      <c r="G126" s="34">
        <v>8</v>
      </c>
      <c r="H126" s="34">
        <v>81421</v>
      </c>
      <c r="I126" s="34" t="s">
        <v>17</v>
      </c>
      <c r="J126" s="24">
        <v>76616329</v>
      </c>
      <c r="K126" s="24" t="s">
        <v>5609</v>
      </c>
      <c r="L126" s="24" t="s">
        <v>5610</v>
      </c>
      <c r="M126" s="43">
        <v>219900</v>
      </c>
      <c r="N126" s="37">
        <v>0.9</v>
      </c>
      <c r="O126" s="36">
        <f t="shared" si="5"/>
        <v>21990</v>
      </c>
      <c r="P126" s="6" t="s">
        <v>16</v>
      </c>
    </row>
    <row r="127" spans="1:16" x14ac:dyDescent="0.35">
      <c r="A127" s="34" t="s">
        <v>6644</v>
      </c>
      <c r="B127" s="7">
        <f t="shared" si="3"/>
        <v>46086</v>
      </c>
      <c r="C127" s="7">
        <f t="shared" si="4"/>
        <v>46092</v>
      </c>
      <c r="D127" s="6">
        <v>3284</v>
      </c>
      <c r="E127" s="6">
        <v>338</v>
      </c>
      <c r="F127" s="6">
        <v>4</v>
      </c>
      <c r="G127" s="34">
        <v>8</v>
      </c>
      <c r="H127" s="34">
        <v>80920</v>
      </c>
      <c r="I127" s="34" t="s">
        <v>17</v>
      </c>
      <c r="J127" s="24">
        <v>83507951</v>
      </c>
      <c r="K127" s="24" t="s">
        <v>5611</v>
      </c>
      <c r="L127" s="24" t="s">
        <v>5612</v>
      </c>
      <c r="M127" s="43">
        <v>159900</v>
      </c>
      <c r="N127" s="37">
        <v>0.9</v>
      </c>
      <c r="O127" s="36">
        <f t="shared" si="5"/>
        <v>15990</v>
      </c>
      <c r="P127" s="6" t="s">
        <v>16</v>
      </c>
    </row>
    <row r="128" spans="1:16" x14ac:dyDescent="0.35">
      <c r="A128" s="34" t="s">
        <v>6644</v>
      </c>
      <c r="B128" s="7">
        <f t="shared" si="3"/>
        <v>46086</v>
      </c>
      <c r="C128" s="7">
        <f t="shared" si="4"/>
        <v>46092</v>
      </c>
      <c r="D128" s="6">
        <v>3284</v>
      </c>
      <c r="E128" s="6">
        <v>338</v>
      </c>
      <c r="F128" s="6">
        <v>4</v>
      </c>
      <c r="G128" s="34">
        <v>8</v>
      </c>
      <c r="H128" s="34">
        <v>80920</v>
      </c>
      <c r="I128" s="34" t="s">
        <v>17</v>
      </c>
      <c r="J128" s="24">
        <v>83508030</v>
      </c>
      <c r="K128" s="24" t="s">
        <v>5613</v>
      </c>
      <c r="L128" s="24" t="s">
        <v>5614</v>
      </c>
      <c r="M128" s="43">
        <v>119900</v>
      </c>
      <c r="N128" s="37">
        <v>0.9</v>
      </c>
      <c r="O128" s="36">
        <f t="shared" si="5"/>
        <v>11990</v>
      </c>
      <c r="P128" s="6" t="s">
        <v>16</v>
      </c>
    </row>
    <row r="129" spans="1:16" x14ac:dyDescent="0.35">
      <c r="A129" s="34" t="s">
        <v>6644</v>
      </c>
      <c r="B129" s="7">
        <f t="shared" si="3"/>
        <v>46086</v>
      </c>
      <c r="C129" s="7">
        <f t="shared" si="4"/>
        <v>46092</v>
      </c>
      <c r="D129" s="6">
        <v>3284</v>
      </c>
      <c r="E129" s="6">
        <v>338</v>
      </c>
      <c r="F129" s="6">
        <v>4</v>
      </c>
      <c r="G129" s="34">
        <v>8</v>
      </c>
      <c r="H129" s="34">
        <v>81676</v>
      </c>
      <c r="I129" s="34" t="s">
        <v>17</v>
      </c>
      <c r="J129" s="24">
        <v>13432912</v>
      </c>
      <c r="K129" s="24" t="s">
        <v>5615</v>
      </c>
      <c r="L129" s="24" t="s">
        <v>5616</v>
      </c>
      <c r="M129" s="43">
        <v>159900</v>
      </c>
      <c r="N129" s="37">
        <v>0.9</v>
      </c>
      <c r="O129" s="36">
        <f t="shared" si="5"/>
        <v>15990</v>
      </c>
      <c r="P129" s="6" t="s">
        <v>16</v>
      </c>
    </row>
    <row r="130" spans="1:16" x14ac:dyDescent="0.35">
      <c r="A130" s="34" t="s">
        <v>6644</v>
      </c>
      <c r="B130" s="7">
        <f t="shared" si="3"/>
        <v>46086</v>
      </c>
      <c r="C130" s="7">
        <f t="shared" si="4"/>
        <v>46092</v>
      </c>
      <c r="D130" s="6">
        <v>3284</v>
      </c>
      <c r="E130" s="6">
        <v>338</v>
      </c>
      <c r="F130" s="6">
        <v>4</v>
      </c>
      <c r="G130" s="34">
        <v>8</v>
      </c>
      <c r="H130" s="34">
        <v>81676</v>
      </c>
      <c r="I130" s="34" t="s">
        <v>17</v>
      </c>
      <c r="J130" s="24">
        <v>13432921</v>
      </c>
      <c r="K130" s="24" t="s">
        <v>5615</v>
      </c>
      <c r="L130" s="24" t="s">
        <v>5617</v>
      </c>
      <c r="M130" s="43">
        <v>159900</v>
      </c>
      <c r="N130" s="37">
        <v>0.9</v>
      </c>
      <c r="O130" s="36">
        <f t="shared" si="5"/>
        <v>15990</v>
      </c>
      <c r="P130" s="6" t="s">
        <v>16</v>
      </c>
    </row>
    <row r="131" spans="1:16" x14ac:dyDescent="0.35">
      <c r="A131" s="34" t="s">
        <v>6644</v>
      </c>
      <c r="B131" s="7">
        <f t="shared" si="3"/>
        <v>46086</v>
      </c>
      <c r="C131" s="7">
        <f t="shared" si="4"/>
        <v>46092</v>
      </c>
      <c r="D131" s="6">
        <v>3284</v>
      </c>
      <c r="E131" s="6">
        <v>338</v>
      </c>
      <c r="F131" s="6">
        <v>4</v>
      </c>
      <c r="G131" s="34">
        <v>8</v>
      </c>
      <c r="H131" s="34">
        <v>81676</v>
      </c>
      <c r="I131" s="34" t="s">
        <v>17</v>
      </c>
      <c r="J131" s="24">
        <v>13432930</v>
      </c>
      <c r="K131" s="24" t="s">
        <v>5615</v>
      </c>
      <c r="L131" s="24" t="s">
        <v>5618</v>
      </c>
      <c r="M131" s="43">
        <v>159900</v>
      </c>
      <c r="N131" s="37">
        <v>0.9</v>
      </c>
      <c r="O131" s="36">
        <f t="shared" si="5"/>
        <v>15990</v>
      </c>
      <c r="P131" s="6" t="s">
        <v>16</v>
      </c>
    </row>
    <row r="132" spans="1:16" x14ac:dyDescent="0.35">
      <c r="A132" s="34" t="s">
        <v>6644</v>
      </c>
      <c r="B132" s="7">
        <f t="shared" ref="B132:B146" si="6">B131</f>
        <v>46086</v>
      </c>
      <c r="C132" s="7">
        <f t="shared" ref="C132:C146" si="7">C131</f>
        <v>46092</v>
      </c>
      <c r="D132" s="6">
        <v>3284</v>
      </c>
      <c r="E132" s="6">
        <v>338</v>
      </c>
      <c r="F132" s="6">
        <v>4</v>
      </c>
      <c r="G132" s="34">
        <v>8</v>
      </c>
      <c r="H132" s="34">
        <v>81676</v>
      </c>
      <c r="I132" s="34" t="s">
        <v>17</v>
      </c>
      <c r="J132" s="24">
        <v>13432949</v>
      </c>
      <c r="K132" s="24" t="s">
        <v>5615</v>
      </c>
      <c r="L132" s="24" t="s">
        <v>5619</v>
      </c>
      <c r="M132" s="43">
        <v>159900</v>
      </c>
      <c r="N132" s="37">
        <v>0.9</v>
      </c>
      <c r="O132" s="36">
        <f t="shared" ref="O132:O146" si="8">M132-((90*M132)/100)</f>
        <v>15990</v>
      </c>
      <c r="P132" s="6" t="s">
        <v>16</v>
      </c>
    </row>
    <row r="133" spans="1:16" x14ac:dyDescent="0.35">
      <c r="A133" s="34" t="s">
        <v>6644</v>
      </c>
      <c r="B133" s="7">
        <f t="shared" si="6"/>
        <v>46086</v>
      </c>
      <c r="C133" s="7">
        <f t="shared" si="7"/>
        <v>46092</v>
      </c>
      <c r="D133" s="6">
        <v>3284</v>
      </c>
      <c r="E133" s="6">
        <v>338</v>
      </c>
      <c r="F133" s="6">
        <v>4</v>
      </c>
      <c r="G133" s="34">
        <v>8</v>
      </c>
      <c r="H133" s="34">
        <v>81676</v>
      </c>
      <c r="I133" s="34" t="s">
        <v>17</v>
      </c>
      <c r="J133" s="24">
        <v>13432967</v>
      </c>
      <c r="K133" s="24" t="s">
        <v>5620</v>
      </c>
      <c r="L133" s="24" t="s">
        <v>5621</v>
      </c>
      <c r="M133" s="43">
        <v>159900</v>
      </c>
      <c r="N133" s="37">
        <v>0.9</v>
      </c>
      <c r="O133" s="36">
        <f t="shared" si="8"/>
        <v>15990</v>
      </c>
      <c r="P133" s="6" t="s">
        <v>16</v>
      </c>
    </row>
    <row r="134" spans="1:16" x14ac:dyDescent="0.35">
      <c r="A134" s="34" t="s">
        <v>6644</v>
      </c>
      <c r="B134" s="7">
        <f t="shared" si="6"/>
        <v>46086</v>
      </c>
      <c r="C134" s="7">
        <f t="shared" si="7"/>
        <v>46092</v>
      </c>
      <c r="D134" s="6">
        <v>3284</v>
      </c>
      <c r="E134" s="6">
        <v>338</v>
      </c>
      <c r="F134" s="6">
        <v>4</v>
      </c>
      <c r="G134" s="34">
        <v>8</v>
      </c>
      <c r="H134" s="34">
        <v>81676</v>
      </c>
      <c r="I134" s="34" t="s">
        <v>17</v>
      </c>
      <c r="J134" s="24">
        <v>13432994</v>
      </c>
      <c r="K134" s="24" t="s">
        <v>5620</v>
      </c>
      <c r="L134" s="24" t="s">
        <v>5622</v>
      </c>
      <c r="M134" s="43">
        <v>159900</v>
      </c>
      <c r="N134" s="37">
        <v>0.9</v>
      </c>
      <c r="O134" s="36">
        <f t="shared" si="8"/>
        <v>15990</v>
      </c>
      <c r="P134" s="6" t="s">
        <v>16</v>
      </c>
    </row>
    <row r="135" spans="1:16" x14ac:dyDescent="0.35">
      <c r="A135" s="34" t="s">
        <v>6644</v>
      </c>
      <c r="B135" s="7">
        <f t="shared" si="6"/>
        <v>46086</v>
      </c>
      <c r="C135" s="7">
        <f t="shared" si="7"/>
        <v>46092</v>
      </c>
      <c r="D135" s="6">
        <v>3284</v>
      </c>
      <c r="E135" s="6">
        <v>338</v>
      </c>
      <c r="F135" s="6">
        <v>4</v>
      </c>
      <c r="G135" s="34">
        <v>8</v>
      </c>
      <c r="H135" s="34">
        <v>81676</v>
      </c>
      <c r="I135" s="34" t="s">
        <v>17</v>
      </c>
      <c r="J135" s="24">
        <v>13433019</v>
      </c>
      <c r="K135" s="24" t="s">
        <v>5623</v>
      </c>
      <c r="L135" s="24" t="s">
        <v>5624</v>
      </c>
      <c r="M135" s="43">
        <v>159900</v>
      </c>
      <c r="N135" s="37">
        <v>0.9</v>
      </c>
      <c r="O135" s="36">
        <f t="shared" si="8"/>
        <v>15990</v>
      </c>
      <c r="P135" s="6" t="s">
        <v>16</v>
      </c>
    </row>
    <row r="136" spans="1:16" x14ac:dyDescent="0.35">
      <c r="A136" s="34" t="s">
        <v>6644</v>
      </c>
      <c r="B136" s="7">
        <f t="shared" si="6"/>
        <v>46086</v>
      </c>
      <c r="C136" s="7">
        <f t="shared" si="7"/>
        <v>46092</v>
      </c>
      <c r="D136" s="6">
        <v>3284</v>
      </c>
      <c r="E136" s="6">
        <v>338</v>
      </c>
      <c r="F136" s="6">
        <v>4</v>
      </c>
      <c r="G136" s="34">
        <v>8</v>
      </c>
      <c r="H136" s="34">
        <v>81676</v>
      </c>
      <c r="I136" s="34" t="s">
        <v>17</v>
      </c>
      <c r="J136" s="24">
        <v>13433037</v>
      </c>
      <c r="K136" s="24" t="s">
        <v>5623</v>
      </c>
      <c r="L136" s="24" t="s">
        <v>5625</v>
      </c>
      <c r="M136" s="43">
        <v>159900</v>
      </c>
      <c r="N136" s="37">
        <v>0.9</v>
      </c>
      <c r="O136" s="36">
        <f t="shared" si="8"/>
        <v>15990</v>
      </c>
      <c r="P136" s="6" t="s">
        <v>16</v>
      </c>
    </row>
    <row r="137" spans="1:16" x14ac:dyDescent="0.35">
      <c r="A137" s="34" t="s">
        <v>6644</v>
      </c>
      <c r="B137" s="7">
        <f t="shared" si="6"/>
        <v>46086</v>
      </c>
      <c r="C137" s="7">
        <f t="shared" si="7"/>
        <v>46092</v>
      </c>
      <c r="D137" s="6">
        <v>3284</v>
      </c>
      <c r="E137" s="6">
        <v>338</v>
      </c>
      <c r="F137" s="6">
        <v>4</v>
      </c>
      <c r="G137" s="34">
        <v>8</v>
      </c>
      <c r="H137" s="34">
        <v>81676</v>
      </c>
      <c r="I137" s="34" t="s">
        <v>17</v>
      </c>
      <c r="J137" s="24">
        <v>13433046</v>
      </c>
      <c r="K137" s="24" t="s">
        <v>5623</v>
      </c>
      <c r="L137" s="24" t="s">
        <v>5626</v>
      </c>
      <c r="M137" s="43">
        <v>159900</v>
      </c>
      <c r="N137" s="37">
        <v>0.9</v>
      </c>
      <c r="O137" s="36">
        <f t="shared" si="8"/>
        <v>15990</v>
      </c>
      <c r="P137" s="6" t="s">
        <v>16</v>
      </c>
    </row>
    <row r="138" spans="1:16" x14ac:dyDescent="0.35">
      <c r="A138" s="34" t="s">
        <v>6644</v>
      </c>
      <c r="B138" s="7">
        <f t="shared" si="6"/>
        <v>46086</v>
      </c>
      <c r="C138" s="7">
        <f t="shared" si="7"/>
        <v>46092</v>
      </c>
      <c r="D138" s="6">
        <v>3284</v>
      </c>
      <c r="E138" s="6">
        <v>338</v>
      </c>
      <c r="F138" s="6">
        <v>4</v>
      </c>
      <c r="G138" s="34">
        <v>8</v>
      </c>
      <c r="H138" s="34">
        <v>81676</v>
      </c>
      <c r="I138" s="34" t="s">
        <v>17</v>
      </c>
      <c r="J138" s="24">
        <v>76616169</v>
      </c>
      <c r="K138" s="24" t="s">
        <v>5763</v>
      </c>
      <c r="L138" s="24" t="s">
        <v>5764</v>
      </c>
      <c r="M138" s="43">
        <v>169900</v>
      </c>
      <c r="N138" s="37">
        <v>0.9</v>
      </c>
      <c r="O138" s="36">
        <f t="shared" si="8"/>
        <v>16990</v>
      </c>
      <c r="P138" s="6" t="s">
        <v>16</v>
      </c>
    </row>
    <row r="139" spans="1:16" x14ac:dyDescent="0.35">
      <c r="A139" s="34" t="s">
        <v>6644</v>
      </c>
      <c r="B139" s="7">
        <f t="shared" si="6"/>
        <v>46086</v>
      </c>
      <c r="C139" s="7">
        <f t="shared" si="7"/>
        <v>46092</v>
      </c>
      <c r="D139" s="6">
        <v>3284</v>
      </c>
      <c r="E139" s="6">
        <v>338</v>
      </c>
      <c r="F139" s="6">
        <v>4</v>
      </c>
      <c r="G139" s="34">
        <v>8</v>
      </c>
      <c r="H139" s="34">
        <v>81676</v>
      </c>
      <c r="I139" s="34" t="s">
        <v>17</v>
      </c>
      <c r="J139" s="24">
        <v>76616338</v>
      </c>
      <c r="K139" s="24" t="s">
        <v>5627</v>
      </c>
      <c r="L139" s="24" t="s">
        <v>5628</v>
      </c>
      <c r="M139" s="43">
        <v>99900</v>
      </c>
      <c r="N139" s="37">
        <v>0.9</v>
      </c>
      <c r="O139" s="36">
        <f t="shared" si="8"/>
        <v>9990</v>
      </c>
      <c r="P139" s="6" t="s">
        <v>16</v>
      </c>
    </row>
    <row r="140" spans="1:16" x14ac:dyDescent="0.35">
      <c r="A140" s="34" t="s">
        <v>6644</v>
      </c>
      <c r="B140" s="7">
        <f t="shared" si="6"/>
        <v>46086</v>
      </c>
      <c r="C140" s="7">
        <f t="shared" si="7"/>
        <v>46092</v>
      </c>
      <c r="D140" s="6">
        <v>3284</v>
      </c>
      <c r="E140" s="6">
        <v>338</v>
      </c>
      <c r="F140" s="6">
        <v>4</v>
      </c>
      <c r="G140" s="34">
        <v>8</v>
      </c>
      <c r="H140" s="34">
        <v>81676</v>
      </c>
      <c r="I140" s="34" t="s">
        <v>17</v>
      </c>
      <c r="J140" s="24">
        <v>76616365</v>
      </c>
      <c r="K140" s="24" t="s">
        <v>5627</v>
      </c>
      <c r="L140" s="24" t="s">
        <v>5629</v>
      </c>
      <c r="M140" s="43">
        <v>99900</v>
      </c>
      <c r="N140" s="37">
        <v>0.9</v>
      </c>
      <c r="O140" s="36">
        <f t="shared" si="8"/>
        <v>9990</v>
      </c>
      <c r="P140" s="6" t="s">
        <v>16</v>
      </c>
    </row>
    <row r="141" spans="1:16" x14ac:dyDescent="0.35">
      <c r="A141" s="34" t="s">
        <v>6644</v>
      </c>
      <c r="B141" s="7">
        <f t="shared" si="6"/>
        <v>46086</v>
      </c>
      <c r="C141" s="7">
        <f t="shared" si="7"/>
        <v>46092</v>
      </c>
      <c r="D141" s="6">
        <v>3284</v>
      </c>
      <c r="E141" s="6">
        <v>338</v>
      </c>
      <c r="F141" s="6">
        <v>4</v>
      </c>
      <c r="G141" s="34">
        <v>8</v>
      </c>
      <c r="H141" s="34">
        <v>81676</v>
      </c>
      <c r="I141" s="34" t="s">
        <v>17</v>
      </c>
      <c r="J141" s="24">
        <v>76616392</v>
      </c>
      <c r="K141" s="24" t="s">
        <v>5630</v>
      </c>
      <c r="L141" s="24" t="s">
        <v>5631</v>
      </c>
      <c r="M141" s="43">
        <v>89900</v>
      </c>
      <c r="N141" s="37">
        <v>0.9</v>
      </c>
      <c r="O141" s="36">
        <f t="shared" si="8"/>
        <v>8990</v>
      </c>
      <c r="P141" s="6" t="s">
        <v>16</v>
      </c>
    </row>
    <row r="142" spans="1:16" x14ac:dyDescent="0.35">
      <c r="A142" s="34" t="s">
        <v>6644</v>
      </c>
      <c r="B142" s="7">
        <f t="shared" si="6"/>
        <v>46086</v>
      </c>
      <c r="C142" s="7">
        <f t="shared" si="7"/>
        <v>46092</v>
      </c>
      <c r="D142" s="6">
        <v>3284</v>
      </c>
      <c r="E142" s="6">
        <v>338</v>
      </c>
      <c r="F142" s="6">
        <v>4</v>
      </c>
      <c r="G142" s="34">
        <v>8</v>
      </c>
      <c r="H142" s="34">
        <v>81676</v>
      </c>
      <c r="I142" s="34" t="s">
        <v>17</v>
      </c>
      <c r="J142" s="24">
        <v>81897847</v>
      </c>
      <c r="K142" s="24" t="s">
        <v>5632</v>
      </c>
      <c r="L142" s="24" t="s">
        <v>5633</v>
      </c>
      <c r="M142" s="43">
        <v>99900</v>
      </c>
      <c r="N142" s="37">
        <v>0.9</v>
      </c>
      <c r="O142" s="36">
        <f t="shared" si="8"/>
        <v>9990</v>
      </c>
      <c r="P142" s="6" t="s">
        <v>16</v>
      </c>
    </row>
    <row r="143" spans="1:16" x14ac:dyDescent="0.35">
      <c r="A143" s="34" t="s">
        <v>6644</v>
      </c>
      <c r="B143" s="7">
        <f t="shared" si="6"/>
        <v>46086</v>
      </c>
      <c r="C143" s="7">
        <f t="shared" si="7"/>
        <v>46092</v>
      </c>
      <c r="D143" s="6">
        <v>3284</v>
      </c>
      <c r="E143" s="6">
        <v>338</v>
      </c>
      <c r="F143" s="6">
        <v>4</v>
      </c>
      <c r="G143" s="34">
        <v>8</v>
      </c>
      <c r="H143" s="34">
        <v>81676</v>
      </c>
      <c r="I143" s="34" t="s">
        <v>17</v>
      </c>
      <c r="J143" s="24">
        <v>81897856</v>
      </c>
      <c r="K143" s="24" t="s">
        <v>5632</v>
      </c>
      <c r="L143" s="24" t="s">
        <v>5634</v>
      </c>
      <c r="M143" s="43">
        <v>99900</v>
      </c>
      <c r="N143" s="37">
        <v>0.9</v>
      </c>
      <c r="O143" s="36">
        <f t="shared" si="8"/>
        <v>9990</v>
      </c>
      <c r="P143" s="6" t="s">
        <v>16</v>
      </c>
    </row>
    <row r="144" spans="1:16" x14ac:dyDescent="0.35">
      <c r="A144" s="34" t="s">
        <v>6644</v>
      </c>
      <c r="B144" s="7">
        <f t="shared" si="6"/>
        <v>46086</v>
      </c>
      <c r="C144" s="7">
        <f t="shared" si="7"/>
        <v>46092</v>
      </c>
      <c r="D144" s="6">
        <v>3284</v>
      </c>
      <c r="E144" s="6">
        <v>338</v>
      </c>
      <c r="F144" s="6">
        <v>4</v>
      </c>
      <c r="G144" s="34">
        <v>8</v>
      </c>
      <c r="H144" s="34">
        <v>81676</v>
      </c>
      <c r="I144" s="34" t="s">
        <v>17</v>
      </c>
      <c r="J144" s="24">
        <v>81897918</v>
      </c>
      <c r="K144" s="24" t="s">
        <v>5635</v>
      </c>
      <c r="L144" s="24" t="s">
        <v>5636</v>
      </c>
      <c r="M144" s="43">
        <v>139900</v>
      </c>
      <c r="N144" s="37">
        <v>0.9</v>
      </c>
      <c r="O144" s="36">
        <f t="shared" si="8"/>
        <v>13990</v>
      </c>
      <c r="P144" s="6" t="s">
        <v>16</v>
      </c>
    </row>
    <row r="145" spans="1:16" x14ac:dyDescent="0.35">
      <c r="A145" s="34" t="s">
        <v>6644</v>
      </c>
      <c r="B145" s="7">
        <f t="shared" si="6"/>
        <v>46086</v>
      </c>
      <c r="C145" s="7">
        <f t="shared" si="7"/>
        <v>46092</v>
      </c>
      <c r="D145" s="6">
        <v>3284</v>
      </c>
      <c r="E145" s="6">
        <v>338</v>
      </c>
      <c r="F145" s="6">
        <v>4</v>
      </c>
      <c r="G145" s="34">
        <v>8</v>
      </c>
      <c r="H145" s="34">
        <v>81676</v>
      </c>
      <c r="I145" s="34" t="s">
        <v>17</v>
      </c>
      <c r="J145" s="24">
        <v>81897927</v>
      </c>
      <c r="K145" s="24" t="s">
        <v>5635</v>
      </c>
      <c r="L145" s="24" t="s">
        <v>5637</v>
      </c>
      <c r="M145" s="43">
        <v>139900</v>
      </c>
      <c r="N145" s="37">
        <v>0.9</v>
      </c>
      <c r="O145" s="36">
        <f t="shared" si="8"/>
        <v>13990</v>
      </c>
      <c r="P145" s="6" t="s">
        <v>16</v>
      </c>
    </row>
    <row r="146" spans="1:16" x14ac:dyDescent="0.35">
      <c r="A146" s="34" t="s">
        <v>6644</v>
      </c>
      <c r="B146" s="7">
        <f t="shared" si="6"/>
        <v>46086</v>
      </c>
      <c r="C146" s="7">
        <f t="shared" si="7"/>
        <v>46092</v>
      </c>
      <c r="D146" s="6">
        <v>3284</v>
      </c>
      <c r="E146" s="6">
        <v>338</v>
      </c>
      <c r="F146" s="6">
        <v>4</v>
      </c>
      <c r="G146" s="34">
        <v>8</v>
      </c>
      <c r="H146" s="34">
        <v>81676</v>
      </c>
      <c r="I146" s="34" t="s">
        <v>17</v>
      </c>
      <c r="J146" s="24">
        <v>81897945</v>
      </c>
      <c r="K146" s="24" t="s">
        <v>5638</v>
      </c>
      <c r="L146" s="24" t="s">
        <v>5639</v>
      </c>
      <c r="M146" s="43">
        <v>219900</v>
      </c>
      <c r="N146" s="37">
        <v>0.9</v>
      </c>
      <c r="O146" s="36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32" activePane="bottomLeft" state="frozen"/>
      <selection activeCell="M23" sqref="M23"/>
      <selection pane="bottomLeft" activeCell="P20" sqref="P2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6739</v>
      </c>
      <c r="B2" s="7">
        <f>'2025 HILITE D80 - 3321'!B2</f>
        <v>46086</v>
      </c>
      <c r="C2" s="7">
        <f>'2025 HILITE D80 - 3321'!C2</f>
        <v>46092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6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4" t="s">
        <v>6739</v>
      </c>
      <c r="B3" s="7">
        <f>B2</f>
        <v>46086</v>
      </c>
      <c r="C3" s="7">
        <f>C2</f>
        <v>46092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6" t="s">
        <v>1312</v>
      </c>
      <c r="M3" s="8">
        <v>99900</v>
      </c>
      <c r="N3" s="37">
        <v>0.9</v>
      </c>
      <c r="O3" s="36">
        <f t="shared" ref="O3:O66" si="0">M3-((90*M3)/100)</f>
        <v>9990</v>
      </c>
      <c r="P3" s="6" t="s">
        <v>16</v>
      </c>
    </row>
    <row r="4" spans="1:16" x14ac:dyDescent="0.35">
      <c r="A4" s="34" t="s">
        <v>6739</v>
      </c>
      <c r="B4" s="7">
        <f t="shared" ref="B4:B67" si="1">B3</f>
        <v>46086</v>
      </c>
      <c r="C4" s="7">
        <f t="shared" ref="C4:C67" si="2">C3</f>
        <v>46092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6" t="s">
        <v>1313</v>
      </c>
      <c r="M4" s="8">
        <v>99900</v>
      </c>
      <c r="N4" s="37">
        <v>0.9</v>
      </c>
      <c r="O4" s="36">
        <f t="shared" si="0"/>
        <v>9990</v>
      </c>
      <c r="P4" s="6" t="s">
        <v>16</v>
      </c>
    </row>
    <row r="5" spans="1:16" x14ac:dyDescent="0.35">
      <c r="A5" s="34" t="s">
        <v>6739</v>
      </c>
      <c r="B5" s="7">
        <f t="shared" si="1"/>
        <v>46086</v>
      </c>
      <c r="C5" s="7">
        <f t="shared" si="2"/>
        <v>46092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6" t="s">
        <v>1314</v>
      </c>
      <c r="M5" s="8">
        <v>99900</v>
      </c>
      <c r="N5" s="37">
        <v>0.9</v>
      </c>
      <c r="O5" s="36">
        <f t="shared" si="0"/>
        <v>9990</v>
      </c>
      <c r="P5" s="6" t="s">
        <v>16</v>
      </c>
    </row>
    <row r="6" spans="1:16" x14ac:dyDescent="0.35">
      <c r="A6" s="34" t="s">
        <v>6739</v>
      </c>
      <c r="B6" s="7">
        <f t="shared" si="1"/>
        <v>46086</v>
      </c>
      <c r="C6" s="7">
        <f t="shared" si="2"/>
        <v>46092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5640</v>
      </c>
      <c r="L6" s="6" t="s">
        <v>1299</v>
      </c>
      <c r="M6" s="8">
        <v>49900</v>
      </c>
      <c r="N6" s="37">
        <v>0.9</v>
      </c>
      <c r="O6" s="36">
        <f t="shared" si="0"/>
        <v>4990</v>
      </c>
      <c r="P6" s="6" t="s">
        <v>16</v>
      </c>
    </row>
    <row r="7" spans="1:16" x14ac:dyDescent="0.35">
      <c r="A7" s="34" t="s">
        <v>6739</v>
      </c>
      <c r="B7" s="7">
        <f t="shared" si="1"/>
        <v>46086</v>
      </c>
      <c r="C7" s="7">
        <f t="shared" si="2"/>
        <v>46092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5640</v>
      </c>
      <c r="L7" s="6" t="s">
        <v>1300</v>
      </c>
      <c r="M7" s="8">
        <v>49900</v>
      </c>
      <c r="N7" s="37">
        <v>0.9</v>
      </c>
      <c r="O7" s="36">
        <f t="shared" si="0"/>
        <v>4990</v>
      </c>
      <c r="P7" s="6" t="s">
        <v>16</v>
      </c>
    </row>
    <row r="8" spans="1:16" x14ac:dyDescent="0.35">
      <c r="A8" s="34" t="s">
        <v>6739</v>
      </c>
      <c r="B8" s="7">
        <f t="shared" si="1"/>
        <v>46086</v>
      </c>
      <c r="C8" s="7">
        <f t="shared" si="2"/>
        <v>46092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5640</v>
      </c>
      <c r="L8" s="6" t="s">
        <v>1301</v>
      </c>
      <c r="M8" s="8">
        <v>49900</v>
      </c>
      <c r="N8" s="37">
        <v>0.9</v>
      </c>
      <c r="O8" s="36">
        <f t="shared" si="0"/>
        <v>4990</v>
      </c>
      <c r="P8" s="6" t="s">
        <v>16</v>
      </c>
    </row>
    <row r="9" spans="1:16" x14ac:dyDescent="0.35">
      <c r="A9" s="34" t="s">
        <v>6739</v>
      </c>
      <c r="B9" s="7">
        <f t="shared" si="1"/>
        <v>46086</v>
      </c>
      <c r="C9" s="7">
        <f t="shared" si="2"/>
        <v>46092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5640</v>
      </c>
      <c r="L9" s="6" t="s">
        <v>1302</v>
      </c>
      <c r="M9" s="8">
        <v>49900</v>
      </c>
      <c r="N9" s="37">
        <v>0.9</v>
      </c>
      <c r="O9" s="36">
        <f t="shared" si="0"/>
        <v>4990</v>
      </c>
      <c r="P9" s="6" t="s">
        <v>16</v>
      </c>
    </row>
    <row r="10" spans="1:16" x14ac:dyDescent="0.35">
      <c r="A10" s="34" t="s">
        <v>6739</v>
      </c>
      <c r="B10" s="7">
        <f t="shared" si="1"/>
        <v>46086</v>
      </c>
      <c r="C10" s="7">
        <f t="shared" si="2"/>
        <v>46092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5641</v>
      </c>
      <c r="L10" s="6" t="s">
        <v>1303</v>
      </c>
      <c r="M10" s="8">
        <v>49900</v>
      </c>
      <c r="N10" s="37">
        <v>0.9</v>
      </c>
      <c r="O10" s="36">
        <f t="shared" si="0"/>
        <v>4990</v>
      </c>
      <c r="P10" s="6" t="s">
        <v>16</v>
      </c>
    </row>
    <row r="11" spans="1:16" x14ac:dyDescent="0.35">
      <c r="A11" s="34" t="s">
        <v>6739</v>
      </c>
      <c r="B11" s="7">
        <f t="shared" si="1"/>
        <v>46086</v>
      </c>
      <c r="C11" s="7">
        <f t="shared" si="2"/>
        <v>46092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5641</v>
      </c>
      <c r="L11" s="6" t="s">
        <v>1304</v>
      </c>
      <c r="M11" s="8">
        <v>49900</v>
      </c>
      <c r="N11" s="37">
        <v>0.9</v>
      </c>
      <c r="O11" s="36">
        <f t="shared" si="0"/>
        <v>4990</v>
      </c>
      <c r="P11" s="6" t="s">
        <v>16</v>
      </c>
    </row>
    <row r="12" spans="1:16" x14ac:dyDescent="0.35">
      <c r="A12" s="34" t="s">
        <v>6739</v>
      </c>
      <c r="B12" s="7">
        <f t="shared" si="1"/>
        <v>46086</v>
      </c>
      <c r="C12" s="7">
        <f t="shared" si="2"/>
        <v>46092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5641</v>
      </c>
      <c r="L12" s="6" t="s">
        <v>1305</v>
      </c>
      <c r="M12" s="8">
        <v>49900</v>
      </c>
      <c r="N12" s="37">
        <v>0.9</v>
      </c>
      <c r="O12" s="36">
        <f t="shared" si="0"/>
        <v>4990</v>
      </c>
      <c r="P12" s="6" t="s">
        <v>16</v>
      </c>
    </row>
    <row r="13" spans="1:16" x14ac:dyDescent="0.35">
      <c r="A13" s="34" t="s">
        <v>6739</v>
      </c>
      <c r="B13" s="7">
        <f t="shared" si="1"/>
        <v>46086</v>
      </c>
      <c r="C13" s="7">
        <f t="shared" si="2"/>
        <v>46092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5641</v>
      </c>
      <c r="L13" s="6" t="s">
        <v>1306</v>
      </c>
      <c r="M13" s="8">
        <v>49900</v>
      </c>
      <c r="N13" s="37">
        <v>0.9</v>
      </c>
      <c r="O13" s="36">
        <f t="shared" si="0"/>
        <v>4990</v>
      </c>
      <c r="P13" s="6" t="s">
        <v>16</v>
      </c>
    </row>
    <row r="14" spans="1:16" x14ac:dyDescent="0.35">
      <c r="A14" s="34" t="s">
        <v>6739</v>
      </c>
      <c r="B14" s="7">
        <f t="shared" si="1"/>
        <v>46086</v>
      </c>
      <c r="C14" s="7">
        <f t="shared" si="2"/>
        <v>46092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6" t="s">
        <v>1403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6739</v>
      </c>
      <c r="B15" s="7">
        <f t="shared" si="1"/>
        <v>46086</v>
      </c>
      <c r="C15" s="7">
        <f t="shared" si="2"/>
        <v>46092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6" t="s">
        <v>1405</v>
      </c>
      <c r="M15" s="8">
        <v>59900</v>
      </c>
      <c r="N15" s="37">
        <v>0.9</v>
      </c>
      <c r="O15" s="36">
        <f t="shared" si="0"/>
        <v>5990</v>
      </c>
      <c r="P15" s="6" t="s">
        <v>16</v>
      </c>
    </row>
    <row r="16" spans="1:16" x14ac:dyDescent="0.35">
      <c r="A16" s="34" t="s">
        <v>6739</v>
      </c>
      <c r="B16" s="7">
        <f t="shared" si="1"/>
        <v>46086</v>
      </c>
      <c r="C16" s="7">
        <f t="shared" si="2"/>
        <v>46092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6" t="s">
        <v>1406</v>
      </c>
      <c r="M16" s="8">
        <v>59900</v>
      </c>
      <c r="N16" s="37">
        <v>0.9</v>
      </c>
      <c r="O16" s="36">
        <f t="shared" si="0"/>
        <v>5990</v>
      </c>
      <c r="P16" s="6" t="s">
        <v>16</v>
      </c>
    </row>
    <row r="17" spans="1:16" x14ac:dyDescent="0.35">
      <c r="A17" s="34" t="s">
        <v>6739</v>
      </c>
      <c r="B17" s="7">
        <f t="shared" si="1"/>
        <v>46086</v>
      </c>
      <c r="C17" s="7">
        <f t="shared" si="2"/>
        <v>46092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6" t="s">
        <v>1407</v>
      </c>
      <c r="M17" s="8">
        <v>59900</v>
      </c>
      <c r="N17" s="37">
        <v>0.9</v>
      </c>
      <c r="O17" s="36">
        <f t="shared" si="0"/>
        <v>5990</v>
      </c>
      <c r="P17" s="6" t="s">
        <v>16</v>
      </c>
    </row>
    <row r="18" spans="1:16" x14ac:dyDescent="0.35">
      <c r="A18" s="34" t="s">
        <v>6739</v>
      </c>
      <c r="B18" s="7">
        <f t="shared" si="1"/>
        <v>46086</v>
      </c>
      <c r="C18" s="7">
        <f t="shared" si="2"/>
        <v>46092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6" t="s">
        <v>1316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6739</v>
      </c>
      <c r="B19" s="7">
        <f t="shared" si="1"/>
        <v>46086</v>
      </c>
      <c r="C19" s="7">
        <f t="shared" si="2"/>
        <v>46092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6" t="s">
        <v>1317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6739</v>
      </c>
      <c r="B20" s="7">
        <f t="shared" si="1"/>
        <v>46086</v>
      </c>
      <c r="C20" s="7">
        <f t="shared" si="2"/>
        <v>46092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6" t="s">
        <v>1409</v>
      </c>
      <c r="M20" s="8">
        <v>59900</v>
      </c>
      <c r="N20" s="37">
        <v>0.9</v>
      </c>
      <c r="O20" s="36">
        <f t="shared" si="0"/>
        <v>5990</v>
      </c>
      <c r="P20" s="6" t="s">
        <v>16</v>
      </c>
    </row>
    <row r="21" spans="1:16" x14ac:dyDescent="0.35">
      <c r="A21" s="34" t="s">
        <v>6739</v>
      </c>
      <c r="B21" s="7">
        <f t="shared" si="1"/>
        <v>46086</v>
      </c>
      <c r="C21" s="7">
        <f t="shared" si="2"/>
        <v>46092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6" t="s">
        <v>1410</v>
      </c>
      <c r="M21" s="8">
        <v>59900</v>
      </c>
      <c r="N21" s="37">
        <v>0.9</v>
      </c>
      <c r="O21" s="36">
        <f t="shared" si="0"/>
        <v>5990</v>
      </c>
      <c r="P21" s="6" t="s">
        <v>16</v>
      </c>
    </row>
    <row r="22" spans="1:16" x14ac:dyDescent="0.35">
      <c r="A22" s="34" t="s">
        <v>6739</v>
      </c>
      <c r="B22" s="7">
        <f t="shared" si="1"/>
        <v>46086</v>
      </c>
      <c r="C22" s="7">
        <f t="shared" si="2"/>
        <v>46092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6" t="s">
        <v>1411</v>
      </c>
      <c r="M22" s="8">
        <v>59900</v>
      </c>
      <c r="N22" s="37">
        <v>0.9</v>
      </c>
      <c r="O22" s="36">
        <f t="shared" si="0"/>
        <v>5990</v>
      </c>
      <c r="P22" s="6" t="s">
        <v>16</v>
      </c>
    </row>
    <row r="23" spans="1:16" x14ac:dyDescent="0.35">
      <c r="A23" s="34" t="s">
        <v>6739</v>
      </c>
      <c r="B23" s="7">
        <f t="shared" si="1"/>
        <v>46086</v>
      </c>
      <c r="C23" s="7">
        <f t="shared" si="2"/>
        <v>46092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6" t="s">
        <v>1412</v>
      </c>
      <c r="M23" s="8">
        <v>59900</v>
      </c>
      <c r="N23" s="37">
        <v>0.9</v>
      </c>
      <c r="O23" s="36">
        <f t="shared" si="0"/>
        <v>5990</v>
      </c>
      <c r="P23" s="6" t="s">
        <v>16</v>
      </c>
    </row>
    <row r="24" spans="1:16" x14ac:dyDescent="0.35">
      <c r="A24" s="34" t="s">
        <v>6739</v>
      </c>
      <c r="B24" s="7">
        <f t="shared" si="1"/>
        <v>46086</v>
      </c>
      <c r="C24" s="7">
        <f t="shared" si="2"/>
        <v>46092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6" t="s">
        <v>1449</v>
      </c>
      <c r="M24" s="8">
        <v>79900</v>
      </c>
      <c r="N24" s="37">
        <v>0.9</v>
      </c>
      <c r="O24" s="36">
        <f t="shared" si="0"/>
        <v>7990</v>
      </c>
      <c r="P24" s="6" t="s">
        <v>16</v>
      </c>
    </row>
    <row r="25" spans="1:16" x14ac:dyDescent="0.35">
      <c r="A25" s="34" t="s">
        <v>6739</v>
      </c>
      <c r="B25" s="7">
        <f t="shared" si="1"/>
        <v>46086</v>
      </c>
      <c r="C25" s="7">
        <f t="shared" si="2"/>
        <v>46092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6" t="s">
        <v>1450</v>
      </c>
      <c r="M25" s="8">
        <v>79900</v>
      </c>
      <c r="N25" s="37">
        <v>0.9</v>
      </c>
      <c r="O25" s="36">
        <f t="shared" si="0"/>
        <v>7990</v>
      </c>
      <c r="P25" s="6" t="s">
        <v>16</v>
      </c>
    </row>
    <row r="26" spans="1:16" x14ac:dyDescent="0.35">
      <c r="A26" s="34" t="s">
        <v>6739</v>
      </c>
      <c r="B26" s="7">
        <f t="shared" si="1"/>
        <v>46086</v>
      </c>
      <c r="C26" s="7">
        <f t="shared" si="2"/>
        <v>46092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6" t="s">
        <v>1451</v>
      </c>
      <c r="M26" s="8">
        <v>79900</v>
      </c>
      <c r="N26" s="37">
        <v>0.9</v>
      </c>
      <c r="O26" s="36">
        <f t="shared" si="0"/>
        <v>7990</v>
      </c>
      <c r="P26" s="6" t="s">
        <v>16</v>
      </c>
    </row>
    <row r="27" spans="1:16" x14ac:dyDescent="0.35">
      <c r="A27" s="34" t="s">
        <v>6739</v>
      </c>
      <c r="B27" s="7">
        <f t="shared" si="1"/>
        <v>46086</v>
      </c>
      <c r="C27" s="7">
        <f t="shared" si="2"/>
        <v>46092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6" t="s">
        <v>1452</v>
      </c>
      <c r="M27" s="8">
        <v>79900</v>
      </c>
      <c r="N27" s="37">
        <v>0.9</v>
      </c>
      <c r="O27" s="36">
        <f t="shared" si="0"/>
        <v>7990</v>
      </c>
      <c r="P27" s="6" t="s">
        <v>16</v>
      </c>
    </row>
    <row r="28" spans="1:16" x14ac:dyDescent="0.35">
      <c r="A28" s="34" t="s">
        <v>6739</v>
      </c>
      <c r="B28" s="7">
        <f t="shared" si="1"/>
        <v>46086</v>
      </c>
      <c r="C28" s="7">
        <f t="shared" si="2"/>
        <v>46092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6" t="s">
        <v>1321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6739</v>
      </c>
      <c r="B29" s="7">
        <f t="shared" si="1"/>
        <v>46086</v>
      </c>
      <c r="C29" s="7">
        <f t="shared" si="2"/>
        <v>46092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6" t="s">
        <v>1322</v>
      </c>
      <c r="M29" s="8">
        <v>129900</v>
      </c>
      <c r="N29" s="37">
        <v>0.9</v>
      </c>
      <c r="O29" s="36">
        <f t="shared" si="0"/>
        <v>12990</v>
      </c>
      <c r="P29" s="6" t="s">
        <v>16</v>
      </c>
    </row>
    <row r="30" spans="1:16" x14ac:dyDescent="0.35">
      <c r="A30" s="34" t="s">
        <v>6739</v>
      </c>
      <c r="B30" s="7">
        <f t="shared" si="1"/>
        <v>46086</v>
      </c>
      <c r="C30" s="7">
        <f t="shared" si="2"/>
        <v>46092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6" t="s">
        <v>1323</v>
      </c>
      <c r="M30" s="8">
        <v>129900</v>
      </c>
      <c r="N30" s="37">
        <v>0.9</v>
      </c>
      <c r="O30" s="36">
        <f t="shared" si="0"/>
        <v>12990</v>
      </c>
      <c r="P30" s="6" t="s">
        <v>16</v>
      </c>
    </row>
    <row r="31" spans="1:16" x14ac:dyDescent="0.35">
      <c r="A31" s="34" t="s">
        <v>6739</v>
      </c>
      <c r="B31" s="7">
        <f t="shared" si="1"/>
        <v>46086</v>
      </c>
      <c r="C31" s="7">
        <f t="shared" si="2"/>
        <v>46092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6" t="s">
        <v>1324</v>
      </c>
      <c r="M31" s="8">
        <v>129900</v>
      </c>
      <c r="N31" s="37">
        <v>0.9</v>
      </c>
      <c r="O31" s="36">
        <f t="shared" si="0"/>
        <v>12990</v>
      </c>
      <c r="P31" s="6" t="s">
        <v>16</v>
      </c>
    </row>
    <row r="32" spans="1:16" x14ac:dyDescent="0.35">
      <c r="A32" s="34" t="s">
        <v>6739</v>
      </c>
      <c r="B32" s="7">
        <f t="shared" si="1"/>
        <v>46086</v>
      </c>
      <c r="C32" s="7">
        <f t="shared" si="2"/>
        <v>46092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6" t="s">
        <v>1474</v>
      </c>
      <c r="M32" s="8">
        <v>129900</v>
      </c>
      <c r="N32" s="37">
        <v>0.9</v>
      </c>
      <c r="O32" s="36">
        <f t="shared" si="0"/>
        <v>12990</v>
      </c>
      <c r="P32" s="6" t="s">
        <v>16</v>
      </c>
    </row>
    <row r="33" spans="1:16" x14ac:dyDescent="0.35">
      <c r="A33" s="34" t="s">
        <v>6739</v>
      </c>
      <c r="B33" s="7">
        <f t="shared" si="1"/>
        <v>46086</v>
      </c>
      <c r="C33" s="7">
        <f t="shared" si="2"/>
        <v>46092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6" t="s">
        <v>1368</v>
      </c>
      <c r="M33" s="8">
        <v>119900</v>
      </c>
      <c r="N33" s="37">
        <v>0.9</v>
      </c>
      <c r="O33" s="36">
        <f t="shared" si="0"/>
        <v>11990</v>
      </c>
      <c r="P33" s="6" t="s">
        <v>16</v>
      </c>
    </row>
    <row r="34" spans="1:16" x14ac:dyDescent="0.35">
      <c r="A34" s="34" t="s">
        <v>6739</v>
      </c>
      <c r="B34" s="7">
        <f t="shared" si="1"/>
        <v>46086</v>
      </c>
      <c r="C34" s="7">
        <f t="shared" si="2"/>
        <v>46092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6" t="s">
        <v>1400</v>
      </c>
      <c r="M34" s="8">
        <v>119900</v>
      </c>
      <c r="N34" s="37">
        <v>0.9</v>
      </c>
      <c r="O34" s="36">
        <f t="shared" si="0"/>
        <v>11990</v>
      </c>
      <c r="P34" s="6" t="s">
        <v>16</v>
      </c>
    </row>
    <row r="35" spans="1:16" x14ac:dyDescent="0.35">
      <c r="A35" s="34" t="s">
        <v>6739</v>
      </c>
      <c r="B35" s="7">
        <f t="shared" si="1"/>
        <v>46086</v>
      </c>
      <c r="C35" s="7">
        <f t="shared" si="2"/>
        <v>46092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6" t="s">
        <v>1401</v>
      </c>
      <c r="M35" s="8">
        <v>119900</v>
      </c>
      <c r="N35" s="37">
        <v>0.9</v>
      </c>
      <c r="O35" s="36">
        <f t="shared" si="0"/>
        <v>11990</v>
      </c>
      <c r="P35" s="6" t="s">
        <v>16</v>
      </c>
    </row>
    <row r="36" spans="1:16" x14ac:dyDescent="0.35">
      <c r="A36" s="34" t="s">
        <v>6739</v>
      </c>
      <c r="B36" s="7">
        <f t="shared" si="1"/>
        <v>46086</v>
      </c>
      <c r="C36" s="7">
        <f t="shared" si="2"/>
        <v>46092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6" t="s">
        <v>1444</v>
      </c>
      <c r="M36" s="8">
        <v>79900</v>
      </c>
      <c r="N36" s="37">
        <v>0.9</v>
      </c>
      <c r="O36" s="36">
        <f t="shared" si="0"/>
        <v>7990</v>
      </c>
      <c r="P36" s="6" t="s">
        <v>16</v>
      </c>
    </row>
    <row r="37" spans="1:16" x14ac:dyDescent="0.35">
      <c r="A37" s="34" t="s">
        <v>6739</v>
      </c>
      <c r="B37" s="7">
        <f t="shared" si="1"/>
        <v>46086</v>
      </c>
      <c r="C37" s="7">
        <f t="shared" si="2"/>
        <v>46092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6" t="s">
        <v>1445</v>
      </c>
      <c r="M37" s="8">
        <v>79900</v>
      </c>
      <c r="N37" s="37">
        <v>0.9</v>
      </c>
      <c r="O37" s="36">
        <f t="shared" si="0"/>
        <v>7990</v>
      </c>
      <c r="P37" s="6" t="s">
        <v>16</v>
      </c>
    </row>
    <row r="38" spans="1:16" x14ac:dyDescent="0.35">
      <c r="A38" s="34" t="s">
        <v>6739</v>
      </c>
      <c r="B38" s="7">
        <f t="shared" si="1"/>
        <v>46086</v>
      </c>
      <c r="C38" s="7">
        <f t="shared" si="2"/>
        <v>46092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6" t="s">
        <v>1446</v>
      </c>
      <c r="M38" s="8">
        <v>79900</v>
      </c>
      <c r="N38" s="37">
        <v>0.9</v>
      </c>
      <c r="O38" s="36">
        <f t="shared" si="0"/>
        <v>7990</v>
      </c>
      <c r="P38" s="6" t="s">
        <v>16</v>
      </c>
    </row>
    <row r="39" spans="1:16" x14ac:dyDescent="0.35">
      <c r="A39" s="34" t="s">
        <v>6739</v>
      </c>
      <c r="B39" s="7">
        <f t="shared" si="1"/>
        <v>46086</v>
      </c>
      <c r="C39" s="7">
        <f t="shared" si="2"/>
        <v>46092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6" t="s">
        <v>1447</v>
      </c>
      <c r="M39" s="8">
        <v>79900</v>
      </c>
      <c r="N39" s="37">
        <v>0.9</v>
      </c>
      <c r="O39" s="36">
        <f t="shared" si="0"/>
        <v>7990</v>
      </c>
      <c r="P39" s="6" t="s">
        <v>16</v>
      </c>
    </row>
    <row r="40" spans="1:16" x14ac:dyDescent="0.35">
      <c r="A40" s="34" t="s">
        <v>6739</v>
      </c>
      <c r="B40" s="7">
        <f t="shared" si="1"/>
        <v>46086</v>
      </c>
      <c r="C40" s="7">
        <f t="shared" si="2"/>
        <v>46092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6" t="s">
        <v>1396</v>
      </c>
      <c r="M40" s="8">
        <v>49900</v>
      </c>
      <c r="N40" s="37">
        <v>0.9</v>
      </c>
      <c r="O40" s="36">
        <f t="shared" si="0"/>
        <v>4990</v>
      </c>
      <c r="P40" s="6" t="s">
        <v>16</v>
      </c>
    </row>
    <row r="41" spans="1:16" x14ac:dyDescent="0.35">
      <c r="A41" s="34" t="s">
        <v>6739</v>
      </c>
      <c r="B41" s="7">
        <f t="shared" si="1"/>
        <v>46086</v>
      </c>
      <c r="C41" s="7">
        <f t="shared" si="2"/>
        <v>46092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6" t="s">
        <v>1397</v>
      </c>
      <c r="M41" s="8">
        <v>49900</v>
      </c>
      <c r="N41" s="37">
        <v>0.9</v>
      </c>
      <c r="O41" s="36">
        <f t="shared" si="0"/>
        <v>4990</v>
      </c>
      <c r="P41" s="6" t="s">
        <v>16</v>
      </c>
    </row>
    <row r="42" spans="1:16" x14ac:dyDescent="0.35">
      <c r="A42" s="34" t="s">
        <v>6739</v>
      </c>
      <c r="B42" s="7">
        <f t="shared" si="1"/>
        <v>46086</v>
      </c>
      <c r="C42" s="7">
        <f t="shared" si="2"/>
        <v>46092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6" t="s">
        <v>1398</v>
      </c>
      <c r="M42" s="8">
        <v>49900</v>
      </c>
      <c r="N42" s="37">
        <v>0.9</v>
      </c>
      <c r="O42" s="36">
        <f t="shared" si="0"/>
        <v>4990</v>
      </c>
      <c r="P42" s="6" t="s">
        <v>16</v>
      </c>
    </row>
    <row r="43" spans="1:16" x14ac:dyDescent="0.35">
      <c r="A43" s="34" t="s">
        <v>6739</v>
      </c>
      <c r="B43" s="7">
        <f t="shared" si="1"/>
        <v>46086</v>
      </c>
      <c r="C43" s="7">
        <f t="shared" si="2"/>
        <v>46092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6" t="s">
        <v>1399</v>
      </c>
      <c r="M43" s="8">
        <v>49900</v>
      </c>
      <c r="N43" s="37">
        <v>0.9</v>
      </c>
      <c r="O43" s="36">
        <f t="shared" si="0"/>
        <v>4990</v>
      </c>
      <c r="P43" s="6" t="s">
        <v>16</v>
      </c>
    </row>
    <row r="44" spans="1:16" x14ac:dyDescent="0.35">
      <c r="A44" s="34" t="s">
        <v>6739</v>
      </c>
      <c r="B44" s="7">
        <f t="shared" si="1"/>
        <v>46086</v>
      </c>
      <c r="C44" s="7">
        <f t="shared" si="2"/>
        <v>46092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6" t="s">
        <v>1319</v>
      </c>
      <c r="M44" s="8">
        <v>49900</v>
      </c>
      <c r="N44" s="37">
        <v>0.9</v>
      </c>
      <c r="O44" s="36">
        <f t="shared" si="0"/>
        <v>4990</v>
      </c>
      <c r="P44" s="6" t="s">
        <v>16</v>
      </c>
    </row>
    <row r="45" spans="1:16" x14ac:dyDescent="0.35">
      <c r="A45" s="34" t="s">
        <v>6739</v>
      </c>
      <c r="B45" s="7">
        <f t="shared" si="1"/>
        <v>46086</v>
      </c>
      <c r="C45" s="7">
        <f t="shared" si="2"/>
        <v>46092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6" t="s">
        <v>1394</v>
      </c>
      <c r="M45" s="8">
        <v>49900</v>
      </c>
      <c r="N45" s="37">
        <v>0.9</v>
      </c>
      <c r="O45" s="36">
        <f t="shared" si="0"/>
        <v>4990</v>
      </c>
      <c r="P45" s="6" t="s">
        <v>16</v>
      </c>
    </row>
    <row r="46" spans="1:16" x14ac:dyDescent="0.35">
      <c r="A46" s="34" t="s">
        <v>6739</v>
      </c>
      <c r="B46" s="7">
        <f t="shared" si="1"/>
        <v>46086</v>
      </c>
      <c r="C46" s="7">
        <f t="shared" si="2"/>
        <v>46092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6" t="s">
        <v>1326</v>
      </c>
      <c r="M46" s="8">
        <v>49900</v>
      </c>
      <c r="N46" s="37">
        <v>0.9</v>
      </c>
      <c r="O46" s="36">
        <f t="shared" si="0"/>
        <v>4990</v>
      </c>
      <c r="P46" s="6" t="s">
        <v>16</v>
      </c>
    </row>
    <row r="47" spans="1:16" x14ac:dyDescent="0.35">
      <c r="A47" s="34" t="s">
        <v>6739</v>
      </c>
      <c r="B47" s="7">
        <f t="shared" si="1"/>
        <v>46086</v>
      </c>
      <c r="C47" s="7">
        <f t="shared" si="2"/>
        <v>46092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6" t="s">
        <v>1327</v>
      </c>
      <c r="M47" s="8">
        <v>49900</v>
      </c>
      <c r="N47" s="37">
        <v>0.9</v>
      </c>
      <c r="O47" s="36">
        <f t="shared" si="0"/>
        <v>4990</v>
      </c>
      <c r="P47" s="6" t="s">
        <v>16</v>
      </c>
    </row>
    <row r="48" spans="1:16" x14ac:dyDescent="0.35">
      <c r="A48" s="34" t="s">
        <v>6739</v>
      </c>
      <c r="B48" s="7">
        <f t="shared" si="1"/>
        <v>46086</v>
      </c>
      <c r="C48" s="7">
        <f t="shared" si="2"/>
        <v>46092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6" t="s">
        <v>1366</v>
      </c>
      <c r="M48" s="8">
        <v>49900</v>
      </c>
      <c r="N48" s="37">
        <v>0.9</v>
      </c>
      <c r="O48" s="36">
        <f t="shared" si="0"/>
        <v>4990</v>
      </c>
      <c r="P48" s="6" t="s">
        <v>16</v>
      </c>
    </row>
    <row r="49" spans="1:16" x14ac:dyDescent="0.35">
      <c r="A49" s="34" t="s">
        <v>6739</v>
      </c>
      <c r="B49" s="7">
        <f t="shared" si="1"/>
        <v>46086</v>
      </c>
      <c r="C49" s="7">
        <f t="shared" si="2"/>
        <v>46092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6" t="s">
        <v>1328</v>
      </c>
      <c r="M49" s="8">
        <v>49900</v>
      </c>
      <c r="N49" s="37">
        <v>0.9</v>
      </c>
      <c r="O49" s="36">
        <f t="shared" si="0"/>
        <v>4990</v>
      </c>
      <c r="P49" s="6" t="s">
        <v>16</v>
      </c>
    </row>
    <row r="50" spans="1:16" x14ac:dyDescent="0.35">
      <c r="A50" s="34" t="s">
        <v>6739</v>
      </c>
      <c r="B50" s="7">
        <f t="shared" si="1"/>
        <v>46086</v>
      </c>
      <c r="C50" s="7">
        <f t="shared" si="2"/>
        <v>46092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6" t="s">
        <v>1330</v>
      </c>
      <c r="M50" s="8">
        <v>119900</v>
      </c>
      <c r="N50" s="37">
        <v>0.9</v>
      </c>
      <c r="O50" s="36">
        <f t="shared" si="0"/>
        <v>11990</v>
      </c>
      <c r="P50" s="6" t="s">
        <v>16</v>
      </c>
    </row>
    <row r="51" spans="1:16" x14ac:dyDescent="0.35">
      <c r="A51" s="34" t="s">
        <v>6739</v>
      </c>
      <c r="B51" s="7">
        <f t="shared" si="1"/>
        <v>46086</v>
      </c>
      <c r="C51" s="7">
        <f t="shared" si="2"/>
        <v>46092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6" t="s">
        <v>1331</v>
      </c>
      <c r="M51" s="8">
        <v>119900</v>
      </c>
      <c r="N51" s="37">
        <v>0.9</v>
      </c>
      <c r="O51" s="36">
        <f t="shared" si="0"/>
        <v>11990</v>
      </c>
      <c r="P51" s="6" t="s">
        <v>16</v>
      </c>
    </row>
    <row r="52" spans="1:16" x14ac:dyDescent="0.35">
      <c r="A52" s="34" t="s">
        <v>6739</v>
      </c>
      <c r="B52" s="7">
        <f t="shared" si="1"/>
        <v>46086</v>
      </c>
      <c r="C52" s="7">
        <f t="shared" si="2"/>
        <v>46092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6" t="s">
        <v>1332</v>
      </c>
      <c r="M52" s="8">
        <v>119900</v>
      </c>
      <c r="N52" s="37">
        <v>0.9</v>
      </c>
      <c r="O52" s="36">
        <f t="shared" si="0"/>
        <v>11990</v>
      </c>
      <c r="P52" s="6" t="s">
        <v>16</v>
      </c>
    </row>
    <row r="53" spans="1:16" x14ac:dyDescent="0.35">
      <c r="A53" s="34" t="s">
        <v>6739</v>
      </c>
      <c r="B53" s="7">
        <f t="shared" si="1"/>
        <v>46086</v>
      </c>
      <c r="C53" s="7">
        <f t="shared" si="2"/>
        <v>46092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6" t="s">
        <v>1333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6739</v>
      </c>
      <c r="B54" s="7">
        <f t="shared" si="1"/>
        <v>46086</v>
      </c>
      <c r="C54" s="7">
        <f t="shared" si="2"/>
        <v>46092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6" t="s">
        <v>1416</v>
      </c>
      <c r="M54" s="8">
        <v>129900</v>
      </c>
      <c r="N54" s="37">
        <v>0.9</v>
      </c>
      <c r="O54" s="36">
        <f t="shared" si="0"/>
        <v>12990</v>
      </c>
      <c r="P54" s="6" t="s">
        <v>16</v>
      </c>
    </row>
    <row r="55" spans="1:16" x14ac:dyDescent="0.35">
      <c r="A55" s="34" t="s">
        <v>6739</v>
      </c>
      <c r="B55" s="7">
        <f t="shared" si="1"/>
        <v>46086</v>
      </c>
      <c r="C55" s="7">
        <f t="shared" si="2"/>
        <v>46092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6" t="s">
        <v>1417</v>
      </c>
      <c r="M55" s="8">
        <v>129900</v>
      </c>
      <c r="N55" s="37">
        <v>0.9</v>
      </c>
      <c r="O55" s="36">
        <f t="shared" si="0"/>
        <v>12990</v>
      </c>
      <c r="P55" s="6" t="s">
        <v>16</v>
      </c>
    </row>
    <row r="56" spans="1:16" x14ac:dyDescent="0.35">
      <c r="A56" s="34" t="s">
        <v>6739</v>
      </c>
      <c r="B56" s="7">
        <f t="shared" si="1"/>
        <v>46086</v>
      </c>
      <c r="C56" s="7">
        <f t="shared" si="2"/>
        <v>46092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6" t="s">
        <v>1418</v>
      </c>
      <c r="M56" s="8">
        <v>129900</v>
      </c>
      <c r="N56" s="37">
        <v>0.9</v>
      </c>
      <c r="O56" s="36">
        <f t="shared" si="0"/>
        <v>12990</v>
      </c>
      <c r="P56" s="6" t="s">
        <v>16</v>
      </c>
    </row>
    <row r="57" spans="1:16" x14ac:dyDescent="0.35">
      <c r="A57" s="34" t="s">
        <v>6739</v>
      </c>
      <c r="B57" s="7">
        <f t="shared" si="1"/>
        <v>46086</v>
      </c>
      <c r="C57" s="7">
        <f t="shared" si="2"/>
        <v>46092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6" t="s">
        <v>1419</v>
      </c>
      <c r="M57" s="8">
        <v>129900</v>
      </c>
      <c r="N57" s="37">
        <v>0.9</v>
      </c>
      <c r="O57" s="36">
        <f t="shared" si="0"/>
        <v>12990</v>
      </c>
      <c r="P57" s="6" t="s">
        <v>16</v>
      </c>
    </row>
    <row r="58" spans="1:16" x14ac:dyDescent="0.35">
      <c r="A58" s="34" t="s">
        <v>6739</v>
      </c>
      <c r="B58" s="7">
        <f t="shared" si="1"/>
        <v>46086</v>
      </c>
      <c r="C58" s="7">
        <f t="shared" si="2"/>
        <v>46092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6" t="s">
        <v>1335</v>
      </c>
      <c r="M58" s="8">
        <v>119900</v>
      </c>
      <c r="N58" s="37">
        <v>0.9</v>
      </c>
      <c r="O58" s="36">
        <f t="shared" si="0"/>
        <v>11990</v>
      </c>
      <c r="P58" s="6" t="s">
        <v>16</v>
      </c>
    </row>
    <row r="59" spans="1:16" x14ac:dyDescent="0.35">
      <c r="A59" s="34" t="s">
        <v>6739</v>
      </c>
      <c r="B59" s="7">
        <f t="shared" si="1"/>
        <v>46086</v>
      </c>
      <c r="C59" s="7">
        <f t="shared" si="2"/>
        <v>46092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6" t="s">
        <v>1336</v>
      </c>
      <c r="M59" s="8">
        <v>119900</v>
      </c>
      <c r="N59" s="37">
        <v>0.9</v>
      </c>
      <c r="O59" s="36">
        <f t="shared" si="0"/>
        <v>11990</v>
      </c>
      <c r="P59" s="6" t="s">
        <v>16</v>
      </c>
    </row>
    <row r="60" spans="1:16" x14ac:dyDescent="0.35">
      <c r="A60" s="34" t="s">
        <v>6739</v>
      </c>
      <c r="B60" s="7">
        <f t="shared" si="1"/>
        <v>46086</v>
      </c>
      <c r="C60" s="7">
        <f t="shared" si="2"/>
        <v>46092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6" t="s">
        <v>1337</v>
      </c>
      <c r="M60" s="8">
        <v>119900</v>
      </c>
      <c r="N60" s="37">
        <v>0.9</v>
      </c>
      <c r="O60" s="36">
        <f t="shared" si="0"/>
        <v>11990</v>
      </c>
      <c r="P60" s="6" t="s">
        <v>16</v>
      </c>
    </row>
    <row r="61" spans="1:16" x14ac:dyDescent="0.35">
      <c r="A61" s="34" t="s">
        <v>6739</v>
      </c>
      <c r="B61" s="7">
        <f t="shared" si="1"/>
        <v>46086</v>
      </c>
      <c r="C61" s="7">
        <f t="shared" si="2"/>
        <v>46092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6" t="s">
        <v>1338</v>
      </c>
      <c r="M61" s="8">
        <v>119900</v>
      </c>
      <c r="N61" s="37">
        <v>0.9</v>
      </c>
      <c r="O61" s="36">
        <f t="shared" si="0"/>
        <v>11990</v>
      </c>
      <c r="P61" s="6" t="s">
        <v>16</v>
      </c>
    </row>
    <row r="62" spans="1:16" x14ac:dyDescent="0.35">
      <c r="A62" s="34" t="s">
        <v>6739</v>
      </c>
      <c r="B62" s="7">
        <f t="shared" si="1"/>
        <v>46086</v>
      </c>
      <c r="C62" s="7">
        <f t="shared" si="2"/>
        <v>46092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6" t="s">
        <v>1370</v>
      </c>
      <c r="M62" s="8">
        <v>129900</v>
      </c>
      <c r="N62" s="37">
        <v>0.9</v>
      </c>
      <c r="O62" s="36">
        <f t="shared" si="0"/>
        <v>12990</v>
      </c>
      <c r="P62" s="6" t="s">
        <v>16</v>
      </c>
    </row>
    <row r="63" spans="1:16" x14ac:dyDescent="0.35">
      <c r="A63" s="34" t="s">
        <v>6739</v>
      </c>
      <c r="B63" s="7">
        <f t="shared" si="1"/>
        <v>46086</v>
      </c>
      <c r="C63" s="7">
        <f t="shared" si="2"/>
        <v>46092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6" t="s">
        <v>1413</v>
      </c>
      <c r="M63" s="8">
        <v>129900</v>
      </c>
      <c r="N63" s="37">
        <v>0.9</v>
      </c>
      <c r="O63" s="36">
        <f t="shared" si="0"/>
        <v>12990</v>
      </c>
      <c r="P63" s="6" t="s">
        <v>16</v>
      </c>
    </row>
    <row r="64" spans="1:16" x14ac:dyDescent="0.35">
      <c r="A64" s="34" t="s">
        <v>6739</v>
      </c>
      <c r="B64" s="7">
        <f t="shared" si="1"/>
        <v>46086</v>
      </c>
      <c r="C64" s="7">
        <f t="shared" si="2"/>
        <v>46092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6" t="s">
        <v>1371</v>
      </c>
      <c r="M64" s="8">
        <v>129900</v>
      </c>
      <c r="N64" s="37">
        <v>0.9</v>
      </c>
      <c r="O64" s="36">
        <f t="shared" si="0"/>
        <v>12990</v>
      </c>
      <c r="P64" s="6" t="s">
        <v>16</v>
      </c>
    </row>
    <row r="65" spans="1:16" x14ac:dyDescent="0.35">
      <c r="A65" s="34" t="s">
        <v>6739</v>
      </c>
      <c r="B65" s="7">
        <f t="shared" si="1"/>
        <v>46086</v>
      </c>
      <c r="C65" s="7">
        <f t="shared" si="2"/>
        <v>46092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6" t="s">
        <v>1414</v>
      </c>
      <c r="M65" s="8">
        <v>129900</v>
      </c>
      <c r="N65" s="37">
        <v>0.9</v>
      </c>
      <c r="O65" s="36">
        <f t="shared" si="0"/>
        <v>12990</v>
      </c>
      <c r="P65" s="6" t="s">
        <v>16</v>
      </c>
    </row>
    <row r="66" spans="1:16" x14ac:dyDescent="0.35">
      <c r="A66" s="34" t="s">
        <v>6739</v>
      </c>
      <c r="B66" s="7">
        <f t="shared" si="1"/>
        <v>46086</v>
      </c>
      <c r="C66" s="7">
        <f t="shared" si="2"/>
        <v>46092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6" t="s">
        <v>1476</v>
      </c>
      <c r="M66" s="8">
        <v>139900</v>
      </c>
      <c r="N66" s="37">
        <v>0.9</v>
      </c>
      <c r="O66" s="36">
        <f t="shared" si="0"/>
        <v>13990</v>
      </c>
      <c r="P66" s="6" t="s">
        <v>16</v>
      </c>
    </row>
    <row r="67" spans="1:16" x14ac:dyDescent="0.35">
      <c r="A67" s="34" t="s">
        <v>6739</v>
      </c>
      <c r="B67" s="7">
        <f t="shared" si="1"/>
        <v>46086</v>
      </c>
      <c r="C67" s="7">
        <f t="shared" si="2"/>
        <v>46092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6" t="s">
        <v>1340</v>
      </c>
      <c r="M67" s="8">
        <v>139900</v>
      </c>
      <c r="N67" s="37">
        <v>0.9</v>
      </c>
      <c r="O67" s="36">
        <f t="shared" ref="O67:O130" si="3">M67-((90*M67)/100)</f>
        <v>13990</v>
      </c>
      <c r="P67" s="6" t="s">
        <v>16</v>
      </c>
    </row>
    <row r="68" spans="1:16" x14ac:dyDescent="0.35">
      <c r="A68" s="34" t="s">
        <v>6739</v>
      </c>
      <c r="B68" s="7">
        <f t="shared" ref="B68:B131" si="4">B67</f>
        <v>46086</v>
      </c>
      <c r="C68" s="7">
        <f t="shared" ref="C68:C131" si="5">C67</f>
        <v>46092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6" t="s">
        <v>1341</v>
      </c>
      <c r="M68" s="8">
        <v>139900</v>
      </c>
      <c r="N68" s="37">
        <v>0.9</v>
      </c>
      <c r="O68" s="36">
        <f t="shared" si="3"/>
        <v>13990</v>
      </c>
      <c r="P68" s="6" t="s">
        <v>16</v>
      </c>
    </row>
    <row r="69" spans="1:16" x14ac:dyDescent="0.35">
      <c r="A69" s="34" t="s">
        <v>6739</v>
      </c>
      <c r="B69" s="7">
        <f t="shared" si="4"/>
        <v>46086</v>
      </c>
      <c r="C69" s="7">
        <f t="shared" si="5"/>
        <v>46092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6" t="s">
        <v>1342</v>
      </c>
      <c r="M69" s="8">
        <v>139900</v>
      </c>
      <c r="N69" s="37">
        <v>0.9</v>
      </c>
      <c r="O69" s="36">
        <f t="shared" si="3"/>
        <v>13990</v>
      </c>
      <c r="P69" s="6" t="s">
        <v>16</v>
      </c>
    </row>
    <row r="70" spans="1:16" x14ac:dyDescent="0.35">
      <c r="A70" s="34" t="s">
        <v>6739</v>
      </c>
      <c r="B70" s="7">
        <f t="shared" si="4"/>
        <v>46086</v>
      </c>
      <c r="C70" s="7">
        <f t="shared" si="5"/>
        <v>46092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6" t="s">
        <v>1421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6739</v>
      </c>
      <c r="B71" s="7">
        <f t="shared" si="4"/>
        <v>46086</v>
      </c>
      <c r="C71" s="7">
        <f t="shared" si="5"/>
        <v>46092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6" t="s">
        <v>1422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6739</v>
      </c>
      <c r="B72" s="7">
        <f t="shared" si="4"/>
        <v>46086</v>
      </c>
      <c r="C72" s="7">
        <f t="shared" si="5"/>
        <v>46092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6" t="s">
        <v>1423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6739</v>
      </c>
      <c r="B73" s="7">
        <f t="shared" si="4"/>
        <v>46086</v>
      </c>
      <c r="C73" s="7">
        <f t="shared" si="5"/>
        <v>46092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6" t="s">
        <v>1442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6739</v>
      </c>
      <c r="B74" s="7">
        <f t="shared" si="4"/>
        <v>46086</v>
      </c>
      <c r="C74" s="7">
        <f t="shared" si="5"/>
        <v>46092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6" t="s">
        <v>1373</v>
      </c>
      <c r="M74" s="8">
        <v>119900</v>
      </c>
      <c r="N74" s="37">
        <v>0.9</v>
      </c>
      <c r="O74" s="36">
        <f t="shared" si="3"/>
        <v>11990</v>
      </c>
      <c r="P74" s="6" t="s">
        <v>16</v>
      </c>
    </row>
    <row r="75" spans="1:16" x14ac:dyDescent="0.35">
      <c r="A75" s="34" t="s">
        <v>6739</v>
      </c>
      <c r="B75" s="7">
        <f t="shared" si="4"/>
        <v>46086</v>
      </c>
      <c r="C75" s="7">
        <f t="shared" si="5"/>
        <v>46092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6" t="s">
        <v>1374</v>
      </c>
      <c r="M75" s="8">
        <v>119900</v>
      </c>
      <c r="N75" s="37">
        <v>0.9</v>
      </c>
      <c r="O75" s="36">
        <f t="shared" si="3"/>
        <v>11990</v>
      </c>
      <c r="P75" s="6" t="s">
        <v>16</v>
      </c>
    </row>
    <row r="76" spans="1:16" x14ac:dyDescent="0.35">
      <c r="A76" s="34" t="s">
        <v>6739</v>
      </c>
      <c r="B76" s="7">
        <f t="shared" si="4"/>
        <v>46086</v>
      </c>
      <c r="C76" s="7">
        <f t="shared" si="5"/>
        <v>46092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6" t="s">
        <v>1375</v>
      </c>
      <c r="M76" s="8">
        <v>119900</v>
      </c>
      <c r="N76" s="37">
        <v>0.9</v>
      </c>
      <c r="O76" s="36">
        <f t="shared" si="3"/>
        <v>11990</v>
      </c>
      <c r="P76" s="6" t="s">
        <v>16</v>
      </c>
    </row>
    <row r="77" spans="1:16" x14ac:dyDescent="0.35">
      <c r="A77" s="34" t="s">
        <v>6739</v>
      </c>
      <c r="B77" s="7">
        <f t="shared" si="4"/>
        <v>46086</v>
      </c>
      <c r="C77" s="7">
        <f t="shared" si="5"/>
        <v>46092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6" t="s">
        <v>1376</v>
      </c>
      <c r="M77" s="8">
        <v>119900</v>
      </c>
      <c r="N77" s="37">
        <v>0.9</v>
      </c>
      <c r="O77" s="36">
        <f t="shared" si="3"/>
        <v>11990</v>
      </c>
      <c r="P77" s="6" t="s">
        <v>16</v>
      </c>
    </row>
    <row r="78" spans="1:16" x14ac:dyDescent="0.35">
      <c r="A78" s="34" t="s">
        <v>6739</v>
      </c>
      <c r="B78" s="7">
        <f t="shared" si="4"/>
        <v>46086</v>
      </c>
      <c r="C78" s="7">
        <f t="shared" si="5"/>
        <v>46092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6" t="s">
        <v>1344</v>
      </c>
      <c r="M78" s="8">
        <v>139900</v>
      </c>
      <c r="N78" s="37">
        <v>0.9</v>
      </c>
      <c r="O78" s="36">
        <f t="shared" si="3"/>
        <v>13990</v>
      </c>
      <c r="P78" s="6" t="s">
        <v>16</v>
      </c>
    </row>
    <row r="79" spans="1:16" x14ac:dyDescent="0.35">
      <c r="A79" s="34" t="s">
        <v>6739</v>
      </c>
      <c r="B79" s="7">
        <f t="shared" si="4"/>
        <v>46086</v>
      </c>
      <c r="C79" s="7">
        <f t="shared" si="5"/>
        <v>46092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6" t="s">
        <v>1345</v>
      </c>
      <c r="M79" s="8">
        <v>139900</v>
      </c>
      <c r="N79" s="37">
        <v>0.9</v>
      </c>
      <c r="O79" s="36">
        <f t="shared" si="3"/>
        <v>13990</v>
      </c>
      <c r="P79" s="6" t="s">
        <v>16</v>
      </c>
    </row>
    <row r="80" spans="1:16" x14ac:dyDescent="0.35">
      <c r="A80" s="34" t="s">
        <v>6739</v>
      </c>
      <c r="B80" s="7">
        <f t="shared" si="4"/>
        <v>46086</v>
      </c>
      <c r="C80" s="7">
        <f t="shared" si="5"/>
        <v>46092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6" t="s">
        <v>1346</v>
      </c>
      <c r="M80" s="8">
        <v>139900</v>
      </c>
      <c r="N80" s="37">
        <v>0.9</v>
      </c>
      <c r="O80" s="36">
        <f t="shared" si="3"/>
        <v>13990</v>
      </c>
      <c r="P80" s="6" t="s">
        <v>16</v>
      </c>
    </row>
    <row r="81" spans="1:16" x14ac:dyDescent="0.35">
      <c r="A81" s="34" t="s">
        <v>6739</v>
      </c>
      <c r="B81" s="7">
        <f t="shared" si="4"/>
        <v>46086</v>
      </c>
      <c r="C81" s="7">
        <f t="shared" si="5"/>
        <v>46092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6" t="s">
        <v>1347</v>
      </c>
      <c r="M81" s="8">
        <v>139900</v>
      </c>
      <c r="N81" s="37">
        <v>0.9</v>
      </c>
      <c r="O81" s="36">
        <f t="shared" si="3"/>
        <v>13990</v>
      </c>
      <c r="P81" s="6" t="s">
        <v>16</v>
      </c>
    </row>
    <row r="82" spans="1:16" x14ac:dyDescent="0.35">
      <c r="A82" s="34" t="s">
        <v>6739</v>
      </c>
      <c r="B82" s="7">
        <f t="shared" si="4"/>
        <v>46086</v>
      </c>
      <c r="C82" s="7">
        <f t="shared" si="5"/>
        <v>46092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6" t="s">
        <v>1454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6739</v>
      </c>
      <c r="B83" s="7">
        <f t="shared" si="4"/>
        <v>46086</v>
      </c>
      <c r="C83" s="7">
        <f t="shared" si="5"/>
        <v>46092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6" t="s">
        <v>1455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6739</v>
      </c>
      <c r="B84" s="7">
        <f t="shared" si="4"/>
        <v>46086</v>
      </c>
      <c r="C84" s="7">
        <f t="shared" si="5"/>
        <v>46092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6" t="s">
        <v>1456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6739</v>
      </c>
      <c r="B85" s="7">
        <f t="shared" si="4"/>
        <v>46086</v>
      </c>
      <c r="C85" s="7">
        <f t="shared" si="5"/>
        <v>46092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6" t="s">
        <v>1457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6739</v>
      </c>
      <c r="B86" s="7">
        <f t="shared" si="4"/>
        <v>46086</v>
      </c>
      <c r="C86" s="7">
        <f t="shared" si="5"/>
        <v>46092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6" t="s">
        <v>1379</v>
      </c>
      <c r="M86" s="8">
        <v>199900</v>
      </c>
      <c r="N86" s="37">
        <v>0.9</v>
      </c>
      <c r="O86" s="36">
        <f t="shared" si="3"/>
        <v>19990</v>
      </c>
      <c r="P86" s="6" t="s">
        <v>16</v>
      </c>
    </row>
    <row r="87" spans="1:16" x14ac:dyDescent="0.35">
      <c r="A87" s="34" t="s">
        <v>6739</v>
      </c>
      <c r="B87" s="7">
        <f t="shared" si="4"/>
        <v>46086</v>
      </c>
      <c r="C87" s="7">
        <f t="shared" si="5"/>
        <v>46092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6" t="s">
        <v>1380</v>
      </c>
      <c r="M87" s="8">
        <v>199900</v>
      </c>
      <c r="N87" s="37">
        <v>0.9</v>
      </c>
      <c r="O87" s="36">
        <f t="shared" si="3"/>
        <v>19990</v>
      </c>
      <c r="P87" s="6" t="s">
        <v>16</v>
      </c>
    </row>
    <row r="88" spans="1:16" x14ac:dyDescent="0.35">
      <c r="A88" s="34" t="s">
        <v>6739</v>
      </c>
      <c r="B88" s="7">
        <f t="shared" si="4"/>
        <v>46086</v>
      </c>
      <c r="C88" s="7">
        <f t="shared" si="5"/>
        <v>46092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6" t="s">
        <v>1381</v>
      </c>
      <c r="M88" s="8">
        <v>199900</v>
      </c>
      <c r="N88" s="37">
        <v>0.9</v>
      </c>
      <c r="O88" s="36">
        <f t="shared" si="3"/>
        <v>19990</v>
      </c>
      <c r="P88" s="6" t="s">
        <v>16</v>
      </c>
    </row>
    <row r="89" spans="1:16" x14ac:dyDescent="0.35">
      <c r="A89" s="34" t="s">
        <v>6739</v>
      </c>
      <c r="B89" s="7">
        <f t="shared" si="4"/>
        <v>46086</v>
      </c>
      <c r="C89" s="7">
        <f t="shared" si="5"/>
        <v>46092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6" t="s">
        <v>1382</v>
      </c>
      <c r="M89" s="8">
        <v>199900</v>
      </c>
      <c r="N89" s="37">
        <v>0.9</v>
      </c>
      <c r="O89" s="36">
        <f t="shared" si="3"/>
        <v>19990</v>
      </c>
      <c r="P89" s="6" t="s">
        <v>16</v>
      </c>
    </row>
    <row r="90" spans="1:16" x14ac:dyDescent="0.35">
      <c r="A90" s="34" t="s">
        <v>6739</v>
      </c>
      <c r="B90" s="7">
        <f t="shared" si="4"/>
        <v>46086</v>
      </c>
      <c r="C90" s="7">
        <f t="shared" si="5"/>
        <v>46092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6" t="s">
        <v>1384</v>
      </c>
      <c r="M90" s="8">
        <v>199900</v>
      </c>
      <c r="N90" s="37">
        <v>0.9</v>
      </c>
      <c r="O90" s="36">
        <f t="shared" si="3"/>
        <v>19990</v>
      </c>
      <c r="P90" s="6" t="s">
        <v>16</v>
      </c>
    </row>
    <row r="91" spans="1:16" x14ac:dyDescent="0.35">
      <c r="A91" s="34" t="s">
        <v>6739</v>
      </c>
      <c r="B91" s="7">
        <f t="shared" si="4"/>
        <v>46086</v>
      </c>
      <c r="C91" s="7">
        <f t="shared" si="5"/>
        <v>46092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6" t="s">
        <v>1385</v>
      </c>
      <c r="M91" s="8">
        <v>199900</v>
      </c>
      <c r="N91" s="37">
        <v>0.9</v>
      </c>
      <c r="O91" s="36">
        <f t="shared" si="3"/>
        <v>19990</v>
      </c>
      <c r="P91" s="6" t="s">
        <v>16</v>
      </c>
    </row>
    <row r="92" spans="1:16" x14ac:dyDescent="0.35">
      <c r="A92" s="34" t="s">
        <v>6739</v>
      </c>
      <c r="B92" s="7">
        <f t="shared" si="4"/>
        <v>46086</v>
      </c>
      <c r="C92" s="7">
        <f t="shared" si="5"/>
        <v>46092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6" t="s">
        <v>1386</v>
      </c>
      <c r="M92" s="8">
        <v>199900</v>
      </c>
      <c r="N92" s="37">
        <v>0.9</v>
      </c>
      <c r="O92" s="36">
        <f t="shared" si="3"/>
        <v>19990</v>
      </c>
      <c r="P92" s="6" t="s">
        <v>16</v>
      </c>
    </row>
    <row r="93" spans="1:16" x14ac:dyDescent="0.35">
      <c r="A93" s="34" t="s">
        <v>6739</v>
      </c>
      <c r="B93" s="7">
        <f t="shared" si="4"/>
        <v>46086</v>
      </c>
      <c r="C93" s="7">
        <f t="shared" si="5"/>
        <v>46092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6" t="s">
        <v>1429</v>
      </c>
      <c r="M93" s="8">
        <v>199900</v>
      </c>
      <c r="N93" s="37">
        <v>0.9</v>
      </c>
      <c r="O93" s="36">
        <f t="shared" si="3"/>
        <v>19990</v>
      </c>
      <c r="P93" s="6" t="s">
        <v>16</v>
      </c>
    </row>
    <row r="94" spans="1:16" x14ac:dyDescent="0.35">
      <c r="A94" s="34" t="s">
        <v>6739</v>
      </c>
      <c r="B94" s="7">
        <f t="shared" si="4"/>
        <v>46086</v>
      </c>
      <c r="C94" s="7">
        <f t="shared" si="5"/>
        <v>46092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6" t="s">
        <v>1430</v>
      </c>
      <c r="M94" s="8">
        <v>199900</v>
      </c>
      <c r="N94" s="37">
        <v>0.9</v>
      </c>
      <c r="O94" s="36">
        <f t="shared" si="3"/>
        <v>19990</v>
      </c>
      <c r="P94" s="6" t="s">
        <v>16</v>
      </c>
    </row>
    <row r="95" spans="1:16" x14ac:dyDescent="0.35">
      <c r="A95" s="34" t="s">
        <v>6739</v>
      </c>
      <c r="B95" s="7">
        <f t="shared" si="4"/>
        <v>46086</v>
      </c>
      <c r="C95" s="7">
        <f t="shared" si="5"/>
        <v>46092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6" t="s">
        <v>1431</v>
      </c>
      <c r="M95" s="8">
        <v>199900</v>
      </c>
      <c r="N95" s="37">
        <v>0.9</v>
      </c>
      <c r="O95" s="36">
        <f t="shared" si="3"/>
        <v>19990</v>
      </c>
      <c r="P95" s="6" t="s">
        <v>16</v>
      </c>
    </row>
    <row r="96" spans="1:16" x14ac:dyDescent="0.35">
      <c r="A96" s="34" t="s">
        <v>6739</v>
      </c>
      <c r="B96" s="7">
        <f t="shared" si="4"/>
        <v>46086</v>
      </c>
      <c r="C96" s="7">
        <f t="shared" si="5"/>
        <v>46092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6" t="s">
        <v>1439</v>
      </c>
      <c r="M96" s="8">
        <v>199900</v>
      </c>
      <c r="N96" s="37">
        <v>0.9</v>
      </c>
      <c r="O96" s="36">
        <f t="shared" si="3"/>
        <v>19990</v>
      </c>
      <c r="P96" s="6" t="s">
        <v>16</v>
      </c>
    </row>
    <row r="97" spans="1:16" x14ac:dyDescent="0.35">
      <c r="A97" s="34" t="s">
        <v>6739</v>
      </c>
      <c r="B97" s="7">
        <f t="shared" si="4"/>
        <v>46086</v>
      </c>
      <c r="C97" s="7">
        <f t="shared" si="5"/>
        <v>46092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6" t="s">
        <v>1440</v>
      </c>
      <c r="M97" s="8">
        <v>199900</v>
      </c>
      <c r="N97" s="37">
        <v>0.9</v>
      </c>
      <c r="O97" s="36">
        <f t="shared" si="3"/>
        <v>19990</v>
      </c>
      <c r="P97" s="6" t="s">
        <v>16</v>
      </c>
    </row>
    <row r="98" spans="1:16" x14ac:dyDescent="0.35">
      <c r="A98" s="34" t="s">
        <v>6739</v>
      </c>
      <c r="B98" s="7">
        <f t="shared" si="4"/>
        <v>46086</v>
      </c>
      <c r="C98" s="7">
        <f t="shared" si="5"/>
        <v>46092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6" t="s">
        <v>1353</v>
      </c>
      <c r="M98" s="8">
        <v>159900</v>
      </c>
      <c r="N98" s="37">
        <v>0.9</v>
      </c>
      <c r="O98" s="36">
        <f t="shared" si="3"/>
        <v>15990</v>
      </c>
      <c r="P98" s="6" t="s">
        <v>16</v>
      </c>
    </row>
    <row r="99" spans="1:16" x14ac:dyDescent="0.35">
      <c r="A99" s="34" t="s">
        <v>6739</v>
      </c>
      <c r="B99" s="7">
        <f t="shared" si="4"/>
        <v>46086</v>
      </c>
      <c r="C99" s="7">
        <f t="shared" si="5"/>
        <v>46092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6" t="s">
        <v>1349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  <row r="100" spans="1:16" x14ac:dyDescent="0.35">
      <c r="A100" s="34" t="s">
        <v>6739</v>
      </c>
      <c r="B100" s="7">
        <f t="shared" si="4"/>
        <v>46086</v>
      </c>
      <c r="C100" s="7">
        <f t="shared" si="5"/>
        <v>46092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6" t="s">
        <v>1377</v>
      </c>
      <c r="M100" s="8">
        <v>189900</v>
      </c>
      <c r="N100" s="37">
        <v>0.9</v>
      </c>
      <c r="O100" s="36">
        <f t="shared" si="3"/>
        <v>18990</v>
      </c>
      <c r="P100" s="6" t="s">
        <v>16</v>
      </c>
    </row>
    <row r="101" spans="1:16" x14ac:dyDescent="0.35">
      <c r="A101" s="34" t="s">
        <v>6739</v>
      </c>
      <c r="B101" s="7">
        <f t="shared" si="4"/>
        <v>46086</v>
      </c>
      <c r="C101" s="7">
        <f t="shared" si="5"/>
        <v>46092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6" t="s">
        <v>1350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6739</v>
      </c>
      <c r="B102" s="7">
        <f t="shared" si="4"/>
        <v>46086</v>
      </c>
      <c r="C102" s="7">
        <f t="shared" si="5"/>
        <v>46092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6" t="s">
        <v>1351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6739</v>
      </c>
      <c r="B103" s="7">
        <f t="shared" si="4"/>
        <v>46086</v>
      </c>
      <c r="C103" s="7">
        <f t="shared" si="5"/>
        <v>46092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6" t="s">
        <v>1459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6739</v>
      </c>
      <c r="B104" s="7">
        <f t="shared" si="4"/>
        <v>46086</v>
      </c>
      <c r="C104" s="7">
        <f t="shared" si="5"/>
        <v>46092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6" t="s">
        <v>1460</v>
      </c>
      <c r="M104" s="8">
        <v>219900</v>
      </c>
      <c r="N104" s="37">
        <v>0.9</v>
      </c>
      <c r="O104" s="36">
        <f t="shared" si="3"/>
        <v>21990</v>
      </c>
      <c r="P104" s="6" t="s">
        <v>16</v>
      </c>
    </row>
    <row r="105" spans="1:16" x14ac:dyDescent="0.35">
      <c r="A105" s="34" t="s">
        <v>6739</v>
      </c>
      <c r="B105" s="7">
        <f t="shared" si="4"/>
        <v>46086</v>
      </c>
      <c r="C105" s="7">
        <f t="shared" si="5"/>
        <v>46092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6" t="s">
        <v>1461</v>
      </c>
      <c r="M105" s="8">
        <v>219900</v>
      </c>
      <c r="N105" s="37">
        <v>0.9</v>
      </c>
      <c r="O105" s="36">
        <f t="shared" si="3"/>
        <v>21990</v>
      </c>
      <c r="P105" s="6" t="s">
        <v>16</v>
      </c>
    </row>
    <row r="106" spans="1:16" x14ac:dyDescent="0.35">
      <c r="A106" s="34" t="s">
        <v>6739</v>
      </c>
      <c r="B106" s="7">
        <f t="shared" si="4"/>
        <v>46086</v>
      </c>
      <c r="C106" s="7">
        <f t="shared" si="5"/>
        <v>46092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6" t="s">
        <v>1462</v>
      </c>
      <c r="M106" s="8">
        <v>219900</v>
      </c>
      <c r="N106" s="37">
        <v>0.9</v>
      </c>
      <c r="O106" s="36">
        <f t="shared" si="3"/>
        <v>21990</v>
      </c>
      <c r="P106" s="6" t="s">
        <v>16</v>
      </c>
    </row>
    <row r="107" spans="1:16" x14ac:dyDescent="0.35">
      <c r="A107" s="34" t="s">
        <v>6739</v>
      </c>
      <c r="B107" s="7">
        <f t="shared" si="4"/>
        <v>46086</v>
      </c>
      <c r="C107" s="7">
        <f t="shared" si="5"/>
        <v>46092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6" t="s">
        <v>1308</v>
      </c>
      <c r="M107" s="8">
        <v>179900</v>
      </c>
      <c r="N107" s="37">
        <v>0.9</v>
      </c>
      <c r="O107" s="36">
        <f t="shared" si="3"/>
        <v>17990</v>
      </c>
      <c r="P107" s="6" t="s">
        <v>16</v>
      </c>
    </row>
    <row r="108" spans="1:16" x14ac:dyDescent="0.35">
      <c r="A108" s="34" t="s">
        <v>6739</v>
      </c>
      <c r="B108" s="7">
        <f t="shared" si="4"/>
        <v>46086</v>
      </c>
      <c r="C108" s="7">
        <f t="shared" si="5"/>
        <v>46092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6" t="s">
        <v>1309</v>
      </c>
      <c r="M108" s="8">
        <v>179900</v>
      </c>
      <c r="N108" s="37">
        <v>0.9</v>
      </c>
      <c r="O108" s="36">
        <f t="shared" si="3"/>
        <v>17990</v>
      </c>
      <c r="P108" s="6" t="s">
        <v>16</v>
      </c>
    </row>
    <row r="109" spans="1:16" x14ac:dyDescent="0.35">
      <c r="A109" s="34" t="s">
        <v>6739</v>
      </c>
      <c r="B109" s="7">
        <f t="shared" si="4"/>
        <v>46086</v>
      </c>
      <c r="C109" s="7">
        <f t="shared" si="5"/>
        <v>46092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6" t="s">
        <v>1425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6739</v>
      </c>
      <c r="B110" s="7">
        <f t="shared" si="4"/>
        <v>46086</v>
      </c>
      <c r="C110" s="7">
        <f t="shared" si="5"/>
        <v>46092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6" t="s">
        <v>1426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6739</v>
      </c>
      <c r="B111" s="7">
        <f t="shared" si="4"/>
        <v>46086</v>
      </c>
      <c r="C111" s="7">
        <f t="shared" si="5"/>
        <v>46092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6" t="s">
        <v>1427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6739</v>
      </c>
      <c r="B112" s="7">
        <f t="shared" si="4"/>
        <v>46086</v>
      </c>
      <c r="C112" s="7">
        <f t="shared" si="5"/>
        <v>46092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6" t="s">
        <v>1355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6739</v>
      </c>
      <c r="B113" s="7">
        <f t="shared" si="4"/>
        <v>46086</v>
      </c>
      <c r="C113" s="7">
        <f t="shared" si="5"/>
        <v>46092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6" t="s">
        <v>1356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6739</v>
      </c>
      <c r="B114" s="7">
        <f t="shared" si="4"/>
        <v>46086</v>
      </c>
      <c r="C114" s="7">
        <f t="shared" si="5"/>
        <v>46092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6" t="s">
        <v>1357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6739</v>
      </c>
      <c r="B115" s="7">
        <f t="shared" si="4"/>
        <v>46086</v>
      </c>
      <c r="C115" s="7">
        <f t="shared" si="5"/>
        <v>46092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6" t="s">
        <v>1464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6739</v>
      </c>
      <c r="B116" s="7">
        <f t="shared" si="4"/>
        <v>46086</v>
      </c>
      <c r="C116" s="7">
        <f t="shared" si="5"/>
        <v>46092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6" t="s">
        <v>1465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6739</v>
      </c>
      <c r="B117" s="7">
        <f t="shared" si="4"/>
        <v>46086</v>
      </c>
      <c r="C117" s="7">
        <f t="shared" si="5"/>
        <v>46092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6" t="s">
        <v>1466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6739</v>
      </c>
      <c r="B118" s="7">
        <f t="shared" si="4"/>
        <v>46086</v>
      </c>
      <c r="C118" s="7">
        <f t="shared" si="5"/>
        <v>46092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6" t="s">
        <v>1467</v>
      </c>
      <c r="M118" s="8">
        <v>199900</v>
      </c>
      <c r="N118" s="37">
        <v>0.9</v>
      </c>
      <c r="O118" s="36">
        <f t="shared" si="3"/>
        <v>19990</v>
      </c>
      <c r="P118" s="6" t="s">
        <v>16</v>
      </c>
    </row>
    <row r="119" spans="1:16" x14ac:dyDescent="0.35">
      <c r="A119" s="34" t="s">
        <v>6739</v>
      </c>
      <c r="B119" s="7">
        <f t="shared" si="4"/>
        <v>46086</v>
      </c>
      <c r="C119" s="7">
        <f t="shared" si="5"/>
        <v>46092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6" t="s">
        <v>1469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6739</v>
      </c>
      <c r="B120" s="7">
        <f t="shared" si="4"/>
        <v>46086</v>
      </c>
      <c r="C120" s="7">
        <f t="shared" si="5"/>
        <v>46092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6" t="s">
        <v>1470</v>
      </c>
      <c r="M120" s="8">
        <v>169900</v>
      </c>
      <c r="N120" s="37">
        <v>0.9</v>
      </c>
      <c r="O120" s="36">
        <f t="shared" si="3"/>
        <v>16990</v>
      </c>
      <c r="P120" s="6" t="s">
        <v>16</v>
      </c>
    </row>
    <row r="121" spans="1:16" x14ac:dyDescent="0.35">
      <c r="A121" s="34" t="s">
        <v>6739</v>
      </c>
      <c r="B121" s="7">
        <f t="shared" si="4"/>
        <v>46086</v>
      </c>
      <c r="C121" s="7">
        <f t="shared" si="5"/>
        <v>46092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6" t="s">
        <v>1471</v>
      </c>
      <c r="M121" s="8">
        <v>169900</v>
      </c>
      <c r="N121" s="37">
        <v>0.9</v>
      </c>
      <c r="O121" s="36">
        <f t="shared" si="3"/>
        <v>16990</v>
      </c>
      <c r="P121" s="6" t="s">
        <v>16</v>
      </c>
    </row>
    <row r="122" spans="1:16" x14ac:dyDescent="0.35">
      <c r="A122" s="34" t="s">
        <v>6739</v>
      </c>
      <c r="B122" s="7">
        <f t="shared" si="4"/>
        <v>46086</v>
      </c>
      <c r="C122" s="7">
        <f t="shared" si="5"/>
        <v>46092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6" t="s">
        <v>1472</v>
      </c>
      <c r="M122" s="8">
        <v>169900</v>
      </c>
      <c r="N122" s="37">
        <v>0.9</v>
      </c>
      <c r="O122" s="36">
        <f t="shared" si="3"/>
        <v>16990</v>
      </c>
      <c r="P122" s="6" t="s">
        <v>16</v>
      </c>
    </row>
    <row r="123" spans="1:16" x14ac:dyDescent="0.35">
      <c r="A123" s="34" t="s">
        <v>6739</v>
      </c>
      <c r="B123" s="7">
        <f t="shared" si="4"/>
        <v>46086</v>
      </c>
      <c r="C123" s="7">
        <f t="shared" si="5"/>
        <v>46092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6" t="s">
        <v>1497</v>
      </c>
      <c r="M123" s="8">
        <v>39900</v>
      </c>
      <c r="N123" s="37">
        <v>0.9</v>
      </c>
      <c r="O123" s="36">
        <f t="shared" si="3"/>
        <v>3990</v>
      </c>
      <c r="P123" s="6" t="s">
        <v>16</v>
      </c>
    </row>
    <row r="124" spans="1:16" x14ac:dyDescent="0.35">
      <c r="A124" s="34" t="s">
        <v>6739</v>
      </c>
      <c r="B124" s="7">
        <f t="shared" si="4"/>
        <v>46086</v>
      </c>
      <c r="C124" s="7">
        <f t="shared" si="5"/>
        <v>46092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6" t="s">
        <v>1498</v>
      </c>
      <c r="M124" s="8">
        <v>39900</v>
      </c>
      <c r="N124" s="37">
        <v>0.9</v>
      </c>
      <c r="O124" s="36">
        <f t="shared" si="3"/>
        <v>3990</v>
      </c>
      <c r="P124" s="6" t="s">
        <v>16</v>
      </c>
    </row>
    <row r="125" spans="1:16" x14ac:dyDescent="0.35">
      <c r="A125" s="34" t="s">
        <v>6739</v>
      </c>
      <c r="B125" s="7">
        <f t="shared" si="4"/>
        <v>46086</v>
      </c>
      <c r="C125" s="7">
        <f t="shared" si="5"/>
        <v>46092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6" t="s">
        <v>1500</v>
      </c>
      <c r="M125" s="8">
        <v>49900</v>
      </c>
      <c r="N125" s="37">
        <v>0.9</v>
      </c>
      <c r="O125" s="36">
        <f t="shared" si="3"/>
        <v>4990</v>
      </c>
      <c r="P125" s="6" t="s">
        <v>16</v>
      </c>
    </row>
    <row r="126" spans="1:16" x14ac:dyDescent="0.35">
      <c r="A126" s="34" t="s">
        <v>6739</v>
      </c>
      <c r="B126" s="7">
        <f t="shared" si="4"/>
        <v>46086</v>
      </c>
      <c r="C126" s="7">
        <f t="shared" si="5"/>
        <v>46092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6" t="s">
        <v>1501</v>
      </c>
      <c r="M126" s="8">
        <v>49900</v>
      </c>
      <c r="N126" s="37">
        <v>0.9</v>
      </c>
      <c r="O126" s="36">
        <f t="shared" si="3"/>
        <v>4990</v>
      </c>
      <c r="P126" s="6" t="s">
        <v>16</v>
      </c>
    </row>
    <row r="127" spans="1:16" x14ac:dyDescent="0.35">
      <c r="A127" s="34" t="s">
        <v>6739</v>
      </c>
      <c r="B127" s="7">
        <f t="shared" si="4"/>
        <v>46086</v>
      </c>
      <c r="C127" s="7">
        <f t="shared" si="5"/>
        <v>46092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6" t="s">
        <v>1503</v>
      </c>
      <c r="M127" s="8">
        <v>39900</v>
      </c>
      <c r="N127" s="37">
        <v>0.9</v>
      </c>
      <c r="O127" s="36">
        <f t="shared" si="3"/>
        <v>3990</v>
      </c>
      <c r="P127" s="6" t="s">
        <v>16</v>
      </c>
    </row>
    <row r="128" spans="1:16" x14ac:dyDescent="0.35">
      <c r="A128" s="34" t="s">
        <v>6739</v>
      </c>
      <c r="B128" s="7">
        <f t="shared" si="4"/>
        <v>46086</v>
      </c>
      <c r="C128" s="7">
        <f t="shared" si="5"/>
        <v>46092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6" t="s">
        <v>1504</v>
      </c>
      <c r="M128" s="8">
        <v>39900</v>
      </c>
      <c r="N128" s="37">
        <v>0.9</v>
      </c>
      <c r="O128" s="36">
        <f t="shared" si="3"/>
        <v>3990</v>
      </c>
      <c r="P128" s="6" t="s">
        <v>16</v>
      </c>
    </row>
    <row r="129" spans="1:16" x14ac:dyDescent="0.35">
      <c r="A129" s="34" t="s">
        <v>6739</v>
      </c>
      <c r="B129" s="7">
        <f t="shared" si="4"/>
        <v>46086</v>
      </c>
      <c r="C129" s="7">
        <f t="shared" si="5"/>
        <v>46092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6" t="s">
        <v>1491</v>
      </c>
      <c r="M129" s="8">
        <v>49900</v>
      </c>
      <c r="N129" s="37">
        <v>0.9</v>
      </c>
      <c r="O129" s="36">
        <f t="shared" si="3"/>
        <v>4990</v>
      </c>
      <c r="P129" s="6" t="s">
        <v>16</v>
      </c>
    </row>
    <row r="130" spans="1:16" x14ac:dyDescent="0.35">
      <c r="A130" s="34" t="s">
        <v>6739</v>
      </c>
      <c r="B130" s="7">
        <f t="shared" si="4"/>
        <v>46086</v>
      </c>
      <c r="C130" s="7">
        <f t="shared" si="5"/>
        <v>46092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6" t="s">
        <v>1492</v>
      </c>
      <c r="M130" s="8">
        <v>49900</v>
      </c>
      <c r="N130" s="37">
        <v>0.9</v>
      </c>
      <c r="O130" s="36">
        <f t="shared" si="3"/>
        <v>4990</v>
      </c>
      <c r="P130" s="6" t="s">
        <v>16</v>
      </c>
    </row>
    <row r="131" spans="1:16" x14ac:dyDescent="0.35">
      <c r="A131" s="34" t="s">
        <v>6739</v>
      </c>
      <c r="B131" s="7">
        <f t="shared" si="4"/>
        <v>46086</v>
      </c>
      <c r="C131" s="7">
        <f t="shared" si="5"/>
        <v>46092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6" t="s">
        <v>1494</v>
      </c>
      <c r="M131" s="8">
        <v>49900</v>
      </c>
      <c r="N131" s="37">
        <v>0.9</v>
      </c>
      <c r="O131" s="36">
        <f t="shared" ref="O131:O194" si="6">M131-((90*M131)/100)</f>
        <v>4990</v>
      </c>
      <c r="P131" s="6" t="s">
        <v>16</v>
      </c>
    </row>
    <row r="132" spans="1:16" x14ac:dyDescent="0.35">
      <c r="A132" s="34" t="s">
        <v>6739</v>
      </c>
      <c r="B132" s="7">
        <f t="shared" ref="B132:B195" si="7">B131</f>
        <v>46086</v>
      </c>
      <c r="C132" s="7">
        <f t="shared" ref="C132:C195" si="8">C131</f>
        <v>46092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6" t="s">
        <v>1495</v>
      </c>
      <c r="M132" s="8">
        <v>39900</v>
      </c>
      <c r="N132" s="37">
        <v>0.9</v>
      </c>
      <c r="O132" s="36">
        <f t="shared" si="6"/>
        <v>3990</v>
      </c>
      <c r="P132" s="6" t="s">
        <v>16</v>
      </c>
    </row>
    <row r="133" spans="1:16" x14ac:dyDescent="0.35">
      <c r="A133" s="34" t="s">
        <v>6739</v>
      </c>
      <c r="B133" s="7">
        <f t="shared" si="7"/>
        <v>46086</v>
      </c>
      <c r="C133" s="7">
        <f t="shared" si="8"/>
        <v>46092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6" t="s">
        <v>1506</v>
      </c>
      <c r="M133" s="8">
        <v>59900</v>
      </c>
      <c r="N133" s="37">
        <v>0.9</v>
      </c>
      <c r="O133" s="36">
        <f t="shared" si="6"/>
        <v>5990</v>
      </c>
      <c r="P133" s="6" t="s">
        <v>16</v>
      </c>
    </row>
    <row r="134" spans="1:16" x14ac:dyDescent="0.35">
      <c r="A134" s="34" t="s">
        <v>6739</v>
      </c>
      <c r="B134" s="7">
        <f t="shared" si="7"/>
        <v>46086</v>
      </c>
      <c r="C134" s="7">
        <f t="shared" si="8"/>
        <v>46092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6" t="s">
        <v>1507</v>
      </c>
      <c r="M134" s="8">
        <v>59900</v>
      </c>
      <c r="N134" s="37">
        <v>0.9</v>
      </c>
      <c r="O134" s="36">
        <f t="shared" si="6"/>
        <v>5990</v>
      </c>
      <c r="P134" s="6" t="s">
        <v>16</v>
      </c>
    </row>
    <row r="135" spans="1:16" x14ac:dyDescent="0.35">
      <c r="A135" s="34" t="s">
        <v>6739</v>
      </c>
      <c r="B135" s="7">
        <f t="shared" si="7"/>
        <v>46086</v>
      </c>
      <c r="C135" s="7">
        <f t="shared" si="8"/>
        <v>46092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6" t="s">
        <v>1509</v>
      </c>
      <c r="M135" s="8">
        <v>69900</v>
      </c>
      <c r="N135" s="37">
        <v>0.9</v>
      </c>
      <c r="O135" s="36">
        <f t="shared" si="6"/>
        <v>6990</v>
      </c>
      <c r="P135" s="6" t="s">
        <v>16</v>
      </c>
    </row>
    <row r="136" spans="1:16" x14ac:dyDescent="0.35">
      <c r="A136" s="34" t="s">
        <v>6739</v>
      </c>
      <c r="B136" s="7">
        <f t="shared" si="7"/>
        <v>46086</v>
      </c>
      <c r="C136" s="7">
        <f t="shared" si="8"/>
        <v>46092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6" t="s">
        <v>1510</v>
      </c>
      <c r="M136" s="8">
        <v>69900</v>
      </c>
      <c r="N136" s="37">
        <v>0.9</v>
      </c>
      <c r="O136" s="36">
        <f t="shared" si="6"/>
        <v>6990</v>
      </c>
      <c r="P136" s="6" t="s">
        <v>16</v>
      </c>
    </row>
    <row r="137" spans="1:16" x14ac:dyDescent="0.35">
      <c r="A137" s="34" t="s">
        <v>6739</v>
      </c>
      <c r="B137" s="7">
        <f t="shared" si="7"/>
        <v>46086</v>
      </c>
      <c r="C137" s="7">
        <f t="shared" si="8"/>
        <v>46092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6" t="s">
        <v>1512</v>
      </c>
      <c r="M137" s="8">
        <v>59900</v>
      </c>
      <c r="N137" s="37">
        <v>0.9</v>
      </c>
      <c r="O137" s="36">
        <f t="shared" si="6"/>
        <v>5990</v>
      </c>
      <c r="P137" s="6" t="s">
        <v>16</v>
      </c>
    </row>
    <row r="138" spans="1:16" x14ac:dyDescent="0.35">
      <c r="A138" s="34" t="s">
        <v>6739</v>
      </c>
      <c r="B138" s="7">
        <f t="shared" si="7"/>
        <v>46086</v>
      </c>
      <c r="C138" s="7">
        <f t="shared" si="8"/>
        <v>46092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6" t="s">
        <v>1513</v>
      </c>
      <c r="M138" s="8">
        <v>59900</v>
      </c>
      <c r="N138" s="37">
        <v>0.9</v>
      </c>
      <c r="O138" s="36">
        <f t="shared" si="6"/>
        <v>5990</v>
      </c>
      <c r="P138" s="6" t="s">
        <v>16</v>
      </c>
    </row>
    <row r="139" spans="1:16" x14ac:dyDescent="0.35">
      <c r="A139" s="34" t="s">
        <v>6739</v>
      </c>
      <c r="B139" s="7">
        <f t="shared" si="7"/>
        <v>46086</v>
      </c>
      <c r="C139" s="7">
        <f t="shared" si="8"/>
        <v>46092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6" t="s">
        <v>1515</v>
      </c>
      <c r="M139" s="8">
        <v>49900</v>
      </c>
      <c r="N139" s="37">
        <v>0.9</v>
      </c>
      <c r="O139" s="36">
        <f t="shared" si="6"/>
        <v>4990</v>
      </c>
      <c r="P139" s="6" t="s">
        <v>16</v>
      </c>
    </row>
    <row r="140" spans="1:16" x14ac:dyDescent="0.35">
      <c r="A140" s="34" t="s">
        <v>6739</v>
      </c>
      <c r="B140" s="7">
        <f t="shared" si="7"/>
        <v>46086</v>
      </c>
      <c r="C140" s="7">
        <f t="shared" si="8"/>
        <v>46092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6" t="s">
        <v>1516</v>
      </c>
      <c r="M140" s="8">
        <v>49900</v>
      </c>
      <c r="N140" s="37">
        <v>0.9</v>
      </c>
      <c r="O140" s="36">
        <f t="shared" si="6"/>
        <v>4990</v>
      </c>
      <c r="P140" s="6" t="s">
        <v>16</v>
      </c>
    </row>
    <row r="141" spans="1:16" x14ac:dyDescent="0.35">
      <c r="A141" s="34" t="s">
        <v>6739</v>
      </c>
      <c r="B141" s="7">
        <f t="shared" si="7"/>
        <v>46086</v>
      </c>
      <c r="C141" s="7">
        <f t="shared" si="8"/>
        <v>46092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6" t="s">
        <v>1518</v>
      </c>
      <c r="M141" s="8">
        <v>49900</v>
      </c>
      <c r="N141" s="37">
        <v>0.9</v>
      </c>
      <c r="O141" s="36">
        <f t="shared" si="6"/>
        <v>4990</v>
      </c>
      <c r="P141" s="6" t="s">
        <v>16</v>
      </c>
    </row>
    <row r="142" spans="1:16" x14ac:dyDescent="0.35">
      <c r="A142" s="34" t="s">
        <v>6739</v>
      </c>
      <c r="B142" s="7">
        <f t="shared" si="7"/>
        <v>46086</v>
      </c>
      <c r="C142" s="7">
        <f t="shared" si="8"/>
        <v>46092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6" t="s">
        <v>1519</v>
      </c>
      <c r="M142" s="8">
        <v>49900</v>
      </c>
      <c r="N142" s="37">
        <v>0.9</v>
      </c>
      <c r="O142" s="36">
        <f t="shared" si="6"/>
        <v>4990</v>
      </c>
      <c r="P142" s="6" t="s">
        <v>16</v>
      </c>
    </row>
    <row r="143" spans="1:16" x14ac:dyDescent="0.35">
      <c r="A143" s="34" t="s">
        <v>6739</v>
      </c>
      <c r="B143" s="7">
        <f t="shared" si="7"/>
        <v>46086</v>
      </c>
      <c r="C143" s="7">
        <f t="shared" si="8"/>
        <v>46092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6" t="s">
        <v>1521</v>
      </c>
      <c r="M143" s="8">
        <v>49900</v>
      </c>
      <c r="N143" s="37">
        <v>0.9</v>
      </c>
      <c r="O143" s="36">
        <f t="shared" si="6"/>
        <v>4990</v>
      </c>
      <c r="P143" s="6" t="s">
        <v>16</v>
      </c>
    </row>
    <row r="144" spans="1:16" x14ac:dyDescent="0.35">
      <c r="A144" s="34" t="s">
        <v>6739</v>
      </c>
      <c r="B144" s="7">
        <f t="shared" si="7"/>
        <v>46086</v>
      </c>
      <c r="C144" s="7">
        <f t="shared" si="8"/>
        <v>46092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6" t="s">
        <v>1522</v>
      </c>
      <c r="M144" s="8">
        <v>49900</v>
      </c>
      <c r="N144" s="37">
        <v>0.9</v>
      </c>
      <c r="O144" s="36">
        <f t="shared" si="6"/>
        <v>4990</v>
      </c>
      <c r="P144" s="6" t="s">
        <v>16</v>
      </c>
    </row>
    <row r="145" spans="1:16" x14ac:dyDescent="0.35">
      <c r="A145" s="34" t="s">
        <v>6739</v>
      </c>
      <c r="B145" s="7">
        <f t="shared" si="7"/>
        <v>46086</v>
      </c>
      <c r="C145" s="7">
        <f t="shared" si="8"/>
        <v>46092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6" t="s">
        <v>1524</v>
      </c>
      <c r="M145" s="8">
        <v>39900</v>
      </c>
      <c r="N145" s="37">
        <v>0.9</v>
      </c>
      <c r="O145" s="36">
        <f t="shared" si="6"/>
        <v>3990</v>
      </c>
      <c r="P145" s="6" t="s">
        <v>16</v>
      </c>
    </row>
    <row r="146" spans="1:16" x14ac:dyDescent="0.35">
      <c r="A146" s="34" t="s">
        <v>6739</v>
      </c>
      <c r="B146" s="7">
        <f t="shared" si="7"/>
        <v>46086</v>
      </c>
      <c r="C146" s="7">
        <f t="shared" si="8"/>
        <v>46092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6" t="s">
        <v>1525</v>
      </c>
      <c r="M146" s="8">
        <v>49900</v>
      </c>
      <c r="N146" s="37">
        <v>0.9</v>
      </c>
      <c r="O146" s="36">
        <f t="shared" si="6"/>
        <v>4990</v>
      </c>
      <c r="P146" s="6" t="s">
        <v>16</v>
      </c>
    </row>
    <row r="147" spans="1:16" x14ac:dyDescent="0.35">
      <c r="A147" s="34" t="s">
        <v>6739</v>
      </c>
      <c r="B147" s="7">
        <f t="shared" si="7"/>
        <v>46086</v>
      </c>
      <c r="C147" s="7">
        <f t="shared" si="8"/>
        <v>46092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6" t="s">
        <v>1527</v>
      </c>
      <c r="M147" s="8">
        <v>39900</v>
      </c>
      <c r="N147" s="37">
        <v>0.9</v>
      </c>
      <c r="O147" s="36">
        <f t="shared" si="6"/>
        <v>3990</v>
      </c>
      <c r="P147" s="6" t="s">
        <v>16</v>
      </c>
    </row>
    <row r="148" spans="1:16" x14ac:dyDescent="0.35">
      <c r="A148" s="34" t="s">
        <v>6739</v>
      </c>
      <c r="B148" s="7">
        <f t="shared" si="7"/>
        <v>46086</v>
      </c>
      <c r="C148" s="7">
        <f t="shared" si="8"/>
        <v>46092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6" t="s">
        <v>1528</v>
      </c>
      <c r="M148" s="8">
        <v>39900</v>
      </c>
      <c r="N148" s="37">
        <v>0.9</v>
      </c>
      <c r="O148" s="36">
        <f t="shared" si="6"/>
        <v>3990</v>
      </c>
      <c r="P148" s="6" t="s">
        <v>16</v>
      </c>
    </row>
    <row r="149" spans="1:16" x14ac:dyDescent="0.35">
      <c r="A149" s="34" t="s">
        <v>6739</v>
      </c>
      <c r="B149" s="7">
        <f t="shared" si="7"/>
        <v>46086</v>
      </c>
      <c r="C149" s="7">
        <f t="shared" si="8"/>
        <v>46092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6" t="s">
        <v>1530</v>
      </c>
      <c r="M149" s="8">
        <v>45900</v>
      </c>
      <c r="N149" s="37">
        <v>0.9</v>
      </c>
      <c r="O149" s="36">
        <f t="shared" si="6"/>
        <v>4590</v>
      </c>
      <c r="P149" s="6" t="s">
        <v>16</v>
      </c>
    </row>
    <row r="150" spans="1:16" x14ac:dyDescent="0.35">
      <c r="A150" s="34" t="s">
        <v>6739</v>
      </c>
      <c r="B150" s="7">
        <f t="shared" si="7"/>
        <v>46086</v>
      </c>
      <c r="C150" s="7">
        <f t="shared" si="8"/>
        <v>46092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6" t="s">
        <v>1531</v>
      </c>
      <c r="M150" s="8">
        <v>45900</v>
      </c>
      <c r="N150" s="37">
        <v>0.9</v>
      </c>
      <c r="O150" s="36">
        <f t="shared" si="6"/>
        <v>4590</v>
      </c>
      <c r="P150" s="6" t="s">
        <v>16</v>
      </c>
    </row>
    <row r="151" spans="1:16" x14ac:dyDescent="0.35">
      <c r="A151" s="34" t="s">
        <v>6739</v>
      </c>
      <c r="B151" s="7">
        <f t="shared" si="7"/>
        <v>46086</v>
      </c>
      <c r="C151" s="7">
        <f t="shared" si="8"/>
        <v>46092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6" t="s">
        <v>1533</v>
      </c>
      <c r="M151" s="8">
        <v>39900</v>
      </c>
      <c r="N151" s="37">
        <v>0.9</v>
      </c>
      <c r="O151" s="36">
        <f t="shared" si="6"/>
        <v>3990</v>
      </c>
      <c r="P151" s="6" t="s">
        <v>16</v>
      </c>
    </row>
    <row r="152" spans="1:16" x14ac:dyDescent="0.35">
      <c r="A152" s="34" t="s">
        <v>6739</v>
      </c>
      <c r="B152" s="7">
        <f t="shared" si="7"/>
        <v>46086</v>
      </c>
      <c r="C152" s="7">
        <f t="shared" si="8"/>
        <v>46092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6" t="s">
        <v>1534</v>
      </c>
      <c r="M152" s="8">
        <v>39900</v>
      </c>
      <c r="N152" s="37">
        <v>0.9</v>
      </c>
      <c r="O152" s="36">
        <f t="shared" si="6"/>
        <v>3990</v>
      </c>
      <c r="P152" s="6" t="s">
        <v>16</v>
      </c>
    </row>
    <row r="153" spans="1:16" x14ac:dyDescent="0.35">
      <c r="A153" s="34" t="s">
        <v>6739</v>
      </c>
      <c r="B153" s="7">
        <f t="shared" si="7"/>
        <v>46086</v>
      </c>
      <c r="C153" s="7">
        <f t="shared" si="8"/>
        <v>46092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6" t="s">
        <v>1536</v>
      </c>
      <c r="M153" s="8">
        <v>29900</v>
      </c>
      <c r="N153" s="37">
        <v>0.9</v>
      </c>
      <c r="O153" s="36">
        <f t="shared" si="6"/>
        <v>2990</v>
      </c>
      <c r="P153" s="6" t="s">
        <v>16</v>
      </c>
    </row>
    <row r="154" spans="1:16" x14ac:dyDescent="0.35">
      <c r="A154" s="34" t="s">
        <v>6739</v>
      </c>
      <c r="B154" s="7">
        <f t="shared" si="7"/>
        <v>46086</v>
      </c>
      <c r="C154" s="7">
        <f t="shared" si="8"/>
        <v>46092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6" t="s">
        <v>1537</v>
      </c>
      <c r="M154" s="8">
        <v>29900</v>
      </c>
      <c r="N154" s="37">
        <v>0.9</v>
      </c>
      <c r="O154" s="36">
        <f t="shared" si="6"/>
        <v>2990</v>
      </c>
      <c r="P154" s="6" t="s">
        <v>16</v>
      </c>
    </row>
    <row r="155" spans="1:16" x14ac:dyDescent="0.35">
      <c r="A155" s="34" t="s">
        <v>6739</v>
      </c>
      <c r="B155" s="7">
        <f t="shared" si="7"/>
        <v>46086</v>
      </c>
      <c r="C155" s="7">
        <f t="shared" si="8"/>
        <v>46092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6" t="s">
        <v>1539</v>
      </c>
      <c r="M155" s="8">
        <v>59900</v>
      </c>
      <c r="N155" s="37">
        <v>0.9</v>
      </c>
      <c r="O155" s="36">
        <f t="shared" si="6"/>
        <v>5990</v>
      </c>
      <c r="P155" s="6" t="s">
        <v>16</v>
      </c>
    </row>
    <row r="156" spans="1:16" x14ac:dyDescent="0.35">
      <c r="A156" s="34" t="s">
        <v>6739</v>
      </c>
      <c r="B156" s="7">
        <f t="shared" si="7"/>
        <v>46086</v>
      </c>
      <c r="C156" s="7">
        <f t="shared" si="8"/>
        <v>46092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6" t="s">
        <v>1540</v>
      </c>
      <c r="M156" s="8">
        <v>47900</v>
      </c>
      <c r="N156" s="37">
        <v>0.9</v>
      </c>
      <c r="O156" s="36">
        <f t="shared" si="6"/>
        <v>4790</v>
      </c>
      <c r="P156" s="6" t="s">
        <v>16</v>
      </c>
    </row>
    <row r="157" spans="1:16" x14ac:dyDescent="0.35">
      <c r="A157" s="34" t="s">
        <v>6739</v>
      </c>
      <c r="B157" s="7">
        <f t="shared" si="7"/>
        <v>46086</v>
      </c>
      <c r="C157" s="7">
        <f t="shared" si="8"/>
        <v>46092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6" t="s">
        <v>1542</v>
      </c>
      <c r="M157" s="8">
        <v>59900</v>
      </c>
      <c r="N157" s="37">
        <v>0.9</v>
      </c>
      <c r="O157" s="36">
        <f t="shared" si="6"/>
        <v>5990</v>
      </c>
      <c r="P157" s="6" t="s">
        <v>16</v>
      </c>
    </row>
    <row r="158" spans="1:16" x14ac:dyDescent="0.35">
      <c r="A158" s="34" t="s">
        <v>6739</v>
      </c>
      <c r="B158" s="7">
        <f t="shared" si="7"/>
        <v>46086</v>
      </c>
      <c r="C158" s="7">
        <f t="shared" si="8"/>
        <v>46092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6" t="s">
        <v>1543</v>
      </c>
      <c r="M158" s="8">
        <v>59900</v>
      </c>
      <c r="N158" s="37">
        <v>0.9</v>
      </c>
      <c r="O158" s="36">
        <f t="shared" si="6"/>
        <v>5990</v>
      </c>
      <c r="P158" s="6" t="s">
        <v>16</v>
      </c>
    </row>
    <row r="159" spans="1:16" x14ac:dyDescent="0.35">
      <c r="A159" s="34" t="s">
        <v>6739</v>
      </c>
      <c r="B159" s="7">
        <f t="shared" si="7"/>
        <v>46086</v>
      </c>
      <c r="C159" s="7">
        <f t="shared" si="8"/>
        <v>46092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6" t="s">
        <v>1545</v>
      </c>
      <c r="M159" s="8">
        <v>49900</v>
      </c>
      <c r="N159" s="37">
        <v>0.9</v>
      </c>
      <c r="O159" s="36">
        <f t="shared" si="6"/>
        <v>4990</v>
      </c>
      <c r="P159" s="6" t="s">
        <v>16</v>
      </c>
    </row>
    <row r="160" spans="1:16" x14ac:dyDescent="0.35">
      <c r="A160" s="34" t="s">
        <v>6739</v>
      </c>
      <c r="B160" s="7">
        <f t="shared" si="7"/>
        <v>46086</v>
      </c>
      <c r="C160" s="7">
        <f t="shared" si="8"/>
        <v>46092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6" t="s">
        <v>1546</v>
      </c>
      <c r="M160" s="8">
        <v>42900</v>
      </c>
      <c r="N160" s="37">
        <v>0.9</v>
      </c>
      <c r="O160" s="36">
        <f t="shared" si="6"/>
        <v>4290</v>
      </c>
      <c r="P160" s="6" t="s">
        <v>16</v>
      </c>
    </row>
    <row r="161" spans="1:16" x14ac:dyDescent="0.35">
      <c r="A161" s="34" t="s">
        <v>6739</v>
      </c>
      <c r="B161" s="7">
        <f t="shared" si="7"/>
        <v>46086</v>
      </c>
      <c r="C161" s="7">
        <f t="shared" si="8"/>
        <v>46092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6" t="s">
        <v>1548</v>
      </c>
      <c r="M161" s="8">
        <v>219900</v>
      </c>
      <c r="N161" s="37">
        <v>0.9</v>
      </c>
      <c r="O161" s="36">
        <f t="shared" si="6"/>
        <v>21990</v>
      </c>
      <c r="P161" s="6" t="s">
        <v>16</v>
      </c>
    </row>
    <row r="162" spans="1:16" x14ac:dyDescent="0.35">
      <c r="A162" s="34" t="s">
        <v>6739</v>
      </c>
      <c r="B162" s="7">
        <f t="shared" si="7"/>
        <v>46086</v>
      </c>
      <c r="C162" s="7">
        <f t="shared" si="8"/>
        <v>46092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5642</v>
      </c>
      <c r="L162" s="6" t="s">
        <v>5643</v>
      </c>
      <c r="M162" s="8">
        <v>39900</v>
      </c>
      <c r="N162" s="37">
        <v>0.9</v>
      </c>
      <c r="O162" s="36">
        <f t="shared" si="6"/>
        <v>3990</v>
      </c>
      <c r="P162" s="6" t="s">
        <v>16</v>
      </c>
    </row>
    <row r="163" spans="1:16" x14ac:dyDescent="0.35">
      <c r="A163" s="34" t="s">
        <v>6739</v>
      </c>
      <c r="B163" s="7">
        <f t="shared" si="7"/>
        <v>46086</v>
      </c>
      <c r="C163" s="7">
        <f t="shared" si="8"/>
        <v>46092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5642</v>
      </c>
      <c r="L163" s="6" t="s">
        <v>5644</v>
      </c>
      <c r="M163" s="8">
        <v>39900</v>
      </c>
      <c r="N163" s="37">
        <v>0.9</v>
      </c>
      <c r="O163" s="36">
        <f t="shared" si="6"/>
        <v>3990</v>
      </c>
      <c r="P163" s="6" t="s">
        <v>16</v>
      </c>
    </row>
    <row r="164" spans="1:16" x14ac:dyDescent="0.35">
      <c r="A164" s="34" t="s">
        <v>6739</v>
      </c>
      <c r="B164" s="7">
        <f t="shared" si="7"/>
        <v>46086</v>
      </c>
      <c r="C164" s="7">
        <f t="shared" si="8"/>
        <v>46092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5645</v>
      </c>
      <c r="L164" s="6" t="s">
        <v>5646</v>
      </c>
      <c r="M164" s="8">
        <v>49900</v>
      </c>
      <c r="N164" s="37">
        <v>0.9</v>
      </c>
      <c r="O164" s="36">
        <f t="shared" si="6"/>
        <v>4990</v>
      </c>
      <c r="P164" s="6" t="s">
        <v>16</v>
      </c>
    </row>
    <row r="165" spans="1:16" x14ac:dyDescent="0.35">
      <c r="A165" s="34" t="s">
        <v>6739</v>
      </c>
      <c r="B165" s="7">
        <f t="shared" si="7"/>
        <v>46086</v>
      </c>
      <c r="C165" s="7">
        <f t="shared" si="8"/>
        <v>46092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5647</v>
      </c>
      <c r="L165" s="6" t="s">
        <v>5648</v>
      </c>
      <c r="M165" s="8">
        <v>49900</v>
      </c>
      <c r="N165" s="37">
        <v>0.9</v>
      </c>
      <c r="O165" s="36">
        <f t="shared" si="6"/>
        <v>4990</v>
      </c>
      <c r="P165" s="6" t="s">
        <v>16</v>
      </c>
    </row>
    <row r="166" spans="1:16" x14ac:dyDescent="0.35">
      <c r="A166" s="34" t="s">
        <v>6739</v>
      </c>
      <c r="B166" s="7">
        <f t="shared" si="7"/>
        <v>46086</v>
      </c>
      <c r="C166" s="7">
        <f t="shared" si="8"/>
        <v>46092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5647</v>
      </c>
      <c r="L166" s="6" t="s">
        <v>5649</v>
      </c>
      <c r="M166" s="8">
        <v>49900</v>
      </c>
      <c r="N166" s="37">
        <v>0.9</v>
      </c>
      <c r="O166" s="36">
        <f t="shared" si="6"/>
        <v>4990</v>
      </c>
      <c r="P166" s="6" t="s">
        <v>16</v>
      </c>
    </row>
    <row r="167" spans="1:16" x14ac:dyDescent="0.35">
      <c r="A167" s="34" t="s">
        <v>6739</v>
      </c>
      <c r="B167" s="7">
        <f t="shared" si="7"/>
        <v>46086</v>
      </c>
      <c r="C167" s="7">
        <f t="shared" si="8"/>
        <v>46092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5650</v>
      </c>
      <c r="L167" s="6" t="s">
        <v>5651</v>
      </c>
      <c r="M167" s="8">
        <v>59900</v>
      </c>
      <c r="N167" s="37">
        <v>0.9</v>
      </c>
      <c r="O167" s="36">
        <f t="shared" si="6"/>
        <v>5990</v>
      </c>
      <c r="P167" s="6" t="s">
        <v>16</v>
      </c>
    </row>
    <row r="168" spans="1:16" x14ac:dyDescent="0.35">
      <c r="A168" s="34" t="s">
        <v>6739</v>
      </c>
      <c r="B168" s="7">
        <f t="shared" si="7"/>
        <v>46086</v>
      </c>
      <c r="C168" s="7">
        <f t="shared" si="8"/>
        <v>46092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5652</v>
      </c>
      <c r="L168" s="6" t="s">
        <v>5653</v>
      </c>
      <c r="M168" s="8">
        <v>59900</v>
      </c>
      <c r="N168" s="37">
        <v>0.9</v>
      </c>
      <c r="O168" s="36">
        <f t="shared" si="6"/>
        <v>5990</v>
      </c>
      <c r="P168" s="6" t="s">
        <v>16</v>
      </c>
    </row>
    <row r="169" spans="1:16" x14ac:dyDescent="0.35">
      <c r="A169" s="34" t="s">
        <v>6739</v>
      </c>
      <c r="B169" s="7">
        <f t="shared" si="7"/>
        <v>46086</v>
      </c>
      <c r="C169" s="7">
        <f t="shared" si="8"/>
        <v>46092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5654</v>
      </c>
      <c r="L169" s="6" t="s">
        <v>5655</v>
      </c>
      <c r="M169" s="8">
        <v>39900</v>
      </c>
      <c r="N169" s="37">
        <v>0.9</v>
      </c>
      <c r="O169" s="36">
        <f t="shared" si="6"/>
        <v>3990</v>
      </c>
      <c r="P169" s="6" t="s">
        <v>16</v>
      </c>
    </row>
    <row r="170" spans="1:16" x14ac:dyDescent="0.35">
      <c r="A170" s="34" t="s">
        <v>6739</v>
      </c>
      <c r="B170" s="7">
        <f t="shared" si="7"/>
        <v>46086</v>
      </c>
      <c r="C170" s="7">
        <f t="shared" si="8"/>
        <v>46092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5656</v>
      </c>
      <c r="L170" s="6" t="s">
        <v>5657</v>
      </c>
      <c r="M170" s="8">
        <v>39900</v>
      </c>
      <c r="N170" s="37">
        <v>0.9</v>
      </c>
      <c r="O170" s="36">
        <f t="shared" si="6"/>
        <v>3990</v>
      </c>
      <c r="P170" s="6" t="s">
        <v>16</v>
      </c>
    </row>
    <row r="171" spans="1:16" x14ac:dyDescent="0.35">
      <c r="A171" s="34" t="s">
        <v>6739</v>
      </c>
      <c r="B171" s="7">
        <f t="shared" si="7"/>
        <v>46086</v>
      </c>
      <c r="C171" s="7">
        <f t="shared" si="8"/>
        <v>46092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5658</v>
      </c>
      <c r="L171" s="6" t="s">
        <v>5659</v>
      </c>
      <c r="M171" s="8">
        <v>39900</v>
      </c>
      <c r="N171" s="37">
        <v>0.9</v>
      </c>
      <c r="O171" s="36">
        <f t="shared" si="6"/>
        <v>3990</v>
      </c>
      <c r="P171" s="6" t="s">
        <v>16</v>
      </c>
    </row>
    <row r="172" spans="1:16" x14ac:dyDescent="0.35">
      <c r="A172" s="34" t="s">
        <v>6739</v>
      </c>
      <c r="B172" s="7">
        <f t="shared" si="7"/>
        <v>46086</v>
      </c>
      <c r="C172" s="7">
        <f t="shared" si="8"/>
        <v>46092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5660</v>
      </c>
      <c r="L172" s="6" t="s">
        <v>5661</v>
      </c>
      <c r="M172" s="8">
        <v>89900</v>
      </c>
      <c r="N172" s="37">
        <v>0.9</v>
      </c>
      <c r="O172" s="36">
        <f t="shared" si="6"/>
        <v>8990</v>
      </c>
      <c r="P172" s="6" t="s">
        <v>16</v>
      </c>
    </row>
    <row r="173" spans="1:16" x14ac:dyDescent="0.35">
      <c r="A173" s="34" t="s">
        <v>6739</v>
      </c>
      <c r="B173" s="7">
        <f t="shared" si="7"/>
        <v>46086</v>
      </c>
      <c r="C173" s="7">
        <f t="shared" si="8"/>
        <v>46092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5660</v>
      </c>
      <c r="L173" s="6" t="s">
        <v>5662</v>
      </c>
      <c r="M173" s="8">
        <v>89900</v>
      </c>
      <c r="N173" s="37">
        <v>0.9</v>
      </c>
      <c r="O173" s="36">
        <f t="shared" si="6"/>
        <v>8990</v>
      </c>
      <c r="P173" s="6" t="s">
        <v>16</v>
      </c>
    </row>
    <row r="174" spans="1:16" x14ac:dyDescent="0.35">
      <c r="A174" s="34" t="s">
        <v>6739</v>
      </c>
      <c r="B174" s="7">
        <f t="shared" si="7"/>
        <v>46086</v>
      </c>
      <c r="C174" s="7">
        <f t="shared" si="8"/>
        <v>46092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5660</v>
      </c>
      <c r="L174" s="6" t="s">
        <v>5663</v>
      </c>
      <c r="M174" s="8">
        <v>89900</v>
      </c>
      <c r="N174" s="37">
        <v>0.9</v>
      </c>
      <c r="O174" s="36">
        <f t="shared" si="6"/>
        <v>8990</v>
      </c>
      <c r="P174" s="6" t="s">
        <v>16</v>
      </c>
    </row>
    <row r="175" spans="1:16" x14ac:dyDescent="0.35">
      <c r="A175" s="34" t="s">
        <v>6739</v>
      </c>
      <c r="B175" s="7">
        <f t="shared" si="7"/>
        <v>46086</v>
      </c>
      <c r="C175" s="7">
        <f t="shared" si="8"/>
        <v>46092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5664</v>
      </c>
      <c r="L175" s="6" t="s">
        <v>5665</v>
      </c>
      <c r="M175" s="8">
        <v>89900</v>
      </c>
      <c r="N175" s="37">
        <v>0.9</v>
      </c>
      <c r="O175" s="36">
        <f t="shared" si="6"/>
        <v>8990</v>
      </c>
      <c r="P175" s="6" t="s">
        <v>16</v>
      </c>
    </row>
    <row r="176" spans="1:16" x14ac:dyDescent="0.35">
      <c r="A176" s="34" t="s">
        <v>6739</v>
      </c>
      <c r="B176" s="7">
        <f t="shared" si="7"/>
        <v>46086</v>
      </c>
      <c r="C176" s="7">
        <f t="shared" si="8"/>
        <v>46092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5664</v>
      </c>
      <c r="L176" s="6" t="s">
        <v>5666</v>
      </c>
      <c r="M176" s="8">
        <v>89900</v>
      </c>
      <c r="N176" s="37">
        <v>0.9</v>
      </c>
      <c r="O176" s="36">
        <f t="shared" si="6"/>
        <v>8990</v>
      </c>
      <c r="P176" s="6" t="s">
        <v>16</v>
      </c>
    </row>
    <row r="177" spans="1:16" x14ac:dyDescent="0.35">
      <c r="A177" s="34" t="s">
        <v>6739</v>
      </c>
      <c r="B177" s="7">
        <f t="shared" si="7"/>
        <v>46086</v>
      </c>
      <c r="C177" s="7">
        <f t="shared" si="8"/>
        <v>46092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6" t="s">
        <v>1479</v>
      </c>
      <c r="M177" s="8">
        <v>69900</v>
      </c>
      <c r="N177" s="37">
        <v>0.9</v>
      </c>
      <c r="O177" s="36">
        <f t="shared" si="6"/>
        <v>6990</v>
      </c>
      <c r="P177" s="6" t="s">
        <v>16</v>
      </c>
    </row>
    <row r="178" spans="1:16" x14ac:dyDescent="0.35">
      <c r="A178" s="34" t="s">
        <v>6739</v>
      </c>
      <c r="B178" s="7">
        <f t="shared" si="7"/>
        <v>46086</v>
      </c>
      <c r="C178" s="7">
        <f t="shared" si="8"/>
        <v>46092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6" t="s">
        <v>1478</v>
      </c>
      <c r="M178" s="8">
        <v>69900</v>
      </c>
      <c r="N178" s="37">
        <v>0.9</v>
      </c>
      <c r="O178" s="36">
        <f t="shared" si="6"/>
        <v>6990</v>
      </c>
      <c r="P178" s="6" t="s">
        <v>16</v>
      </c>
    </row>
    <row r="179" spans="1:16" x14ac:dyDescent="0.35">
      <c r="A179" s="34" t="s">
        <v>6739</v>
      </c>
      <c r="B179" s="7">
        <f t="shared" si="7"/>
        <v>46086</v>
      </c>
      <c r="C179" s="7">
        <f t="shared" si="8"/>
        <v>46092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6" t="s">
        <v>1480</v>
      </c>
      <c r="M179" s="8">
        <v>69900</v>
      </c>
      <c r="N179" s="37">
        <v>0.9</v>
      </c>
      <c r="O179" s="36">
        <f t="shared" si="6"/>
        <v>6990</v>
      </c>
      <c r="P179" s="6" t="s">
        <v>16</v>
      </c>
    </row>
    <row r="180" spans="1:16" x14ac:dyDescent="0.35">
      <c r="A180" s="34" t="s">
        <v>6739</v>
      </c>
      <c r="B180" s="7">
        <f t="shared" si="7"/>
        <v>46086</v>
      </c>
      <c r="C180" s="7">
        <f t="shared" si="8"/>
        <v>46092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6" t="s">
        <v>1359</v>
      </c>
      <c r="M180" s="8">
        <v>79900</v>
      </c>
      <c r="N180" s="37">
        <v>0.9</v>
      </c>
      <c r="O180" s="36">
        <f t="shared" si="6"/>
        <v>7990</v>
      </c>
      <c r="P180" s="6" t="s">
        <v>16</v>
      </c>
    </row>
    <row r="181" spans="1:16" x14ac:dyDescent="0.35">
      <c r="A181" s="34" t="s">
        <v>6739</v>
      </c>
      <c r="B181" s="7">
        <f t="shared" si="7"/>
        <v>46086</v>
      </c>
      <c r="C181" s="7">
        <f t="shared" si="8"/>
        <v>46092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6" t="s">
        <v>1387</v>
      </c>
      <c r="M181" s="8">
        <v>79900</v>
      </c>
      <c r="N181" s="37">
        <v>0.9</v>
      </c>
      <c r="O181" s="36">
        <f t="shared" si="6"/>
        <v>7990</v>
      </c>
      <c r="P181" s="6" t="s">
        <v>16</v>
      </c>
    </row>
    <row r="182" spans="1:16" x14ac:dyDescent="0.35">
      <c r="A182" s="34" t="s">
        <v>6739</v>
      </c>
      <c r="B182" s="7">
        <f t="shared" si="7"/>
        <v>46086</v>
      </c>
      <c r="C182" s="7">
        <f t="shared" si="8"/>
        <v>46092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6" t="s">
        <v>1360</v>
      </c>
      <c r="M182" s="8">
        <v>79900</v>
      </c>
      <c r="N182" s="37">
        <v>0.9</v>
      </c>
      <c r="O182" s="36">
        <f t="shared" si="6"/>
        <v>7990</v>
      </c>
      <c r="P182" s="6" t="s">
        <v>16</v>
      </c>
    </row>
    <row r="183" spans="1:16" x14ac:dyDescent="0.35">
      <c r="A183" s="34" t="s">
        <v>6739</v>
      </c>
      <c r="B183" s="7">
        <f t="shared" si="7"/>
        <v>46086</v>
      </c>
      <c r="C183" s="7">
        <f t="shared" si="8"/>
        <v>46092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6" t="s">
        <v>1361</v>
      </c>
      <c r="M183" s="8">
        <v>79900</v>
      </c>
      <c r="N183" s="37">
        <v>0.9</v>
      </c>
      <c r="O183" s="36">
        <f t="shared" si="6"/>
        <v>7990</v>
      </c>
      <c r="P183" s="6" t="s">
        <v>16</v>
      </c>
    </row>
    <row r="184" spans="1:16" x14ac:dyDescent="0.35">
      <c r="A184" s="34" t="s">
        <v>6739</v>
      </c>
      <c r="B184" s="7">
        <f t="shared" si="7"/>
        <v>46086</v>
      </c>
      <c r="C184" s="7">
        <f t="shared" si="8"/>
        <v>46092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6" t="s">
        <v>1363</v>
      </c>
      <c r="M184" s="8">
        <v>119900</v>
      </c>
      <c r="N184" s="37">
        <v>0.9</v>
      </c>
      <c r="O184" s="36">
        <f t="shared" si="6"/>
        <v>11990</v>
      </c>
      <c r="P184" s="6" t="s">
        <v>16</v>
      </c>
    </row>
    <row r="185" spans="1:16" x14ac:dyDescent="0.35">
      <c r="A185" s="34" t="s">
        <v>6739</v>
      </c>
      <c r="B185" s="7">
        <f t="shared" si="7"/>
        <v>46086</v>
      </c>
      <c r="C185" s="7">
        <f t="shared" si="8"/>
        <v>46092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6" t="s">
        <v>1388</v>
      </c>
      <c r="M185" s="8">
        <v>119900</v>
      </c>
      <c r="N185" s="37">
        <v>0.9</v>
      </c>
      <c r="O185" s="36">
        <f t="shared" si="6"/>
        <v>11990</v>
      </c>
      <c r="P185" s="6" t="s">
        <v>16</v>
      </c>
    </row>
    <row r="186" spans="1:16" x14ac:dyDescent="0.35">
      <c r="A186" s="34" t="s">
        <v>6739</v>
      </c>
      <c r="B186" s="7">
        <f t="shared" si="7"/>
        <v>46086</v>
      </c>
      <c r="C186" s="7">
        <f t="shared" si="8"/>
        <v>46092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6" t="s">
        <v>1364</v>
      </c>
      <c r="M186" s="8">
        <v>119900</v>
      </c>
      <c r="N186" s="37">
        <v>0.9</v>
      </c>
      <c r="O186" s="36">
        <f t="shared" si="6"/>
        <v>11990</v>
      </c>
      <c r="P186" s="6" t="s">
        <v>16</v>
      </c>
    </row>
    <row r="187" spans="1:16" x14ac:dyDescent="0.35">
      <c r="A187" s="34" t="s">
        <v>6739</v>
      </c>
      <c r="B187" s="7">
        <f t="shared" si="7"/>
        <v>46086</v>
      </c>
      <c r="C187" s="7">
        <f t="shared" si="8"/>
        <v>46092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6" t="s">
        <v>1365</v>
      </c>
      <c r="M187" s="8">
        <v>119900</v>
      </c>
      <c r="N187" s="37">
        <v>0.9</v>
      </c>
      <c r="O187" s="36">
        <f t="shared" si="6"/>
        <v>11990</v>
      </c>
      <c r="P187" s="6" t="s">
        <v>16</v>
      </c>
    </row>
    <row r="188" spans="1:16" x14ac:dyDescent="0.35">
      <c r="A188" s="34" t="s">
        <v>6739</v>
      </c>
      <c r="B188" s="7">
        <f t="shared" si="7"/>
        <v>46086</v>
      </c>
      <c r="C188" s="7">
        <f t="shared" si="8"/>
        <v>46092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6" t="s">
        <v>1390</v>
      </c>
      <c r="M188" s="8">
        <v>189900</v>
      </c>
      <c r="N188" s="37">
        <v>0.9</v>
      </c>
      <c r="O188" s="36">
        <f t="shared" si="6"/>
        <v>18990</v>
      </c>
      <c r="P188" s="6" t="s">
        <v>16</v>
      </c>
    </row>
    <row r="189" spans="1:16" x14ac:dyDescent="0.35">
      <c r="A189" s="34" t="s">
        <v>6739</v>
      </c>
      <c r="B189" s="7">
        <f t="shared" si="7"/>
        <v>46086</v>
      </c>
      <c r="C189" s="7">
        <f t="shared" si="8"/>
        <v>46092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6" t="s">
        <v>1432</v>
      </c>
      <c r="M189" s="8">
        <v>189900</v>
      </c>
      <c r="N189" s="37">
        <v>0.9</v>
      </c>
      <c r="O189" s="36">
        <f t="shared" si="6"/>
        <v>18990</v>
      </c>
      <c r="P189" s="6" t="s">
        <v>16</v>
      </c>
    </row>
    <row r="190" spans="1:16" x14ac:dyDescent="0.35">
      <c r="A190" s="34" t="s">
        <v>6739</v>
      </c>
      <c r="B190" s="7">
        <f t="shared" si="7"/>
        <v>46086</v>
      </c>
      <c r="C190" s="7">
        <f t="shared" si="8"/>
        <v>46092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6" t="s">
        <v>1391</v>
      </c>
      <c r="M190" s="8">
        <v>189900</v>
      </c>
      <c r="N190" s="37">
        <v>0.9</v>
      </c>
      <c r="O190" s="36">
        <f t="shared" si="6"/>
        <v>18990</v>
      </c>
      <c r="P190" s="6" t="s">
        <v>16</v>
      </c>
    </row>
    <row r="191" spans="1:16" x14ac:dyDescent="0.35">
      <c r="A191" s="34" t="s">
        <v>6739</v>
      </c>
      <c r="B191" s="7">
        <f t="shared" si="7"/>
        <v>46086</v>
      </c>
      <c r="C191" s="7">
        <f t="shared" si="8"/>
        <v>46092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6" t="s">
        <v>1392</v>
      </c>
      <c r="M191" s="8">
        <v>189900</v>
      </c>
      <c r="N191" s="37">
        <v>0.9</v>
      </c>
      <c r="O191" s="36">
        <f t="shared" si="6"/>
        <v>18990</v>
      </c>
      <c r="P191" s="6" t="s">
        <v>16</v>
      </c>
    </row>
    <row r="192" spans="1:16" x14ac:dyDescent="0.35">
      <c r="A192" s="34" t="s">
        <v>6739</v>
      </c>
      <c r="B192" s="7">
        <f t="shared" si="7"/>
        <v>46086</v>
      </c>
      <c r="C192" s="7">
        <f t="shared" si="8"/>
        <v>46092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6" t="s">
        <v>1434</v>
      </c>
      <c r="M192" s="8">
        <v>139900</v>
      </c>
      <c r="N192" s="37">
        <v>0.9</v>
      </c>
      <c r="O192" s="36">
        <f t="shared" si="6"/>
        <v>13990</v>
      </c>
      <c r="P192" s="6" t="s">
        <v>16</v>
      </c>
    </row>
    <row r="193" spans="1:16" x14ac:dyDescent="0.35">
      <c r="A193" s="34" t="s">
        <v>6739</v>
      </c>
      <c r="B193" s="7">
        <f t="shared" si="7"/>
        <v>46086</v>
      </c>
      <c r="C193" s="7">
        <f t="shared" si="8"/>
        <v>46092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6" t="s">
        <v>1436</v>
      </c>
      <c r="M193" s="8">
        <v>139900</v>
      </c>
      <c r="N193" s="37">
        <v>0.9</v>
      </c>
      <c r="O193" s="36">
        <f t="shared" si="6"/>
        <v>13990</v>
      </c>
      <c r="P193" s="6" t="s">
        <v>16</v>
      </c>
    </row>
    <row r="194" spans="1:16" x14ac:dyDescent="0.35">
      <c r="A194" s="34" t="s">
        <v>6739</v>
      </c>
      <c r="B194" s="7">
        <f t="shared" si="7"/>
        <v>46086</v>
      </c>
      <c r="C194" s="7">
        <f t="shared" si="8"/>
        <v>46092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6" t="s">
        <v>1437</v>
      </c>
      <c r="M194" s="8">
        <v>139900</v>
      </c>
      <c r="N194" s="37">
        <v>0.9</v>
      </c>
      <c r="O194" s="36">
        <f t="shared" si="6"/>
        <v>13990</v>
      </c>
      <c r="P194" s="6" t="s">
        <v>16</v>
      </c>
    </row>
    <row r="195" spans="1:16" x14ac:dyDescent="0.35">
      <c r="A195" s="34" t="s">
        <v>6739</v>
      </c>
      <c r="B195" s="7">
        <f t="shared" si="7"/>
        <v>46086</v>
      </c>
      <c r="C195" s="7">
        <f t="shared" si="8"/>
        <v>46092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6" t="s">
        <v>1482</v>
      </c>
      <c r="M195" s="8">
        <v>159900</v>
      </c>
      <c r="N195" s="37">
        <v>0.9</v>
      </c>
      <c r="O195" s="36">
        <f t="shared" ref="O195:O201" si="9">M195-((90*M195)/100)</f>
        <v>15990</v>
      </c>
      <c r="P195" s="6" t="s">
        <v>16</v>
      </c>
    </row>
    <row r="196" spans="1:16" x14ac:dyDescent="0.35">
      <c r="A196" s="34" t="s">
        <v>6739</v>
      </c>
      <c r="B196" s="7">
        <f t="shared" ref="B196:B201" si="10">B195</f>
        <v>46086</v>
      </c>
      <c r="C196" s="7">
        <f t="shared" ref="C196:C201" si="11">C195</f>
        <v>46092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6" t="s">
        <v>1483</v>
      </c>
      <c r="M196" s="8">
        <v>159900</v>
      </c>
      <c r="N196" s="37">
        <v>0.9</v>
      </c>
      <c r="O196" s="36">
        <f t="shared" si="9"/>
        <v>15990</v>
      </c>
      <c r="P196" s="6" t="s">
        <v>16</v>
      </c>
    </row>
    <row r="197" spans="1:16" x14ac:dyDescent="0.35">
      <c r="A197" s="34" t="s">
        <v>6739</v>
      </c>
      <c r="B197" s="7">
        <f t="shared" si="10"/>
        <v>46086</v>
      </c>
      <c r="C197" s="7">
        <f t="shared" si="11"/>
        <v>46092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6" t="s">
        <v>1484</v>
      </c>
      <c r="M197" s="8">
        <v>159900</v>
      </c>
      <c r="N197" s="37">
        <v>0.9</v>
      </c>
      <c r="O197" s="36">
        <f t="shared" si="9"/>
        <v>15990</v>
      </c>
      <c r="P197" s="6" t="s">
        <v>16</v>
      </c>
    </row>
    <row r="198" spans="1:16" x14ac:dyDescent="0.35">
      <c r="A198" s="34" t="s">
        <v>6739</v>
      </c>
      <c r="B198" s="7">
        <f t="shared" si="10"/>
        <v>46086</v>
      </c>
      <c r="C198" s="7">
        <f t="shared" si="11"/>
        <v>46092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6" t="s">
        <v>1486</v>
      </c>
      <c r="M198" s="8">
        <v>139900</v>
      </c>
      <c r="N198" s="37">
        <v>0.9</v>
      </c>
      <c r="O198" s="36">
        <f t="shared" si="9"/>
        <v>13990</v>
      </c>
      <c r="P198" s="6" t="s">
        <v>16</v>
      </c>
    </row>
    <row r="199" spans="1:16" x14ac:dyDescent="0.35">
      <c r="A199" s="34" t="s">
        <v>6739</v>
      </c>
      <c r="B199" s="7">
        <f t="shared" si="10"/>
        <v>46086</v>
      </c>
      <c r="C199" s="7">
        <f t="shared" si="11"/>
        <v>46092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6" t="s">
        <v>1487</v>
      </c>
      <c r="M199" s="8">
        <v>139900</v>
      </c>
      <c r="N199" s="37">
        <v>0.9</v>
      </c>
      <c r="O199" s="36">
        <f t="shared" si="9"/>
        <v>13990</v>
      </c>
      <c r="P199" s="6" t="s">
        <v>16</v>
      </c>
    </row>
    <row r="200" spans="1:16" x14ac:dyDescent="0.35">
      <c r="A200" s="34" t="s">
        <v>6739</v>
      </c>
      <c r="B200" s="7">
        <f t="shared" si="10"/>
        <v>46086</v>
      </c>
      <c r="C200" s="7">
        <f t="shared" si="11"/>
        <v>46092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6" t="s">
        <v>1488</v>
      </c>
      <c r="M200" s="8">
        <v>139900</v>
      </c>
      <c r="N200" s="37">
        <v>0.9</v>
      </c>
      <c r="O200" s="36">
        <f t="shared" si="9"/>
        <v>13990</v>
      </c>
      <c r="P200" s="6" t="s">
        <v>16</v>
      </c>
    </row>
    <row r="201" spans="1:16" x14ac:dyDescent="0.35">
      <c r="A201" s="34" t="s">
        <v>6739</v>
      </c>
      <c r="B201" s="7">
        <f t="shared" si="10"/>
        <v>46086</v>
      </c>
      <c r="C201" s="7">
        <f t="shared" si="11"/>
        <v>46092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6" t="s">
        <v>1489</v>
      </c>
      <c r="M201" s="8">
        <v>139900</v>
      </c>
      <c r="N201" s="37">
        <v>0.9</v>
      </c>
      <c r="O201" s="36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2" activePane="bottomLeft" state="frozen"/>
      <selection activeCell="M23" sqref="M23"/>
      <selection pane="bottomLeft" activeCell="B37" sqref="B37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6738</v>
      </c>
      <c r="B2" s="7">
        <f>'2025 HILITE D80 - 3321'!B2</f>
        <v>46086</v>
      </c>
      <c r="C2" s="7">
        <f>'2025 HILITE D80 - 3321'!C2</f>
        <v>46092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6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4" t="s">
        <v>6738</v>
      </c>
      <c r="B3" s="7">
        <f>B2</f>
        <v>46086</v>
      </c>
      <c r="C3" s="7">
        <f>C2</f>
        <v>46092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6" t="s">
        <v>1555</v>
      </c>
      <c r="M3" s="8">
        <v>59900</v>
      </c>
      <c r="N3" s="37">
        <v>0.9</v>
      </c>
      <c r="O3" s="36">
        <f t="shared" ref="O3:O66" si="0">M3-((90*M3)/100)</f>
        <v>5990</v>
      </c>
      <c r="P3" s="6" t="s">
        <v>16</v>
      </c>
    </row>
    <row r="4" spans="1:16" x14ac:dyDescent="0.35">
      <c r="A4" s="34" t="s">
        <v>6738</v>
      </c>
      <c r="B4" s="7">
        <f t="shared" ref="B4:B67" si="1">B3</f>
        <v>46086</v>
      </c>
      <c r="C4" s="7">
        <f t="shared" ref="C4:C67" si="2">C3</f>
        <v>46092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6" t="s">
        <v>1552</v>
      </c>
      <c r="M4" s="8">
        <v>59900</v>
      </c>
      <c r="N4" s="37">
        <v>0.9</v>
      </c>
      <c r="O4" s="36">
        <f t="shared" si="0"/>
        <v>5990</v>
      </c>
      <c r="P4" s="6" t="s">
        <v>16</v>
      </c>
    </row>
    <row r="5" spans="1:16" x14ac:dyDescent="0.35">
      <c r="A5" s="34" t="s">
        <v>6738</v>
      </c>
      <c r="B5" s="7">
        <f t="shared" si="1"/>
        <v>46086</v>
      </c>
      <c r="C5" s="7">
        <f t="shared" si="2"/>
        <v>46092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6" t="s">
        <v>1553</v>
      </c>
      <c r="M5" s="8">
        <v>59900</v>
      </c>
      <c r="N5" s="37">
        <v>0.9</v>
      </c>
      <c r="O5" s="36">
        <f t="shared" si="0"/>
        <v>5990</v>
      </c>
      <c r="P5" s="6" t="s">
        <v>16</v>
      </c>
    </row>
    <row r="6" spans="1:16" x14ac:dyDescent="0.35">
      <c r="A6" s="34" t="s">
        <v>6738</v>
      </c>
      <c r="B6" s="7">
        <f t="shared" si="1"/>
        <v>46086</v>
      </c>
      <c r="C6" s="7">
        <f t="shared" si="2"/>
        <v>46092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6" t="s">
        <v>1557</v>
      </c>
      <c r="M6" s="8">
        <v>59900</v>
      </c>
      <c r="N6" s="37">
        <v>0.9</v>
      </c>
      <c r="O6" s="36">
        <f t="shared" si="0"/>
        <v>5990</v>
      </c>
      <c r="P6" s="6" t="s">
        <v>16</v>
      </c>
    </row>
    <row r="7" spans="1:16" x14ac:dyDescent="0.35">
      <c r="A7" s="34" t="s">
        <v>6738</v>
      </c>
      <c r="B7" s="7">
        <f t="shared" si="1"/>
        <v>46086</v>
      </c>
      <c r="C7" s="7">
        <f t="shared" si="2"/>
        <v>46092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6" t="s">
        <v>1558</v>
      </c>
      <c r="M7" s="8">
        <v>59900</v>
      </c>
      <c r="N7" s="37">
        <v>0.9</v>
      </c>
      <c r="O7" s="36">
        <f t="shared" si="0"/>
        <v>5990</v>
      </c>
      <c r="P7" s="6" t="s">
        <v>16</v>
      </c>
    </row>
    <row r="8" spans="1:16" x14ac:dyDescent="0.35">
      <c r="A8" s="34" t="s">
        <v>6738</v>
      </c>
      <c r="B8" s="7">
        <f t="shared" si="1"/>
        <v>46086</v>
      </c>
      <c r="C8" s="7">
        <f t="shared" si="2"/>
        <v>46092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6" t="s">
        <v>1560</v>
      </c>
      <c r="M8" s="8">
        <v>129900</v>
      </c>
      <c r="N8" s="37">
        <v>0.9</v>
      </c>
      <c r="O8" s="36">
        <f t="shared" si="0"/>
        <v>12990</v>
      </c>
      <c r="P8" s="6" t="s">
        <v>16</v>
      </c>
    </row>
    <row r="9" spans="1:16" x14ac:dyDescent="0.35">
      <c r="A9" s="34" t="s">
        <v>6738</v>
      </c>
      <c r="B9" s="7">
        <f t="shared" si="1"/>
        <v>46086</v>
      </c>
      <c r="C9" s="7">
        <f t="shared" si="2"/>
        <v>46092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6" t="s">
        <v>5667</v>
      </c>
      <c r="M9" s="8">
        <v>99900</v>
      </c>
      <c r="N9" s="37">
        <v>0.9</v>
      </c>
      <c r="O9" s="36">
        <f t="shared" si="0"/>
        <v>9990</v>
      </c>
      <c r="P9" s="6" t="s">
        <v>16</v>
      </c>
    </row>
    <row r="10" spans="1:16" x14ac:dyDescent="0.35">
      <c r="A10" s="34" t="s">
        <v>6738</v>
      </c>
      <c r="B10" s="7">
        <f t="shared" si="1"/>
        <v>46086</v>
      </c>
      <c r="C10" s="7">
        <f t="shared" si="2"/>
        <v>46092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6" t="s">
        <v>1567</v>
      </c>
      <c r="M10" s="8">
        <v>99900</v>
      </c>
      <c r="N10" s="37">
        <v>0.9</v>
      </c>
      <c r="O10" s="36">
        <f t="shared" si="0"/>
        <v>9990</v>
      </c>
      <c r="P10" s="6" t="s">
        <v>16</v>
      </c>
    </row>
    <row r="11" spans="1:16" x14ac:dyDescent="0.35">
      <c r="A11" s="34" t="s">
        <v>6738</v>
      </c>
      <c r="B11" s="7">
        <f t="shared" si="1"/>
        <v>46086</v>
      </c>
      <c r="C11" s="7">
        <f t="shared" si="2"/>
        <v>46092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6" t="s">
        <v>1569</v>
      </c>
      <c r="M11" s="8">
        <v>99900</v>
      </c>
      <c r="N11" s="37">
        <v>0.9</v>
      </c>
      <c r="O11" s="36">
        <f t="shared" si="0"/>
        <v>9990</v>
      </c>
      <c r="P11" s="6" t="s">
        <v>16</v>
      </c>
    </row>
    <row r="12" spans="1:16" x14ac:dyDescent="0.35">
      <c r="A12" s="34" t="s">
        <v>6738</v>
      </c>
      <c r="B12" s="7">
        <f t="shared" si="1"/>
        <v>46086</v>
      </c>
      <c r="C12" s="7">
        <f t="shared" si="2"/>
        <v>46092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6" t="s">
        <v>1570</v>
      </c>
      <c r="M12" s="8">
        <v>99900</v>
      </c>
      <c r="N12" s="37">
        <v>0.9</v>
      </c>
      <c r="O12" s="36">
        <f t="shared" si="0"/>
        <v>9990</v>
      </c>
      <c r="P12" s="6" t="s">
        <v>16</v>
      </c>
    </row>
    <row r="13" spans="1:16" x14ac:dyDescent="0.35">
      <c r="A13" s="34" t="s">
        <v>6738</v>
      </c>
      <c r="B13" s="7">
        <f t="shared" si="1"/>
        <v>46086</v>
      </c>
      <c r="C13" s="7">
        <f t="shared" si="2"/>
        <v>46092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6" t="s">
        <v>1572</v>
      </c>
      <c r="M13" s="8">
        <v>119900</v>
      </c>
      <c r="N13" s="37">
        <v>0.9</v>
      </c>
      <c r="O13" s="36">
        <f t="shared" si="0"/>
        <v>11990</v>
      </c>
      <c r="P13" s="6" t="s">
        <v>16</v>
      </c>
    </row>
    <row r="14" spans="1:16" x14ac:dyDescent="0.35">
      <c r="A14" s="34" t="s">
        <v>6738</v>
      </c>
      <c r="B14" s="7">
        <f t="shared" si="1"/>
        <v>46086</v>
      </c>
      <c r="C14" s="7">
        <f t="shared" si="2"/>
        <v>46092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6" t="s">
        <v>1562</v>
      </c>
      <c r="M14" s="8">
        <v>169900</v>
      </c>
      <c r="N14" s="37">
        <v>0.9</v>
      </c>
      <c r="O14" s="36">
        <f t="shared" si="0"/>
        <v>16990</v>
      </c>
      <c r="P14" s="6" t="s">
        <v>16</v>
      </c>
    </row>
    <row r="15" spans="1:16" x14ac:dyDescent="0.35">
      <c r="A15" s="34" t="s">
        <v>6738</v>
      </c>
      <c r="B15" s="7">
        <f t="shared" si="1"/>
        <v>46086</v>
      </c>
      <c r="C15" s="7">
        <f t="shared" si="2"/>
        <v>46092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6" t="s">
        <v>1563</v>
      </c>
      <c r="M15" s="8">
        <v>169900</v>
      </c>
      <c r="N15" s="37">
        <v>0.9</v>
      </c>
      <c r="O15" s="36">
        <f t="shared" si="0"/>
        <v>16990</v>
      </c>
      <c r="P15" s="6" t="s">
        <v>16</v>
      </c>
    </row>
    <row r="16" spans="1:16" x14ac:dyDescent="0.35">
      <c r="A16" s="34" t="s">
        <v>6738</v>
      </c>
      <c r="B16" s="7">
        <f t="shared" si="1"/>
        <v>46086</v>
      </c>
      <c r="C16" s="7">
        <f t="shared" si="2"/>
        <v>46092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6" t="s">
        <v>1564</v>
      </c>
      <c r="M16" s="8">
        <v>169900</v>
      </c>
      <c r="N16" s="37">
        <v>0.9</v>
      </c>
      <c r="O16" s="36">
        <f t="shared" si="0"/>
        <v>16990</v>
      </c>
      <c r="P16" s="6" t="s">
        <v>16</v>
      </c>
    </row>
    <row r="17" spans="1:16" x14ac:dyDescent="0.35">
      <c r="A17" s="34" t="s">
        <v>6738</v>
      </c>
      <c r="B17" s="7">
        <f t="shared" si="1"/>
        <v>46086</v>
      </c>
      <c r="C17" s="7">
        <f t="shared" si="2"/>
        <v>46092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6" t="s">
        <v>1565</v>
      </c>
      <c r="M17" s="8">
        <v>169900</v>
      </c>
      <c r="N17" s="37">
        <v>0.9</v>
      </c>
      <c r="O17" s="36">
        <f t="shared" si="0"/>
        <v>16990</v>
      </c>
      <c r="P17" s="6" t="s">
        <v>16</v>
      </c>
    </row>
    <row r="18" spans="1:16" x14ac:dyDescent="0.35">
      <c r="A18" s="34" t="s">
        <v>6738</v>
      </c>
      <c r="B18" s="7">
        <f t="shared" si="1"/>
        <v>46086</v>
      </c>
      <c r="C18" s="7">
        <f t="shared" si="2"/>
        <v>46092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6" t="s">
        <v>1574</v>
      </c>
      <c r="M18" s="8">
        <v>49900</v>
      </c>
      <c r="N18" s="37">
        <v>0.9</v>
      </c>
      <c r="O18" s="36">
        <f t="shared" si="0"/>
        <v>4990</v>
      </c>
      <c r="P18" s="6" t="s">
        <v>16</v>
      </c>
    </row>
    <row r="19" spans="1:16" x14ac:dyDescent="0.35">
      <c r="A19" s="34" t="s">
        <v>6738</v>
      </c>
      <c r="B19" s="7">
        <f t="shared" si="1"/>
        <v>46086</v>
      </c>
      <c r="C19" s="7">
        <f t="shared" si="2"/>
        <v>46092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6" t="s">
        <v>1576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6738</v>
      </c>
      <c r="B20" s="7">
        <f t="shared" si="1"/>
        <v>46086</v>
      </c>
      <c r="C20" s="7">
        <f t="shared" si="2"/>
        <v>46092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6" t="s">
        <v>1578</v>
      </c>
      <c r="M20" s="8">
        <v>119900</v>
      </c>
      <c r="N20" s="37">
        <v>0.9</v>
      </c>
      <c r="O20" s="36">
        <f t="shared" si="0"/>
        <v>11990</v>
      </c>
      <c r="P20" s="6" t="s">
        <v>16</v>
      </c>
    </row>
    <row r="21" spans="1:16" x14ac:dyDescent="0.35">
      <c r="A21" s="34" t="s">
        <v>6738</v>
      </c>
      <c r="B21" s="7">
        <f t="shared" si="1"/>
        <v>46086</v>
      </c>
      <c r="C21" s="7">
        <f t="shared" si="2"/>
        <v>46092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6" t="s">
        <v>1579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6738</v>
      </c>
      <c r="B22" s="7">
        <f t="shared" si="1"/>
        <v>46086</v>
      </c>
      <c r="C22" s="7">
        <f t="shared" si="2"/>
        <v>46092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6" t="s">
        <v>1580</v>
      </c>
      <c r="M22" s="8">
        <v>119900</v>
      </c>
      <c r="N22" s="37">
        <v>0.9</v>
      </c>
      <c r="O22" s="36">
        <f t="shared" si="0"/>
        <v>11990</v>
      </c>
      <c r="P22" s="6" t="s">
        <v>16</v>
      </c>
    </row>
    <row r="23" spans="1:16" x14ac:dyDescent="0.35">
      <c r="A23" s="34" t="s">
        <v>6738</v>
      </c>
      <c r="B23" s="7">
        <f t="shared" si="1"/>
        <v>46086</v>
      </c>
      <c r="C23" s="7">
        <f t="shared" si="2"/>
        <v>46092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6" t="s">
        <v>1581</v>
      </c>
      <c r="M23" s="8">
        <v>119900</v>
      </c>
      <c r="N23" s="37">
        <v>0.9</v>
      </c>
      <c r="O23" s="36">
        <f t="shared" si="0"/>
        <v>11990</v>
      </c>
      <c r="P23" s="6" t="s">
        <v>16</v>
      </c>
    </row>
    <row r="24" spans="1:16" x14ac:dyDescent="0.35">
      <c r="A24" s="34" t="s">
        <v>6738</v>
      </c>
      <c r="B24" s="7">
        <f t="shared" si="1"/>
        <v>46086</v>
      </c>
      <c r="C24" s="7">
        <f t="shared" si="2"/>
        <v>46092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6" t="s">
        <v>1586</v>
      </c>
      <c r="M24" s="8">
        <v>119900</v>
      </c>
      <c r="N24" s="37">
        <v>0.9</v>
      </c>
      <c r="O24" s="36">
        <f t="shared" si="0"/>
        <v>11990</v>
      </c>
      <c r="P24" s="6" t="s">
        <v>16</v>
      </c>
    </row>
    <row r="25" spans="1:16" x14ac:dyDescent="0.35">
      <c r="A25" s="34" t="s">
        <v>6738</v>
      </c>
      <c r="B25" s="7">
        <f t="shared" si="1"/>
        <v>46086</v>
      </c>
      <c r="C25" s="7">
        <f t="shared" si="2"/>
        <v>46092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6" t="s">
        <v>1588</v>
      </c>
      <c r="M25" s="8">
        <v>119900</v>
      </c>
      <c r="N25" s="37">
        <v>0.9</v>
      </c>
      <c r="O25" s="36">
        <f t="shared" si="0"/>
        <v>11990</v>
      </c>
      <c r="P25" s="6" t="s">
        <v>16</v>
      </c>
    </row>
    <row r="26" spans="1:16" x14ac:dyDescent="0.35">
      <c r="A26" s="34" t="s">
        <v>6738</v>
      </c>
      <c r="B26" s="7">
        <f t="shared" si="1"/>
        <v>46086</v>
      </c>
      <c r="C26" s="7">
        <f t="shared" si="2"/>
        <v>46092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6" t="s">
        <v>1590</v>
      </c>
      <c r="M26" s="8">
        <v>119900</v>
      </c>
      <c r="N26" s="37">
        <v>0.9</v>
      </c>
      <c r="O26" s="36">
        <f t="shared" si="0"/>
        <v>11990</v>
      </c>
      <c r="P26" s="6" t="s">
        <v>16</v>
      </c>
    </row>
    <row r="27" spans="1:16" x14ac:dyDescent="0.35">
      <c r="A27" s="34" t="s">
        <v>6738</v>
      </c>
      <c r="B27" s="7">
        <f t="shared" si="1"/>
        <v>46086</v>
      </c>
      <c r="C27" s="7">
        <f t="shared" si="2"/>
        <v>46092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6" t="s">
        <v>1583</v>
      </c>
      <c r="M27" s="8">
        <v>119900</v>
      </c>
      <c r="N27" s="37">
        <v>0.9</v>
      </c>
      <c r="O27" s="36">
        <f t="shared" si="0"/>
        <v>11990</v>
      </c>
      <c r="P27" s="6" t="s">
        <v>16</v>
      </c>
    </row>
    <row r="28" spans="1:16" x14ac:dyDescent="0.35">
      <c r="A28" s="34" t="s">
        <v>6738</v>
      </c>
      <c r="B28" s="7">
        <f t="shared" si="1"/>
        <v>46086</v>
      </c>
      <c r="C28" s="7">
        <f t="shared" si="2"/>
        <v>46092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6" t="s">
        <v>1584</v>
      </c>
      <c r="M28" s="8">
        <v>119900</v>
      </c>
      <c r="N28" s="37">
        <v>0.9</v>
      </c>
      <c r="O28" s="36">
        <f t="shared" si="0"/>
        <v>11990</v>
      </c>
      <c r="P28" s="6" t="s">
        <v>16</v>
      </c>
    </row>
    <row r="29" spans="1:16" x14ac:dyDescent="0.35">
      <c r="A29" s="34" t="s">
        <v>6738</v>
      </c>
      <c r="B29" s="7">
        <f t="shared" si="1"/>
        <v>46086</v>
      </c>
      <c r="C29" s="7">
        <f t="shared" si="2"/>
        <v>46092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6" t="s">
        <v>1613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6738</v>
      </c>
      <c r="B30" s="7">
        <f t="shared" si="1"/>
        <v>46086</v>
      </c>
      <c r="C30" s="7">
        <f t="shared" si="2"/>
        <v>46092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6" t="s">
        <v>1614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6738</v>
      </c>
      <c r="B31" s="7">
        <f t="shared" si="1"/>
        <v>46086</v>
      </c>
      <c r="C31" s="7">
        <f t="shared" si="2"/>
        <v>46092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6" t="s">
        <v>1615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6738</v>
      </c>
      <c r="B32" s="7">
        <f t="shared" si="1"/>
        <v>46086</v>
      </c>
      <c r="C32" s="7">
        <f t="shared" si="2"/>
        <v>46092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6" t="s">
        <v>5668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6738</v>
      </c>
      <c r="B33" s="7">
        <f t="shared" si="1"/>
        <v>46086</v>
      </c>
      <c r="C33" s="7">
        <f t="shared" si="2"/>
        <v>46092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6" t="s">
        <v>1592</v>
      </c>
      <c r="M33" s="8">
        <v>129900</v>
      </c>
      <c r="N33" s="37">
        <v>0.9</v>
      </c>
      <c r="O33" s="36">
        <f t="shared" si="0"/>
        <v>12990</v>
      </c>
      <c r="P33" s="6" t="s">
        <v>16</v>
      </c>
    </row>
    <row r="34" spans="1:16" x14ac:dyDescent="0.35">
      <c r="A34" s="34" t="s">
        <v>6738</v>
      </c>
      <c r="B34" s="7">
        <f t="shared" si="1"/>
        <v>46086</v>
      </c>
      <c r="C34" s="7">
        <f t="shared" si="2"/>
        <v>46092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6" t="s">
        <v>1593</v>
      </c>
      <c r="M34" s="8">
        <v>129900</v>
      </c>
      <c r="N34" s="37">
        <v>0.9</v>
      </c>
      <c r="O34" s="36">
        <f t="shared" si="0"/>
        <v>12990</v>
      </c>
      <c r="P34" s="6" t="s">
        <v>16</v>
      </c>
    </row>
    <row r="35" spans="1:16" x14ac:dyDescent="0.35">
      <c r="A35" s="34" t="s">
        <v>6738</v>
      </c>
      <c r="B35" s="7">
        <f t="shared" si="1"/>
        <v>46086</v>
      </c>
      <c r="C35" s="7">
        <f t="shared" si="2"/>
        <v>46092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6" t="s">
        <v>1595</v>
      </c>
      <c r="M35" s="8">
        <v>129900</v>
      </c>
      <c r="N35" s="37">
        <v>0.9</v>
      </c>
      <c r="O35" s="36">
        <f t="shared" si="0"/>
        <v>12990</v>
      </c>
      <c r="P35" s="6" t="s">
        <v>16</v>
      </c>
    </row>
    <row r="36" spans="1:16" x14ac:dyDescent="0.35">
      <c r="A36" s="34" t="s">
        <v>6738</v>
      </c>
      <c r="B36" s="7">
        <f t="shared" si="1"/>
        <v>46086</v>
      </c>
      <c r="C36" s="7">
        <f t="shared" si="2"/>
        <v>46092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6" t="s">
        <v>1592</v>
      </c>
      <c r="M36" s="8">
        <v>129900</v>
      </c>
      <c r="N36" s="37">
        <v>0.9</v>
      </c>
      <c r="O36" s="36">
        <f t="shared" si="0"/>
        <v>12990</v>
      </c>
      <c r="P36" s="6" t="s">
        <v>16</v>
      </c>
    </row>
    <row r="37" spans="1:16" x14ac:dyDescent="0.35">
      <c r="A37" s="34" t="s">
        <v>6738</v>
      </c>
      <c r="B37" s="7">
        <f t="shared" si="1"/>
        <v>46086</v>
      </c>
      <c r="C37" s="7">
        <f t="shared" si="2"/>
        <v>46092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6" t="s">
        <v>1593</v>
      </c>
      <c r="M37" s="8">
        <v>129900</v>
      </c>
      <c r="N37" s="37">
        <v>0.9</v>
      </c>
      <c r="O37" s="36">
        <f t="shared" si="0"/>
        <v>12990</v>
      </c>
      <c r="P37" s="6" t="s">
        <v>16</v>
      </c>
    </row>
    <row r="38" spans="1:16" x14ac:dyDescent="0.35">
      <c r="A38" s="34" t="s">
        <v>6738</v>
      </c>
      <c r="B38" s="7">
        <f t="shared" si="1"/>
        <v>46086</v>
      </c>
      <c r="C38" s="7">
        <f t="shared" si="2"/>
        <v>46092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6" t="s">
        <v>1598</v>
      </c>
      <c r="M38" s="8">
        <v>129900</v>
      </c>
      <c r="N38" s="37">
        <v>0.9</v>
      </c>
      <c r="O38" s="36">
        <f t="shared" si="0"/>
        <v>12990</v>
      </c>
      <c r="P38" s="6" t="s">
        <v>16</v>
      </c>
    </row>
    <row r="39" spans="1:16" x14ac:dyDescent="0.35">
      <c r="A39" s="34" t="s">
        <v>6738</v>
      </c>
      <c r="B39" s="7">
        <f t="shared" si="1"/>
        <v>46086</v>
      </c>
      <c r="C39" s="7">
        <f t="shared" si="2"/>
        <v>46092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6" t="s">
        <v>1599</v>
      </c>
      <c r="M39" s="8">
        <v>129900</v>
      </c>
      <c r="N39" s="37">
        <v>0.9</v>
      </c>
      <c r="O39" s="36">
        <f t="shared" si="0"/>
        <v>12990</v>
      </c>
      <c r="P39" s="6" t="s">
        <v>16</v>
      </c>
    </row>
    <row r="40" spans="1:16" x14ac:dyDescent="0.35">
      <c r="A40" s="34" t="s">
        <v>6738</v>
      </c>
      <c r="B40" s="7">
        <f t="shared" si="1"/>
        <v>46086</v>
      </c>
      <c r="C40" s="7">
        <f t="shared" si="2"/>
        <v>46092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6" t="s">
        <v>1601</v>
      </c>
      <c r="M40" s="8">
        <v>129900</v>
      </c>
      <c r="N40" s="37">
        <v>0.9</v>
      </c>
      <c r="O40" s="36">
        <f t="shared" si="0"/>
        <v>12990</v>
      </c>
      <c r="P40" s="6" t="s">
        <v>16</v>
      </c>
    </row>
    <row r="41" spans="1:16" x14ac:dyDescent="0.35">
      <c r="A41" s="34" t="s">
        <v>6738</v>
      </c>
      <c r="B41" s="7">
        <f t="shared" si="1"/>
        <v>46086</v>
      </c>
      <c r="C41" s="7">
        <f t="shared" si="2"/>
        <v>46092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6" t="s">
        <v>1602</v>
      </c>
      <c r="M41" s="8">
        <v>129900</v>
      </c>
      <c r="N41" s="37">
        <v>0.9</v>
      </c>
      <c r="O41" s="36">
        <f t="shared" si="0"/>
        <v>12990</v>
      </c>
      <c r="P41" s="6" t="s">
        <v>16</v>
      </c>
    </row>
    <row r="42" spans="1:16" x14ac:dyDescent="0.35">
      <c r="A42" s="34" t="s">
        <v>6738</v>
      </c>
      <c r="B42" s="7">
        <f t="shared" si="1"/>
        <v>46086</v>
      </c>
      <c r="C42" s="7">
        <f t="shared" si="2"/>
        <v>46092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6" t="s">
        <v>1604</v>
      </c>
      <c r="M42" s="8">
        <v>139900</v>
      </c>
      <c r="N42" s="37">
        <v>0.9</v>
      </c>
      <c r="O42" s="36">
        <f t="shared" si="0"/>
        <v>13990</v>
      </c>
      <c r="P42" s="6" t="s">
        <v>16</v>
      </c>
    </row>
    <row r="43" spans="1:16" x14ac:dyDescent="0.35">
      <c r="A43" s="34" t="s">
        <v>6738</v>
      </c>
      <c r="B43" s="7">
        <f t="shared" si="1"/>
        <v>46086</v>
      </c>
      <c r="C43" s="7">
        <f t="shared" si="2"/>
        <v>46092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6" t="s">
        <v>1605</v>
      </c>
      <c r="M43" s="8">
        <v>139900</v>
      </c>
      <c r="N43" s="37">
        <v>0.9</v>
      </c>
      <c r="O43" s="36">
        <f t="shared" si="0"/>
        <v>13990</v>
      </c>
      <c r="P43" s="6" t="s">
        <v>16</v>
      </c>
    </row>
    <row r="44" spans="1:16" x14ac:dyDescent="0.35">
      <c r="A44" s="34" t="s">
        <v>6738</v>
      </c>
      <c r="B44" s="7">
        <f t="shared" si="1"/>
        <v>46086</v>
      </c>
      <c r="C44" s="7">
        <f t="shared" si="2"/>
        <v>46092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6" t="s">
        <v>1606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6738</v>
      </c>
      <c r="B45" s="7">
        <f t="shared" si="1"/>
        <v>46086</v>
      </c>
      <c r="C45" s="7">
        <f t="shared" si="2"/>
        <v>46092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6" t="s">
        <v>1607</v>
      </c>
      <c r="M45" s="8">
        <v>139900</v>
      </c>
      <c r="N45" s="37">
        <v>0.9</v>
      </c>
      <c r="O45" s="36">
        <f t="shared" si="0"/>
        <v>13990</v>
      </c>
      <c r="P45" s="6" t="s">
        <v>16</v>
      </c>
    </row>
    <row r="46" spans="1:16" x14ac:dyDescent="0.35">
      <c r="A46" s="34" t="s">
        <v>6738</v>
      </c>
      <c r="B46" s="7">
        <f t="shared" si="1"/>
        <v>46086</v>
      </c>
      <c r="C46" s="7">
        <f t="shared" si="2"/>
        <v>46092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6" t="s">
        <v>1617</v>
      </c>
      <c r="M46" s="8">
        <v>129900</v>
      </c>
      <c r="N46" s="37">
        <v>0.9</v>
      </c>
      <c r="O46" s="36">
        <f t="shared" si="0"/>
        <v>12990</v>
      </c>
      <c r="P46" s="6" t="s">
        <v>16</v>
      </c>
    </row>
    <row r="47" spans="1:16" x14ac:dyDescent="0.35">
      <c r="A47" s="34" t="s">
        <v>6738</v>
      </c>
      <c r="B47" s="7">
        <f t="shared" si="1"/>
        <v>46086</v>
      </c>
      <c r="C47" s="7">
        <f t="shared" si="2"/>
        <v>46092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6" t="s">
        <v>1618</v>
      </c>
      <c r="M47" s="8">
        <v>129900</v>
      </c>
      <c r="N47" s="37">
        <v>0.9</v>
      </c>
      <c r="O47" s="36">
        <f t="shared" si="0"/>
        <v>12990</v>
      </c>
      <c r="P47" s="6" t="s">
        <v>16</v>
      </c>
    </row>
    <row r="48" spans="1:16" x14ac:dyDescent="0.35">
      <c r="A48" s="34" t="s">
        <v>6738</v>
      </c>
      <c r="B48" s="7">
        <f t="shared" si="1"/>
        <v>46086</v>
      </c>
      <c r="C48" s="7">
        <f t="shared" si="2"/>
        <v>46092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6" t="s">
        <v>1619</v>
      </c>
      <c r="M48" s="8">
        <v>129900</v>
      </c>
      <c r="N48" s="37">
        <v>0.9</v>
      </c>
      <c r="O48" s="36">
        <f t="shared" si="0"/>
        <v>12990</v>
      </c>
      <c r="P48" s="6" t="s">
        <v>16</v>
      </c>
    </row>
    <row r="49" spans="1:16" x14ac:dyDescent="0.35">
      <c r="A49" s="34" t="s">
        <v>6738</v>
      </c>
      <c r="B49" s="7">
        <f t="shared" si="1"/>
        <v>46086</v>
      </c>
      <c r="C49" s="7">
        <f t="shared" si="2"/>
        <v>46092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6" t="s">
        <v>1620</v>
      </c>
      <c r="M49" s="8">
        <v>129900</v>
      </c>
      <c r="N49" s="37">
        <v>0.9</v>
      </c>
      <c r="O49" s="36">
        <f t="shared" si="0"/>
        <v>12990</v>
      </c>
      <c r="P49" s="6" t="s">
        <v>16</v>
      </c>
    </row>
    <row r="50" spans="1:16" x14ac:dyDescent="0.35">
      <c r="A50" s="34" t="s">
        <v>6738</v>
      </c>
      <c r="B50" s="7">
        <f t="shared" si="1"/>
        <v>46086</v>
      </c>
      <c r="C50" s="7">
        <f t="shared" si="2"/>
        <v>46092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6" t="s">
        <v>1609</v>
      </c>
      <c r="M50" s="8">
        <v>139900</v>
      </c>
      <c r="N50" s="37">
        <v>0.9</v>
      </c>
      <c r="O50" s="36">
        <f t="shared" si="0"/>
        <v>13990</v>
      </c>
      <c r="P50" s="6" t="s">
        <v>16</v>
      </c>
    </row>
    <row r="51" spans="1:16" x14ac:dyDescent="0.35">
      <c r="A51" s="34" t="s">
        <v>6738</v>
      </c>
      <c r="B51" s="7">
        <f t="shared" si="1"/>
        <v>46086</v>
      </c>
      <c r="C51" s="7">
        <f t="shared" si="2"/>
        <v>46092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6" t="s">
        <v>1610</v>
      </c>
      <c r="M51" s="8">
        <v>139900</v>
      </c>
      <c r="N51" s="37">
        <v>0.9</v>
      </c>
      <c r="O51" s="36">
        <f t="shared" si="0"/>
        <v>13990</v>
      </c>
      <c r="P51" s="6" t="s">
        <v>16</v>
      </c>
    </row>
    <row r="52" spans="1:16" x14ac:dyDescent="0.35">
      <c r="A52" s="34" t="s">
        <v>6738</v>
      </c>
      <c r="B52" s="7">
        <f t="shared" si="1"/>
        <v>46086</v>
      </c>
      <c r="C52" s="7">
        <f t="shared" si="2"/>
        <v>46092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6" t="s">
        <v>1611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6738</v>
      </c>
      <c r="B53" s="7">
        <f t="shared" si="1"/>
        <v>46086</v>
      </c>
      <c r="C53" s="7">
        <f t="shared" si="2"/>
        <v>46092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6" t="s">
        <v>1624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6738</v>
      </c>
      <c r="B54" s="7">
        <f t="shared" si="1"/>
        <v>46086</v>
      </c>
      <c r="C54" s="7">
        <f t="shared" si="2"/>
        <v>46092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6" t="s">
        <v>1625</v>
      </c>
      <c r="M54" s="8">
        <v>119900</v>
      </c>
      <c r="N54" s="37">
        <v>0.9</v>
      </c>
      <c r="O54" s="36">
        <f t="shared" si="0"/>
        <v>11990</v>
      </c>
      <c r="P54" s="6" t="s">
        <v>16</v>
      </c>
    </row>
    <row r="55" spans="1:16" x14ac:dyDescent="0.35">
      <c r="A55" s="34" t="s">
        <v>6738</v>
      </c>
      <c r="B55" s="7">
        <f t="shared" si="1"/>
        <v>46086</v>
      </c>
      <c r="C55" s="7">
        <f t="shared" si="2"/>
        <v>46092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6" t="s">
        <v>1630</v>
      </c>
      <c r="M55" s="8">
        <v>149900</v>
      </c>
      <c r="N55" s="37">
        <v>0.9</v>
      </c>
      <c r="O55" s="36">
        <f t="shared" si="0"/>
        <v>14990</v>
      </c>
      <c r="P55" s="6" t="s">
        <v>16</v>
      </c>
    </row>
    <row r="56" spans="1:16" x14ac:dyDescent="0.35">
      <c r="A56" s="34" t="s">
        <v>6738</v>
      </c>
      <c r="B56" s="7">
        <f t="shared" si="1"/>
        <v>46086</v>
      </c>
      <c r="C56" s="7">
        <f t="shared" si="2"/>
        <v>46092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6" t="s">
        <v>1633</v>
      </c>
      <c r="M56" s="8">
        <v>179900</v>
      </c>
      <c r="N56" s="37">
        <v>0.9</v>
      </c>
      <c r="O56" s="36">
        <f t="shared" si="0"/>
        <v>17990</v>
      </c>
      <c r="P56" s="6" t="s">
        <v>16</v>
      </c>
    </row>
    <row r="57" spans="1:16" x14ac:dyDescent="0.35">
      <c r="A57" s="34" t="s">
        <v>6738</v>
      </c>
      <c r="B57" s="7">
        <f t="shared" si="1"/>
        <v>46086</v>
      </c>
      <c r="C57" s="7">
        <f t="shared" si="2"/>
        <v>46092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6" t="s">
        <v>1634</v>
      </c>
      <c r="M57" s="8">
        <v>179900</v>
      </c>
      <c r="N57" s="37">
        <v>0.9</v>
      </c>
      <c r="O57" s="36">
        <f t="shared" si="0"/>
        <v>17990</v>
      </c>
      <c r="P57" s="6" t="s">
        <v>16</v>
      </c>
    </row>
    <row r="58" spans="1:16" x14ac:dyDescent="0.35">
      <c r="A58" s="34" t="s">
        <v>6738</v>
      </c>
      <c r="B58" s="7">
        <f t="shared" si="1"/>
        <v>46086</v>
      </c>
      <c r="C58" s="7">
        <f t="shared" si="2"/>
        <v>46092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6" t="s">
        <v>1635</v>
      </c>
      <c r="M58" s="8">
        <v>179900</v>
      </c>
      <c r="N58" s="37">
        <v>0.9</v>
      </c>
      <c r="O58" s="36">
        <f t="shared" si="0"/>
        <v>17990</v>
      </c>
      <c r="P58" s="6" t="s">
        <v>16</v>
      </c>
    </row>
    <row r="59" spans="1:16" x14ac:dyDescent="0.35">
      <c r="A59" s="34" t="s">
        <v>6738</v>
      </c>
      <c r="B59" s="7">
        <f t="shared" si="1"/>
        <v>46086</v>
      </c>
      <c r="C59" s="7">
        <f t="shared" si="2"/>
        <v>46092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6" t="s">
        <v>1636</v>
      </c>
      <c r="M59" s="8">
        <v>179900</v>
      </c>
      <c r="N59" s="37">
        <v>0.9</v>
      </c>
      <c r="O59" s="36">
        <f t="shared" si="0"/>
        <v>17990</v>
      </c>
      <c r="P59" s="6" t="s">
        <v>16</v>
      </c>
    </row>
    <row r="60" spans="1:16" x14ac:dyDescent="0.35">
      <c r="A60" s="34" t="s">
        <v>6738</v>
      </c>
      <c r="B60" s="7">
        <f t="shared" si="1"/>
        <v>46086</v>
      </c>
      <c r="C60" s="7">
        <f t="shared" si="2"/>
        <v>46092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6" t="s">
        <v>1638</v>
      </c>
      <c r="M60" s="8">
        <v>179900</v>
      </c>
      <c r="N60" s="37">
        <v>0.9</v>
      </c>
      <c r="O60" s="36">
        <f t="shared" si="0"/>
        <v>17990</v>
      </c>
      <c r="P60" s="6" t="s">
        <v>16</v>
      </c>
    </row>
    <row r="61" spans="1:16" x14ac:dyDescent="0.35">
      <c r="A61" s="34" t="s">
        <v>6738</v>
      </c>
      <c r="B61" s="7">
        <f t="shared" si="1"/>
        <v>46086</v>
      </c>
      <c r="C61" s="7">
        <f t="shared" si="2"/>
        <v>46092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6" t="s">
        <v>1639</v>
      </c>
      <c r="M61" s="8">
        <v>179900</v>
      </c>
      <c r="N61" s="37">
        <v>0.9</v>
      </c>
      <c r="O61" s="36">
        <f t="shared" si="0"/>
        <v>17990</v>
      </c>
      <c r="P61" s="6" t="s">
        <v>16</v>
      </c>
    </row>
    <row r="62" spans="1:16" x14ac:dyDescent="0.35">
      <c r="A62" s="34" t="s">
        <v>6738</v>
      </c>
      <c r="B62" s="7">
        <f t="shared" si="1"/>
        <v>46086</v>
      </c>
      <c r="C62" s="7">
        <f t="shared" si="2"/>
        <v>46092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6" t="s">
        <v>1622</v>
      </c>
      <c r="M62" s="8">
        <v>189900</v>
      </c>
      <c r="N62" s="37">
        <v>0.9</v>
      </c>
      <c r="O62" s="36">
        <f t="shared" si="0"/>
        <v>18990</v>
      </c>
      <c r="P62" s="6" t="s">
        <v>16</v>
      </c>
    </row>
    <row r="63" spans="1:16" x14ac:dyDescent="0.35">
      <c r="A63" s="34" t="s">
        <v>6738</v>
      </c>
      <c r="B63" s="7">
        <f t="shared" si="1"/>
        <v>46086</v>
      </c>
      <c r="C63" s="7">
        <f t="shared" si="2"/>
        <v>46092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6" t="s">
        <v>1627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6738</v>
      </c>
      <c r="B64" s="7">
        <f t="shared" si="1"/>
        <v>46086</v>
      </c>
      <c r="C64" s="7">
        <f t="shared" si="2"/>
        <v>46092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6" t="s">
        <v>1628</v>
      </c>
      <c r="M64" s="8">
        <v>159900</v>
      </c>
      <c r="N64" s="37">
        <v>0.9</v>
      </c>
      <c r="O64" s="36">
        <f t="shared" si="0"/>
        <v>15990</v>
      </c>
      <c r="P64" s="6" t="s">
        <v>16</v>
      </c>
    </row>
    <row r="65" spans="1:16" x14ac:dyDescent="0.35">
      <c r="A65" s="34" t="s">
        <v>6738</v>
      </c>
      <c r="B65" s="7">
        <f t="shared" si="1"/>
        <v>46086</v>
      </c>
      <c r="C65" s="7">
        <f t="shared" si="2"/>
        <v>46092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6" t="s">
        <v>1631</v>
      </c>
      <c r="M65" s="8">
        <v>179900</v>
      </c>
      <c r="N65" s="37">
        <v>0.9</v>
      </c>
      <c r="O65" s="36">
        <f t="shared" si="0"/>
        <v>17990</v>
      </c>
      <c r="P65" s="6" t="s">
        <v>16</v>
      </c>
    </row>
    <row r="66" spans="1:16" x14ac:dyDescent="0.35">
      <c r="A66" s="34" t="s">
        <v>6738</v>
      </c>
      <c r="B66" s="7">
        <f t="shared" si="1"/>
        <v>46086</v>
      </c>
      <c r="C66" s="7">
        <f t="shared" si="2"/>
        <v>46092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6" t="s">
        <v>1641</v>
      </c>
      <c r="M66" s="8">
        <v>189900</v>
      </c>
      <c r="N66" s="37">
        <v>0.9</v>
      </c>
      <c r="O66" s="36">
        <f t="shared" si="0"/>
        <v>18990</v>
      </c>
      <c r="P66" s="6" t="s">
        <v>16</v>
      </c>
    </row>
    <row r="67" spans="1:16" x14ac:dyDescent="0.35">
      <c r="A67" s="34" t="s">
        <v>6738</v>
      </c>
      <c r="B67" s="7">
        <f t="shared" si="1"/>
        <v>46086</v>
      </c>
      <c r="C67" s="7">
        <f t="shared" si="2"/>
        <v>46092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6" t="s">
        <v>1647</v>
      </c>
      <c r="M67" s="8">
        <v>189900</v>
      </c>
      <c r="N67" s="37">
        <v>0.9</v>
      </c>
      <c r="O67" s="36">
        <f t="shared" ref="O67:O99" si="3">M67-((90*M67)/100)</f>
        <v>18990</v>
      </c>
      <c r="P67" s="6" t="s">
        <v>16</v>
      </c>
    </row>
    <row r="68" spans="1:16" x14ac:dyDescent="0.35">
      <c r="A68" s="34" t="s">
        <v>6738</v>
      </c>
      <c r="B68" s="7">
        <f t="shared" ref="B68:B99" si="4">B67</f>
        <v>46086</v>
      </c>
      <c r="C68" s="7">
        <f t="shared" ref="C68:C99" si="5">C67</f>
        <v>46092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6" t="s">
        <v>1643</v>
      </c>
      <c r="M68" s="8">
        <v>159900</v>
      </c>
      <c r="N68" s="37">
        <v>0.9</v>
      </c>
      <c r="O68" s="36">
        <f t="shared" si="3"/>
        <v>15990</v>
      </c>
      <c r="P68" s="6" t="s">
        <v>16</v>
      </c>
    </row>
    <row r="69" spans="1:16" x14ac:dyDescent="0.35">
      <c r="A69" s="34" t="s">
        <v>6738</v>
      </c>
      <c r="B69" s="7">
        <f t="shared" si="4"/>
        <v>46086</v>
      </c>
      <c r="C69" s="7">
        <f t="shared" si="5"/>
        <v>46092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6" t="s">
        <v>1644</v>
      </c>
      <c r="M69" s="8">
        <v>159900</v>
      </c>
      <c r="N69" s="37">
        <v>0.9</v>
      </c>
      <c r="O69" s="36">
        <f t="shared" si="3"/>
        <v>15990</v>
      </c>
      <c r="P69" s="6" t="s">
        <v>16</v>
      </c>
    </row>
    <row r="70" spans="1:16" x14ac:dyDescent="0.35">
      <c r="A70" s="34" t="s">
        <v>6738</v>
      </c>
      <c r="B70" s="7">
        <f t="shared" si="4"/>
        <v>46086</v>
      </c>
      <c r="C70" s="7">
        <f t="shared" si="5"/>
        <v>46092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6" t="s">
        <v>1645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6738</v>
      </c>
      <c r="B71" s="7">
        <f t="shared" si="4"/>
        <v>46086</v>
      </c>
      <c r="C71" s="7">
        <f t="shared" si="5"/>
        <v>46092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6" t="s">
        <v>1649</v>
      </c>
      <c r="M71" s="8">
        <v>169900</v>
      </c>
      <c r="N71" s="37">
        <v>0.9</v>
      </c>
      <c r="O71" s="36">
        <f t="shared" si="3"/>
        <v>16990</v>
      </c>
      <c r="P71" s="6" t="s">
        <v>16</v>
      </c>
    </row>
    <row r="72" spans="1:16" x14ac:dyDescent="0.35">
      <c r="A72" s="34" t="s">
        <v>6738</v>
      </c>
      <c r="B72" s="7">
        <f t="shared" si="4"/>
        <v>46086</v>
      </c>
      <c r="C72" s="7">
        <f t="shared" si="5"/>
        <v>46092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6" t="s">
        <v>1650</v>
      </c>
      <c r="M72" s="8">
        <v>169900</v>
      </c>
      <c r="N72" s="37">
        <v>0.9</v>
      </c>
      <c r="O72" s="36">
        <f t="shared" si="3"/>
        <v>16990</v>
      </c>
      <c r="P72" s="6" t="s">
        <v>16</v>
      </c>
    </row>
    <row r="73" spans="1:16" x14ac:dyDescent="0.35">
      <c r="A73" s="34" t="s">
        <v>6738</v>
      </c>
      <c r="B73" s="7">
        <f t="shared" si="4"/>
        <v>46086</v>
      </c>
      <c r="C73" s="7">
        <f t="shared" si="5"/>
        <v>46092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6" t="s">
        <v>1651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6738</v>
      </c>
      <c r="B74" s="7">
        <f t="shared" si="4"/>
        <v>46086</v>
      </c>
      <c r="C74" s="7">
        <f t="shared" si="5"/>
        <v>46092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6" t="s">
        <v>1653</v>
      </c>
      <c r="M74" s="8">
        <v>189900</v>
      </c>
      <c r="N74" s="37">
        <v>0.9</v>
      </c>
      <c r="O74" s="36">
        <f t="shared" si="3"/>
        <v>18990</v>
      </c>
      <c r="P74" s="6" t="s">
        <v>16</v>
      </c>
    </row>
    <row r="75" spans="1:16" x14ac:dyDescent="0.35">
      <c r="A75" s="34" t="s">
        <v>6738</v>
      </c>
      <c r="B75" s="7">
        <f t="shared" si="4"/>
        <v>46086</v>
      </c>
      <c r="C75" s="7">
        <f t="shared" si="5"/>
        <v>46092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6" t="s">
        <v>1654</v>
      </c>
      <c r="M75" s="8">
        <v>189900</v>
      </c>
      <c r="N75" s="37">
        <v>0.9</v>
      </c>
      <c r="O75" s="36">
        <f t="shared" si="3"/>
        <v>18990</v>
      </c>
      <c r="P75" s="6" t="s">
        <v>16</v>
      </c>
    </row>
    <row r="76" spans="1:16" x14ac:dyDescent="0.35">
      <c r="A76" s="34" t="s">
        <v>6738</v>
      </c>
      <c r="B76" s="7">
        <f t="shared" si="4"/>
        <v>46086</v>
      </c>
      <c r="C76" s="7">
        <f t="shared" si="5"/>
        <v>46092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6" t="s">
        <v>1655</v>
      </c>
      <c r="M76" s="8">
        <v>189900</v>
      </c>
      <c r="N76" s="37">
        <v>0.9</v>
      </c>
      <c r="O76" s="36">
        <f t="shared" si="3"/>
        <v>18990</v>
      </c>
      <c r="P76" s="6" t="s">
        <v>16</v>
      </c>
    </row>
    <row r="77" spans="1:16" x14ac:dyDescent="0.35">
      <c r="A77" s="34" t="s">
        <v>6738</v>
      </c>
      <c r="B77" s="7">
        <f t="shared" si="4"/>
        <v>46086</v>
      </c>
      <c r="C77" s="7">
        <f t="shared" si="5"/>
        <v>46092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6" t="s">
        <v>1657</v>
      </c>
      <c r="M77" s="8">
        <v>189900</v>
      </c>
      <c r="N77" s="37">
        <v>0.9</v>
      </c>
      <c r="O77" s="36">
        <f t="shared" si="3"/>
        <v>18990</v>
      </c>
      <c r="P77" s="6" t="s">
        <v>16</v>
      </c>
    </row>
    <row r="78" spans="1:16" x14ac:dyDescent="0.35">
      <c r="A78" s="34" t="s">
        <v>6738</v>
      </c>
      <c r="B78" s="7">
        <f t="shared" si="4"/>
        <v>46086</v>
      </c>
      <c r="C78" s="7">
        <f t="shared" si="5"/>
        <v>46092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6" t="s">
        <v>1658</v>
      </c>
      <c r="M78" s="8">
        <v>189900</v>
      </c>
      <c r="N78" s="37">
        <v>0.9</v>
      </c>
      <c r="O78" s="36">
        <f t="shared" si="3"/>
        <v>18990</v>
      </c>
      <c r="P78" s="6" t="s">
        <v>16</v>
      </c>
    </row>
    <row r="79" spans="1:16" x14ac:dyDescent="0.35">
      <c r="A79" s="34" t="s">
        <v>6738</v>
      </c>
      <c r="B79" s="7">
        <f t="shared" si="4"/>
        <v>46086</v>
      </c>
      <c r="C79" s="7">
        <f t="shared" si="5"/>
        <v>46092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6" t="s">
        <v>1660</v>
      </c>
      <c r="M79" s="8">
        <v>179900</v>
      </c>
      <c r="N79" s="37">
        <v>0.9</v>
      </c>
      <c r="O79" s="36">
        <f t="shared" si="3"/>
        <v>17990</v>
      </c>
      <c r="P79" s="6" t="s">
        <v>16</v>
      </c>
    </row>
    <row r="80" spans="1:16" x14ac:dyDescent="0.35">
      <c r="A80" s="34" t="s">
        <v>6738</v>
      </c>
      <c r="B80" s="7">
        <f t="shared" si="4"/>
        <v>46086</v>
      </c>
      <c r="C80" s="7">
        <f t="shared" si="5"/>
        <v>46092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6" t="s">
        <v>1661</v>
      </c>
      <c r="M80" s="8">
        <v>179900</v>
      </c>
      <c r="N80" s="37">
        <v>0.9</v>
      </c>
      <c r="O80" s="36">
        <f t="shared" si="3"/>
        <v>17990</v>
      </c>
      <c r="P80" s="6" t="s">
        <v>16</v>
      </c>
    </row>
    <row r="81" spans="1:16" x14ac:dyDescent="0.35">
      <c r="A81" s="34" t="s">
        <v>6738</v>
      </c>
      <c r="B81" s="7">
        <f t="shared" si="4"/>
        <v>46086</v>
      </c>
      <c r="C81" s="7">
        <f t="shared" si="5"/>
        <v>46092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6" t="s">
        <v>1662</v>
      </c>
      <c r="M81" s="8">
        <v>179900</v>
      </c>
      <c r="N81" s="37">
        <v>0.9</v>
      </c>
      <c r="O81" s="36">
        <f t="shared" si="3"/>
        <v>17990</v>
      </c>
      <c r="P81" s="6" t="s">
        <v>16</v>
      </c>
    </row>
    <row r="82" spans="1:16" x14ac:dyDescent="0.35">
      <c r="A82" s="34" t="s">
        <v>6738</v>
      </c>
      <c r="B82" s="7">
        <f t="shared" si="4"/>
        <v>46086</v>
      </c>
      <c r="C82" s="7">
        <f t="shared" si="5"/>
        <v>46092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6" t="s">
        <v>1672</v>
      </c>
      <c r="M82" s="8">
        <v>179900</v>
      </c>
      <c r="N82" s="37">
        <v>0.9</v>
      </c>
      <c r="O82" s="36">
        <f t="shared" si="3"/>
        <v>17990</v>
      </c>
      <c r="P82" s="6" t="s">
        <v>16</v>
      </c>
    </row>
    <row r="83" spans="1:16" x14ac:dyDescent="0.35">
      <c r="A83" s="34" t="s">
        <v>6738</v>
      </c>
      <c r="B83" s="7">
        <f t="shared" si="4"/>
        <v>46086</v>
      </c>
      <c r="C83" s="7">
        <f t="shared" si="5"/>
        <v>46092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6" t="s">
        <v>1673</v>
      </c>
      <c r="M83" s="8">
        <v>179900</v>
      </c>
      <c r="N83" s="37">
        <v>0.9</v>
      </c>
      <c r="O83" s="36">
        <f t="shared" si="3"/>
        <v>17990</v>
      </c>
      <c r="P83" s="6" t="s">
        <v>16</v>
      </c>
    </row>
    <row r="84" spans="1:16" x14ac:dyDescent="0.35">
      <c r="A84" s="34" t="s">
        <v>6738</v>
      </c>
      <c r="B84" s="7">
        <f t="shared" si="4"/>
        <v>46086</v>
      </c>
      <c r="C84" s="7">
        <f t="shared" si="5"/>
        <v>46092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6" t="s">
        <v>1674</v>
      </c>
      <c r="M84" s="8">
        <v>179900</v>
      </c>
      <c r="N84" s="37">
        <v>0.9</v>
      </c>
      <c r="O84" s="36">
        <f t="shared" si="3"/>
        <v>17990</v>
      </c>
      <c r="P84" s="6" t="s">
        <v>16</v>
      </c>
    </row>
    <row r="85" spans="1:16" x14ac:dyDescent="0.35">
      <c r="A85" s="34" t="s">
        <v>6738</v>
      </c>
      <c r="B85" s="7">
        <f t="shared" si="4"/>
        <v>46086</v>
      </c>
      <c r="C85" s="7">
        <f t="shared" si="5"/>
        <v>46092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6" t="s">
        <v>1675</v>
      </c>
      <c r="M85" s="8">
        <v>179900</v>
      </c>
      <c r="N85" s="37">
        <v>0.9</v>
      </c>
      <c r="O85" s="36">
        <f t="shared" si="3"/>
        <v>17990</v>
      </c>
      <c r="P85" s="6" t="s">
        <v>16</v>
      </c>
    </row>
    <row r="86" spans="1:16" x14ac:dyDescent="0.35">
      <c r="A86" s="34" t="s">
        <v>6738</v>
      </c>
      <c r="B86" s="7">
        <f t="shared" si="4"/>
        <v>46086</v>
      </c>
      <c r="C86" s="7">
        <f t="shared" si="5"/>
        <v>46092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6" t="s">
        <v>1677</v>
      </c>
      <c r="M86" s="8">
        <v>179900</v>
      </c>
      <c r="N86" s="37">
        <v>0.9</v>
      </c>
      <c r="O86" s="36">
        <f t="shared" si="3"/>
        <v>17990</v>
      </c>
      <c r="P86" s="6" t="s">
        <v>16</v>
      </c>
    </row>
    <row r="87" spans="1:16" x14ac:dyDescent="0.35">
      <c r="A87" s="34" t="s">
        <v>6738</v>
      </c>
      <c r="B87" s="7">
        <f t="shared" si="4"/>
        <v>46086</v>
      </c>
      <c r="C87" s="7">
        <f t="shared" si="5"/>
        <v>46092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6" t="s">
        <v>1678</v>
      </c>
      <c r="M87" s="8">
        <v>179900</v>
      </c>
      <c r="N87" s="37">
        <v>0.9</v>
      </c>
      <c r="O87" s="36">
        <f t="shared" si="3"/>
        <v>17990</v>
      </c>
      <c r="P87" s="6" t="s">
        <v>16</v>
      </c>
    </row>
    <row r="88" spans="1:16" x14ac:dyDescent="0.35">
      <c r="A88" s="34" t="s">
        <v>6738</v>
      </c>
      <c r="B88" s="7">
        <f t="shared" si="4"/>
        <v>46086</v>
      </c>
      <c r="C88" s="7">
        <f t="shared" si="5"/>
        <v>46092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6" t="s">
        <v>1679</v>
      </c>
      <c r="M88" s="8">
        <v>179900</v>
      </c>
      <c r="N88" s="37">
        <v>0.9</v>
      </c>
      <c r="O88" s="36">
        <f t="shared" si="3"/>
        <v>17990</v>
      </c>
      <c r="P88" s="6" t="s">
        <v>16</v>
      </c>
    </row>
    <row r="89" spans="1:16" x14ac:dyDescent="0.35">
      <c r="A89" s="34" t="s">
        <v>6738</v>
      </c>
      <c r="B89" s="7">
        <f t="shared" si="4"/>
        <v>46086</v>
      </c>
      <c r="C89" s="7">
        <f t="shared" si="5"/>
        <v>46092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6" t="s">
        <v>1680</v>
      </c>
      <c r="M89" s="8">
        <v>179900</v>
      </c>
      <c r="N89" s="37">
        <v>0.9</v>
      </c>
      <c r="O89" s="36">
        <f t="shared" si="3"/>
        <v>17990</v>
      </c>
      <c r="P89" s="6" t="s">
        <v>16</v>
      </c>
    </row>
    <row r="90" spans="1:16" x14ac:dyDescent="0.35">
      <c r="A90" s="34" t="s">
        <v>6738</v>
      </c>
      <c r="B90" s="7">
        <f t="shared" si="4"/>
        <v>46086</v>
      </c>
      <c r="C90" s="7">
        <f t="shared" si="5"/>
        <v>46092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6" t="s">
        <v>1682</v>
      </c>
      <c r="M90" s="8">
        <v>189900</v>
      </c>
      <c r="N90" s="37">
        <v>0.9</v>
      </c>
      <c r="O90" s="36">
        <f t="shared" si="3"/>
        <v>18990</v>
      </c>
      <c r="P90" s="6" t="s">
        <v>16</v>
      </c>
    </row>
    <row r="91" spans="1:16" x14ac:dyDescent="0.35">
      <c r="A91" s="34" t="s">
        <v>6738</v>
      </c>
      <c r="B91" s="7">
        <f t="shared" si="4"/>
        <v>46086</v>
      </c>
      <c r="C91" s="7">
        <f t="shared" si="5"/>
        <v>46092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6" t="s">
        <v>1664</v>
      </c>
      <c r="M91" s="8">
        <v>179900</v>
      </c>
      <c r="N91" s="37">
        <v>0.9</v>
      </c>
      <c r="O91" s="36">
        <f t="shared" si="3"/>
        <v>17990</v>
      </c>
      <c r="P91" s="6" t="s">
        <v>16</v>
      </c>
    </row>
    <row r="92" spans="1:16" x14ac:dyDescent="0.35">
      <c r="A92" s="34" t="s">
        <v>6738</v>
      </c>
      <c r="B92" s="7">
        <f t="shared" si="4"/>
        <v>46086</v>
      </c>
      <c r="C92" s="7">
        <f t="shared" si="5"/>
        <v>46092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6" t="s">
        <v>1665</v>
      </c>
      <c r="M92" s="8">
        <v>179900</v>
      </c>
      <c r="N92" s="37">
        <v>0.9</v>
      </c>
      <c r="O92" s="36">
        <f t="shared" si="3"/>
        <v>17990</v>
      </c>
      <c r="P92" s="6" t="s">
        <v>16</v>
      </c>
    </row>
    <row r="93" spans="1:16" x14ac:dyDescent="0.35">
      <c r="A93" s="34" t="s">
        <v>6738</v>
      </c>
      <c r="B93" s="7">
        <f t="shared" si="4"/>
        <v>46086</v>
      </c>
      <c r="C93" s="7">
        <f t="shared" si="5"/>
        <v>46092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6" t="s">
        <v>1666</v>
      </c>
      <c r="M93" s="8">
        <v>179900</v>
      </c>
      <c r="N93" s="37">
        <v>0.9</v>
      </c>
      <c r="O93" s="36">
        <f t="shared" si="3"/>
        <v>17990</v>
      </c>
      <c r="P93" s="6" t="s">
        <v>16</v>
      </c>
    </row>
    <row r="94" spans="1:16" x14ac:dyDescent="0.35">
      <c r="A94" s="34" t="s">
        <v>6738</v>
      </c>
      <c r="B94" s="7">
        <f t="shared" si="4"/>
        <v>46086</v>
      </c>
      <c r="C94" s="7">
        <f t="shared" si="5"/>
        <v>46092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6" t="s">
        <v>1668</v>
      </c>
      <c r="M94" s="8">
        <v>179900</v>
      </c>
      <c r="N94" s="37">
        <v>0.9</v>
      </c>
      <c r="O94" s="36">
        <f t="shared" si="3"/>
        <v>17990</v>
      </c>
      <c r="P94" s="6" t="s">
        <v>16</v>
      </c>
    </row>
    <row r="95" spans="1:16" x14ac:dyDescent="0.35">
      <c r="A95" s="34" t="s">
        <v>6738</v>
      </c>
      <c r="B95" s="7">
        <f t="shared" si="4"/>
        <v>46086</v>
      </c>
      <c r="C95" s="7">
        <f t="shared" si="5"/>
        <v>46092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6" t="s">
        <v>1669</v>
      </c>
      <c r="M95" s="8">
        <v>179900</v>
      </c>
      <c r="N95" s="37">
        <v>0.9</v>
      </c>
      <c r="O95" s="36">
        <f t="shared" si="3"/>
        <v>17990</v>
      </c>
      <c r="P95" s="6" t="s">
        <v>16</v>
      </c>
    </row>
    <row r="96" spans="1:16" x14ac:dyDescent="0.35">
      <c r="A96" s="34" t="s">
        <v>6738</v>
      </c>
      <c r="B96" s="7">
        <f t="shared" si="4"/>
        <v>46086</v>
      </c>
      <c r="C96" s="7">
        <f t="shared" si="5"/>
        <v>46092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6" t="s">
        <v>1670</v>
      </c>
      <c r="M96" s="8">
        <v>179900</v>
      </c>
      <c r="N96" s="37">
        <v>0.9</v>
      </c>
      <c r="O96" s="36">
        <f t="shared" si="3"/>
        <v>17990</v>
      </c>
      <c r="P96" s="6" t="s">
        <v>16</v>
      </c>
    </row>
    <row r="97" spans="1:16" x14ac:dyDescent="0.35">
      <c r="A97" s="34" t="s">
        <v>6738</v>
      </c>
      <c r="B97" s="7">
        <f t="shared" si="4"/>
        <v>46086</v>
      </c>
      <c r="C97" s="7">
        <f t="shared" si="5"/>
        <v>46092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6" t="s">
        <v>1684</v>
      </c>
      <c r="M97" s="8">
        <v>189900</v>
      </c>
      <c r="N97" s="37">
        <v>0.9</v>
      </c>
      <c r="O97" s="36">
        <f t="shared" si="3"/>
        <v>18990</v>
      </c>
      <c r="P97" s="6" t="s">
        <v>16</v>
      </c>
    </row>
    <row r="98" spans="1:16" x14ac:dyDescent="0.35">
      <c r="A98" s="34" t="s">
        <v>6738</v>
      </c>
      <c r="B98" s="7">
        <f t="shared" si="4"/>
        <v>46086</v>
      </c>
      <c r="C98" s="7">
        <f t="shared" si="5"/>
        <v>46092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6" t="s">
        <v>1685</v>
      </c>
      <c r="M98" s="8">
        <v>189900</v>
      </c>
      <c r="N98" s="37">
        <v>0.9</v>
      </c>
      <c r="O98" s="36">
        <f t="shared" si="3"/>
        <v>18990</v>
      </c>
      <c r="P98" s="6" t="s">
        <v>16</v>
      </c>
    </row>
    <row r="99" spans="1:16" x14ac:dyDescent="0.35">
      <c r="A99" s="34" t="s">
        <v>6738</v>
      </c>
      <c r="B99" s="7">
        <f t="shared" si="4"/>
        <v>46086</v>
      </c>
      <c r="C99" s="7">
        <f t="shared" si="5"/>
        <v>46092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6" t="s">
        <v>1686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4512</v>
      </c>
      <c r="B2" s="7">
        <f>'2025 HILITE D80 - 3321'!B2</f>
        <v>46086</v>
      </c>
      <c r="C2" s="7">
        <f>'2025 HILITE D80 - 3321'!C2</f>
        <v>46092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6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4512</v>
      </c>
      <c r="B3" s="7">
        <f>B2</f>
        <v>46086</v>
      </c>
      <c r="C3" s="7">
        <f>C2</f>
        <v>46092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5669</v>
      </c>
      <c r="L3" s="6" t="s">
        <v>5670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4512</v>
      </c>
      <c r="B4" s="7">
        <f t="shared" ref="B4:B24" si="0">B3</f>
        <v>46086</v>
      </c>
      <c r="C4" s="7">
        <f t="shared" ref="C4:C24" si="1">C3</f>
        <v>46092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6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4512</v>
      </c>
      <c r="B5" s="7">
        <f t="shared" si="0"/>
        <v>46086</v>
      </c>
      <c r="C5" s="7">
        <f t="shared" si="1"/>
        <v>46092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6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4512</v>
      </c>
      <c r="B6" s="7">
        <f t="shared" si="0"/>
        <v>46086</v>
      </c>
      <c r="C6" s="7">
        <f t="shared" si="1"/>
        <v>46092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6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4512</v>
      </c>
      <c r="B7" s="7">
        <f t="shared" si="0"/>
        <v>46086</v>
      </c>
      <c r="C7" s="7">
        <f t="shared" si="1"/>
        <v>46092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6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4512</v>
      </c>
      <c r="B8" s="7">
        <f t="shared" si="0"/>
        <v>46086</v>
      </c>
      <c r="C8" s="7">
        <f t="shared" si="1"/>
        <v>46092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6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4512</v>
      </c>
      <c r="B9" s="7">
        <f t="shared" si="0"/>
        <v>46086</v>
      </c>
      <c r="C9" s="7">
        <f t="shared" si="1"/>
        <v>46092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5671</v>
      </c>
      <c r="L9" s="6" t="s">
        <v>5672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4512</v>
      </c>
      <c r="B10" s="7">
        <f t="shared" si="0"/>
        <v>46086</v>
      </c>
      <c r="C10" s="7">
        <f t="shared" si="1"/>
        <v>46092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5671</v>
      </c>
      <c r="L10" s="6" t="s">
        <v>5673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4512</v>
      </c>
      <c r="B11" s="7">
        <f t="shared" si="0"/>
        <v>46086</v>
      </c>
      <c r="C11" s="7">
        <f t="shared" si="1"/>
        <v>46092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5674</v>
      </c>
      <c r="L11" s="6" t="s">
        <v>5675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4512</v>
      </c>
      <c r="B12" s="7">
        <f t="shared" si="0"/>
        <v>46086</v>
      </c>
      <c r="C12" s="7">
        <f t="shared" si="1"/>
        <v>46092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6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4512</v>
      </c>
      <c r="B13" s="7">
        <f t="shared" si="0"/>
        <v>46086</v>
      </c>
      <c r="C13" s="7">
        <f t="shared" si="1"/>
        <v>46092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6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4512</v>
      </c>
      <c r="B14" s="7">
        <f t="shared" si="0"/>
        <v>46086</v>
      </c>
      <c r="C14" s="7">
        <f t="shared" si="1"/>
        <v>46092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6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4512</v>
      </c>
      <c r="B15" s="7">
        <f t="shared" si="0"/>
        <v>46086</v>
      </c>
      <c r="C15" s="7">
        <f t="shared" si="1"/>
        <v>46092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6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4512</v>
      </c>
      <c r="B16" s="7">
        <f t="shared" si="0"/>
        <v>46086</v>
      </c>
      <c r="C16" s="7">
        <f t="shared" si="1"/>
        <v>46092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6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4512</v>
      </c>
      <c r="B17" s="7">
        <f t="shared" si="0"/>
        <v>46086</v>
      </c>
      <c r="C17" s="7">
        <f t="shared" si="1"/>
        <v>46092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6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4512</v>
      </c>
      <c r="B18" s="7">
        <f t="shared" si="0"/>
        <v>46086</v>
      </c>
      <c r="C18" s="7">
        <f t="shared" si="1"/>
        <v>46092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6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4512</v>
      </c>
      <c r="B19" s="7">
        <f t="shared" si="0"/>
        <v>46086</v>
      </c>
      <c r="C19" s="7">
        <f t="shared" si="1"/>
        <v>46092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6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4512</v>
      </c>
      <c r="B20" s="7">
        <f t="shared" si="0"/>
        <v>46086</v>
      </c>
      <c r="C20" s="7">
        <f t="shared" si="1"/>
        <v>46092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6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4512</v>
      </c>
      <c r="B21" s="7">
        <f t="shared" si="0"/>
        <v>46086</v>
      </c>
      <c r="C21" s="7">
        <f t="shared" si="1"/>
        <v>46092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6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4512</v>
      </c>
      <c r="B22" s="7">
        <f t="shared" si="0"/>
        <v>46086</v>
      </c>
      <c r="C22" s="7">
        <f t="shared" si="1"/>
        <v>46092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6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4512</v>
      </c>
      <c r="B23" s="7">
        <f t="shared" si="0"/>
        <v>46086</v>
      </c>
      <c r="C23" s="7">
        <f t="shared" si="1"/>
        <v>46092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6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4512</v>
      </c>
      <c r="B24" s="7">
        <f t="shared" si="0"/>
        <v>46086</v>
      </c>
      <c r="C24" s="7">
        <f t="shared" si="1"/>
        <v>46092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6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144"/>
  <sheetViews>
    <sheetView zoomScale="80" zoomScaleNormal="80" workbookViewId="0">
      <pane ySplit="1" topLeftCell="A134" activePane="bottomLeft" state="frozen"/>
      <selection activeCell="N270" sqref="N270"/>
      <selection pane="bottomLeft" activeCell="L142" sqref="L142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46086</v>
      </c>
      <c r="C2" s="35">
        <f>'2025 HILITE D80 - 3321'!C3</f>
        <v>46092</v>
      </c>
      <c r="D2" s="34">
        <v>3284</v>
      </c>
      <c r="E2" s="34">
        <v>338</v>
      </c>
      <c r="F2" s="34">
        <v>4</v>
      </c>
      <c r="G2" s="25">
        <v>1</v>
      </c>
      <c r="H2" s="25">
        <v>81679</v>
      </c>
      <c r="I2" s="34" t="s">
        <v>2690</v>
      </c>
      <c r="J2" s="24">
        <v>63154898</v>
      </c>
      <c r="K2" s="24" t="s">
        <v>6506</v>
      </c>
      <c r="L2" s="24" t="s">
        <v>6486</v>
      </c>
      <c r="M2" s="26">
        <v>89900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46086</v>
      </c>
      <c r="C3" s="35">
        <f t="shared" ref="C3:C34" si="2">C2</f>
        <v>46092</v>
      </c>
      <c r="D3" s="34">
        <v>3284</v>
      </c>
      <c r="E3" s="34">
        <v>338</v>
      </c>
      <c r="F3" s="34">
        <v>4</v>
      </c>
      <c r="G3" s="25">
        <v>1</v>
      </c>
      <c r="H3" s="25">
        <v>81679</v>
      </c>
      <c r="I3" s="34" t="s">
        <v>2690</v>
      </c>
      <c r="J3" s="24">
        <v>63154905</v>
      </c>
      <c r="K3" s="24" t="s">
        <v>6506</v>
      </c>
      <c r="L3" s="24" t="s">
        <v>6487</v>
      </c>
      <c r="M3" s="26">
        <v>89900</v>
      </c>
      <c r="N3" s="34" t="s">
        <v>2569</v>
      </c>
      <c r="O3" s="36" t="str">
        <f t="shared" ref="O3:O34" si="3">O2</f>
        <v>B3 DISC 10%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46086</v>
      </c>
      <c r="C4" s="35">
        <f t="shared" si="2"/>
        <v>46092</v>
      </c>
      <c r="D4" s="34">
        <v>3284</v>
      </c>
      <c r="E4" s="34">
        <v>338</v>
      </c>
      <c r="F4" s="34">
        <v>4</v>
      </c>
      <c r="G4" s="25">
        <v>1</v>
      </c>
      <c r="H4" s="25">
        <v>81679</v>
      </c>
      <c r="I4" s="34" t="s">
        <v>2690</v>
      </c>
      <c r="J4" s="24">
        <v>63154914</v>
      </c>
      <c r="K4" s="24" t="s">
        <v>6506</v>
      </c>
      <c r="L4" s="24" t="s">
        <v>6488</v>
      </c>
      <c r="M4" s="26">
        <v>89900</v>
      </c>
      <c r="N4" s="34" t="s">
        <v>2569</v>
      </c>
      <c r="O4" s="36" t="str">
        <f t="shared" si="3"/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46086</v>
      </c>
      <c r="C5" s="35">
        <f t="shared" si="2"/>
        <v>46092</v>
      </c>
      <c r="D5" s="34">
        <v>3284</v>
      </c>
      <c r="E5" s="34">
        <v>338</v>
      </c>
      <c r="F5" s="34">
        <v>4</v>
      </c>
      <c r="G5" s="25">
        <v>1</v>
      </c>
      <c r="H5" s="25">
        <v>81679</v>
      </c>
      <c r="I5" s="34" t="s">
        <v>2690</v>
      </c>
      <c r="J5" s="24">
        <v>63154923</v>
      </c>
      <c r="K5" s="24" t="s">
        <v>6506</v>
      </c>
      <c r="L5" s="24" t="s">
        <v>6489</v>
      </c>
      <c r="M5" s="26">
        <v>89900</v>
      </c>
      <c r="N5" s="34" t="s">
        <v>2569</v>
      </c>
      <c r="O5" s="36" t="str">
        <f t="shared" si="3"/>
        <v>B3 DISC 10%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46086</v>
      </c>
      <c r="C6" s="35">
        <f t="shared" si="2"/>
        <v>46092</v>
      </c>
      <c r="D6" s="34">
        <v>3284</v>
      </c>
      <c r="E6" s="34">
        <v>338</v>
      </c>
      <c r="F6" s="34">
        <v>4</v>
      </c>
      <c r="G6" s="25">
        <v>2</v>
      </c>
      <c r="H6" s="25">
        <v>81679</v>
      </c>
      <c r="I6" s="34" t="s">
        <v>2690</v>
      </c>
      <c r="J6" s="24">
        <v>61920705</v>
      </c>
      <c r="K6" s="24" t="s">
        <v>6672</v>
      </c>
      <c r="L6" s="24" t="s">
        <v>6695</v>
      </c>
      <c r="M6" s="26">
        <v>179900</v>
      </c>
      <c r="N6" s="34" t="s">
        <v>2569</v>
      </c>
      <c r="O6" s="36" t="str">
        <f t="shared" si="3"/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46086</v>
      </c>
      <c r="C7" s="35">
        <f t="shared" si="2"/>
        <v>46092</v>
      </c>
      <c r="D7" s="34">
        <v>3284</v>
      </c>
      <c r="E7" s="34">
        <v>338</v>
      </c>
      <c r="F7" s="34">
        <v>4</v>
      </c>
      <c r="G7" s="25">
        <v>2</v>
      </c>
      <c r="H7" s="25">
        <v>81679</v>
      </c>
      <c r="I7" s="34" t="s">
        <v>2690</v>
      </c>
      <c r="J7" s="24">
        <v>61920714</v>
      </c>
      <c r="K7" s="24" t="s">
        <v>6672</v>
      </c>
      <c r="L7" s="24" t="s">
        <v>6696</v>
      </c>
      <c r="M7" s="26">
        <v>179900</v>
      </c>
      <c r="N7" s="34" t="s">
        <v>2569</v>
      </c>
      <c r="O7" s="36" t="str">
        <f t="shared" si="3"/>
        <v>B3 DISC 10%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46086</v>
      </c>
      <c r="C8" s="35">
        <f t="shared" si="2"/>
        <v>46092</v>
      </c>
      <c r="D8" s="34">
        <v>3284</v>
      </c>
      <c r="E8" s="34">
        <v>338</v>
      </c>
      <c r="F8" s="34">
        <v>4</v>
      </c>
      <c r="G8" s="25">
        <v>2</v>
      </c>
      <c r="H8" s="25">
        <v>81679</v>
      </c>
      <c r="I8" s="34" t="s">
        <v>2690</v>
      </c>
      <c r="J8" s="24">
        <v>61920723</v>
      </c>
      <c r="K8" s="24" t="s">
        <v>6672</v>
      </c>
      <c r="L8" s="24" t="s">
        <v>6697</v>
      </c>
      <c r="M8" s="26">
        <v>179900</v>
      </c>
      <c r="N8" s="34" t="s">
        <v>2569</v>
      </c>
      <c r="O8" s="36" t="str">
        <f t="shared" si="3"/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46086</v>
      </c>
      <c r="C9" s="35">
        <f t="shared" si="2"/>
        <v>46092</v>
      </c>
      <c r="D9" s="34">
        <v>3284</v>
      </c>
      <c r="E9" s="34">
        <v>338</v>
      </c>
      <c r="F9" s="34">
        <v>4</v>
      </c>
      <c r="G9" s="25">
        <v>2</v>
      </c>
      <c r="H9" s="25">
        <v>81679</v>
      </c>
      <c r="I9" s="34" t="s">
        <v>2690</v>
      </c>
      <c r="J9" s="24">
        <v>61920732</v>
      </c>
      <c r="K9" s="24" t="s">
        <v>6672</v>
      </c>
      <c r="L9" s="24" t="s">
        <v>6698</v>
      </c>
      <c r="M9" s="26">
        <v>179900</v>
      </c>
      <c r="N9" s="34" t="s">
        <v>2569</v>
      </c>
      <c r="O9" s="36" t="str">
        <f t="shared" si="3"/>
        <v>B3 DISC 10%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46086</v>
      </c>
      <c r="C10" s="35">
        <f t="shared" si="2"/>
        <v>46092</v>
      </c>
      <c r="D10" s="34">
        <v>3284</v>
      </c>
      <c r="E10" s="34">
        <v>338</v>
      </c>
      <c r="F10" s="34">
        <v>4</v>
      </c>
      <c r="G10" s="25">
        <v>2</v>
      </c>
      <c r="H10" s="25">
        <v>81679</v>
      </c>
      <c r="I10" s="34" t="s">
        <v>2690</v>
      </c>
      <c r="J10" s="24">
        <v>61920741</v>
      </c>
      <c r="K10" s="24" t="s">
        <v>6672</v>
      </c>
      <c r="L10" s="24" t="s">
        <v>6699</v>
      </c>
      <c r="M10" s="26">
        <v>179900</v>
      </c>
      <c r="N10" s="34" t="s">
        <v>2569</v>
      </c>
      <c r="O10" s="36" t="str">
        <f t="shared" si="3"/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46086</v>
      </c>
      <c r="C11" s="35">
        <f t="shared" si="2"/>
        <v>46092</v>
      </c>
      <c r="D11" s="34">
        <v>3284</v>
      </c>
      <c r="E11" s="34">
        <v>338</v>
      </c>
      <c r="F11" s="34">
        <v>4</v>
      </c>
      <c r="G11" s="25">
        <v>2</v>
      </c>
      <c r="H11" s="25">
        <v>81679</v>
      </c>
      <c r="I11" s="34" t="s">
        <v>2690</v>
      </c>
      <c r="J11" s="24">
        <v>61920750</v>
      </c>
      <c r="K11" s="24" t="s">
        <v>6672</v>
      </c>
      <c r="L11" s="24" t="s">
        <v>6700</v>
      </c>
      <c r="M11" s="26">
        <v>179900</v>
      </c>
      <c r="N11" s="34" t="s">
        <v>2569</v>
      </c>
      <c r="O11" s="36" t="str">
        <f t="shared" si="3"/>
        <v>B3 DISC 10%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46086</v>
      </c>
      <c r="C12" s="35">
        <f t="shared" si="2"/>
        <v>46092</v>
      </c>
      <c r="D12" s="34">
        <v>3284</v>
      </c>
      <c r="E12" s="34">
        <v>338</v>
      </c>
      <c r="F12" s="34">
        <v>4</v>
      </c>
      <c r="G12" s="25">
        <v>2</v>
      </c>
      <c r="H12" s="25">
        <v>81679</v>
      </c>
      <c r="I12" s="34" t="s">
        <v>2690</v>
      </c>
      <c r="J12" s="24">
        <v>61920769</v>
      </c>
      <c r="K12" s="24" t="s">
        <v>6672</v>
      </c>
      <c r="L12" s="24" t="s">
        <v>6701</v>
      </c>
      <c r="M12" s="26">
        <v>179900</v>
      </c>
      <c r="N12" s="34" t="s">
        <v>2569</v>
      </c>
      <c r="O12" s="36" t="str">
        <f t="shared" si="3"/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46086</v>
      </c>
      <c r="C13" s="35">
        <f t="shared" si="2"/>
        <v>46092</v>
      </c>
      <c r="D13" s="34">
        <v>3284</v>
      </c>
      <c r="E13" s="34">
        <v>338</v>
      </c>
      <c r="F13" s="34">
        <v>4</v>
      </c>
      <c r="G13" s="25">
        <v>2</v>
      </c>
      <c r="H13" s="25">
        <v>81679</v>
      </c>
      <c r="I13" s="34" t="s">
        <v>2690</v>
      </c>
      <c r="J13" s="24">
        <v>61920778</v>
      </c>
      <c r="K13" s="24" t="s">
        <v>6672</v>
      </c>
      <c r="L13" s="24" t="s">
        <v>6702</v>
      </c>
      <c r="M13" s="26">
        <v>179900</v>
      </c>
      <c r="N13" s="34" t="s">
        <v>2569</v>
      </c>
      <c r="O13" s="36" t="str">
        <f t="shared" si="3"/>
        <v>B3 DISC 10%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46086</v>
      </c>
      <c r="C14" s="35">
        <f t="shared" si="2"/>
        <v>46092</v>
      </c>
      <c r="D14" s="34">
        <v>3284</v>
      </c>
      <c r="E14" s="34">
        <v>338</v>
      </c>
      <c r="F14" s="34">
        <v>4</v>
      </c>
      <c r="G14" s="25">
        <v>3</v>
      </c>
      <c r="H14" s="25">
        <v>81679</v>
      </c>
      <c r="I14" s="34" t="s">
        <v>2690</v>
      </c>
      <c r="J14" s="24">
        <v>61972276</v>
      </c>
      <c r="K14" s="24" t="s">
        <v>6507</v>
      </c>
      <c r="L14" s="24" t="s">
        <v>6490</v>
      </c>
      <c r="M14" s="26">
        <v>99900</v>
      </c>
      <c r="N14" s="34" t="s">
        <v>2569</v>
      </c>
      <c r="O14" s="36" t="str">
        <f t="shared" si="3"/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46086</v>
      </c>
      <c r="C15" s="35">
        <f t="shared" si="2"/>
        <v>46092</v>
      </c>
      <c r="D15" s="34">
        <v>3284</v>
      </c>
      <c r="E15" s="34">
        <v>338</v>
      </c>
      <c r="F15" s="34">
        <v>4</v>
      </c>
      <c r="G15" s="25">
        <v>3</v>
      </c>
      <c r="H15" s="25">
        <v>81679</v>
      </c>
      <c r="I15" s="34" t="s">
        <v>2690</v>
      </c>
      <c r="J15" s="24">
        <v>61972285</v>
      </c>
      <c r="K15" s="24" t="s">
        <v>6507</v>
      </c>
      <c r="L15" s="24" t="s">
        <v>6491</v>
      </c>
      <c r="M15" s="26">
        <v>99900</v>
      </c>
      <c r="N15" s="34" t="s">
        <v>2569</v>
      </c>
      <c r="O15" s="36" t="str">
        <f t="shared" si="3"/>
        <v>B3 DISC 10%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46086</v>
      </c>
      <c r="C16" s="35">
        <f t="shared" si="2"/>
        <v>46092</v>
      </c>
      <c r="D16" s="34">
        <v>3284</v>
      </c>
      <c r="E16" s="34">
        <v>338</v>
      </c>
      <c r="F16" s="34">
        <v>4</v>
      </c>
      <c r="G16" s="25">
        <v>3</v>
      </c>
      <c r="H16" s="25">
        <v>81679</v>
      </c>
      <c r="I16" s="34" t="s">
        <v>2690</v>
      </c>
      <c r="J16" s="24">
        <v>61972294</v>
      </c>
      <c r="K16" s="24" t="s">
        <v>6507</v>
      </c>
      <c r="L16" s="24" t="s">
        <v>6492</v>
      </c>
      <c r="M16" s="26">
        <v>99900</v>
      </c>
      <c r="N16" s="34" t="s">
        <v>2569</v>
      </c>
      <c r="O16" s="36" t="str">
        <f t="shared" si="3"/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46086</v>
      </c>
      <c r="C17" s="35">
        <f t="shared" si="2"/>
        <v>46092</v>
      </c>
      <c r="D17" s="34">
        <v>3284</v>
      </c>
      <c r="E17" s="34">
        <v>338</v>
      </c>
      <c r="F17" s="34">
        <v>4</v>
      </c>
      <c r="G17" s="25">
        <v>3</v>
      </c>
      <c r="H17" s="25">
        <v>81679</v>
      </c>
      <c r="I17" s="34" t="s">
        <v>2690</v>
      </c>
      <c r="J17" s="24">
        <v>61972301</v>
      </c>
      <c r="K17" s="24" t="s">
        <v>6507</v>
      </c>
      <c r="L17" s="24" t="s">
        <v>6493</v>
      </c>
      <c r="M17" s="26">
        <v>99900</v>
      </c>
      <c r="N17" s="34" t="s">
        <v>2569</v>
      </c>
      <c r="O17" s="36" t="str">
        <f t="shared" si="3"/>
        <v>B3 DISC 10%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46086</v>
      </c>
      <c r="C18" s="35">
        <f t="shared" si="2"/>
        <v>46092</v>
      </c>
      <c r="D18" s="34">
        <v>3284</v>
      </c>
      <c r="E18" s="34">
        <v>338</v>
      </c>
      <c r="F18" s="34">
        <v>4</v>
      </c>
      <c r="G18" s="25">
        <v>3</v>
      </c>
      <c r="H18" s="25">
        <v>81679</v>
      </c>
      <c r="I18" s="34" t="s">
        <v>2690</v>
      </c>
      <c r="J18" s="24">
        <v>61972310</v>
      </c>
      <c r="K18" s="24" t="s">
        <v>6508</v>
      </c>
      <c r="L18" s="24" t="s">
        <v>6494</v>
      </c>
      <c r="M18" s="26">
        <v>89900</v>
      </c>
      <c r="N18" s="34" t="s">
        <v>2569</v>
      </c>
      <c r="O18" s="36" t="str">
        <f t="shared" si="3"/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46086</v>
      </c>
      <c r="C19" s="35">
        <f t="shared" si="2"/>
        <v>46092</v>
      </c>
      <c r="D19" s="34">
        <v>3284</v>
      </c>
      <c r="E19" s="34">
        <v>338</v>
      </c>
      <c r="F19" s="34">
        <v>4</v>
      </c>
      <c r="G19" s="25">
        <v>3</v>
      </c>
      <c r="H19" s="25">
        <v>81679</v>
      </c>
      <c r="I19" s="34" t="s">
        <v>2690</v>
      </c>
      <c r="J19" s="24">
        <v>61972329</v>
      </c>
      <c r="K19" s="24" t="s">
        <v>6508</v>
      </c>
      <c r="L19" s="24" t="s">
        <v>6495</v>
      </c>
      <c r="M19" s="26">
        <v>89900</v>
      </c>
      <c r="N19" s="34" t="s">
        <v>2569</v>
      </c>
      <c r="O19" s="36" t="str">
        <f t="shared" si="3"/>
        <v>B3 DISC 10%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46086</v>
      </c>
      <c r="C20" s="35">
        <f t="shared" si="2"/>
        <v>46092</v>
      </c>
      <c r="D20" s="34">
        <v>3284</v>
      </c>
      <c r="E20" s="34">
        <v>338</v>
      </c>
      <c r="F20" s="34">
        <v>4</v>
      </c>
      <c r="G20" s="25">
        <v>3</v>
      </c>
      <c r="H20" s="25">
        <v>81679</v>
      </c>
      <c r="I20" s="34" t="s">
        <v>2690</v>
      </c>
      <c r="J20" s="24">
        <v>61972338</v>
      </c>
      <c r="K20" s="24" t="s">
        <v>6508</v>
      </c>
      <c r="L20" s="24" t="s">
        <v>6496</v>
      </c>
      <c r="M20" s="26">
        <v>89900</v>
      </c>
      <c r="N20" s="34" t="s">
        <v>2569</v>
      </c>
      <c r="O20" s="36" t="str">
        <f t="shared" si="3"/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46086</v>
      </c>
      <c r="C21" s="35">
        <f t="shared" si="2"/>
        <v>46092</v>
      </c>
      <c r="D21" s="34">
        <v>3284</v>
      </c>
      <c r="E21" s="34">
        <v>338</v>
      </c>
      <c r="F21" s="34">
        <v>4</v>
      </c>
      <c r="G21" s="25">
        <v>3</v>
      </c>
      <c r="H21" s="25">
        <v>81679</v>
      </c>
      <c r="I21" s="34" t="s">
        <v>2690</v>
      </c>
      <c r="J21" s="24">
        <v>61972347</v>
      </c>
      <c r="K21" s="24" t="s">
        <v>6508</v>
      </c>
      <c r="L21" s="24" t="s">
        <v>6497</v>
      </c>
      <c r="M21" s="26">
        <v>89900</v>
      </c>
      <c r="N21" s="34" t="s">
        <v>2569</v>
      </c>
      <c r="O21" s="36" t="str">
        <f t="shared" si="3"/>
        <v>B3 DISC 10%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46086</v>
      </c>
      <c r="C22" s="35">
        <f t="shared" si="2"/>
        <v>46092</v>
      </c>
      <c r="D22" s="34">
        <v>3284</v>
      </c>
      <c r="E22" s="34">
        <v>338</v>
      </c>
      <c r="F22" s="34">
        <v>4</v>
      </c>
      <c r="G22" s="25">
        <v>3</v>
      </c>
      <c r="H22" s="25">
        <v>81679</v>
      </c>
      <c r="I22" s="34" t="s">
        <v>2690</v>
      </c>
      <c r="J22" s="24">
        <v>63154932</v>
      </c>
      <c r="K22" s="24" t="s">
        <v>6509</v>
      </c>
      <c r="L22" s="24" t="s">
        <v>6498</v>
      </c>
      <c r="M22" s="26">
        <v>89900</v>
      </c>
      <c r="N22" s="34" t="s">
        <v>2569</v>
      </c>
      <c r="O22" s="36" t="str">
        <f t="shared" si="3"/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46086</v>
      </c>
      <c r="C23" s="35">
        <f t="shared" si="2"/>
        <v>46092</v>
      </c>
      <c r="D23" s="34">
        <v>3284</v>
      </c>
      <c r="E23" s="34">
        <v>338</v>
      </c>
      <c r="F23" s="34">
        <v>4</v>
      </c>
      <c r="G23" s="25">
        <v>3</v>
      </c>
      <c r="H23" s="25">
        <v>81679</v>
      </c>
      <c r="I23" s="34" t="s">
        <v>2690</v>
      </c>
      <c r="J23" s="24">
        <v>63154941</v>
      </c>
      <c r="K23" s="24" t="s">
        <v>6509</v>
      </c>
      <c r="L23" s="24" t="s">
        <v>6499</v>
      </c>
      <c r="M23" s="26">
        <v>89900</v>
      </c>
      <c r="N23" s="34" t="s">
        <v>2569</v>
      </c>
      <c r="O23" s="36" t="str">
        <f t="shared" si="3"/>
        <v>B3 DISC 10%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46086</v>
      </c>
      <c r="C24" s="35">
        <f t="shared" si="2"/>
        <v>46092</v>
      </c>
      <c r="D24" s="34">
        <v>3284</v>
      </c>
      <c r="E24" s="34">
        <v>338</v>
      </c>
      <c r="F24" s="34">
        <v>4</v>
      </c>
      <c r="G24" s="25">
        <v>3</v>
      </c>
      <c r="H24" s="25">
        <v>81679</v>
      </c>
      <c r="I24" s="34" t="s">
        <v>2690</v>
      </c>
      <c r="J24" s="24">
        <v>63154950</v>
      </c>
      <c r="K24" s="24" t="s">
        <v>6509</v>
      </c>
      <c r="L24" s="24" t="s">
        <v>6500</v>
      </c>
      <c r="M24" s="26">
        <v>89900</v>
      </c>
      <c r="N24" s="34" t="s">
        <v>2569</v>
      </c>
      <c r="O24" s="36" t="str">
        <f t="shared" si="3"/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46086</v>
      </c>
      <c r="C25" s="35">
        <f t="shared" si="2"/>
        <v>46092</v>
      </c>
      <c r="D25" s="34">
        <v>3284</v>
      </c>
      <c r="E25" s="34">
        <v>338</v>
      </c>
      <c r="F25" s="34">
        <v>4</v>
      </c>
      <c r="G25" s="25">
        <v>3</v>
      </c>
      <c r="H25" s="25">
        <v>81679</v>
      </c>
      <c r="I25" s="34" t="s">
        <v>2690</v>
      </c>
      <c r="J25" s="24">
        <v>63154969</v>
      </c>
      <c r="K25" s="24" t="s">
        <v>6509</v>
      </c>
      <c r="L25" s="24" t="s">
        <v>6501</v>
      </c>
      <c r="M25" s="26">
        <v>89900</v>
      </c>
      <c r="N25" s="34" t="s">
        <v>2569</v>
      </c>
      <c r="O25" s="36" t="str">
        <f t="shared" si="3"/>
        <v>B3 DISC 10%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46086</v>
      </c>
      <c r="C26" s="35">
        <f t="shared" si="2"/>
        <v>46092</v>
      </c>
      <c r="D26" s="34">
        <v>3284</v>
      </c>
      <c r="E26" s="34">
        <v>338</v>
      </c>
      <c r="F26" s="34">
        <v>4</v>
      </c>
      <c r="G26" s="25">
        <v>3</v>
      </c>
      <c r="H26" s="25">
        <v>81462</v>
      </c>
      <c r="I26" s="34" t="s">
        <v>2690</v>
      </c>
      <c r="J26" s="24">
        <v>63150463</v>
      </c>
      <c r="K26" s="24" t="s">
        <v>6673</v>
      </c>
      <c r="L26" s="24" t="s">
        <v>6703</v>
      </c>
      <c r="M26" s="26">
        <v>89900</v>
      </c>
      <c r="N26" s="34" t="s">
        <v>2569</v>
      </c>
      <c r="O26" s="36" t="str">
        <f t="shared" si="3"/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46086</v>
      </c>
      <c r="C27" s="35">
        <f t="shared" si="2"/>
        <v>46092</v>
      </c>
      <c r="D27" s="34">
        <v>3284</v>
      </c>
      <c r="E27" s="34">
        <v>338</v>
      </c>
      <c r="F27" s="34">
        <v>4</v>
      </c>
      <c r="G27" s="25">
        <v>3</v>
      </c>
      <c r="H27" s="25">
        <v>81462</v>
      </c>
      <c r="I27" s="34" t="s">
        <v>2690</v>
      </c>
      <c r="J27" s="24">
        <v>63150472</v>
      </c>
      <c r="K27" s="24" t="s">
        <v>6673</v>
      </c>
      <c r="L27" s="24" t="s">
        <v>6704</v>
      </c>
      <c r="M27" s="26">
        <v>89900</v>
      </c>
      <c r="N27" s="34" t="s">
        <v>2569</v>
      </c>
      <c r="O27" s="36" t="str">
        <f t="shared" si="3"/>
        <v>B3 DISC 10%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46086</v>
      </c>
      <c r="C28" s="35">
        <f t="shared" si="2"/>
        <v>46092</v>
      </c>
      <c r="D28" s="34">
        <v>3284</v>
      </c>
      <c r="E28" s="34">
        <v>338</v>
      </c>
      <c r="F28" s="34">
        <v>4</v>
      </c>
      <c r="G28" s="25">
        <v>3</v>
      </c>
      <c r="H28" s="25">
        <v>81462</v>
      </c>
      <c r="I28" s="34" t="s">
        <v>2690</v>
      </c>
      <c r="J28" s="24">
        <v>63150481</v>
      </c>
      <c r="K28" s="24" t="s">
        <v>6673</v>
      </c>
      <c r="L28" s="24" t="s">
        <v>6705</v>
      </c>
      <c r="M28" s="26">
        <v>89900</v>
      </c>
      <c r="N28" s="34" t="s">
        <v>2569</v>
      </c>
      <c r="O28" s="36" t="str">
        <f t="shared" si="3"/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46086</v>
      </c>
      <c r="C29" s="35">
        <f t="shared" si="2"/>
        <v>46092</v>
      </c>
      <c r="D29" s="34">
        <v>3284</v>
      </c>
      <c r="E29" s="34">
        <v>338</v>
      </c>
      <c r="F29" s="34">
        <v>4</v>
      </c>
      <c r="G29" s="25">
        <v>3</v>
      </c>
      <c r="H29" s="25">
        <v>81462</v>
      </c>
      <c r="I29" s="34" t="s">
        <v>2690</v>
      </c>
      <c r="J29" s="24">
        <v>63150490</v>
      </c>
      <c r="K29" s="24" t="s">
        <v>6673</v>
      </c>
      <c r="L29" s="24" t="s">
        <v>6706</v>
      </c>
      <c r="M29" s="26">
        <v>89900</v>
      </c>
      <c r="N29" s="34" t="s">
        <v>2569</v>
      </c>
      <c r="O29" s="36" t="str">
        <f t="shared" si="3"/>
        <v>B3 DISC 10%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46086</v>
      </c>
      <c r="C30" s="35">
        <f t="shared" si="2"/>
        <v>46092</v>
      </c>
      <c r="D30" s="34">
        <v>3284</v>
      </c>
      <c r="E30" s="34">
        <v>338</v>
      </c>
      <c r="F30" s="34">
        <v>4</v>
      </c>
      <c r="G30" s="25">
        <v>7</v>
      </c>
      <c r="H30" s="25">
        <v>81827</v>
      </c>
      <c r="I30" s="34" t="s">
        <v>2690</v>
      </c>
      <c r="J30" s="24">
        <v>61972534</v>
      </c>
      <c r="K30" s="24" t="s">
        <v>6669</v>
      </c>
      <c r="L30" s="24" t="s">
        <v>6687</v>
      </c>
      <c r="M30" s="26">
        <v>35900</v>
      </c>
      <c r="N30" s="34" t="s">
        <v>2569</v>
      </c>
      <c r="O30" s="36" t="str">
        <f t="shared" si="3"/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46086</v>
      </c>
      <c r="C31" s="35">
        <f t="shared" si="2"/>
        <v>46092</v>
      </c>
      <c r="D31" s="34">
        <v>3284</v>
      </c>
      <c r="E31" s="34">
        <v>338</v>
      </c>
      <c r="F31" s="34">
        <v>4</v>
      </c>
      <c r="G31" s="25">
        <v>7</v>
      </c>
      <c r="H31" s="25">
        <v>81827</v>
      </c>
      <c r="I31" s="34" t="s">
        <v>2690</v>
      </c>
      <c r="J31" s="24">
        <v>61972543</v>
      </c>
      <c r="K31" s="24" t="s">
        <v>6669</v>
      </c>
      <c r="L31" s="24" t="s">
        <v>6688</v>
      </c>
      <c r="M31" s="26">
        <v>35900</v>
      </c>
      <c r="N31" s="34" t="s">
        <v>2569</v>
      </c>
      <c r="O31" s="36" t="str">
        <f t="shared" si="3"/>
        <v>B3 DISC 10%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46086</v>
      </c>
      <c r="C32" s="35">
        <f t="shared" si="2"/>
        <v>46092</v>
      </c>
      <c r="D32" s="34">
        <v>3284</v>
      </c>
      <c r="E32" s="34">
        <v>338</v>
      </c>
      <c r="F32" s="34">
        <v>4</v>
      </c>
      <c r="G32" s="25">
        <v>7</v>
      </c>
      <c r="H32" s="25">
        <v>81827</v>
      </c>
      <c r="I32" s="34" t="s">
        <v>2690</v>
      </c>
      <c r="J32" s="24">
        <v>61972383</v>
      </c>
      <c r="K32" s="24" t="s">
        <v>6670</v>
      </c>
      <c r="L32" s="24" t="s">
        <v>6689</v>
      </c>
      <c r="M32" s="26">
        <v>29900</v>
      </c>
      <c r="N32" s="34" t="s">
        <v>2569</v>
      </c>
      <c r="O32" s="36" t="str">
        <f t="shared" si="3"/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46086</v>
      </c>
      <c r="C33" s="35">
        <f t="shared" si="2"/>
        <v>46092</v>
      </c>
      <c r="D33" s="34">
        <v>3284</v>
      </c>
      <c r="E33" s="34">
        <v>338</v>
      </c>
      <c r="F33" s="34">
        <v>4</v>
      </c>
      <c r="G33" s="25">
        <v>7</v>
      </c>
      <c r="H33" s="25">
        <v>81827</v>
      </c>
      <c r="I33" s="34" t="s">
        <v>2690</v>
      </c>
      <c r="J33" s="24">
        <v>61972392</v>
      </c>
      <c r="K33" s="24" t="s">
        <v>6670</v>
      </c>
      <c r="L33" s="24" t="s">
        <v>6690</v>
      </c>
      <c r="M33" s="26">
        <v>29900</v>
      </c>
      <c r="N33" s="34" t="s">
        <v>2569</v>
      </c>
      <c r="O33" s="36" t="str">
        <f t="shared" si="3"/>
        <v>B3 DISC 10%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46086</v>
      </c>
      <c r="C34" s="35">
        <f t="shared" si="2"/>
        <v>46092</v>
      </c>
      <c r="D34" s="34">
        <v>3284</v>
      </c>
      <c r="E34" s="34">
        <v>338</v>
      </c>
      <c r="F34" s="34">
        <v>4</v>
      </c>
      <c r="G34" s="25">
        <v>7</v>
      </c>
      <c r="H34" s="25">
        <v>81827</v>
      </c>
      <c r="I34" s="34" t="s">
        <v>2690</v>
      </c>
      <c r="J34" s="24">
        <v>61972409</v>
      </c>
      <c r="K34" s="24" t="s">
        <v>6670</v>
      </c>
      <c r="L34" s="24" t="s">
        <v>6691</v>
      </c>
      <c r="M34" s="26">
        <v>29900</v>
      </c>
      <c r="N34" s="34" t="s">
        <v>2569</v>
      </c>
      <c r="O34" s="36" t="str">
        <f t="shared" si="3"/>
        <v>B3 DISC 10%</v>
      </c>
      <c r="P34" s="34" t="s">
        <v>2569</v>
      </c>
    </row>
    <row r="35" spans="1:16" x14ac:dyDescent="0.35">
      <c r="A35" s="34" t="str">
        <f t="shared" ref="A35:A66" si="4">A34</f>
        <v>2026 NOV-FEB B3 DISC 10%</v>
      </c>
      <c r="B35" s="35">
        <f t="shared" ref="B35:B66" si="5">B34</f>
        <v>46086</v>
      </c>
      <c r="C35" s="35">
        <f t="shared" ref="C35:C66" si="6">C34</f>
        <v>46092</v>
      </c>
      <c r="D35" s="34">
        <v>3284</v>
      </c>
      <c r="E35" s="34">
        <v>338</v>
      </c>
      <c r="F35" s="34">
        <v>4</v>
      </c>
      <c r="G35" s="25">
        <v>7</v>
      </c>
      <c r="H35" s="25">
        <v>81827</v>
      </c>
      <c r="I35" s="34" t="s">
        <v>2690</v>
      </c>
      <c r="J35" s="24">
        <v>61972356</v>
      </c>
      <c r="K35" s="24" t="s">
        <v>6671</v>
      </c>
      <c r="L35" s="24" t="s">
        <v>6692</v>
      </c>
      <c r="M35" s="26">
        <v>29900</v>
      </c>
      <c r="N35" s="34" t="s">
        <v>2569</v>
      </c>
      <c r="O35" s="36" t="str">
        <f t="shared" ref="O35:O66" si="7">O34</f>
        <v>B3 DISC 10%</v>
      </c>
      <c r="P35" s="34" t="s">
        <v>2569</v>
      </c>
    </row>
    <row r="36" spans="1:16" x14ac:dyDescent="0.35">
      <c r="A36" s="34" t="str">
        <f t="shared" si="4"/>
        <v>2026 NOV-FEB B3 DISC 10%</v>
      </c>
      <c r="B36" s="35">
        <f t="shared" si="5"/>
        <v>46086</v>
      </c>
      <c r="C36" s="35">
        <f t="shared" si="6"/>
        <v>46092</v>
      </c>
      <c r="D36" s="34">
        <v>3284</v>
      </c>
      <c r="E36" s="34">
        <v>338</v>
      </c>
      <c r="F36" s="34">
        <v>4</v>
      </c>
      <c r="G36" s="25">
        <v>7</v>
      </c>
      <c r="H36" s="25">
        <v>81827</v>
      </c>
      <c r="I36" s="34" t="s">
        <v>2690</v>
      </c>
      <c r="J36" s="24">
        <v>61972365</v>
      </c>
      <c r="K36" s="24" t="s">
        <v>6671</v>
      </c>
      <c r="L36" s="24" t="s">
        <v>6693</v>
      </c>
      <c r="M36" s="26">
        <v>29900</v>
      </c>
      <c r="N36" s="34" t="s">
        <v>2569</v>
      </c>
      <c r="O36" s="36" t="str">
        <f t="shared" si="7"/>
        <v>B3 DISC 10%</v>
      </c>
      <c r="P36" s="34" t="s">
        <v>2569</v>
      </c>
    </row>
    <row r="37" spans="1:16" x14ac:dyDescent="0.35">
      <c r="A37" s="34" t="str">
        <f t="shared" si="4"/>
        <v>2026 NOV-FEB B3 DISC 10%</v>
      </c>
      <c r="B37" s="35">
        <f t="shared" si="5"/>
        <v>46086</v>
      </c>
      <c r="C37" s="35">
        <f t="shared" si="6"/>
        <v>46092</v>
      </c>
      <c r="D37" s="34">
        <v>3284</v>
      </c>
      <c r="E37" s="34">
        <v>338</v>
      </c>
      <c r="F37" s="34">
        <v>4</v>
      </c>
      <c r="G37" s="25">
        <v>7</v>
      </c>
      <c r="H37" s="25">
        <v>81827</v>
      </c>
      <c r="I37" s="34" t="s">
        <v>2690</v>
      </c>
      <c r="J37" s="24">
        <v>61972374</v>
      </c>
      <c r="K37" s="24" t="s">
        <v>6671</v>
      </c>
      <c r="L37" s="24" t="s">
        <v>6694</v>
      </c>
      <c r="M37" s="26">
        <v>29900</v>
      </c>
      <c r="N37" s="34" t="s">
        <v>2569</v>
      </c>
      <c r="O37" s="36" t="str">
        <f t="shared" si="7"/>
        <v>B3 DISC 10%</v>
      </c>
      <c r="P37" s="34" t="s">
        <v>2569</v>
      </c>
    </row>
    <row r="38" spans="1:16" x14ac:dyDescent="0.35">
      <c r="A38" s="34" t="str">
        <f t="shared" si="4"/>
        <v>2026 NOV-FEB B3 DISC 10%</v>
      </c>
      <c r="B38" s="35">
        <f t="shared" si="5"/>
        <v>46086</v>
      </c>
      <c r="C38" s="35">
        <f t="shared" si="6"/>
        <v>46092</v>
      </c>
      <c r="D38" s="34">
        <v>3284</v>
      </c>
      <c r="E38" s="34">
        <v>338</v>
      </c>
      <c r="F38" s="34">
        <v>4</v>
      </c>
      <c r="G38" s="25">
        <v>8</v>
      </c>
      <c r="H38" s="25">
        <v>81679</v>
      </c>
      <c r="I38" s="34" t="s">
        <v>2690</v>
      </c>
      <c r="J38" s="24">
        <v>63154852</v>
      </c>
      <c r="K38" s="24" t="s">
        <v>6510</v>
      </c>
      <c r="L38" s="24" t="s">
        <v>6502</v>
      </c>
      <c r="M38" s="26">
        <v>89900</v>
      </c>
      <c r="N38" s="34" t="s">
        <v>2569</v>
      </c>
      <c r="O38" s="36" t="str">
        <f t="shared" si="7"/>
        <v>B3 DISC 10%</v>
      </c>
      <c r="P38" s="34" t="s">
        <v>2569</v>
      </c>
    </row>
    <row r="39" spans="1:16" x14ac:dyDescent="0.35">
      <c r="A39" s="34" t="str">
        <f t="shared" si="4"/>
        <v>2026 NOV-FEB B3 DISC 10%</v>
      </c>
      <c r="B39" s="35">
        <f t="shared" si="5"/>
        <v>46086</v>
      </c>
      <c r="C39" s="35">
        <f t="shared" si="6"/>
        <v>46092</v>
      </c>
      <c r="D39" s="34">
        <v>3284</v>
      </c>
      <c r="E39" s="34">
        <v>338</v>
      </c>
      <c r="F39" s="34">
        <v>4</v>
      </c>
      <c r="G39" s="25">
        <v>8</v>
      </c>
      <c r="H39" s="25">
        <v>81679</v>
      </c>
      <c r="I39" s="34" t="s">
        <v>2690</v>
      </c>
      <c r="J39" s="24">
        <v>63154861</v>
      </c>
      <c r="K39" s="24" t="s">
        <v>6510</v>
      </c>
      <c r="L39" s="24" t="s">
        <v>6503</v>
      </c>
      <c r="M39" s="26">
        <v>89900</v>
      </c>
      <c r="N39" s="34" t="s">
        <v>2569</v>
      </c>
      <c r="O39" s="36" t="str">
        <f t="shared" si="7"/>
        <v>B3 DISC 10%</v>
      </c>
      <c r="P39" s="34" t="s">
        <v>2569</v>
      </c>
    </row>
    <row r="40" spans="1:16" x14ac:dyDescent="0.35">
      <c r="A40" s="34" t="str">
        <f t="shared" si="4"/>
        <v>2026 NOV-FEB B3 DISC 10%</v>
      </c>
      <c r="B40" s="35">
        <f t="shared" si="5"/>
        <v>46086</v>
      </c>
      <c r="C40" s="35">
        <f t="shared" si="6"/>
        <v>46092</v>
      </c>
      <c r="D40" s="34">
        <v>3284</v>
      </c>
      <c r="E40" s="34">
        <v>338</v>
      </c>
      <c r="F40" s="34">
        <v>4</v>
      </c>
      <c r="G40" s="25">
        <v>8</v>
      </c>
      <c r="H40" s="25">
        <v>81679</v>
      </c>
      <c r="I40" s="34" t="s">
        <v>2690</v>
      </c>
      <c r="J40" s="24">
        <v>63154870</v>
      </c>
      <c r="K40" s="24" t="s">
        <v>6510</v>
      </c>
      <c r="L40" s="24" t="s">
        <v>6504</v>
      </c>
      <c r="M40" s="26">
        <v>89900</v>
      </c>
      <c r="N40" s="34" t="s">
        <v>2569</v>
      </c>
      <c r="O40" s="36" t="str">
        <f t="shared" si="7"/>
        <v>B3 DISC 10%</v>
      </c>
      <c r="P40" s="34" t="s">
        <v>2569</v>
      </c>
    </row>
    <row r="41" spans="1:16" x14ac:dyDescent="0.35">
      <c r="A41" s="34" t="str">
        <f t="shared" si="4"/>
        <v>2026 NOV-FEB B3 DISC 10%</v>
      </c>
      <c r="B41" s="35">
        <f t="shared" si="5"/>
        <v>46086</v>
      </c>
      <c r="C41" s="35">
        <f t="shared" si="6"/>
        <v>46092</v>
      </c>
      <c r="D41" s="34">
        <v>3284</v>
      </c>
      <c r="E41" s="34">
        <v>338</v>
      </c>
      <c r="F41" s="34">
        <v>4</v>
      </c>
      <c r="G41" s="25">
        <v>8</v>
      </c>
      <c r="H41" s="25">
        <v>81679</v>
      </c>
      <c r="I41" s="34" t="s">
        <v>2690</v>
      </c>
      <c r="J41" s="24">
        <v>63154889</v>
      </c>
      <c r="K41" s="24" t="s">
        <v>6510</v>
      </c>
      <c r="L41" s="24" t="s">
        <v>6505</v>
      </c>
      <c r="M41" s="26">
        <v>89900</v>
      </c>
      <c r="N41" s="34" t="s">
        <v>2569</v>
      </c>
      <c r="O41" s="36" t="str">
        <f t="shared" si="7"/>
        <v>B3 DISC 10%</v>
      </c>
      <c r="P41" s="34" t="s">
        <v>2569</v>
      </c>
    </row>
    <row r="42" spans="1:16" x14ac:dyDescent="0.35">
      <c r="A42" s="34" t="str">
        <f t="shared" si="4"/>
        <v>2026 NOV-FEB B3 DISC 10%</v>
      </c>
      <c r="B42" s="35">
        <f t="shared" si="5"/>
        <v>46086</v>
      </c>
      <c r="C42" s="35">
        <f t="shared" si="6"/>
        <v>46092</v>
      </c>
      <c r="D42" s="34">
        <v>3284</v>
      </c>
      <c r="E42" s="34">
        <v>338</v>
      </c>
      <c r="F42" s="34">
        <v>4</v>
      </c>
      <c r="G42" s="25">
        <v>10</v>
      </c>
      <c r="H42" s="25">
        <v>81827</v>
      </c>
      <c r="I42" s="34" t="s">
        <v>2690</v>
      </c>
      <c r="J42" s="24">
        <v>68208339</v>
      </c>
      <c r="K42" s="24" t="s">
        <v>6675</v>
      </c>
      <c r="L42" s="24" t="s">
        <v>6709</v>
      </c>
      <c r="M42" s="26">
        <v>29900</v>
      </c>
      <c r="N42" s="34" t="s">
        <v>2569</v>
      </c>
      <c r="O42" s="36" t="str">
        <f t="shared" si="7"/>
        <v>B3 DISC 10%</v>
      </c>
      <c r="P42" s="34" t="s">
        <v>2569</v>
      </c>
    </row>
    <row r="43" spans="1:16" x14ac:dyDescent="0.35">
      <c r="A43" s="34" t="str">
        <f t="shared" si="4"/>
        <v>2026 NOV-FEB B3 DISC 10%</v>
      </c>
      <c r="B43" s="35">
        <f t="shared" si="5"/>
        <v>46086</v>
      </c>
      <c r="C43" s="35">
        <f t="shared" si="6"/>
        <v>46092</v>
      </c>
      <c r="D43" s="34">
        <v>3284</v>
      </c>
      <c r="E43" s="34">
        <v>338</v>
      </c>
      <c r="F43" s="34">
        <v>4</v>
      </c>
      <c r="G43" s="25">
        <v>10</v>
      </c>
      <c r="H43" s="25">
        <v>81827</v>
      </c>
      <c r="I43" s="34" t="s">
        <v>2690</v>
      </c>
      <c r="J43" s="24">
        <v>68208348</v>
      </c>
      <c r="K43" s="24" t="s">
        <v>6675</v>
      </c>
      <c r="L43" s="24" t="s">
        <v>6710</v>
      </c>
      <c r="M43" s="26">
        <v>29900</v>
      </c>
      <c r="N43" s="34" t="s">
        <v>2569</v>
      </c>
      <c r="O43" s="36" t="str">
        <f t="shared" si="7"/>
        <v>B3 DISC 10%</v>
      </c>
      <c r="P43" s="34" t="s">
        <v>2569</v>
      </c>
    </row>
    <row r="44" spans="1:16" x14ac:dyDescent="0.35">
      <c r="A44" s="34" t="str">
        <f t="shared" si="4"/>
        <v>2026 NOV-FEB B3 DISC 10%</v>
      </c>
      <c r="B44" s="35">
        <f t="shared" si="5"/>
        <v>46086</v>
      </c>
      <c r="C44" s="35">
        <f t="shared" si="6"/>
        <v>46092</v>
      </c>
      <c r="D44" s="34">
        <v>3284</v>
      </c>
      <c r="E44" s="34">
        <v>338</v>
      </c>
      <c r="F44" s="34">
        <v>4</v>
      </c>
      <c r="G44" s="25">
        <v>10</v>
      </c>
      <c r="H44" s="25">
        <v>81827</v>
      </c>
      <c r="I44" s="34" t="s">
        <v>2690</v>
      </c>
      <c r="J44" s="24">
        <v>68208357</v>
      </c>
      <c r="K44" s="24" t="s">
        <v>6674</v>
      </c>
      <c r="L44" s="24" t="s">
        <v>6707</v>
      </c>
      <c r="M44" s="26">
        <v>29900</v>
      </c>
      <c r="N44" s="34" t="s">
        <v>2569</v>
      </c>
      <c r="O44" s="36" t="str">
        <f t="shared" si="7"/>
        <v>B3 DISC 10%</v>
      </c>
      <c r="P44" s="34" t="s">
        <v>2569</v>
      </c>
    </row>
    <row r="45" spans="1:16" x14ac:dyDescent="0.35">
      <c r="A45" s="34" t="str">
        <f t="shared" si="4"/>
        <v>2026 NOV-FEB B3 DISC 10%</v>
      </c>
      <c r="B45" s="35">
        <f t="shared" si="5"/>
        <v>46086</v>
      </c>
      <c r="C45" s="35">
        <f t="shared" si="6"/>
        <v>46092</v>
      </c>
      <c r="D45" s="34">
        <v>3284</v>
      </c>
      <c r="E45" s="34">
        <v>338</v>
      </c>
      <c r="F45" s="34">
        <v>4</v>
      </c>
      <c r="G45" s="25">
        <v>10</v>
      </c>
      <c r="H45" s="25">
        <v>81827</v>
      </c>
      <c r="I45" s="34" t="s">
        <v>2690</v>
      </c>
      <c r="J45" s="24">
        <v>68208366</v>
      </c>
      <c r="K45" s="24" t="s">
        <v>6674</v>
      </c>
      <c r="L45" s="24" t="s">
        <v>6708</v>
      </c>
      <c r="M45" s="26">
        <v>29900</v>
      </c>
      <c r="N45" s="34" t="s">
        <v>2569</v>
      </c>
      <c r="O45" s="36" t="str">
        <f t="shared" si="7"/>
        <v>B3 DISC 10%</v>
      </c>
      <c r="P45" s="34" t="s">
        <v>2569</v>
      </c>
    </row>
    <row r="46" spans="1:16" x14ac:dyDescent="0.35">
      <c r="A46" s="34" t="str">
        <f t="shared" si="4"/>
        <v>2026 NOV-FEB B3 DISC 10%</v>
      </c>
      <c r="B46" s="35">
        <f t="shared" si="5"/>
        <v>46086</v>
      </c>
      <c r="C46" s="35">
        <f t="shared" si="6"/>
        <v>46092</v>
      </c>
      <c r="D46" s="34">
        <v>3284</v>
      </c>
      <c r="E46" s="34">
        <v>338</v>
      </c>
      <c r="F46" s="34">
        <v>4</v>
      </c>
      <c r="G46" s="25">
        <v>10</v>
      </c>
      <c r="H46" s="25">
        <v>81533</v>
      </c>
      <c r="I46" s="34" t="s">
        <v>2690</v>
      </c>
      <c r="J46" s="24">
        <v>68995757</v>
      </c>
      <c r="K46" s="24" t="s">
        <v>6676</v>
      </c>
      <c r="L46" s="24" t="s">
        <v>6711</v>
      </c>
      <c r="M46" s="26">
        <v>29900</v>
      </c>
      <c r="N46" s="34" t="s">
        <v>2569</v>
      </c>
      <c r="O46" s="36" t="str">
        <f t="shared" si="7"/>
        <v>B3 DISC 10%</v>
      </c>
      <c r="P46" s="34" t="s">
        <v>2569</v>
      </c>
    </row>
    <row r="47" spans="1:16" x14ac:dyDescent="0.35">
      <c r="A47" s="34" t="str">
        <f t="shared" si="4"/>
        <v>2026 NOV-FEB B3 DISC 10%</v>
      </c>
      <c r="B47" s="35">
        <f t="shared" si="5"/>
        <v>46086</v>
      </c>
      <c r="C47" s="35">
        <f t="shared" si="6"/>
        <v>46092</v>
      </c>
      <c r="D47" s="34">
        <v>3284</v>
      </c>
      <c r="E47" s="34">
        <v>338</v>
      </c>
      <c r="F47" s="34">
        <v>4</v>
      </c>
      <c r="G47" s="25">
        <v>10</v>
      </c>
      <c r="H47" s="25">
        <v>81533</v>
      </c>
      <c r="I47" s="34" t="s">
        <v>2690</v>
      </c>
      <c r="J47" s="24">
        <v>68995766</v>
      </c>
      <c r="K47" s="24" t="s">
        <v>6676</v>
      </c>
      <c r="L47" s="24" t="s">
        <v>6712</v>
      </c>
      <c r="M47" s="26">
        <v>29900</v>
      </c>
      <c r="N47" s="34" t="s">
        <v>2569</v>
      </c>
      <c r="O47" s="36" t="str">
        <f t="shared" si="7"/>
        <v>B3 DISC 10%</v>
      </c>
      <c r="P47" s="34" t="s">
        <v>2569</v>
      </c>
    </row>
    <row r="48" spans="1:16" x14ac:dyDescent="0.35">
      <c r="A48" s="34" t="str">
        <f t="shared" si="4"/>
        <v>2026 NOV-FEB B3 DISC 10%</v>
      </c>
      <c r="B48" s="35">
        <f t="shared" si="5"/>
        <v>46086</v>
      </c>
      <c r="C48" s="35">
        <f t="shared" si="6"/>
        <v>46092</v>
      </c>
      <c r="D48" s="34">
        <v>3284</v>
      </c>
      <c r="E48" s="34">
        <v>338</v>
      </c>
      <c r="F48" s="34">
        <v>4</v>
      </c>
      <c r="G48" s="25">
        <v>10</v>
      </c>
      <c r="H48" s="25">
        <v>81533</v>
      </c>
      <c r="I48" s="34" t="s">
        <v>2690</v>
      </c>
      <c r="J48" s="24">
        <v>68995775</v>
      </c>
      <c r="K48" s="24" t="s">
        <v>6676</v>
      </c>
      <c r="L48" s="24" t="s">
        <v>6713</v>
      </c>
      <c r="M48" s="26">
        <v>29900</v>
      </c>
      <c r="N48" s="34" t="s">
        <v>2569</v>
      </c>
      <c r="O48" s="36" t="str">
        <f t="shared" si="7"/>
        <v>B3 DISC 10%</v>
      </c>
      <c r="P48" s="34" t="s">
        <v>2569</v>
      </c>
    </row>
    <row r="49" spans="1:16" x14ac:dyDescent="0.35">
      <c r="A49" s="34" t="str">
        <f t="shared" si="4"/>
        <v>2026 NOV-FEB B3 DISC 10%</v>
      </c>
      <c r="B49" s="35">
        <f t="shared" si="5"/>
        <v>46086</v>
      </c>
      <c r="C49" s="35">
        <f t="shared" si="6"/>
        <v>46092</v>
      </c>
      <c r="D49" s="34">
        <v>3284</v>
      </c>
      <c r="E49" s="34">
        <v>338</v>
      </c>
      <c r="F49" s="34">
        <v>4</v>
      </c>
      <c r="G49" s="25">
        <v>10</v>
      </c>
      <c r="H49" s="25">
        <v>81533</v>
      </c>
      <c r="I49" s="34" t="s">
        <v>2690</v>
      </c>
      <c r="J49" s="24">
        <v>68995720</v>
      </c>
      <c r="K49" s="24" t="s">
        <v>6677</v>
      </c>
      <c r="L49" s="24" t="s">
        <v>6714</v>
      </c>
      <c r="M49" s="26">
        <v>29900</v>
      </c>
      <c r="N49" s="34" t="s">
        <v>2569</v>
      </c>
      <c r="O49" s="36" t="str">
        <f t="shared" si="7"/>
        <v>B3 DISC 10%</v>
      </c>
      <c r="P49" s="34" t="s">
        <v>2569</v>
      </c>
    </row>
    <row r="50" spans="1:16" x14ac:dyDescent="0.35">
      <c r="A50" s="34" t="str">
        <f t="shared" si="4"/>
        <v>2026 NOV-FEB B3 DISC 10%</v>
      </c>
      <c r="B50" s="35">
        <f t="shared" si="5"/>
        <v>46086</v>
      </c>
      <c r="C50" s="35">
        <f t="shared" si="6"/>
        <v>46092</v>
      </c>
      <c r="D50" s="34">
        <v>3284</v>
      </c>
      <c r="E50" s="34">
        <v>338</v>
      </c>
      <c r="F50" s="34">
        <v>4</v>
      </c>
      <c r="G50" s="25">
        <v>10</v>
      </c>
      <c r="H50" s="25">
        <v>81533</v>
      </c>
      <c r="I50" s="34" t="s">
        <v>2690</v>
      </c>
      <c r="J50" s="24">
        <v>68995739</v>
      </c>
      <c r="K50" s="24" t="s">
        <v>6677</v>
      </c>
      <c r="L50" s="24" t="s">
        <v>6715</v>
      </c>
      <c r="M50" s="26">
        <v>29900</v>
      </c>
      <c r="N50" s="34" t="s">
        <v>2569</v>
      </c>
      <c r="O50" s="36" t="str">
        <f t="shared" si="7"/>
        <v>B3 DISC 10%</v>
      </c>
      <c r="P50" s="34" t="s">
        <v>2569</v>
      </c>
    </row>
    <row r="51" spans="1:16" x14ac:dyDescent="0.35">
      <c r="A51" s="34" t="str">
        <f t="shared" si="4"/>
        <v>2026 NOV-FEB B3 DISC 10%</v>
      </c>
      <c r="B51" s="35">
        <f t="shared" si="5"/>
        <v>46086</v>
      </c>
      <c r="C51" s="35">
        <f t="shared" si="6"/>
        <v>46092</v>
      </c>
      <c r="D51" s="34">
        <v>3284</v>
      </c>
      <c r="E51" s="34">
        <v>338</v>
      </c>
      <c r="F51" s="34">
        <v>4</v>
      </c>
      <c r="G51" s="25">
        <v>10</v>
      </c>
      <c r="H51" s="25">
        <v>81533</v>
      </c>
      <c r="I51" s="34" t="s">
        <v>2690</v>
      </c>
      <c r="J51" s="24">
        <v>68995748</v>
      </c>
      <c r="K51" s="24" t="s">
        <v>6677</v>
      </c>
      <c r="L51" s="24" t="s">
        <v>6716</v>
      </c>
      <c r="M51" s="26">
        <v>29900</v>
      </c>
      <c r="N51" s="34" t="s">
        <v>2569</v>
      </c>
      <c r="O51" s="36" t="str">
        <f t="shared" si="7"/>
        <v>B3 DISC 10%</v>
      </c>
      <c r="P51" s="34" t="s">
        <v>2569</v>
      </c>
    </row>
    <row r="52" spans="1:16" x14ac:dyDescent="0.35">
      <c r="A52" s="34" t="str">
        <f t="shared" si="4"/>
        <v>2026 NOV-FEB B3 DISC 10%</v>
      </c>
      <c r="B52" s="35">
        <f t="shared" si="5"/>
        <v>46086</v>
      </c>
      <c r="C52" s="35">
        <f t="shared" si="6"/>
        <v>46092</v>
      </c>
      <c r="D52" s="34">
        <v>3284</v>
      </c>
      <c r="E52" s="34">
        <v>338</v>
      </c>
      <c r="F52" s="34">
        <v>4</v>
      </c>
      <c r="G52" s="25">
        <v>2</v>
      </c>
      <c r="H52" s="25">
        <v>81679</v>
      </c>
      <c r="I52" s="34" t="s">
        <v>2690</v>
      </c>
      <c r="J52" s="24">
        <v>69033365</v>
      </c>
      <c r="K52" s="24" t="s">
        <v>6678</v>
      </c>
      <c r="L52" s="24" t="s">
        <v>6717</v>
      </c>
      <c r="M52" s="26">
        <v>149900</v>
      </c>
      <c r="N52" s="34" t="s">
        <v>2569</v>
      </c>
      <c r="O52" s="36" t="str">
        <f t="shared" si="7"/>
        <v>B3 DISC 10%</v>
      </c>
      <c r="P52" s="34" t="s">
        <v>2569</v>
      </c>
    </row>
    <row r="53" spans="1:16" x14ac:dyDescent="0.35">
      <c r="A53" s="34" t="str">
        <f t="shared" si="4"/>
        <v>2026 NOV-FEB B3 DISC 10%</v>
      </c>
      <c r="B53" s="35">
        <f t="shared" si="5"/>
        <v>46086</v>
      </c>
      <c r="C53" s="35">
        <f t="shared" si="6"/>
        <v>46092</v>
      </c>
      <c r="D53" s="34">
        <v>3284</v>
      </c>
      <c r="E53" s="34">
        <v>338</v>
      </c>
      <c r="F53" s="34">
        <v>4</v>
      </c>
      <c r="G53" s="25">
        <v>2</v>
      </c>
      <c r="H53" s="25">
        <v>81679</v>
      </c>
      <c r="I53" s="34" t="s">
        <v>2690</v>
      </c>
      <c r="J53" s="24">
        <v>69033374</v>
      </c>
      <c r="K53" s="24" t="s">
        <v>6678</v>
      </c>
      <c r="L53" s="24" t="s">
        <v>6718</v>
      </c>
      <c r="M53" s="26">
        <v>149900</v>
      </c>
      <c r="N53" s="34" t="s">
        <v>2569</v>
      </c>
      <c r="O53" s="36" t="str">
        <f t="shared" si="7"/>
        <v>B3 DISC 10%</v>
      </c>
      <c r="P53" s="34" t="s">
        <v>2569</v>
      </c>
    </row>
    <row r="54" spans="1:16" x14ac:dyDescent="0.35">
      <c r="A54" s="34" t="str">
        <f t="shared" si="4"/>
        <v>2026 NOV-FEB B3 DISC 10%</v>
      </c>
      <c r="B54" s="35">
        <f t="shared" si="5"/>
        <v>46086</v>
      </c>
      <c r="C54" s="35">
        <f t="shared" si="6"/>
        <v>46092</v>
      </c>
      <c r="D54" s="34">
        <v>3284</v>
      </c>
      <c r="E54" s="34">
        <v>338</v>
      </c>
      <c r="F54" s="34">
        <v>4</v>
      </c>
      <c r="G54" s="25">
        <v>2</v>
      </c>
      <c r="H54" s="25">
        <v>81679</v>
      </c>
      <c r="I54" s="34" t="s">
        <v>2690</v>
      </c>
      <c r="J54" s="24">
        <v>69033383</v>
      </c>
      <c r="K54" s="24" t="s">
        <v>6678</v>
      </c>
      <c r="L54" s="24" t="s">
        <v>6719</v>
      </c>
      <c r="M54" s="26">
        <v>149900</v>
      </c>
      <c r="N54" s="34" t="s">
        <v>2569</v>
      </c>
      <c r="O54" s="36" t="str">
        <f t="shared" si="7"/>
        <v>B3 DISC 10%</v>
      </c>
      <c r="P54" s="34" t="s">
        <v>2569</v>
      </c>
    </row>
    <row r="55" spans="1:16" x14ac:dyDescent="0.35">
      <c r="A55" s="34" t="str">
        <f t="shared" si="4"/>
        <v>2026 NOV-FEB B3 DISC 10%</v>
      </c>
      <c r="B55" s="35">
        <f t="shared" si="5"/>
        <v>46086</v>
      </c>
      <c r="C55" s="35">
        <f t="shared" si="6"/>
        <v>46092</v>
      </c>
      <c r="D55" s="34">
        <v>3284</v>
      </c>
      <c r="E55" s="34">
        <v>338</v>
      </c>
      <c r="F55" s="34">
        <v>4</v>
      </c>
      <c r="G55" s="25">
        <v>2</v>
      </c>
      <c r="H55" s="25">
        <v>81679</v>
      </c>
      <c r="I55" s="34" t="s">
        <v>2690</v>
      </c>
      <c r="J55" s="24">
        <v>69033392</v>
      </c>
      <c r="K55" s="24" t="s">
        <v>6678</v>
      </c>
      <c r="L55" s="24" t="s">
        <v>6720</v>
      </c>
      <c r="M55" s="26">
        <v>149900</v>
      </c>
      <c r="N55" s="34" t="s">
        <v>2569</v>
      </c>
      <c r="O55" s="36" t="str">
        <f t="shared" si="7"/>
        <v>B3 DISC 10%</v>
      </c>
      <c r="P55" s="34" t="s">
        <v>2569</v>
      </c>
    </row>
    <row r="56" spans="1:16" x14ac:dyDescent="0.35">
      <c r="A56" s="34" t="str">
        <f t="shared" si="4"/>
        <v>2026 NOV-FEB B3 DISC 10%</v>
      </c>
      <c r="B56" s="35">
        <f t="shared" si="5"/>
        <v>46086</v>
      </c>
      <c r="C56" s="35">
        <f t="shared" si="6"/>
        <v>46092</v>
      </c>
      <c r="D56" s="34">
        <v>3284</v>
      </c>
      <c r="E56" s="34">
        <v>338</v>
      </c>
      <c r="F56" s="34">
        <v>4</v>
      </c>
      <c r="G56" s="25">
        <v>2</v>
      </c>
      <c r="H56" s="25">
        <v>81679</v>
      </c>
      <c r="I56" s="34" t="s">
        <v>2690</v>
      </c>
      <c r="J56" s="24">
        <v>69033409</v>
      </c>
      <c r="K56" s="24" t="s">
        <v>6678</v>
      </c>
      <c r="L56" s="24" t="s">
        <v>6721</v>
      </c>
      <c r="M56" s="26">
        <v>149900</v>
      </c>
      <c r="N56" s="34" t="s">
        <v>2569</v>
      </c>
      <c r="O56" s="36" t="str">
        <f t="shared" si="7"/>
        <v>B3 DISC 10%</v>
      </c>
      <c r="P56" s="34" t="s">
        <v>2569</v>
      </c>
    </row>
    <row r="57" spans="1:16" x14ac:dyDescent="0.35">
      <c r="A57" s="34" t="str">
        <f t="shared" si="4"/>
        <v>2026 NOV-FEB B3 DISC 10%</v>
      </c>
      <c r="B57" s="35">
        <f t="shared" si="5"/>
        <v>46086</v>
      </c>
      <c r="C57" s="35">
        <f t="shared" si="6"/>
        <v>46092</v>
      </c>
      <c r="D57" s="34">
        <v>3284</v>
      </c>
      <c r="E57" s="34">
        <v>338</v>
      </c>
      <c r="F57" s="34">
        <v>4</v>
      </c>
      <c r="G57" s="25">
        <v>2</v>
      </c>
      <c r="H57" s="25">
        <v>81679</v>
      </c>
      <c r="I57" s="34" t="s">
        <v>2690</v>
      </c>
      <c r="J57" s="24">
        <v>69033418</v>
      </c>
      <c r="K57" s="24" t="s">
        <v>6678</v>
      </c>
      <c r="L57" s="24" t="s">
        <v>6722</v>
      </c>
      <c r="M57" s="26">
        <v>149900</v>
      </c>
      <c r="N57" s="34" t="s">
        <v>2569</v>
      </c>
      <c r="O57" s="36" t="str">
        <f t="shared" si="7"/>
        <v>B3 DISC 10%</v>
      </c>
      <c r="P57" s="34" t="s">
        <v>2569</v>
      </c>
    </row>
    <row r="58" spans="1:16" x14ac:dyDescent="0.35">
      <c r="A58" s="34" t="str">
        <f t="shared" si="4"/>
        <v>2026 NOV-FEB B3 DISC 10%</v>
      </c>
      <c r="B58" s="35">
        <f t="shared" si="5"/>
        <v>46086</v>
      </c>
      <c r="C58" s="35">
        <f t="shared" si="6"/>
        <v>46092</v>
      </c>
      <c r="D58" s="34">
        <v>3284</v>
      </c>
      <c r="E58" s="34">
        <v>338</v>
      </c>
      <c r="F58" s="34">
        <v>4</v>
      </c>
      <c r="G58" s="25">
        <v>2</v>
      </c>
      <c r="H58" s="25">
        <v>81679</v>
      </c>
      <c r="I58" s="34" t="s">
        <v>2690</v>
      </c>
      <c r="J58" s="24">
        <v>69033427</v>
      </c>
      <c r="K58" s="24" t="s">
        <v>6678</v>
      </c>
      <c r="L58" s="24" t="s">
        <v>6723</v>
      </c>
      <c r="M58" s="26">
        <v>149900</v>
      </c>
      <c r="N58" s="34" t="s">
        <v>2569</v>
      </c>
      <c r="O58" s="36" t="str">
        <f t="shared" si="7"/>
        <v>B3 DISC 10%</v>
      </c>
      <c r="P58" s="34" t="s">
        <v>2569</v>
      </c>
    </row>
    <row r="59" spans="1:16" x14ac:dyDescent="0.35">
      <c r="A59" s="34" t="str">
        <f t="shared" si="4"/>
        <v>2026 NOV-FEB B3 DISC 10%</v>
      </c>
      <c r="B59" s="35">
        <f t="shared" si="5"/>
        <v>46086</v>
      </c>
      <c r="C59" s="35">
        <f t="shared" si="6"/>
        <v>46092</v>
      </c>
      <c r="D59" s="34">
        <v>3284</v>
      </c>
      <c r="E59" s="34">
        <v>338</v>
      </c>
      <c r="F59" s="34">
        <v>4</v>
      </c>
      <c r="G59" s="25">
        <v>2</v>
      </c>
      <c r="H59" s="25">
        <v>81679</v>
      </c>
      <c r="I59" s="34" t="s">
        <v>2690</v>
      </c>
      <c r="J59" s="24">
        <v>69033436</v>
      </c>
      <c r="K59" s="24" t="s">
        <v>6678</v>
      </c>
      <c r="L59" s="24" t="s">
        <v>6724</v>
      </c>
      <c r="M59" s="26">
        <v>149900</v>
      </c>
      <c r="N59" s="34" t="s">
        <v>2569</v>
      </c>
      <c r="O59" s="36" t="str">
        <f t="shared" si="7"/>
        <v>B3 DISC 10%</v>
      </c>
      <c r="P59" s="34" t="s">
        <v>2569</v>
      </c>
    </row>
    <row r="60" spans="1:16" x14ac:dyDescent="0.35">
      <c r="A60" s="34" t="str">
        <f t="shared" si="4"/>
        <v>2026 NOV-FEB B3 DISC 10%</v>
      </c>
      <c r="B60" s="35">
        <f t="shared" si="5"/>
        <v>46086</v>
      </c>
      <c r="C60" s="35">
        <f t="shared" si="6"/>
        <v>46092</v>
      </c>
      <c r="D60" s="34">
        <v>3284</v>
      </c>
      <c r="E60" s="34">
        <v>338</v>
      </c>
      <c r="F60" s="34">
        <v>4</v>
      </c>
      <c r="G60" s="25">
        <v>4</v>
      </c>
      <c r="H60" s="25">
        <v>81379</v>
      </c>
      <c r="I60" s="34" t="s">
        <v>2690</v>
      </c>
      <c r="J60" s="24">
        <v>69118952</v>
      </c>
      <c r="K60" s="24" t="s">
        <v>7218</v>
      </c>
      <c r="L60" s="24" t="s">
        <v>7225</v>
      </c>
      <c r="M60" s="26">
        <v>149900</v>
      </c>
      <c r="N60" s="34" t="s">
        <v>2569</v>
      </c>
      <c r="O60" s="36" t="str">
        <f t="shared" si="7"/>
        <v>B3 DISC 10%</v>
      </c>
      <c r="P60" s="34" t="s">
        <v>2569</v>
      </c>
    </row>
    <row r="61" spans="1:16" x14ac:dyDescent="0.35">
      <c r="A61" s="34" t="str">
        <f t="shared" si="4"/>
        <v>2026 NOV-FEB B3 DISC 10%</v>
      </c>
      <c r="B61" s="35">
        <f t="shared" si="5"/>
        <v>46086</v>
      </c>
      <c r="C61" s="35">
        <f t="shared" si="6"/>
        <v>46092</v>
      </c>
      <c r="D61" s="34">
        <v>3284</v>
      </c>
      <c r="E61" s="34">
        <v>338</v>
      </c>
      <c r="F61" s="34">
        <v>4</v>
      </c>
      <c r="G61" s="25">
        <v>4</v>
      </c>
      <c r="H61" s="25">
        <v>81379</v>
      </c>
      <c r="I61" s="34" t="s">
        <v>2690</v>
      </c>
      <c r="J61" s="24">
        <v>69118961</v>
      </c>
      <c r="K61" s="24" t="s">
        <v>7218</v>
      </c>
      <c r="L61" s="24" t="s">
        <v>7224</v>
      </c>
      <c r="M61" s="26">
        <v>149900</v>
      </c>
      <c r="N61" s="34" t="s">
        <v>2569</v>
      </c>
      <c r="O61" s="36" t="str">
        <f t="shared" si="7"/>
        <v>B3 DISC 10%</v>
      </c>
      <c r="P61" s="34" t="s">
        <v>2569</v>
      </c>
    </row>
    <row r="62" spans="1:16" x14ac:dyDescent="0.35">
      <c r="A62" s="34" t="str">
        <f t="shared" si="4"/>
        <v>2026 NOV-FEB B3 DISC 10%</v>
      </c>
      <c r="B62" s="35">
        <f t="shared" si="5"/>
        <v>46086</v>
      </c>
      <c r="C62" s="35">
        <f t="shared" si="6"/>
        <v>46092</v>
      </c>
      <c r="D62" s="34">
        <v>3284</v>
      </c>
      <c r="E62" s="34">
        <v>338</v>
      </c>
      <c r="F62" s="34">
        <v>4</v>
      </c>
      <c r="G62" s="25">
        <v>4</v>
      </c>
      <c r="H62" s="25">
        <v>81379</v>
      </c>
      <c r="I62" s="34" t="s">
        <v>2690</v>
      </c>
      <c r="J62" s="24">
        <v>69118970</v>
      </c>
      <c r="K62" s="24" t="s">
        <v>7218</v>
      </c>
      <c r="L62" s="24" t="s">
        <v>7223</v>
      </c>
      <c r="M62" s="26">
        <v>149900</v>
      </c>
      <c r="N62" s="34" t="s">
        <v>2569</v>
      </c>
      <c r="O62" s="36" t="str">
        <f t="shared" si="7"/>
        <v>B3 DISC 10%</v>
      </c>
      <c r="P62" s="34" t="s">
        <v>2569</v>
      </c>
    </row>
    <row r="63" spans="1:16" x14ac:dyDescent="0.35">
      <c r="A63" s="34" t="str">
        <f t="shared" si="4"/>
        <v>2026 NOV-FEB B3 DISC 10%</v>
      </c>
      <c r="B63" s="35">
        <f t="shared" si="5"/>
        <v>46086</v>
      </c>
      <c r="C63" s="35">
        <f t="shared" si="6"/>
        <v>46092</v>
      </c>
      <c r="D63" s="34">
        <v>3284</v>
      </c>
      <c r="E63" s="34">
        <v>338</v>
      </c>
      <c r="F63" s="34">
        <v>4</v>
      </c>
      <c r="G63" s="25">
        <v>4</v>
      </c>
      <c r="H63" s="25">
        <v>81379</v>
      </c>
      <c r="I63" s="34" t="s">
        <v>2690</v>
      </c>
      <c r="J63" s="24">
        <v>69118989</v>
      </c>
      <c r="K63" s="24" t="s">
        <v>7218</v>
      </c>
      <c r="L63" s="24" t="s">
        <v>7222</v>
      </c>
      <c r="M63" s="26">
        <v>149900</v>
      </c>
      <c r="N63" s="34" t="s">
        <v>2569</v>
      </c>
      <c r="O63" s="36" t="str">
        <f t="shared" si="7"/>
        <v>B3 DISC 10%</v>
      </c>
      <c r="P63" s="34" t="s">
        <v>2569</v>
      </c>
    </row>
    <row r="64" spans="1:16" x14ac:dyDescent="0.35">
      <c r="A64" s="34" t="str">
        <f t="shared" si="4"/>
        <v>2026 NOV-FEB B3 DISC 10%</v>
      </c>
      <c r="B64" s="35">
        <f t="shared" si="5"/>
        <v>46086</v>
      </c>
      <c r="C64" s="35">
        <f t="shared" si="6"/>
        <v>46092</v>
      </c>
      <c r="D64" s="34">
        <v>3284</v>
      </c>
      <c r="E64" s="34">
        <v>338</v>
      </c>
      <c r="F64" s="34">
        <v>4</v>
      </c>
      <c r="G64" s="25">
        <v>4</v>
      </c>
      <c r="H64" s="25">
        <v>81379</v>
      </c>
      <c r="I64" s="34" t="s">
        <v>2690</v>
      </c>
      <c r="J64" s="24">
        <v>69118998</v>
      </c>
      <c r="K64" s="24" t="s">
        <v>7218</v>
      </c>
      <c r="L64" s="24" t="s">
        <v>7221</v>
      </c>
      <c r="M64" s="26">
        <v>149900</v>
      </c>
      <c r="N64" s="34" t="s">
        <v>2569</v>
      </c>
      <c r="O64" s="36" t="str">
        <f t="shared" si="7"/>
        <v>B3 DISC 10%</v>
      </c>
      <c r="P64" s="34" t="s">
        <v>2569</v>
      </c>
    </row>
    <row r="65" spans="1:16" x14ac:dyDescent="0.35">
      <c r="A65" s="34" t="str">
        <f t="shared" si="4"/>
        <v>2026 NOV-FEB B3 DISC 10%</v>
      </c>
      <c r="B65" s="35">
        <f t="shared" si="5"/>
        <v>46086</v>
      </c>
      <c r="C65" s="35">
        <f t="shared" si="6"/>
        <v>46092</v>
      </c>
      <c r="D65" s="34">
        <v>3284</v>
      </c>
      <c r="E65" s="34">
        <v>338</v>
      </c>
      <c r="F65" s="34">
        <v>4</v>
      </c>
      <c r="G65" s="25">
        <v>4</v>
      </c>
      <c r="H65" s="25">
        <v>81379</v>
      </c>
      <c r="I65" s="34" t="s">
        <v>2690</v>
      </c>
      <c r="J65" s="24">
        <v>69119004</v>
      </c>
      <c r="K65" s="24" t="s">
        <v>7218</v>
      </c>
      <c r="L65" s="24" t="s">
        <v>7220</v>
      </c>
      <c r="M65" s="26">
        <v>149900</v>
      </c>
      <c r="N65" s="34" t="s">
        <v>2569</v>
      </c>
      <c r="O65" s="36" t="str">
        <f t="shared" si="7"/>
        <v>B3 DISC 10%</v>
      </c>
      <c r="P65" s="34" t="s">
        <v>2569</v>
      </c>
    </row>
    <row r="66" spans="1:16" x14ac:dyDescent="0.35">
      <c r="A66" s="34" t="str">
        <f t="shared" si="4"/>
        <v>2026 NOV-FEB B3 DISC 10%</v>
      </c>
      <c r="B66" s="35">
        <f t="shared" si="5"/>
        <v>46086</v>
      </c>
      <c r="C66" s="35">
        <f t="shared" si="6"/>
        <v>46092</v>
      </c>
      <c r="D66" s="34">
        <v>3284</v>
      </c>
      <c r="E66" s="34">
        <v>338</v>
      </c>
      <c r="F66" s="34">
        <v>4</v>
      </c>
      <c r="G66" s="25">
        <v>4</v>
      </c>
      <c r="H66" s="25">
        <v>81379</v>
      </c>
      <c r="I66" s="34" t="s">
        <v>2690</v>
      </c>
      <c r="J66" s="24">
        <v>69119013</v>
      </c>
      <c r="K66" s="24" t="s">
        <v>7218</v>
      </c>
      <c r="L66" s="24" t="s">
        <v>7219</v>
      </c>
      <c r="M66" s="26">
        <v>149900</v>
      </c>
      <c r="N66" s="34" t="s">
        <v>2569</v>
      </c>
      <c r="O66" s="36" t="str">
        <f t="shared" si="7"/>
        <v>B3 DISC 10%</v>
      </c>
      <c r="P66" s="34" t="s">
        <v>2569</v>
      </c>
    </row>
    <row r="67" spans="1:16" x14ac:dyDescent="0.35">
      <c r="A67" s="34" t="str">
        <f t="shared" ref="A67:A98" si="8">A66</f>
        <v>2026 NOV-FEB B3 DISC 10%</v>
      </c>
      <c r="B67" s="35">
        <f t="shared" ref="B67:B98" si="9">B66</f>
        <v>46086</v>
      </c>
      <c r="C67" s="35">
        <f t="shared" ref="C67:C98" si="10">C66</f>
        <v>46092</v>
      </c>
      <c r="D67" s="34">
        <v>3284</v>
      </c>
      <c r="E67" s="34">
        <v>338</v>
      </c>
      <c r="F67" s="34">
        <v>4</v>
      </c>
      <c r="G67" s="25">
        <v>4</v>
      </c>
      <c r="H67" s="25">
        <v>81379</v>
      </c>
      <c r="I67" s="34" t="s">
        <v>2690</v>
      </c>
      <c r="J67" s="24">
        <v>69119022</v>
      </c>
      <c r="K67" s="24" t="s">
        <v>7218</v>
      </c>
      <c r="L67" s="24" t="s">
        <v>7217</v>
      </c>
      <c r="M67" s="26">
        <v>149900</v>
      </c>
      <c r="N67" s="34" t="s">
        <v>2569</v>
      </c>
      <c r="O67" s="36" t="str">
        <f t="shared" ref="O67:O98" si="11">O66</f>
        <v>B3 DISC 10%</v>
      </c>
      <c r="P67" s="34" t="s">
        <v>2569</v>
      </c>
    </row>
    <row r="68" spans="1:16" x14ac:dyDescent="0.35">
      <c r="A68" s="34" t="str">
        <f t="shared" si="8"/>
        <v>2026 NOV-FEB B3 DISC 10%</v>
      </c>
      <c r="B68" s="35">
        <f t="shared" si="9"/>
        <v>46086</v>
      </c>
      <c r="C68" s="35">
        <f t="shared" si="10"/>
        <v>46092</v>
      </c>
      <c r="D68" s="34">
        <v>3284</v>
      </c>
      <c r="E68" s="34">
        <v>338</v>
      </c>
      <c r="F68" s="34">
        <v>4</v>
      </c>
      <c r="G68" s="25">
        <v>10</v>
      </c>
      <c r="H68" s="25">
        <v>81533</v>
      </c>
      <c r="I68" s="34" t="s">
        <v>2690</v>
      </c>
      <c r="J68" s="24">
        <v>68995784</v>
      </c>
      <c r="K68" s="24" t="s">
        <v>7214</v>
      </c>
      <c r="L68" s="24" t="s">
        <v>7216</v>
      </c>
      <c r="M68" s="26">
        <v>29900</v>
      </c>
      <c r="N68" s="34" t="s">
        <v>2569</v>
      </c>
      <c r="O68" s="36" t="str">
        <f t="shared" si="11"/>
        <v>B3 DISC 10%</v>
      </c>
      <c r="P68" s="34" t="s">
        <v>2569</v>
      </c>
    </row>
    <row r="69" spans="1:16" x14ac:dyDescent="0.35">
      <c r="A69" s="34" t="str">
        <f t="shared" si="8"/>
        <v>2026 NOV-FEB B3 DISC 10%</v>
      </c>
      <c r="B69" s="35">
        <f t="shared" si="9"/>
        <v>46086</v>
      </c>
      <c r="C69" s="35">
        <f t="shared" si="10"/>
        <v>46092</v>
      </c>
      <c r="D69" s="34">
        <v>3284</v>
      </c>
      <c r="E69" s="34">
        <v>338</v>
      </c>
      <c r="F69" s="34">
        <v>4</v>
      </c>
      <c r="G69" s="25">
        <v>10</v>
      </c>
      <c r="H69" s="25">
        <v>81533</v>
      </c>
      <c r="I69" s="34" t="s">
        <v>2690</v>
      </c>
      <c r="J69" s="24">
        <v>68995793</v>
      </c>
      <c r="K69" s="24" t="s">
        <v>7214</v>
      </c>
      <c r="L69" s="24" t="s">
        <v>7215</v>
      </c>
      <c r="M69" s="26">
        <v>29900</v>
      </c>
      <c r="N69" s="34" t="s">
        <v>2569</v>
      </c>
      <c r="O69" s="36" t="str">
        <f t="shared" si="11"/>
        <v>B3 DISC 10%</v>
      </c>
      <c r="P69" s="34" t="s">
        <v>2569</v>
      </c>
    </row>
    <row r="70" spans="1:16" x14ac:dyDescent="0.35">
      <c r="A70" s="34" t="str">
        <f t="shared" si="8"/>
        <v>2026 NOV-FEB B3 DISC 10%</v>
      </c>
      <c r="B70" s="35">
        <f t="shared" si="9"/>
        <v>46086</v>
      </c>
      <c r="C70" s="35">
        <f t="shared" si="10"/>
        <v>46092</v>
      </c>
      <c r="D70" s="34">
        <v>3284</v>
      </c>
      <c r="E70" s="34">
        <v>338</v>
      </c>
      <c r="F70" s="34">
        <v>4</v>
      </c>
      <c r="G70" s="25">
        <v>10</v>
      </c>
      <c r="H70" s="25">
        <v>81533</v>
      </c>
      <c r="I70" s="34" t="s">
        <v>2690</v>
      </c>
      <c r="J70" s="24">
        <v>68995800</v>
      </c>
      <c r="K70" s="24" t="s">
        <v>7214</v>
      </c>
      <c r="L70" s="24" t="s">
        <v>7213</v>
      </c>
      <c r="M70" s="26">
        <v>29900</v>
      </c>
      <c r="N70" s="34" t="s">
        <v>2569</v>
      </c>
      <c r="O70" s="36" t="str">
        <f t="shared" si="11"/>
        <v>B3 DISC 10%</v>
      </c>
      <c r="P70" s="34" t="s">
        <v>2569</v>
      </c>
    </row>
    <row r="71" spans="1:16" x14ac:dyDescent="0.35">
      <c r="A71" s="34" t="str">
        <f t="shared" si="8"/>
        <v>2026 NOV-FEB B3 DISC 10%</v>
      </c>
      <c r="B71" s="35">
        <f t="shared" si="9"/>
        <v>46086</v>
      </c>
      <c r="C71" s="35">
        <f t="shared" si="10"/>
        <v>46092</v>
      </c>
      <c r="D71" s="34">
        <v>3284</v>
      </c>
      <c r="E71" s="34">
        <v>338</v>
      </c>
      <c r="F71" s="34">
        <v>4</v>
      </c>
      <c r="G71" s="25">
        <v>7</v>
      </c>
      <c r="H71" s="25">
        <v>81827</v>
      </c>
      <c r="I71" s="34" t="s">
        <v>2690</v>
      </c>
      <c r="J71" s="24">
        <v>68995284</v>
      </c>
      <c r="K71" s="24" t="s">
        <v>7210</v>
      </c>
      <c r="L71" s="24" t="s">
        <v>7212</v>
      </c>
      <c r="M71" s="26">
        <v>29900</v>
      </c>
      <c r="N71" s="34" t="s">
        <v>2569</v>
      </c>
      <c r="O71" s="36" t="str">
        <f t="shared" si="11"/>
        <v>B3 DISC 10%</v>
      </c>
      <c r="P71" s="34" t="s">
        <v>2569</v>
      </c>
    </row>
    <row r="72" spans="1:16" x14ac:dyDescent="0.35">
      <c r="A72" s="34" t="str">
        <f t="shared" si="8"/>
        <v>2026 NOV-FEB B3 DISC 10%</v>
      </c>
      <c r="B72" s="35">
        <f t="shared" si="9"/>
        <v>46086</v>
      </c>
      <c r="C72" s="35">
        <f t="shared" si="10"/>
        <v>46092</v>
      </c>
      <c r="D72" s="34">
        <v>3284</v>
      </c>
      <c r="E72" s="34">
        <v>338</v>
      </c>
      <c r="F72" s="34">
        <v>4</v>
      </c>
      <c r="G72" s="25">
        <v>7</v>
      </c>
      <c r="H72" s="25">
        <v>81827</v>
      </c>
      <c r="I72" s="34" t="s">
        <v>2690</v>
      </c>
      <c r="J72" s="24">
        <v>68995293</v>
      </c>
      <c r="K72" s="24" t="s">
        <v>7210</v>
      </c>
      <c r="L72" s="24" t="s">
        <v>7211</v>
      </c>
      <c r="M72" s="26">
        <v>29900</v>
      </c>
      <c r="N72" s="34" t="s">
        <v>2569</v>
      </c>
      <c r="O72" s="36" t="str">
        <f t="shared" si="11"/>
        <v>B3 DISC 10%</v>
      </c>
      <c r="P72" s="34" t="s">
        <v>2569</v>
      </c>
    </row>
    <row r="73" spans="1:16" x14ac:dyDescent="0.35">
      <c r="A73" s="34" t="str">
        <f t="shared" si="8"/>
        <v>2026 NOV-FEB B3 DISC 10%</v>
      </c>
      <c r="B73" s="35">
        <f t="shared" si="9"/>
        <v>46086</v>
      </c>
      <c r="C73" s="35">
        <f t="shared" si="10"/>
        <v>46092</v>
      </c>
      <c r="D73" s="34">
        <v>3284</v>
      </c>
      <c r="E73" s="34">
        <v>338</v>
      </c>
      <c r="F73" s="34">
        <v>4</v>
      </c>
      <c r="G73" s="25">
        <v>7</v>
      </c>
      <c r="H73" s="25">
        <v>81827</v>
      </c>
      <c r="I73" s="34" t="s">
        <v>2690</v>
      </c>
      <c r="J73" s="24">
        <v>68995300</v>
      </c>
      <c r="K73" s="24" t="s">
        <v>7210</v>
      </c>
      <c r="L73" s="24" t="s">
        <v>7209</v>
      </c>
      <c r="M73" s="26">
        <v>29900</v>
      </c>
      <c r="N73" s="34" t="s">
        <v>2569</v>
      </c>
      <c r="O73" s="36" t="str">
        <f t="shared" si="11"/>
        <v>B3 DISC 10%</v>
      </c>
      <c r="P73" s="34" t="s">
        <v>2569</v>
      </c>
    </row>
    <row r="74" spans="1:16" x14ac:dyDescent="0.35">
      <c r="A74" s="34" t="str">
        <f t="shared" si="8"/>
        <v>2026 NOV-FEB B3 DISC 10%</v>
      </c>
      <c r="B74" s="35">
        <f t="shared" si="9"/>
        <v>46086</v>
      </c>
      <c r="C74" s="35">
        <f t="shared" si="10"/>
        <v>46092</v>
      </c>
      <c r="D74" s="34">
        <v>3284</v>
      </c>
      <c r="E74" s="34">
        <v>338</v>
      </c>
      <c r="F74" s="34">
        <v>4</v>
      </c>
      <c r="G74" s="25">
        <v>9</v>
      </c>
      <c r="H74" s="25">
        <v>81679</v>
      </c>
      <c r="I74" s="34" t="s">
        <v>2690</v>
      </c>
      <c r="J74" s="24">
        <v>69653810</v>
      </c>
      <c r="K74" s="24" t="s">
        <v>7201</v>
      </c>
      <c r="L74" s="24" t="s">
        <v>7208</v>
      </c>
      <c r="M74" s="26">
        <v>179900</v>
      </c>
      <c r="N74" s="34" t="s">
        <v>2569</v>
      </c>
      <c r="O74" s="36" t="str">
        <f t="shared" si="11"/>
        <v>B3 DISC 10%</v>
      </c>
      <c r="P74" s="34" t="s">
        <v>2569</v>
      </c>
    </row>
    <row r="75" spans="1:16" x14ac:dyDescent="0.35">
      <c r="A75" s="34" t="str">
        <f t="shared" si="8"/>
        <v>2026 NOV-FEB B3 DISC 10%</v>
      </c>
      <c r="B75" s="35">
        <f t="shared" si="9"/>
        <v>46086</v>
      </c>
      <c r="C75" s="35">
        <f t="shared" si="10"/>
        <v>46092</v>
      </c>
      <c r="D75" s="34">
        <v>3284</v>
      </c>
      <c r="E75" s="34">
        <v>338</v>
      </c>
      <c r="F75" s="34">
        <v>4</v>
      </c>
      <c r="G75" s="25">
        <v>9</v>
      </c>
      <c r="H75" s="25">
        <v>81679</v>
      </c>
      <c r="I75" s="34" t="s">
        <v>2690</v>
      </c>
      <c r="J75" s="24">
        <v>69653829</v>
      </c>
      <c r="K75" s="24" t="s">
        <v>7201</v>
      </c>
      <c r="L75" s="24" t="s">
        <v>7207</v>
      </c>
      <c r="M75" s="26">
        <v>179900</v>
      </c>
      <c r="N75" s="34" t="s">
        <v>2569</v>
      </c>
      <c r="O75" s="36" t="str">
        <f t="shared" si="11"/>
        <v>B3 DISC 10%</v>
      </c>
      <c r="P75" s="34" t="s">
        <v>2569</v>
      </c>
    </row>
    <row r="76" spans="1:16" x14ac:dyDescent="0.35">
      <c r="A76" s="34" t="str">
        <f t="shared" si="8"/>
        <v>2026 NOV-FEB B3 DISC 10%</v>
      </c>
      <c r="B76" s="35">
        <f t="shared" si="9"/>
        <v>46086</v>
      </c>
      <c r="C76" s="35">
        <f t="shared" si="10"/>
        <v>46092</v>
      </c>
      <c r="D76" s="34">
        <v>3284</v>
      </c>
      <c r="E76" s="34">
        <v>338</v>
      </c>
      <c r="F76" s="34">
        <v>4</v>
      </c>
      <c r="G76" s="25">
        <v>9</v>
      </c>
      <c r="H76" s="25">
        <v>81679</v>
      </c>
      <c r="I76" s="34" t="s">
        <v>2690</v>
      </c>
      <c r="J76" s="24">
        <v>69653838</v>
      </c>
      <c r="K76" s="24" t="s">
        <v>7201</v>
      </c>
      <c r="L76" s="24" t="s">
        <v>7206</v>
      </c>
      <c r="M76" s="26">
        <v>179900</v>
      </c>
      <c r="N76" s="34" t="s">
        <v>2569</v>
      </c>
      <c r="O76" s="36" t="str">
        <f t="shared" si="11"/>
        <v>B3 DISC 10%</v>
      </c>
      <c r="P76" s="34" t="s">
        <v>2569</v>
      </c>
    </row>
    <row r="77" spans="1:16" x14ac:dyDescent="0.35">
      <c r="A77" s="34" t="str">
        <f t="shared" si="8"/>
        <v>2026 NOV-FEB B3 DISC 10%</v>
      </c>
      <c r="B77" s="35">
        <f t="shared" si="9"/>
        <v>46086</v>
      </c>
      <c r="C77" s="35">
        <f t="shared" si="10"/>
        <v>46092</v>
      </c>
      <c r="D77" s="34">
        <v>3284</v>
      </c>
      <c r="E77" s="34">
        <v>338</v>
      </c>
      <c r="F77" s="34">
        <v>4</v>
      </c>
      <c r="G77" s="25">
        <v>9</v>
      </c>
      <c r="H77" s="25">
        <v>81679</v>
      </c>
      <c r="I77" s="34" t="s">
        <v>2690</v>
      </c>
      <c r="J77" s="24">
        <v>69653847</v>
      </c>
      <c r="K77" s="24" t="s">
        <v>7201</v>
      </c>
      <c r="L77" s="24" t="s">
        <v>7205</v>
      </c>
      <c r="M77" s="26">
        <v>179900</v>
      </c>
      <c r="N77" s="34" t="s">
        <v>2569</v>
      </c>
      <c r="O77" s="36" t="str">
        <f t="shared" si="11"/>
        <v>B3 DISC 10%</v>
      </c>
      <c r="P77" s="34" t="s">
        <v>2569</v>
      </c>
    </row>
    <row r="78" spans="1:16" x14ac:dyDescent="0.35">
      <c r="A78" s="34" t="str">
        <f t="shared" si="8"/>
        <v>2026 NOV-FEB B3 DISC 10%</v>
      </c>
      <c r="B78" s="35">
        <f t="shared" si="9"/>
        <v>46086</v>
      </c>
      <c r="C78" s="35">
        <f t="shared" si="10"/>
        <v>46092</v>
      </c>
      <c r="D78" s="34">
        <v>3284</v>
      </c>
      <c r="E78" s="34">
        <v>338</v>
      </c>
      <c r="F78" s="34">
        <v>4</v>
      </c>
      <c r="G78" s="25">
        <v>9</v>
      </c>
      <c r="H78" s="25">
        <v>81679</v>
      </c>
      <c r="I78" s="34" t="s">
        <v>2690</v>
      </c>
      <c r="J78" s="24">
        <v>69653856</v>
      </c>
      <c r="K78" s="24" t="s">
        <v>7201</v>
      </c>
      <c r="L78" s="24" t="s">
        <v>7204</v>
      </c>
      <c r="M78" s="26">
        <v>179900</v>
      </c>
      <c r="N78" s="34" t="s">
        <v>2569</v>
      </c>
      <c r="O78" s="36" t="str">
        <f t="shared" si="11"/>
        <v>B3 DISC 10%</v>
      </c>
      <c r="P78" s="34" t="s">
        <v>2569</v>
      </c>
    </row>
    <row r="79" spans="1:16" x14ac:dyDescent="0.35">
      <c r="A79" s="34" t="str">
        <f t="shared" si="8"/>
        <v>2026 NOV-FEB B3 DISC 10%</v>
      </c>
      <c r="B79" s="35">
        <f t="shared" si="9"/>
        <v>46086</v>
      </c>
      <c r="C79" s="35">
        <f t="shared" si="10"/>
        <v>46092</v>
      </c>
      <c r="D79" s="34">
        <v>3284</v>
      </c>
      <c r="E79" s="34">
        <v>338</v>
      </c>
      <c r="F79" s="34">
        <v>4</v>
      </c>
      <c r="G79" s="25">
        <v>9</v>
      </c>
      <c r="H79" s="25">
        <v>81679</v>
      </c>
      <c r="I79" s="34" t="s">
        <v>2690</v>
      </c>
      <c r="J79" s="24">
        <v>69653865</v>
      </c>
      <c r="K79" s="24" t="s">
        <v>7201</v>
      </c>
      <c r="L79" s="24" t="s">
        <v>7203</v>
      </c>
      <c r="M79" s="26">
        <v>179900</v>
      </c>
      <c r="N79" s="34" t="s">
        <v>2569</v>
      </c>
      <c r="O79" s="36" t="str">
        <f t="shared" si="11"/>
        <v>B3 DISC 10%</v>
      </c>
      <c r="P79" s="34" t="s">
        <v>2569</v>
      </c>
    </row>
    <row r="80" spans="1:16" x14ac:dyDescent="0.35">
      <c r="A80" s="34" t="str">
        <f t="shared" si="8"/>
        <v>2026 NOV-FEB B3 DISC 10%</v>
      </c>
      <c r="B80" s="35">
        <f t="shared" si="9"/>
        <v>46086</v>
      </c>
      <c r="C80" s="35">
        <f t="shared" si="10"/>
        <v>46092</v>
      </c>
      <c r="D80" s="34">
        <v>3284</v>
      </c>
      <c r="E80" s="34">
        <v>338</v>
      </c>
      <c r="F80" s="34">
        <v>4</v>
      </c>
      <c r="G80" s="25">
        <v>9</v>
      </c>
      <c r="H80" s="25">
        <v>81679</v>
      </c>
      <c r="I80" s="34" t="s">
        <v>2690</v>
      </c>
      <c r="J80" s="24">
        <v>69653874</v>
      </c>
      <c r="K80" s="24" t="s">
        <v>7201</v>
      </c>
      <c r="L80" s="24" t="s">
        <v>7202</v>
      </c>
      <c r="M80" s="26">
        <v>179900</v>
      </c>
      <c r="N80" s="34" t="s">
        <v>2569</v>
      </c>
      <c r="O80" s="36" t="str">
        <f t="shared" si="11"/>
        <v>B3 DISC 10%</v>
      </c>
      <c r="P80" s="34" t="s">
        <v>2569</v>
      </c>
    </row>
    <row r="81" spans="1:16" x14ac:dyDescent="0.35">
      <c r="A81" s="34" t="str">
        <f t="shared" si="8"/>
        <v>2026 NOV-FEB B3 DISC 10%</v>
      </c>
      <c r="B81" s="35">
        <f t="shared" si="9"/>
        <v>46086</v>
      </c>
      <c r="C81" s="35">
        <f t="shared" si="10"/>
        <v>46092</v>
      </c>
      <c r="D81" s="34">
        <v>3284</v>
      </c>
      <c r="E81" s="34">
        <v>338</v>
      </c>
      <c r="F81" s="34">
        <v>4</v>
      </c>
      <c r="G81" s="25">
        <v>9</v>
      </c>
      <c r="H81" s="25">
        <v>81679</v>
      </c>
      <c r="I81" s="34" t="s">
        <v>2690</v>
      </c>
      <c r="J81" s="24">
        <v>69653883</v>
      </c>
      <c r="K81" s="24" t="s">
        <v>7201</v>
      </c>
      <c r="L81" s="24" t="s">
        <v>7200</v>
      </c>
      <c r="M81" s="26">
        <v>179900</v>
      </c>
      <c r="N81" s="34" t="s">
        <v>2569</v>
      </c>
      <c r="O81" s="36" t="str">
        <f t="shared" si="11"/>
        <v>B3 DISC 10%</v>
      </c>
      <c r="P81" s="34" t="s">
        <v>2569</v>
      </c>
    </row>
    <row r="82" spans="1:16" x14ac:dyDescent="0.35">
      <c r="A82" s="34" t="str">
        <f t="shared" si="8"/>
        <v>2026 NOV-FEB B3 DISC 10%</v>
      </c>
      <c r="B82" s="35">
        <f t="shared" si="9"/>
        <v>46086</v>
      </c>
      <c r="C82" s="35">
        <f t="shared" si="10"/>
        <v>46092</v>
      </c>
      <c r="D82" s="34">
        <v>3284</v>
      </c>
      <c r="E82" s="34">
        <v>338</v>
      </c>
      <c r="F82" s="34">
        <v>4</v>
      </c>
      <c r="G82" s="25">
        <v>9</v>
      </c>
      <c r="H82" s="25">
        <v>81679</v>
      </c>
      <c r="I82" s="34" t="s">
        <v>2690</v>
      </c>
      <c r="J82" s="24">
        <v>69654266</v>
      </c>
      <c r="K82" s="24" t="s">
        <v>7192</v>
      </c>
      <c r="L82" s="24" t="s">
        <v>7199</v>
      </c>
      <c r="M82" s="26">
        <v>149900</v>
      </c>
      <c r="N82" s="34" t="s">
        <v>2569</v>
      </c>
      <c r="O82" s="36" t="str">
        <f t="shared" si="11"/>
        <v>B3 DISC 10%</v>
      </c>
      <c r="P82" s="34" t="s">
        <v>2569</v>
      </c>
    </row>
    <row r="83" spans="1:16" x14ac:dyDescent="0.35">
      <c r="A83" s="34" t="str">
        <f t="shared" si="8"/>
        <v>2026 NOV-FEB B3 DISC 10%</v>
      </c>
      <c r="B83" s="35">
        <f t="shared" si="9"/>
        <v>46086</v>
      </c>
      <c r="C83" s="35">
        <f t="shared" si="10"/>
        <v>46092</v>
      </c>
      <c r="D83" s="34">
        <v>3284</v>
      </c>
      <c r="E83" s="34">
        <v>338</v>
      </c>
      <c r="F83" s="34">
        <v>4</v>
      </c>
      <c r="G83" s="25">
        <v>9</v>
      </c>
      <c r="H83" s="25">
        <v>81679</v>
      </c>
      <c r="I83" s="34" t="s">
        <v>2690</v>
      </c>
      <c r="J83" s="24">
        <v>69654275</v>
      </c>
      <c r="K83" s="24" t="s">
        <v>7192</v>
      </c>
      <c r="L83" s="24" t="s">
        <v>7198</v>
      </c>
      <c r="M83" s="26">
        <v>149900</v>
      </c>
      <c r="N83" s="34" t="s">
        <v>2569</v>
      </c>
      <c r="O83" s="36" t="str">
        <f t="shared" si="11"/>
        <v>B3 DISC 10%</v>
      </c>
      <c r="P83" s="34" t="s">
        <v>2569</v>
      </c>
    </row>
    <row r="84" spans="1:16" x14ac:dyDescent="0.35">
      <c r="A84" s="34" t="str">
        <f t="shared" si="8"/>
        <v>2026 NOV-FEB B3 DISC 10%</v>
      </c>
      <c r="B84" s="35">
        <f t="shared" si="9"/>
        <v>46086</v>
      </c>
      <c r="C84" s="35">
        <f t="shared" si="10"/>
        <v>46092</v>
      </c>
      <c r="D84" s="34">
        <v>3284</v>
      </c>
      <c r="E84" s="34">
        <v>338</v>
      </c>
      <c r="F84" s="34">
        <v>4</v>
      </c>
      <c r="G84" s="25">
        <v>9</v>
      </c>
      <c r="H84" s="25">
        <v>81679</v>
      </c>
      <c r="I84" s="34" t="s">
        <v>2690</v>
      </c>
      <c r="J84" s="24">
        <v>69654284</v>
      </c>
      <c r="K84" s="24" t="s">
        <v>7192</v>
      </c>
      <c r="L84" s="24" t="s">
        <v>7197</v>
      </c>
      <c r="M84" s="26">
        <v>149900</v>
      </c>
      <c r="N84" s="34" t="s">
        <v>2569</v>
      </c>
      <c r="O84" s="36" t="str">
        <f t="shared" si="11"/>
        <v>B3 DISC 10%</v>
      </c>
      <c r="P84" s="34" t="s">
        <v>2569</v>
      </c>
    </row>
    <row r="85" spans="1:16" x14ac:dyDescent="0.35">
      <c r="A85" s="34" t="str">
        <f t="shared" si="8"/>
        <v>2026 NOV-FEB B3 DISC 10%</v>
      </c>
      <c r="B85" s="35">
        <f t="shared" si="9"/>
        <v>46086</v>
      </c>
      <c r="C85" s="35">
        <f t="shared" si="10"/>
        <v>46092</v>
      </c>
      <c r="D85" s="34">
        <v>3284</v>
      </c>
      <c r="E85" s="34">
        <v>338</v>
      </c>
      <c r="F85" s="34">
        <v>4</v>
      </c>
      <c r="G85" s="25">
        <v>9</v>
      </c>
      <c r="H85" s="25">
        <v>81679</v>
      </c>
      <c r="I85" s="34" t="s">
        <v>2690</v>
      </c>
      <c r="J85" s="24">
        <v>69654293</v>
      </c>
      <c r="K85" s="24" t="s">
        <v>7192</v>
      </c>
      <c r="L85" s="24" t="s">
        <v>7196</v>
      </c>
      <c r="M85" s="26">
        <v>149900</v>
      </c>
      <c r="N85" s="34" t="s">
        <v>2569</v>
      </c>
      <c r="O85" s="36" t="str">
        <f t="shared" si="11"/>
        <v>B3 DISC 10%</v>
      </c>
      <c r="P85" s="34" t="s">
        <v>2569</v>
      </c>
    </row>
    <row r="86" spans="1:16" x14ac:dyDescent="0.35">
      <c r="A86" s="34" t="str">
        <f t="shared" si="8"/>
        <v>2026 NOV-FEB B3 DISC 10%</v>
      </c>
      <c r="B86" s="35">
        <f t="shared" si="9"/>
        <v>46086</v>
      </c>
      <c r="C86" s="35">
        <f t="shared" si="10"/>
        <v>46092</v>
      </c>
      <c r="D86" s="34">
        <v>3284</v>
      </c>
      <c r="E86" s="34">
        <v>338</v>
      </c>
      <c r="F86" s="34">
        <v>4</v>
      </c>
      <c r="G86" s="25">
        <v>9</v>
      </c>
      <c r="H86" s="25">
        <v>81679</v>
      </c>
      <c r="I86" s="34" t="s">
        <v>2690</v>
      </c>
      <c r="J86" s="24">
        <v>69654300</v>
      </c>
      <c r="K86" s="24" t="s">
        <v>7192</v>
      </c>
      <c r="L86" s="24" t="s">
        <v>7195</v>
      </c>
      <c r="M86" s="26">
        <v>149900</v>
      </c>
      <c r="N86" s="34" t="s">
        <v>2569</v>
      </c>
      <c r="O86" s="36" t="str">
        <f t="shared" si="11"/>
        <v>B3 DISC 10%</v>
      </c>
      <c r="P86" s="34" t="s">
        <v>2569</v>
      </c>
    </row>
    <row r="87" spans="1:16" x14ac:dyDescent="0.35">
      <c r="A87" s="34" t="str">
        <f t="shared" si="8"/>
        <v>2026 NOV-FEB B3 DISC 10%</v>
      </c>
      <c r="B87" s="35">
        <f t="shared" si="9"/>
        <v>46086</v>
      </c>
      <c r="C87" s="35">
        <f t="shared" si="10"/>
        <v>46092</v>
      </c>
      <c r="D87" s="34">
        <v>3284</v>
      </c>
      <c r="E87" s="34">
        <v>338</v>
      </c>
      <c r="F87" s="34">
        <v>4</v>
      </c>
      <c r="G87" s="25">
        <v>9</v>
      </c>
      <c r="H87" s="25">
        <v>81679</v>
      </c>
      <c r="I87" s="34" t="s">
        <v>2690</v>
      </c>
      <c r="J87" s="24">
        <v>69654319</v>
      </c>
      <c r="K87" s="24" t="s">
        <v>7192</v>
      </c>
      <c r="L87" s="24" t="s">
        <v>7194</v>
      </c>
      <c r="M87" s="26">
        <v>149900</v>
      </c>
      <c r="N87" s="34" t="s">
        <v>2569</v>
      </c>
      <c r="O87" s="36" t="str">
        <f t="shared" si="11"/>
        <v>B3 DISC 10%</v>
      </c>
      <c r="P87" s="34" t="s">
        <v>2569</v>
      </c>
    </row>
    <row r="88" spans="1:16" x14ac:dyDescent="0.35">
      <c r="A88" s="34" t="str">
        <f t="shared" si="8"/>
        <v>2026 NOV-FEB B3 DISC 10%</v>
      </c>
      <c r="B88" s="35">
        <f t="shared" si="9"/>
        <v>46086</v>
      </c>
      <c r="C88" s="35">
        <f t="shared" si="10"/>
        <v>46092</v>
      </c>
      <c r="D88" s="34">
        <v>3284</v>
      </c>
      <c r="E88" s="34">
        <v>338</v>
      </c>
      <c r="F88" s="34">
        <v>4</v>
      </c>
      <c r="G88" s="25">
        <v>9</v>
      </c>
      <c r="H88" s="25">
        <v>81679</v>
      </c>
      <c r="I88" s="34" t="s">
        <v>2690</v>
      </c>
      <c r="J88" s="24">
        <v>69654328</v>
      </c>
      <c r="K88" s="24" t="s">
        <v>7192</v>
      </c>
      <c r="L88" s="24" t="s">
        <v>7193</v>
      </c>
      <c r="M88" s="26">
        <v>149900</v>
      </c>
      <c r="N88" s="34" t="s">
        <v>2569</v>
      </c>
      <c r="O88" s="36" t="str">
        <f t="shared" si="11"/>
        <v>B3 DISC 10%</v>
      </c>
      <c r="P88" s="34" t="s">
        <v>2569</v>
      </c>
    </row>
    <row r="89" spans="1:16" x14ac:dyDescent="0.35">
      <c r="A89" s="34" t="str">
        <f t="shared" si="8"/>
        <v>2026 NOV-FEB B3 DISC 10%</v>
      </c>
      <c r="B89" s="35">
        <f t="shared" si="9"/>
        <v>46086</v>
      </c>
      <c r="C89" s="35">
        <f t="shared" si="10"/>
        <v>46092</v>
      </c>
      <c r="D89" s="34">
        <v>3284</v>
      </c>
      <c r="E89" s="34">
        <v>338</v>
      </c>
      <c r="F89" s="34">
        <v>4</v>
      </c>
      <c r="G89" s="25">
        <v>9</v>
      </c>
      <c r="H89" s="25">
        <v>81679</v>
      </c>
      <c r="I89" s="34" t="s">
        <v>2690</v>
      </c>
      <c r="J89" s="24">
        <v>69654337</v>
      </c>
      <c r="K89" s="24" t="s">
        <v>7192</v>
      </c>
      <c r="L89" s="24" t="s">
        <v>7191</v>
      </c>
      <c r="M89" s="26">
        <v>149900</v>
      </c>
      <c r="N89" s="34" t="s">
        <v>2569</v>
      </c>
      <c r="O89" s="36" t="str">
        <f t="shared" si="11"/>
        <v>B3 DISC 10%</v>
      </c>
      <c r="P89" s="34" t="s">
        <v>2569</v>
      </c>
    </row>
    <row r="90" spans="1:16" x14ac:dyDescent="0.35">
      <c r="A90" s="34" t="str">
        <f t="shared" si="8"/>
        <v>2026 NOV-FEB B3 DISC 10%</v>
      </c>
      <c r="B90" s="35">
        <f t="shared" si="9"/>
        <v>46086</v>
      </c>
      <c r="C90" s="35">
        <f t="shared" si="10"/>
        <v>46092</v>
      </c>
      <c r="D90" s="34">
        <v>3284</v>
      </c>
      <c r="E90" s="34">
        <v>338</v>
      </c>
      <c r="F90" s="34">
        <v>4</v>
      </c>
      <c r="G90" s="25">
        <v>4</v>
      </c>
      <c r="H90" s="25">
        <v>81679</v>
      </c>
      <c r="I90" s="34" t="s">
        <v>2690</v>
      </c>
      <c r="J90" s="24">
        <v>69688944</v>
      </c>
      <c r="K90" s="24" t="s">
        <v>7183</v>
      </c>
      <c r="L90" s="24" t="s">
        <v>7190</v>
      </c>
      <c r="M90" s="26">
        <v>149900</v>
      </c>
      <c r="N90" s="34" t="s">
        <v>2569</v>
      </c>
      <c r="O90" s="36" t="str">
        <f t="shared" si="11"/>
        <v>B3 DISC 10%</v>
      </c>
      <c r="P90" s="34" t="s">
        <v>2569</v>
      </c>
    </row>
    <row r="91" spans="1:16" x14ac:dyDescent="0.35">
      <c r="A91" s="34" t="str">
        <f t="shared" si="8"/>
        <v>2026 NOV-FEB B3 DISC 10%</v>
      </c>
      <c r="B91" s="35">
        <f t="shared" si="9"/>
        <v>46086</v>
      </c>
      <c r="C91" s="35">
        <f t="shared" si="10"/>
        <v>46092</v>
      </c>
      <c r="D91" s="34">
        <v>3284</v>
      </c>
      <c r="E91" s="34">
        <v>338</v>
      </c>
      <c r="F91" s="34">
        <v>4</v>
      </c>
      <c r="G91" s="25">
        <v>4</v>
      </c>
      <c r="H91" s="25">
        <v>81679</v>
      </c>
      <c r="I91" s="34" t="s">
        <v>2690</v>
      </c>
      <c r="J91" s="24">
        <v>69688953</v>
      </c>
      <c r="K91" s="24" t="s">
        <v>7183</v>
      </c>
      <c r="L91" s="24" t="s">
        <v>7189</v>
      </c>
      <c r="M91" s="26">
        <v>149900</v>
      </c>
      <c r="N91" s="34" t="s">
        <v>2569</v>
      </c>
      <c r="O91" s="36" t="str">
        <f t="shared" si="11"/>
        <v>B3 DISC 10%</v>
      </c>
      <c r="P91" s="34" t="s">
        <v>2569</v>
      </c>
    </row>
    <row r="92" spans="1:16" x14ac:dyDescent="0.35">
      <c r="A92" s="34" t="str">
        <f t="shared" si="8"/>
        <v>2026 NOV-FEB B3 DISC 10%</v>
      </c>
      <c r="B92" s="35">
        <f t="shared" si="9"/>
        <v>46086</v>
      </c>
      <c r="C92" s="35">
        <f t="shared" si="10"/>
        <v>46092</v>
      </c>
      <c r="D92" s="34">
        <v>3284</v>
      </c>
      <c r="E92" s="34">
        <v>338</v>
      </c>
      <c r="F92" s="34">
        <v>4</v>
      </c>
      <c r="G92" s="25">
        <v>4</v>
      </c>
      <c r="H92" s="25">
        <v>81679</v>
      </c>
      <c r="I92" s="34" t="s">
        <v>2690</v>
      </c>
      <c r="J92" s="24">
        <v>69688962</v>
      </c>
      <c r="K92" s="24" t="s">
        <v>7183</v>
      </c>
      <c r="L92" s="24" t="s">
        <v>7188</v>
      </c>
      <c r="M92" s="26">
        <v>149900</v>
      </c>
      <c r="N92" s="34" t="s">
        <v>2569</v>
      </c>
      <c r="O92" s="36" t="str">
        <f t="shared" si="11"/>
        <v>B3 DISC 10%</v>
      </c>
      <c r="P92" s="34" t="s">
        <v>2569</v>
      </c>
    </row>
    <row r="93" spans="1:16" x14ac:dyDescent="0.35">
      <c r="A93" s="34" t="str">
        <f t="shared" si="8"/>
        <v>2026 NOV-FEB B3 DISC 10%</v>
      </c>
      <c r="B93" s="35">
        <f t="shared" si="9"/>
        <v>46086</v>
      </c>
      <c r="C93" s="35">
        <f t="shared" si="10"/>
        <v>46092</v>
      </c>
      <c r="D93" s="34">
        <v>3284</v>
      </c>
      <c r="E93" s="34">
        <v>338</v>
      </c>
      <c r="F93" s="34">
        <v>4</v>
      </c>
      <c r="G93" s="25">
        <v>4</v>
      </c>
      <c r="H93" s="25">
        <v>81679</v>
      </c>
      <c r="I93" s="34" t="s">
        <v>2690</v>
      </c>
      <c r="J93" s="24">
        <v>69688971</v>
      </c>
      <c r="K93" s="24" t="s">
        <v>7183</v>
      </c>
      <c r="L93" s="24" t="s">
        <v>7187</v>
      </c>
      <c r="M93" s="26">
        <v>149900</v>
      </c>
      <c r="N93" s="34" t="s">
        <v>2569</v>
      </c>
      <c r="O93" s="36" t="str">
        <f t="shared" si="11"/>
        <v>B3 DISC 10%</v>
      </c>
      <c r="P93" s="34" t="s">
        <v>2569</v>
      </c>
    </row>
    <row r="94" spans="1:16" x14ac:dyDescent="0.35">
      <c r="A94" s="34" t="str">
        <f t="shared" si="8"/>
        <v>2026 NOV-FEB B3 DISC 10%</v>
      </c>
      <c r="B94" s="35">
        <f t="shared" si="9"/>
        <v>46086</v>
      </c>
      <c r="C94" s="35">
        <f t="shared" si="10"/>
        <v>46092</v>
      </c>
      <c r="D94" s="34">
        <v>3284</v>
      </c>
      <c r="E94" s="34">
        <v>338</v>
      </c>
      <c r="F94" s="34">
        <v>4</v>
      </c>
      <c r="G94" s="25">
        <v>4</v>
      </c>
      <c r="H94" s="25">
        <v>81679</v>
      </c>
      <c r="I94" s="34" t="s">
        <v>2690</v>
      </c>
      <c r="J94" s="24">
        <v>69688980</v>
      </c>
      <c r="K94" s="24" t="s">
        <v>7183</v>
      </c>
      <c r="L94" s="24" t="s">
        <v>7186</v>
      </c>
      <c r="M94" s="26">
        <v>149900</v>
      </c>
      <c r="N94" s="34" t="s">
        <v>2569</v>
      </c>
      <c r="O94" s="36" t="str">
        <f t="shared" si="11"/>
        <v>B3 DISC 10%</v>
      </c>
      <c r="P94" s="34" t="s">
        <v>2569</v>
      </c>
    </row>
    <row r="95" spans="1:16" x14ac:dyDescent="0.35">
      <c r="A95" s="34" t="str">
        <f t="shared" si="8"/>
        <v>2026 NOV-FEB B3 DISC 10%</v>
      </c>
      <c r="B95" s="35">
        <f t="shared" si="9"/>
        <v>46086</v>
      </c>
      <c r="C95" s="35">
        <f t="shared" si="10"/>
        <v>46092</v>
      </c>
      <c r="D95" s="34">
        <v>3284</v>
      </c>
      <c r="E95" s="34">
        <v>338</v>
      </c>
      <c r="F95" s="34">
        <v>4</v>
      </c>
      <c r="G95" s="25">
        <v>4</v>
      </c>
      <c r="H95" s="25">
        <v>81679</v>
      </c>
      <c r="I95" s="34" t="s">
        <v>2690</v>
      </c>
      <c r="J95" s="24">
        <v>69688999</v>
      </c>
      <c r="K95" s="24" t="s">
        <v>7183</v>
      </c>
      <c r="L95" s="24" t="s">
        <v>7185</v>
      </c>
      <c r="M95" s="26">
        <v>149900</v>
      </c>
      <c r="N95" s="34" t="s">
        <v>2569</v>
      </c>
      <c r="O95" s="36" t="str">
        <f t="shared" si="11"/>
        <v>B3 DISC 10%</v>
      </c>
      <c r="P95" s="34" t="s">
        <v>2569</v>
      </c>
    </row>
    <row r="96" spans="1:16" x14ac:dyDescent="0.35">
      <c r="A96" s="34" t="str">
        <f t="shared" si="8"/>
        <v>2026 NOV-FEB B3 DISC 10%</v>
      </c>
      <c r="B96" s="35">
        <f t="shared" si="9"/>
        <v>46086</v>
      </c>
      <c r="C96" s="35">
        <f t="shared" si="10"/>
        <v>46092</v>
      </c>
      <c r="D96" s="34">
        <v>3284</v>
      </c>
      <c r="E96" s="34">
        <v>338</v>
      </c>
      <c r="F96" s="34">
        <v>4</v>
      </c>
      <c r="G96" s="25">
        <v>4</v>
      </c>
      <c r="H96" s="25">
        <v>81679</v>
      </c>
      <c r="I96" s="34" t="s">
        <v>2690</v>
      </c>
      <c r="J96" s="24">
        <v>69689005</v>
      </c>
      <c r="K96" s="24" t="s">
        <v>7183</v>
      </c>
      <c r="L96" s="24" t="s">
        <v>7184</v>
      </c>
      <c r="M96" s="26">
        <v>149900</v>
      </c>
      <c r="N96" s="34" t="s">
        <v>2569</v>
      </c>
      <c r="O96" s="36" t="str">
        <f t="shared" si="11"/>
        <v>B3 DISC 10%</v>
      </c>
      <c r="P96" s="34" t="s">
        <v>2569</v>
      </c>
    </row>
    <row r="97" spans="1:16" x14ac:dyDescent="0.35">
      <c r="A97" s="34" t="str">
        <f t="shared" si="8"/>
        <v>2026 NOV-FEB B3 DISC 10%</v>
      </c>
      <c r="B97" s="35">
        <f t="shared" si="9"/>
        <v>46086</v>
      </c>
      <c r="C97" s="35">
        <f t="shared" si="10"/>
        <v>46092</v>
      </c>
      <c r="D97" s="34">
        <v>3284</v>
      </c>
      <c r="E97" s="34">
        <v>338</v>
      </c>
      <c r="F97" s="34">
        <v>4</v>
      </c>
      <c r="G97" s="25">
        <v>4</v>
      </c>
      <c r="H97" s="25">
        <v>81679</v>
      </c>
      <c r="I97" s="34" t="s">
        <v>2690</v>
      </c>
      <c r="J97" s="24">
        <v>69689014</v>
      </c>
      <c r="K97" s="24" t="s">
        <v>7183</v>
      </c>
      <c r="L97" s="24" t="s">
        <v>7182</v>
      </c>
      <c r="M97" s="26">
        <v>149900</v>
      </c>
      <c r="N97" s="34" t="s">
        <v>2569</v>
      </c>
      <c r="O97" s="36" t="str">
        <f t="shared" si="11"/>
        <v>B3 DISC 10%</v>
      </c>
      <c r="P97" s="34" t="s">
        <v>2569</v>
      </c>
    </row>
    <row r="98" spans="1:16" x14ac:dyDescent="0.35">
      <c r="A98" s="34" t="str">
        <f t="shared" si="8"/>
        <v>2026 NOV-FEB B3 DISC 10%</v>
      </c>
      <c r="B98" s="35">
        <f t="shared" si="9"/>
        <v>46086</v>
      </c>
      <c r="C98" s="35">
        <f t="shared" si="10"/>
        <v>46092</v>
      </c>
      <c r="D98" s="34">
        <v>3284</v>
      </c>
      <c r="E98" s="34">
        <v>338</v>
      </c>
      <c r="F98" s="34">
        <v>4</v>
      </c>
      <c r="G98" s="25">
        <v>10</v>
      </c>
      <c r="H98" s="25">
        <v>81533</v>
      </c>
      <c r="I98" s="34" t="s">
        <v>2690</v>
      </c>
      <c r="J98" s="24">
        <v>69654088</v>
      </c>
      <c r="K98" s="24" t="s">
        <v>7179</v>
      </c>
      <c r="L98" s="24" t="s">
        <v>7181</v>
      </c>
      <c r="M98" s="26">
        <v>29900</v>
      </c>
      <c r="N98" s="34" t="s">
        <v>2569</v>
      </c>
      <c r="O98" s="36" t="str">
        <f t="shared" si="11"/>
        <v>B3 DISC 10%</v>
      </c>
      <c r="P98" s="34" t="s">
        <v>2569</v>
      </c>
    </row>
    <row r="99" spans="1:16" x14ac:dyDescent="0.35">
      <c r="A99" s="34" t="str">
        <f t="shared" ref="A99:A130" si="12">A98</f>
        <v>2026 NOV-FEB B3 DISC 10%</v>
      </c>
      <c r="B99" s="35">
        <f t="shared" ref="B99:B130" si="13">B98</f>
        <v>46086</v>
      </c>
      <c r="C99" s="35">
        <f t="shared" ref="C99:C130" si="14">C98</f>
        <v>46092</v>
      </c>
      <c r="D99" s="34">
        <v>3284</v>
      </c>
      <c r="E99" s="34">
        <v>338</v>
      </c>
      <c r="F99" s="34">
        <v>4</v>
      </c>
      <c r="G99" s="25">
        <v>10</v>
      </c>
      <c r="H99" s="25">
        <v>81533</v>
      </c>
      <c r="I99" s="34" t="s">
        <v>2690</v>
      </c>
      <c r="J99" s="24">
        <v>69654097</v>
      </c>
      <c r="K99" s="24" t="s">
        <v>7179</v>
      </c>
      <c r="L99" s="24" t="s">
        <v>7180</v>
      </c>
      <c r="M99" s="26">
        <v>29900</v>
      </c>
      <c r="N99" s="34" t="s">
        <v>2569</v>
      </c>
      <c r="O99" s="36" t="str">
        <f t="shared" ref="O99:O130" si="15">O98</f>
        <v>B3 DISC 10%</v>
      </c>
      <c r="P99" s="34" t="s">
        <v>2569</v>
      </c>
    </row>
    <row r="100" spans="1:16" x14ac:dyDescent="0.35">
      <c r="A100" s="34" t="str">
        <f t="shared" si="12"/>
        <v>2026 NOV-FEB B3 DISC 10%</v>
      </c>
      <c r="B100" s="35">
        <f t="shared" si="13"/>
        <v>46086</v>
      </c>
      <c r="C100" s="35">
        <f t="shared" si="14"/>
        <v>46092</v>
      </c>
      <c r="D100" s="34">
        <v>3284</v>
      </c>
      <c r="E100" s="34">
        <v>338</v>
      </c>
      <c r="F100" s="34">
        <v>4</v>
      </c>
      <c r="G100" s="25">
        <v>10</v>
      </c>
      <c r="H100" s="25">
        <v>81533</v>
      </c>
      <c r="I100" s="34" t="s">
        <v>2690</v>
      </c>
      <c r="J100" s="24">
        <v>69654104</v>
      </c>
      <c r="K100" s="24" t="s">
        <v>7179</v>
      </c>
      <c r="L100" s="24" t="s">
        <v>7178</v>
      </c>
      <c r="M100" s="26">
        <v>29900</v>
      </c>
      <c r="N100" s="34" t="s">
        <v>2569</v>
      </c>
      <c r="O100" s="36" t="str">
        <f t="shared" si="15"/>
        <v>B3 DISC 10%</v>
      </c>
      <c r="P100" s="34" t="s">
        <v>2569</v>
      </c>
    </row>
    <row r="101" spans="1:16" x14ac:dyDescent="0.35">
      <c r="A101" s="34" t="str">
        <f t="shared" si="12"/>
        <v>2026 NOV-FEB B3 DISC 10%</v>
      </c>
      <c r="B101" s="35">
        <f t="shared" si="13"/>
        <v>46086</v>
      </c>
      <c r="C101" s="35">
        <f t="shared" si="14"/>
        <v>46092</v>
      </c>
      <c r="D101" s="34">
        <v>3284</v>
      </c>
      <c r="E101" s="34">
        <v>338</v>
      </c>
      <c r="F101" s="34">
        <v>4</v>
      </c>
      <c r="G101" s="25">
        <v>10</v>
      </c>
      <c r="H101" s="25">
        <v>81533</v>
      </c>
      <c r="I101" s="34" t="s">
        <v>2690</v>
      </c>
      <c r="J101" s="24">
        <v>69654051</v>
      </c>
      <c r="K101" s="24" t="s">
        <v>7175</v>
      </c>
      <c r="L101" s="24" t="s">
        <v>7177</v>
      </c>
      <c r="M101" s="26">
        <v>29900</v>
      </c>
      <c r="N101" s="34" t="s">
        <v>2569</v>
      </c>
      <c r="O101" s="36" t="str">
        <f t="shared" si="15"/>
        <v>B3 DISC 10%</v>
      </c>
      <c r="P101" s="34" t="s">
        <v>2569</v>
      </c>
    </row>
    <row r="102" spans="1:16" x14ac:dyDescent="0.35">
      <c r="A102" s="34" t="str">
        <f t="shared" si="12"/>
        <v>2026 NOV-FEB B3 DISC 10%</v>
      </c>
      <c r="B102" s="35">
        <f t="shared" si="13"/>
        <v>46086</v>
      </c>
      <c r="C102" s="35">
        <f t="shared" si="14"/>
        <v>46092</v>
      </c>
      <c r="D102" s="34">
        <v>3284</v>
      </c>
      <c r="E102" s="34">
        <v>338</v>
      </c>
      <c r="F102" s="34">
        <v>4</v>
      </c>
      <c r="G102" s="25">
        <v>10</v>
      </c>
      <c r="H102" s="25">
        <v>81533</v>
      </c>
      <c r="I102" s="34" t="s">
        <v>2690</v>
      </c>
      <c r="J102" s="24">
        <v>69654060</v>
      </c>
      <c r="K102" s="24" t="s">
        <v>7175</v>
      </c>
      <c r="L102" s="24" t="s">
        <v>7176</v>
      </c>
      <c r="M102" s="26">
        <v>29900</v>
      </c>
      <c r="N102" s="34" t="s">
        <v>2569</v>
      </c>
      <c r="O102" s="36" t="str">
        <f t="shared" si="15"/>
        <v>B3 DISC 10%</v>
      </c>
      <c r="P102" s="34" t="s">
        <v>2569</v>
      </c>
    </row>
    <row r="103" spans="1:16" x14ac:dyDescent="0.35">
      <c r="A103" s="34" t="str">
        <f t="shared" si="12"/>
        <v>2026 NOV-FEB B3 DISC 10%</v>
      </c>
      <c r="B103" s="35">
        <f t="shared" si="13"/>
        <v>46086</v>
      </c>
      <c r="C103" s="35">
        <f t="shared" si="14"/>
        <v>46092</v>
      </c>
      <c r="D103" s="34">
        <v>3284</v>
      </c>
      <c r="E103" s="34">
        <v>338</v>
      </c>
      <c r="F103" s="34">
        <v>4</v>
      </c>
      <c r="G103" s="25">
        <v>10</v>
      </c>
      <c r="H103" s="25">
        <v>81533</v>
      </c>
      <c r="I103" s="34" t="s">
        <v>2690</v>
      </c>
      <c r="J103" s="24">
        <v>69654079</v>
      </c>
      <c r="K103" s="24" t="s">
        <v>7175</v>
      </c>
      <c r="L103" s="24" t="s">
        <v>7174</v>
      </c>
      <c r="M103" s="26">
        <v>29900</v>
      </c>
      <c r="N103" s="34" t="s">
        <v>2569</v>
      </c>
      <c r="O103" s="36" t="str">
        <f t="shared" si="15"/>
        <v>B3 DISC 10%</v>
      </c>
      <c r="P103" s="34" t="s">
        <v>2569</v>
      </c>
    </row>
    <row r="104" spans="1:16" x14ac:dyDescent="0.35">
      <c r="A104" s="34" t="str">
        <f t="shared" si="12"/>
        <v>2026 NOV-FEB B3 DISC 10%</v>
      </c>
      <c r="B104" s="35">
        <f t="shared" si="13"/>
        <v>46086</v>
      </c>
      <c r="C104" s="35">
        <f t="shared" si="14"/>
        <v>46092</v>
      </c>
      <c r="D104" s="34">
        <v>3284</v>
      </c>
      <c r="E104" s="34">
        <v>338</v>
      </c>
      <c r="F104" s="34">
        <v>4</v>
      </c>
      <c r="G104" s="25">
        <v>10</v>
      </c>
      <c r="H104" s="25">
        <v>81533</v>
      </c>
      <c r="I104" s="34" t="s">
        <v>2690</v>
      </c>
      <c r="J104" s="24">
        <v>69654113</v>
      </c>
      <c r="K104" s="24" t="s">
        <v>7171</v>
      </c>
      <c r="L104" s="24" t="s">
        <v>7173</v>
      </c>
      <c r="M104" s="26">
        <v>29900</v>
      </c>
      <c r="N104" s="34" t="s">
        <v>2569</v>
      </c>
      <c r="O104" s="36" t="str">
        <f t="shared" si="15"/>
        <v>B3 DISC 10%</v>
      </c>
      <c r="P104" s="34" t="s">
        <v>2569</v>
      </c>
    </row>
    <row r="105" spans="1:16" x14ac:dyDescent="0.35">
      <c r="A105" s="34" t="str">
        <f t="shared" si="12"/>
        <v>2026 NOV-FEB B3 DISC 10%</v>
      </c>
      <c r="B105" s="35">
        <f t="shared" si="13"/>
        <v>46086</v>
      </c>
      <c r="C105" s="35">
        <f t="shared" si="14"/>
        <v>46092</v>
      </c>
      <c r="D105" s="34">
        <v>3284</v>
      </c>
      <c r="E105" s="34">
        <v>338</v>
      </c>
      <c r="F105" s="34">
        <v>4</v>
      </c>
      <c r="G105" s="25">
        <v>10</v>
      </c>
      <c r="H105" s="25">
        <v>81533</v>
      </c>
      <c r="I105" s="34" t="s">
        <v>2690</v>
      </c>
      <c r="J105" s="24">
        <v>69654122</v>
      </c>
      <c r="K105" s="24" t="s">
        <v>7171</v>
      </c>
      <c r="L105" s="24" t="s">
        <v>7172</v>
      </c>
      <c r="M105" s="26">
        <v>29900</v>
      </c>
      <c r="N105" s="34" t="s">
        <v>2569</v>
      </c>
      <c r="O105" s="36" t="str">
        <f t="shared" si="15"/>
        <v>B3 DISC 10%</v>
      </c>
      <c r="P105" s="34" t="s">
        <v>2569</v>
      </c>
    </row>
    <row r="106" spans="1:16" x14ac:dyDescent="0.35">
      <c r="A106" s="34" t="str">
        <f t="shared" si="12"/>
        <v>2026 NOV-FEB B3 DISC 10%</v>
      </c>
      <c r="B106" s="35">
        <f t="shared" si="13"/>
        <v>46086</v>
      </c>
      <c r="C106" s="35">
        <f t="shared" si="14"/>
        <v>46092</v>
      </c>
      <c r="D106" s="34">
        <v>3284</v>
      </c>
      <c r="E106" s="34">
        <v>338</v>
      </c>
      <c r="F106" s="34">
        <v>4</v>
      </c>
      <c r="G106" s="25">
        <v>10</v>
      </c>
      <c r="H106" s="25">
        <v>81533</v>
      </c>
      <c r="I106" s="34" t="s">
        <v>2690</v>
      </c>
      <c r="J106" s="24">
        <v>69654131</v>
      </c>
      <c r="K106" s="24" t="s">
        <v>7171</v>
      </c>
      <c r="L106" s="24" t="s">
        <v>7170</v>
      </c>
      <c r="M106" s="26">
        <v>29900</v>
      </c>
      <c r="N106" s="34" t="s">
        <v>2569</v>
      </c>
      <c r="O106" s="36" t="str">
        <f t="shared" si="15"/>
        <v>B3 DISC 10%</v>
      </c>
      <c r="P106" s="34" t="s">
        <v>2569</v>
      </c>
    </row>
    <row r="107" spans="1:16" x14ac:dyDescent="0.35">
      <c r="A107" s="34" t="str">
        <f t="shared" si="12"/>
        <v>2026 NOV-FEB B3 DISC 10%</v>
      </c>
      <c r="B107" s="35">
        <f t="shared" si="13"/>
        <v>46086</v>
      </c>
      <c r="C107" s="35">
        <f t="shared" si="14"/>
        <v>46092</v>
      </c>
      <c r="D107" s="34">
        <v>3284</v>
      </c>
      <c r="E107" s="34">
        <v>338</v>
      </c>
      <c r="F107" s="34">
        <v>4</v>
      </c>
      <c r="G107" s="25">
        <v>8</v>
      </c>
      <c r="H107" s="25">
        <v>81679</v>
      </c>
      <c r="I107" s="34" t="s">
        <v>2690</v>
      </c>
      <c r="J107" s="24">
        <v>69654588</v>
      </c>
      <c r="K107" s="24" t="s">
        <v>7166</v>
      </c>
      <c r="L107" s="24" t="s">
        <v>7169</v>
      </c>
      <c r="M107" s="26">
        <v>89900</v>
      </c>
      <c r="N107" s="34" t="s">
        <v>2569</v>
      </c>
      <c r="O107" s="36" t="str">
        <f t="shared" si="15"/>
        <v>B3 DISC 10%</v>
      </c>
      <c r="P107" s="34" t="s">
        <v>2569</v>
      </c>
    </row>
    <row r="108" spans="1:16" x14ac:dyDescent="0.35">
      <c r="A108" s="34" t="str">
        <f t="shared" si="12"/>
        <v>2026 NOV-FEB B3 DISC 10%</v>
      </c>
      <c r="B108" s="35">
        <f t="shared" si="13"/>
        <v>46086</v>
      </c>
      <c r="C108" s="35">
        <f t="shared" si="14"/>
        <v>46092</v>
      </c>
      <c r="D108" s="34">
        <v>3284</v>
      </c>
      <c r="E108" s="34">
        <v>338</v>
      </c>
      <c r="F108" s="34">
        <v>4</v>
      </c>
      <c r="G108" s="25">
        <v>8</v>
      </c>
      <c r="H108" s="25">
        <v>81679</v>
      </c>
      <c r="I108" s="34" t="s">
        <v>2690</v>
      </c>
      <c r="J108" s="24">
        <v>69654597</v>
      </c>
      <c r="K108" s="24" t="s">
        <v>7166</v>
      </c>
      <c r="L108" s="24" t="s">
        <v>7168</v>
      </c>
      <c r="M108" s="26">
        <v>89900</v>
      </c>
      <c r="N108" s="34" t="s">
        <v>2569</v>
      </c>
      <c r="O108" s="36" t="str">
        <f t="shared" si="15"/>
        <v>B3 DISC 10%</v>
      </c>
      <c r="P108" s="34" t="s">
        <v>2569</v>
      </c>
    </row>
    <row r="109" spans="1:16" x14ac:dyDescent="0.35">
      <c r="A109" s="34" t="str">
        <f t="shared" si="12"/>
        <v>2026 NOV-FEB B3 DISC 10%</v>
      </c>
      <c r="B109" s="35">
        <f t="shared" si="13"/>
        <v>46086</v>
      </c>
      <c r="C109" s="35">
        <f t="shared" si="14"/>
        <v>46092</v>
      </c>
      <c r="D109" s="34">
        <v>3284</v>
      </c>
      <c r="E109" s="34">
        <v>338</v>
      </c>
      <c r="F109" s="34">
        <v>4</v>
      </c>
      <c r="G109" s="25">
        <v>8</v>
      </c>
      <c r="H109" s="25">
        <v>81679</v>
      </c>
      <c r="I109" s="34" t="s">
        <v>2690</v>
      </c>
      <c r="J109" s="24">
        <v>69654604</v>
      </c>
      <c r="K109" s="24" t="s">
        <v>7166</v>
      </c>
      <c r="L109" s="24" t="s">
        <v>7167</v>
      </c>
      <c r="M109" s="26">
        <v>89900</v>
      </c>
      <c r="N109" s="34" t="s">
        <v>2569</v>
      </c>
      <c r="O109" s="36" t="str">
        <f t="shared" si="15"/>
        <v>B3 DISC 10%</v>
      </c>
      <c r="P109" s="34" t="s">
        <v>2569</v>
      </c>
    </row>
    <row r="110" spans="1:16" x14ac:dyDescent="0.35">
      <c r="A110" s="34" t="str">
        <f t="shared" si="12"/>
        <v>2026 NOV-FEB B3 DISC 10%</v>
      </c>
      <c r="B110" s="35">
        <f t="shared" si="13"/>
        <v>46086</v>
      </c>
      <c r="C110" s="35">
        <f t="shared" si="14"/>
        <v>46092</v>
      </c>
      <c r="D110" s="34">
        <v>3284</v>
      </c>
      <c r="E110" s="34">
        <v>338</v>
      </c>
      <c r="F110" s="34">
        <v>4</v>
      </c>
      <c r="G110" s="25">
        <v>8</v>
      </c>
      <c r="H110" s="25">
        <v>81679</v>
      </c>
      <c r="I110" s="34" t="s">
        <v>2690</v>
      </c>
      <c r="J110" s="24">
        <v>69654613</v>
      </c>
      <c r="K110" s="24" t="s">
        <v>7166</v>
      </c>
      <c r="L110" s="24" t="s">
        <v>7165</v>
      </c>
      <c r="M110" s="26">
        <v>89900</v>
      </c>
      <c r="N110" s="34" t="s">
        <v>2569</v>
      </c>
      <c r="O110" s="36" t="str">
        <f t="shared" si="15"/>
        <v>B3 DISC 10%</v>
      </c>
      <c r="P110" s="34" t="s">
        <v>2569</v>
      </c>
    </row>
    <row r="111" spans="1:16" x14ac:dyDescent="0.35">
      <c r="A111" s="34" t="str">
        <f t="shared" si="12"/>
        <v>2026 NOV-FEB B3 DISC 10%</v>
      </c>
      <c r="B111" s="35">
        <f t="shared" si="13"/>
        <v>46086</v>
      </c>
      <c r="C111" s="35">
        <f t="shared" si="14"/>
        <v>46092</v>
      </c>
      <c r="D111" s="34">
        <v>3284</v>
      </c>
      <c r="E111" s="34">
        <v>338</v>
      </c>
      <c r="F111" s="34">
        <v>4</v>
      </c>
      <c r="G111" s="25">
        <v>8</v>
      </c>
      <c r="H111" s="25">
        <v>81679</v>
      </c>
      <c r="I111" s="34" t="s">
        <v>2690</v>
      </c>
      <c r="J111" s="24">
        <v>69688828</v>
      </c>
      <c r="K111" s="24" t="s">
        <v>7161</v>
      </c>
      <c r="L111" s="24" t="s">
        <v>7164</v>
      </c>
      <c r="M111" s="26">
        <v>89900</v>
      </c>
      <c r="N111" s="34" t="s">
        <v>2569</v>
      </c>
      <c r="O111" s="36" t="str">
        <f t="shared" si="15"/>
        <v>B3 DISC 10%</v>
      </c>
      <c r="P111" s="34" t="s">
        <v>2569</v>
      </c>
    </row>
    <row r="112" spans="1:16" x14ac:dyDescent="0.35">
      <c r="A112" s="34" t="str">
        <f t="shared" si="12"/>
        <v>2026 NOV-FEB B3 DISC 10%</v>
      </c>
      <c r="B112" s="35">
        <f t="shared" si="13"/>
        <v>46086</v>
      </c>
      <c r="C112" s="35">
        <f t="shared" si="14"/>
        <v>46092</v>
      </c>
      <c r="D112" s="34">
        <v>3284</v>
      </c>
      <c r="E112" s="34">
        <v>338</v>
      </c>
      <c r="F112" s="34">
        <v>4</v>
      </c>
      <c r="G112" s="25">
        <v>8</v>
      </c>
      <c r="H112" s="25">
        <v>81679</v>
      </c>
      <c r="I112" s="34" t="s">
        <v>2690</v>
      </c>
      <c r="J112" s="24">
        <v>69688837</v>
      </c>
      <c r="K112" s="24" t="s">
        <v>7161</v>
      </c>
      <c r="L112" s="24" t="s">
        <v>7163</v>
      </c>
      <c r="M112" s="26">
        <v>89900</v>
      </c>
      <c r="N112" s="34" t="s">
        <v>2569</v>
      </c>
      <c r="O112" s="36" t="str">
        <f t="shared" si="15"/>
        <v>B3 DISC 10%</v>
      </c>
      <c r="P112" s="34" t="s">
        <v>2569</v>
      </c>
    </row>
    <row r="113" spans="1:16" x14ac:dyDescent="0.35">
      <c r="A113" s="34" t="str">
        <f t="shared" si="12"/>
        <v>2026 NOV-FEB B3 DISC 10%</v>
      </c>
      <c r="B113" s="35">
        <f t="shared" si="13"/>
        <v>46086</v>
      </c>
      <c r="C113" s="35">
        <f t="shared" si="14"/>
        <v>46092</v>
      </c>
      <c r="D113" s="34">
        <v>3284</v>
      </c>
      <c r="E113" s="34">
        <v>338</v>
      </c>
      <c r="F113" s="34">
        <v>4</v>
      </c>
      <c r="G113" s="25">
        <v>8</v>
      </c>
      <c r="H113" s="25">
        <v>81679</v>
      </c>
      <c r="I113" s="34" t="s">
        <v>2690</v>
      </c>
      <c r="J113" s="24">
        <v>69688846</v>
      </c>
      <c r="K113" s="24" t="s">
        <v>7161</v>
      </c>
      <c r="L113" s="24" t="s">
        <v>7162</v>
      </c>
      <c r="M113" s="26">
        <v>89900</v>
      </c>
      <c r="N113" s="34" t="s">
        <v>2569</v>
      </c>
      <c r="O113" s="36" t="str">
        <f t="shared" si="15"/>
        <v>B3 DISC 10%</v>
      </c>
      <c r="P113" s="34" t="s">
        <v>2569</v>
      </c>
    </row>
    <row r="114" spans="1:16" x14ac:dyDescent="0.35">
      <c r="A114" s="34" t="str">
        <f t="shared" si="12"/>
        <v>2026 NOV-FEB B3 DISC 10%</v>
      </c>
      <c r="B114" s="35">
        <f t="shared" si="13"/>
        <v>46086</v>
      </c>
      <c r="C114" s="35">
        <f t="shared" si="14"/>
        <v>46092</v>
      </c>
      <c r="D114" s="34">
        <v>3284</v>
      </c>
      <c r="E114" s="34">
        <v>338</v>
      </c>
      <c r="F114" s="34">
        <v>4</v>
      </c>
      <c r="G114" s="25">
        <v>8</v>
      </c>
      <c r="H114" s="25">
        <v>81679</v>
      </c>
      <c r="I114" s="34" t="s">
        <v>2690</v>
      </c>
      <c r="J114" s="24">
        <v>69688855</v>
      </c>
      <c r="K114" s="24" t="s">
        <v>7161</v>
      </c>
      <c r="L114" s="24" t="s">
        <v>7160</v>
      </c>
      <c r="M114" s="26">
        <v>89900</v>
      </c>
      <c r="N114" s="34" t="s">
        <v>2569</v>
      </c>
      <c r="O114" s="36" t="str">
        <f t="shared" si="15"/>
        <v>B3 DISC 10%</v>
      </c>
      <c r="P114" s="34" t="s">
        <v>2569</v>
      </c>
    </row>
    <row r="115" spans="1:16" x14ac:dyDescent="0.35">
      <c r="A115" s="34" t="str">
        <f t="shared" si="12"/>
        <v>2026 NOV-FEB B3 DISC 10%</v>
      </c>
      <c r="B115" s="35">
        <f t="shared" si="13"/>
        <v>46086</v>
      </c>
      <c r="C115" s="35">
        <f t="shared" si="14"/>
        <v>46092</v>
      </c>
      <c r="D115" s="34">
        <v>3284</v>
      </c>
      <c r="E115" s="34">
        <v>338</v>
      </c>
      <c r="F115" s="34">
        <v>4</v>
      </c>
      <c r="G115" s="25">
        <v>1</v>
      </c>
      <c r="H115" s="25">
        <v>81679</v>
      </c>
      <c r="I115" s="34" t="s">
        <v>2690</v>
      </c>
      <c r="J115" s="24">
        <v>69688864</v>
      </c>
      <c r="K115" s="24" t="s">
        <v>7156</v>
      </c>
      <c r="L115" s="24" t="s">
        <v>7159</v>
      </c>
      <c r="M115" s="26">
        <v>89900</v>
      </c>
      <c r="N115" s="34" t="s">
        <v>2569</v>
      </c>
      <c r="O115" s="36" t="str">
        <f t="shared" si="15"/>
        <v>B3 DISC 10%</v>
      </c>
      <c r="P115" s="34" t="s">
        <v>2569</v>
      </c>
    </row>
    <row r="116" spans="1:16" x14ac:dyDescent="0.35">
      <c r="A116" s="34" t="str">
        <f t="shared" si="12"/>
        <v>2026 NOV-FEB B3 DISC 10%</v>
      </c>
      <c r="B116" s="35">
        <f t="shared" si="13"/>
        <v>46086</v>
      </c>
      <c r="C116" s="35">
        <f t="shared" si="14"/>
        <v>46092</v>
      </c>
      <c r="D116" s="34">
        <v>3284</v>
      </c>
      <c r="E116" s="34">
        <v>338</v>
      </c>
      <c r="F116" s="34">
        <v>4</v>
      </c>
      <c r="G116" s="25">
        <v>1</v>
      </c>
      <c r="H116" s="25">
        <v>81679</v>
      </c>
      <c r="I116" s="34" t="s">
        <v>2690</v>
      </c>
      <c r="J116" s="24">
        <v>69688873</v>
      </c>
      <c r="K116" s="24" t="s">
        <v>7156</v>
      </c>
      <c r="L116" s="24" t="s">
        <v>7158</v>
      </c>
      <c r="M116" s="26">
        <v>89900</v>
      </c>
      <c r="N116" s="34" t="s">
        <v>2569</v>
      </c>
      <c r="O116" s="36" t="str">
        <f t="shared" si="15"/>
        <v>B3 DISC 10%</v>
      </c>
      <c r="P116" s="34" t="s">
        <v>2569</v>
      </c>
    </row>
    <row r="117" spans="1:16" x14ac:dyDescent="0.35">
      <c r="A117" s="34" t="str">
        <f t="shared" si="12"/>
        <v>2026 NOV-FEB B3 DISC 10%</v>
      </c>
      <c r="B117" s="35">
        <f t="shared" si="13"/>
        <v>46086</v>
      </c>
      <c r="C117" s="35">
        <f t="shared" si="14"/>
        <v>46092</v>
      </c>
      <c r="D117" s="34">
        <v>3284</v>
      </c>
      <c r="E117" s="34">
        <v>338</v>
      </c>
      <c r="F117" s="34">
        <v>4</v>
      </c>
      <c r="G117" s="25">
        <v>1</v>
      </c>
      <c r="H117" s="25">
        <v>81679</v>
      </c>
      <c r="I117" s="34" t="s">
        <v>2690</v>
      </c>
      <c r="J117" s="24">
        <v>69688882</v>
      </c>
      <c r="K117" s="24" t="s">
        <v>7156</v>
      </c>
      <c r="L117" s="24" t="s">
        <v>7157</v>
      </c>
      <c r="M117" s="26">
        <v>89900</v>
      </c>
      <c r="N117" s="34" t="s">
        <v>2569</v>
      </c>
      <c r="O117" s="36" t="str">
        <f t="shared" si="15"/>
        <v>B3 DISC 10%</v>
      </c>
      <c r="P117" s="34" t="s">
        <v>2569</v>
      </c>
    </row>
    <row r="118" spans="1:16" x14ac:dyDescent="0.35">
      <c r="A118" s="34" t="str">
        <f t="shared" si="12"/>
        <v>2026 NOV-FEB B3 DISC 10%</v>
      </c>
      <c r="B118" s="35">
        <f t="shared" si="13"/>
        <v>46086</v>
      </c>
      <c r="C118" s="35">
        <f t="shared" si="14"/>
        <v>46092</v>
      </c>
      <c r="D118" s="34">
        <v>3284</v>
      </c>
      <c r="E118" s="34">
        <v>338</v>
      </c>
      <c r="F118" s="34">
        <v>4</v>
      </c>
      <c r="G118" s="25">
        <v>1</v>
      </c>
      <c r="H118" s="25">
        <v>81679</v>
      </c>
      <c r="I118" s="34" t="s">
        <v>2690</v>
      </c>
      <c r="J118" s="24">
        <v>69688891</v>
      </c>
      <c r="K118" s="24" t="s">
        <v>7156</v>
      </c>
      <c r="L118" s="24" t="s">
        <v>7155</v>
      </c>
      <c r="M118" s="26">
        <v>89900</v>
      </c>
      <c r="N118" s="34" t="s">
        <v>2569</v>
      </c>
      <c r="O118" s="36" t="str">
        <f t="shared" si="15"/>
        <v>B3 DISC 10%</v>
      </c>
      <c r="P118" s="34" t="s">
        <v>2569</v>
      </c>
    </row>
    <row r="119" spans="1:16" x14ac:dyDescent="0.35">
      <c r="A119" s="34" t="str">
        <f t="shared" si="12"/>
        <v>2026 NOV-FEB B3 DISC 10%</v>
      </c>
      <c r="B119" s="35">
        <f t="shared" si="13"/>
        <v>46086</v>
      </c>
      <c r="C119" s="35">
        <f t="shared" si="14"/>
        <v>46092</v>
      </c>
      <c r="D119" s="34">
        <v>3284</v>
      </c>
      <c r="E119" s="34">
        <v>338</v>
      </c>
      <c r="F119" s="34">
        <v>4</v>
      </c>
      <c r="G119" s="25">
        <v>8</v>
      </c>
      <c r="H119" s="25">
        <v>81679</v>
      </c>
      <c r="I119" s="34" t="s">
        <v>2690</v>
      </c>
      <c r="J119" s="24">
        <v>69716412</v>
      </c>
      <c r="K119" s="24" t="s">
        <v>7151</v>
      </c>
      <c r="L119" s="24" t="s">
        <v>7154</v>
      </c>
      <c r="M119" s="26">
        <v>89900</v>
      </c>
      <c r="N119" s="34" t="s">
        <v>2569</v>
      </c>
      <c r="O119" s="36" t="str">
        <f t="shared" si="15"/>
        <v>B3 DISC 10%</v>
      </c>
      <c r="P119" s="34" t="s">
        <v>2569</v>
      </c>
    </row>
    <row r="120" spans="1:16" x14ac:dyDescent="0.35">
      <c r="A120" s="34" t="str">
        <f t="shared" si="12"/>
        <v>2026 NOV-FEB B3 DISC 10%</v>
      </c>
      <c r="B120" s="35">
        <f t="shared" si="13"/>
        <v>46086</v>
      </c>
      <c r="C120" s="35">
        <f t="shared" si="14"/>
        <v>46092</v>
      </c>
      <c r="D120" s="34">
        <v>3284</v>
      </c>
      <c r="E120" s="34">
        <v>338</v>
      </c>
      <c r="F120" s="34">
        <v>4</v>
      </c>
      <c r="G120" s="25">
        <v>8</v>
      </c>
      <c r="H120" s="25">
        <v>81679</v>
      </c>
      <c r="I120" s="34" t="s">
        <v>2690</v>
      </c>
      <c r="J120" s="24">
        <v>69716421</v>
      </c>
      <c r="K120" s="24" t="s">
        <v>7151</v>
      </c>
      <c r="L120" s="24" t="s">
        <v>7153</v>
      </c>
      <c r="M120" s="26">
        <v>89900</v>
      </c>
      <c r="N120" s="34" t="s">
        <v>2569</v>
      </c>
      <c r="O120" s="36" t="str">
        <f t="shared" si="15"/>
        <v>B3 DISC 10%</v>
      </c>
      <c r="P120" s="34" t="s">
        <v>2569</v>
      </c>
    </row>
    <row r="121" spans="1:16" x14ac:dyDescent="0.35">
      <c r="A121" s="34" t="str">
        <f t="shared" si="12"/>
        <v>2026 NOV-FEB B3 DISC 10%</v>
      </c>
      <c r="B121" s="35">
        <f t="shared" si="13"/>
        <v>46086</v>
      </c>
      <c r="C121" s="35">
        <f t="shared" si="14"/>
        <v>46092</v>
      </c>
      <c r="D121" s="34">
        <v>3284</v>
      </c>
      <c r="E121" s="34">
        <v>338</v>
      </c>
      <c r="F121" s="34">
        <v>4</v>
      </c>
      <c r="G121" s="25">
        <v>8</v>
      </c>
      <c r="H121" s="25">
        <v>81679</v>
      </c>
      <c r="I121" s="34" t="s">
        <v>2690</v>
      </c>
      <c r="J121" s="24">
        <v>69716430</v>
      </c>
      <c r="K121" s="24" t="s">
        <v>7151</v>
      </c>
      <c r="L121" s="24" t="s">
        <v>7152</v>
      </c>
      <c r="M121" s="26">
        <v>89900</v>
      </c>
      <c r="N121" s="34" t="s">
        <v>2569</v>
      </c>
      <c r="O121" s="36" t="str">
        <f t="shared" si="15"/>
        <v>B3 DISC 10%</v>
      </c>
      <c r="P121" s="34" t="s">
        <v>2569</v>
      </c>
    </row>
    <row r="122" spans="1:16" x14ac:dyDescent="0.35">
      <c r="A122" s="34" t="str">
        <f t="shared" si="12"/>
        <v>2026 NOV-FEB B3 DISC 10%</v>
      </c>
      <c r="B122" s="35">
        <f t="shared" si="13"/>
        <v>46086</v>
      </c>
      <c r="C122" s="35">
        <f t="shared" si="14"/>
        <v>46092</v>
      </c>
      <c r="D122" s="34">
        <v>3284</v>
      </c>
      <c r="E122" s="34">
        <v>338</v>
      </c>
      <c r="F122" s="34">
        <v>4</v>
      </c>
      <c r="G122" s="25">
        <v>8</v>
      </c>
      <c r="H122" s="25">
        <v>81679</v>
      </c>
      <c r="I122" s="34" t="s">
        <v>2690</v>
      </c>
      <c r="J122" s="24">
        <v>69716449</v>
      </c>
      <c r="K122" s="24" t="s">
        <v>7151</v>
      </c>
      <c r="L122" s="24" t="s">
        <v>7150</v>
      </c>
      <c r="M122" s="26">
        <v>89900</v>
      </c>
      <c r="N122" s="34" t="s">
        <v>2569</v>
      </c>
      <c r="O122" s="36" t="str">
        <f t="shared" si="15"/>
        <v>B3 DISC 10%</v>
      </c>
      <c r="P122" s="34" t="s">
        <v>2569</v>
      </c>
    </row>
    <row r="123" spans="1:16" x14ac:dyDescent="0.35">
      <c r="A123" s="34" t="str">
        <f t="shared" si="12"/>
        <v>2026 NOV-FEB B3 DISC 10%</v>
      </c>
      <c r="B123" s="35">
        <f t="shared" si="13"/>
        <v>46086</v>
      </c>
      <c r="C123" s="35">
        <f t="shared" si="14"/>
        <v>46092</v>
      </c>
      <c r="D123" s="34">
        <v>3284</v>
      </c>
      <c r="E123" s="34">
        <v>338</v>
      </c>
      <c r="F123" s="34">
        <v>4</v>
      </c>
      <c r="G123" s="25">
        <v>8</v>
      </c>
      <c r="H123" s="25">
        <v>81679</v>
      </c>
      <c r="I123" s="34" t="s">
        <v>2690</v>
      </c>
      <c r="J123" s="24">
        <v>69716458</v>
      </c>
      <c r="K123" s="24" t="s">
        <v>7146</v>
      </c>
      <c r="L123" s="24" t="s">
        <v>7149</v>
      </c>
      <c r="M123" s="26">
        <v>89900</v>
      </c>
      <c r="N123" s="34" t="s">
        <v>2569</v>
      </c>
      <c r="O123" s="36" t="str">
        <f t="shared" si="15"/>
        <v>B3 DISC 10%</v>
      </c>
      <c r="P123" s="34" t="s">
        <v>2569</v>
      </c>
    </row>
    <row r="124" spans="1:16" x14ac:dyDescent="0.35">
      <c r="A124" s="34" t="str">
        <f t="shared" si="12"/>
        <v>2026 NOV-FEB B3 DISC 10%</v>
      </c>
      <c r="B124" s="35">
        <f t="shared" si="13"/>
        <v>46086</v>
      </c>
      <c r="C124" s="35">
        <f t="shared" si="14"/>
        <v>46092</v>
      </c>
      <c r="D124" s="34">
        <v>3284</v>
      </c>
      <c r="E124" s="34">
        <v>338</v>
      </c>
      <c r="F124" s="34">
        <v>4</v>
      </c>
      <c r="G124" s="25">
        <v>8</v>
      </c>
      <c r="H124" s="25">
        <v>81679</v>
      </c>
      <c r="I124" s="34" t="s">
        <v>2690</v>
      </c>
      <c r="J124" s="24">
        <v>69716467</v>
      </c>
      <c r="K124" s="24" t="s">
        <v>7146</v>
      </c>
      <c r="L124" s="24" t="s">
        <v>7148</v>
      </c>
      <c r="M124" s="26">
        <v>89900</v>
      </c>
      <c r="N124" s="34" t="s">
        <v>2569</v>
      </c>
      <c r="O124" s="36" t="str">
        <f t="shared" si="15"/>
        <v>B3 DISC 10%</v>
      </c>
      <c r="P124" s="34" t="s">
        <v>2569</v>
      </c>
    </row>
    <row r="125" spans="1:16" x14ac:dyDescent="0.35">
      <c r="A125" s="34" t="str">
        <f t="shared" si="12"/>
        <v>2026 NOV-FEB B3 DISC 10%</v>
      </c>
      <c r="B125" s="35">
        <f t="shared" si="13"/>
        <v>46086</v>
      </c>
      <c r="C125" s="35">
        <f t="shared" si="14"/>
        <v>46092</v>
      </c>
      <c r="D125" s="34">
        <v>3284</v>
      </c>
      <c r="E125" s="34">
        <v>338</v>
      </c>
      <c r="F125" s="34">
        <v>4</v>
      </c>
      <c r="G125" s="25">
        <v>8</v>
      </c>
      <c r="H125" s="25">
        <v>81679</v>
      </c>
      <c r="I125" s="34" t="s">
        <v>2690</v>
      </c>
      <c r="J125" s="24">
        <v>69716476</v>
      </c>
      <c r="K125" s="24" t="s">
        <v>7146</v>
      </c>
      <c r="L125" s="24" t="s">
        <v>7147</v>
      </c>
      <c r="M125" s="26">
        <v>89900</v>
      </c>
      <c r="N125" s="34" t="s">
        <v>2569</v>
      </c>
      <c r="O125" s="36" t="str">
        <f t="shared" si="15"/>
        <v>B3 DISC 10%</v>
      </c>
      <c r="P125" s="34" t="s">
        <v>2569</v>
      </c>
    </row>
    <row r="126" spans="1:16" x14ac:dyDescent="0.35">
      <c r="A126" s="34" t="str">
        <f t="shared" si="12"/>
        <v>2026 NOV-FEB B3 DISC 10%</v>
      </c>
      <c r="B126" s="35">
        <f t="shared" si="13"/>
        <v>46086</v>
      </c>
      <c r="C126" s="35">
        <f t="shared" si="14"/>
        <v>46092</v>
      </c>
      <c r="D126" s="34">
        <v>3284</v>
      </c>
      <c r="E126" s="34">
        <v>338</v>
      </c>
      <c r="F126" s="34">
        <v>4</v>
      </c>
      <c r="G126" s="25">
        <v>8</v>
      </c>
      <c r="H126" s="25">
        <v>81679</v>
      </c>
      <c r="I126" s="34" t="s">
        <v>2690</v>
      </c>
      <c r="J126" s="24">
        <v>69716485</v>
      </c>
      <c r="K126" s="24" t="s">
        <v>7146</v>
      </c>
      <c r="L126" s="24" t="s">
        <v>7145</v>
      </c>
      <c r="M126" s="26">
        <v>89900</v>
      </c>
      <c r="N126" s="34" t="s">
        <v>2569</v>
      </c>
      <c r="O126" s="36" t="str">
        <f t="shared" si="15"/>
        <v>B3 DISC 10%</v>
      </c>
      <c r="P126" s="34" t="s">
        <v>2569</v>
      </c>
    </row>
    <row r="127" spans="1:16" x14ac:dyDescent="0.35">
      <c r="A127" s="34" t="str">
        <f t="shared" si="12"/>
        <v>2026 NOV-FEB B3 DISC 10%</v>
      </c>
      <c r="B127" s="35">
        <f t="shared" si="13"/>
        <v>46086</v>
      </c>
      <c r="C127" s="35">
        <f t="shared" si="14"/>
        <v>46092</v>
      </c>
      <c r="D127" s="34">
        <v>3284</v>
      </c>
      <c r="E127" s="34">
        <v>338</v>
      </c>
      <c r="F127" s="34">
        <v>4</v>
      </c>
      <c r="G127" s="25">
        <v>8</v>
      </c>
      <c r="H127" s="25">
        <v>81679</v>
      </c>
      <c r="I127" s="34" t="s">
        <v>2690</v>
      </c>
      <c r="J127" s="24">
        <v>69654622</v>
      </c>
      <c r="K127" s="24" t="s">
        <v>7141</v>
      </c>
      <c r="L127" s="24" t="s">
        <v>7144</v>
      </c>
      <c r="M127" s="26">
        <v>89900</v>
      </c>
      <c r="N127" s="34" t="s">
        <v>2569</v>
      </c>
      <c r="O127" s="36" t="str">
        <f t="shared" si="15"/>
        <v>B3 DISC 10%</v>
      </c>
      <c r="P127" s="34" t="s">
        <v>2569</v>
      </c>
    </row>
    <row r="128" spans="1:16" x14ac:dyDescent="0.35">
      <c r="A128" s="34" t="str">
        <f t="shared" si="12"/>
        <v>2026 NOV-FEB B3 DISC 10%</v>
      </c>
      <c r="B128" s="35">
        <f t="shared" si="13"/>
        <v>46086</v>
      </c>
      <c r="C128" s="35">
        <f t="shared" si="14"/>
        <v>46092</v>
      </c>
      <c r="D128" s="34">
        <v>3284</v>
      </c>
      <c r="E128" s="34">
        <v>338</v>
      </c>
      <c r="F128" s="34">
        <v>4</v>
      </c>
      <c r="G128" s="25">
        <v>8</v>
      </c>
      <c r="H128" s="25">
        <v>81679</v>
      </c>
      <c r="I128" s="34" t="s">
        <v>2690</v>
      </c>
      <c r="J128" s="24">
        <v>69654631</v>
      </c>
      <c r="K128" s="24" t="s">
        <v>7141</v>
      </c>
      <c r="L128" s="24" t="s">
        <v>7143</v>
      </c>
      <c r="M128" s="26">
        <v>89900</v>
      </c>
      <c r="N128" s="34" t="s">
        <v>2569</v>
      </c>
      <c r="O128" s="36" t="str">
        <f t="shared" si="15"/>
        <v>B3 DISC 10%</v>
      </c>
      <c r="P128" s="34" t="s">
        <v>2569</v>
      </c>
    </row>
    <row r="129" spans="1:16" x14ac:dyDescent="0.35">
      <c r="A129" s="34" t="str">
        <f t="shared" si="12"/>
        <v>2026 NOV-FEB B3 DISC 10%</v>
      </c>
      <c r="B129" s="35">
        <f t="shared" si="13"/>
        <v>46086</v>
      </c>
      <c r="C129" s="35">
        <f t="shared" si="14"/>
        <v>46092</v>
      </c>
      <c r="D129" s="34">
        <v>3284</v>
      </c>
      <c r="E129" s="34">
        <v>338</v>
      </c>
      <c r="F129" s="34">
        <v>4</v>
      </c>
      <c r="G129" s="25">
        <v>8</v>
      </c>
      <c r="H129" s="25">
        <v>81679</v>
      </c>
      <c r="I129" s="34" t="s">
        <v>2690</v>
      </c>
      <c r="J129" s="24">
        <v>69654640</v>
      </c>
      <c r="K129" s="24" t="s">
        <v>7141</v>
      </c>
      <c r="L129" s="24" t="s">
        <v>7142</v>
      </c>
      <c r="M129" s="26">
        <v>89900</v>
      </c>
      <c r="N129" s="34" t="s">
        <v>2569</v>
      </c>
      <c r="O129" s="36" t="str">
        <f t="shared" si="15"/>
        <v>B3 DISC 10%</v>
      </c>
      <c r="P129" s="34" t="s">
        <v>2569</v>
      </c>
    </row>
    <row r="130" spans="1:16" x14ac:dyDescent="0.35">
      <c r="A130" s="34" t="str">
        <f t="shared" si="12"/>
        <v>2026 NOV-FEB B3 DISC 10%</v>
      </c>
      <c r="B130" s="35">
        <f t="shared" si="13"/>
        <v>46086</v>
      </c>
      <c r="C130" s="35">
        <f t="shared" si="14"/>
        <v>46092</v>
      </c>
      <c r="D130" s="34">
        <v>3284</v>
      </c>
      <c r="E130" s="34">
        <v>338</v>
      </c>
      <c r="F130" s="34">
        <v>4</v>
      </c>
      <c r="G130" s="25">
        <v>8</v>
      </c>
      <c r="H130" s="25">
        <v>81679</v>
      </c>
      <c r="I130" s="34" t="s">
        <v>2690</v>
      </c>
      <c r="J130" s="24">
        <v>69654659</v>
      </c>
      <c r="K130" s="24" t="s">
        <v>7141</v>
      </c>
      <c r="L130" s="24" t="s">
        <v>7140</v>
      </c>
      <c r="M130" s="26">
        <v>89900</v>
      </c>
      <c r="N130" s="34" t="s">
        <v>2569</v>
      </c>
      <c r="O130" s="36" t="str">
        <f t="shared" si="15"/>
        <v>B3 DISC 10%</v>
      </c>
      <c r="P130" s="34" t="s">
        <v>2569</v>
      </c>
    </row>
    <row r="131" spans="1:16" x14ac:dyDescent="0.35">
      <c r="A131" s="34" t="str">
        <f t="shared" ref="A131:A144" si="16">A130</f>
        <v>2026 NOV-FEB B3 DISC 10%</v>
      </c>
      <c r="B131" s="35">
        <f t="shared" ref="B131:B144" si="17">B130</f>
        <v>46086</v>
      </c>
      <c r="C131" s="35">
        <f t="shared" ref="C131:C144" si="18">C130</f>
        <v>46092</v>
      </c>
      <c r="D131" s="34">
        <v>3284</v>
      </c>
      <c r="E131" s="34">
        <v>338</v>
      </c>
      <c r="F131" s="34">
        <v>4</v>
      </c>
      <c r="G131" s="25">
        <v>10</v>
      </c>
      <c r="H131" s="25">
        <v>81827</v>
      </c>
      <c r="I131" s="34" t="s">
        <v>2690</v>
      </c>
      <c r="J131" s="24">
        <v>68208311</v>
      </c>
      <c r="K131" s="24" t="s">
        <v>7138</v>
      </c>
      <c r="L131" s="24" t="s">
        <v>7139</v>
      </c>
      <c r="M131" s="26">
        <v>29900</v>
      </c>
      <c r="N131" s="34" t="s">
        <v>2569</v>
      </c>
      <c r="O131" s="36" t="str">
        <f t="shared" ref="O131:O144" si="19">O130</f>
        <v>B3 DISC 10%</v>
      </c>
      <c r="P131" s="34" t="s">
        <v>2569</v>
      </c>
    </row>
    <row r="132" spans="1:16" x14ac:dyDescent="0.35">
      <c r="A132" s="34" t="str">
        <f t="shared" si="16"/>
        <v>2026 NOV-FEB B3 DISC 10%</v>
      </c>
      <c r="B132" s="35">
        <f t="shared" si="17"/>
        <v>46086</v>
      </c>
      <c r="C132" s="35">
        <f t="shared" si="18"/>
        <v>46092</v>
      </c>
      <c r="D132" s="34">
        <v>3284</v>
      </c>
      <c r="E132" s="34">
        <v>338</v>
      </c>
      <c r="F132" s="34">
        <v>4</v>
      </c>
      <c r="G132" s="25">
        <v>10</v>
      </c>
      <c r="H132" s="25">
        <v>81827</v>
      </c>
      <c r="I132" s="34" t="s">
        <v>2690</v>
      </c>
      <c r="J132" s="24">
        <v>68208320</v>
      </c>
      <c r="K132" s="24" t="s">
        <v>7138</v>
      </c>
      <c r="L132" s="24" t="s">
        <v>7137</v>
      </c>
      <c r="M132" s="26">
        <v>29900</v>
      </c>
      <c r="N132" s="34" t="s">
        <v>2569</v>
      </c>
      <c r="O132" s="36" t="str">
        <f t="shared" si="19"/>
        <v>B3 DISC 10%</v>
      </c>
      <c r="P132" s="34" t="s">
        <v>2569</v>
      </c>
    </row>
    <row r="133" spans="1:16" x14ac:dyDescent="0.35">
      <c r="A133" s="34" t="str">
        <f t="shared" si="16"/>
        <v>2026 NOV-FEB B3 DISC 10%</v>
      </c>
      <c r="B133" s="35">
        <f t="shared" si="17"/>
        <v>46086</v>
      </c>
      <c r="C133" s="35">
        <f t="shared" si="18"/>
        <v>46092</v>
      </c>
      <c r="D133" s="34">
        <v>3284</v>
      </c>
      <c r="E133" s="34">
        <v>338</v>
      </c>
      <c r="F133" s="34">
        <v>4</v>
      </c>
      <c r="G133" s="25">
        <v>7</v>
      </c>
      <c r="H133" s="25">
        <v>81827</v>
      </c>
      <c r="I133" s="34" t="s">
        <v>2690</v>
      </c>
      <c r="J133" s="24">
        <v>69654177</v>
      </c>
      <c r="K133" s="24" t="s">
        <v>7134</v>
      </c>
      <c r="L133" s="24" t="s">
        <v>7136</v>
      </c>
      <c r="M133" s="26">
        <v>29900</v>
      </c>
      <c r="N133" s="34" t="s">
        <v>2569</v>
      </c>
      <c r="O133" s="36" t="str">
        <f t="shared" si="19"/>
        <v>B3 DISC 10%</v>
      </c>
      <c r="P133" s="34" t="s">
        <v>2569</v>
      </c>
    </row>
    <row r="134" spans="1:16" x14ac:dyDescent="0.35">
      <c r="A134" s="34" t="str">
        <f t="shared" si="16"/>
        <v>2026 NOV-FEB B3 DISC 10%</v>
      </c>
      <c r="B134" s="35">
        <f t="shared" si="17"/>
        <v>46086</v>
      </c>
      <c r="C134" s="35">
        <f t="shared" si="18"/>
        <v>46092</v>
      </c>
      <c r="D134" s="34">
        <v>3284</v>
      </c>
      <c r="E134" s="34">
        <v>338</v>
      </c>
      <c r="F134" s="34">
        <v>4</v>
      </c>
      <c r="G134" s="25">
        <v>7</v>
      </c>
      <c r="H134" s="25">
        <v>81827</v>
      </c>
      <c r="I134" s="34" t="s">
        <v>2690</v>
      </c>
      <c r="J134" s="24">
        <v>69654186</v>
      </c>
      <c r="K134" s="24" t="s">
        <v>7134</v>
      </c>
      <c r="L134" s="24" t="s">
        <v>7135</v>
      </c>
      <c r="M134" s="26">
        <v>29900</v>
      </c>
      <c r="N134" s="34" t="s">
        <v>2569</v>
      </c>
      <c r="O134" s="36" t="str">
        <f t="shared" si="19"/>
        <v>B3 DISC 10%</v>
      </c>
      <c r="P134" s="34" t="s">
        <v>2569</v>
      </c>
    </row>
    <row r="135" spans="1:16" x14ac:dyDescent="0.35">
      <c r="A135" s="34" t="str">
        <f t="shared" si="16"/>
        <v>2026 NOV-FEB B3 DISC 10%</v>
      </c>
      <c r="B135" s="35">
        <f t="shared" si="17"/>
        <v>46086</v>
      </c>
      <c r="C135" s="35">
        <f t="shared" si="18"/>
        <v>46092</v>
      </c>
      <c r="D135" s="34">
        <v>3284</v>
      </c>
      <c r="E135" s="34">
        <v>338</v>
      </c>
      <c r="F135" s="34">
        <v>4</v>
      </c>
      <c r="G135" s="25">
        <v>7</v>
      </c>
      <c r="H135" s="25">
        <v>81827</v>
      </c>
      <c r="I135" s="34" t="s">
        <v>2690</v>
      </c>
      <c r="J135" s="24">
        <v>69654195</v>
      </c>
      <c r="K135" s="24" t="s">
        <v>7134</v>
      </c>
      <c r="L135" s="24" t="s">
        <v>7133</v>
      </c>
      <c r="M135" s="26">
        <v>29900</v>
      </c>
      <c r="N135" s="34" t="s">
        <v>2569</v>
      </c>
      <c r="O135" s="36" t="str">
        <f t="shared" si="19"/>
        <v>B3 DISC 10%</v>
      </c>
      <c r="P135" s="34" t="s">
        <v>2569</v>
      </c>
    </row>
    <row r="136" spans="1:16" x14ac:dyDescent="0.35">
      <c r="A136" s="34" t="str">
        <f t="shared" si="16"/>
        <v>2026 NOV-FEB B3 DISC 10%</v>
      </c>
      <c r="B136" s="35">
        <f t="shared" si="17"/>
        <v>46086</v>
      </c>
      <c r="C136" s="35">
        <f t="shared" si="18"/>
        <v>46092</v>
      </c>
      <c r="D136" s="34">
        <v>3284</v>
      </c>
      <c r="E136" s="34">
        <v>338</v>
      </c>
      <c r="F136" s="34">
        <v>4</v>
      </c>
      <c r="G136" s="25">
        <v>7</v>
      </c>
      <c r="H136" s="25">
        <v>81827</v>
      </c>
      <c r="I136" s="34" t="s">
        <v>2690</v>
      </c>
      <c r="J136" s="24">
        <v>69654140</v>
      </c>
      <c r="K136" s="24" t="s">
        <v>7130</v>
      </c>
      <c r="L136" s="24" t="s">
        <v>7132</v>
      </c>
      <c r="M136" s="26">
        <v>29900</v>
      </c>
      <c r="N136" s="34" t="s">
        <v>2569</v>
      </c>
      <c r="O136" s="36" t="str">
        <f t="shared" si="19"/>
        <v>B3 DISC 10%</v>
      </c>
      <c r="P136" s="34" t="s">
        <v>2569</v>
      </c>
    </row>
    <row r="137" spans="1:16" x14ac:dyDescent="0.35">
      <c r="A137" s="34" t="str">
        <f t="shared" si="16"/>
        <v>2026 NOV-FEB B3 DISC 10%</v>
      </c>
      <c r="B137" s="35">
        <f t="shared" si="17"/>
        <v>46086</v>
      </c>
      <c r="C137" s="35">
        <f t="shared" si="18"/>
        <v>46092</v>
      </c>
      <c r="D137" s="34">
        <v>3284</v>
      </c>
      <c r="E137" s="34">
        <v>338</v>
      </c>
      <c r="F137" s="34">
        <v>4</v>
      </c>
      <c r="G137" s="25">
        <v>7</v>
      </c>
      <c r="H137" s="25">
        <v>81827</v>
      </c>
      <c r="I137" s="34" t="s">
        <v>2690</v>
      </c>
      <c r="J137" s="24">
        <v>69654159</v>
      </c>
      <c r="K137" s="24" t="s">
        <v>7130</v>
      </c>
      <c r="L137" s="24" t="s">
        <v>7131</v>
      </c>
      <c r="M137" s="26">
        <v>29900</v>
      </c>
      <c r="N137" s="34" t="s">
        <v>2569</v>
      </c>
      <c r="O137" s="36" t="str">
        <f t="shared" si="19"/>
        <v>B3 DISC 10%</v>
      </c>
      <c r="P137" s="34" t="s">
        <v>2569</v>
      </c>
    </row>
    <row r="138" spans="1:16" x14ac:dyDescent="0.35">
      <c r="A138" s="34" t="str">
        <f t="shared" si="16"/>
        <v>2026 NOV-FEB B3 DISC 10%</v>
      </c>
      <c r="B138" s="35">
        <f t="shared" si="17"/>
        <v>46086</v>
      </c>
      <c r="C138" s="35">
        <f t="shared" si="18"/>
        <v>46092</v>
      </c>
      <c r="D138" s="34">
        <v>3284</v>
      </c>
      <c r="E138" s="34">
        <v>338</v>
      </c>
      <c r="F138" s="34">
        <v>4</v>
      </c>
      <c r="G138" s="25">
        <v>7</v>
      </c>
      <c r="H138" s="25">
        <v>81827</v>
      </c>
      <c r="I138" s="34" t="s">
        <v>2690</v>
      </c>
      <c r="J138" s="24">
        <v>69654168</v>
      </c>
      <c r="K138" s="24" t="s">
        <v>7130</v>
      </c>
      <c r="L138" s="24" t="s">
        <v>7129</v>
      </c>
      <c r="M138" s="26">
        <v>29900</v>
      </c>
      <c r="N138" s="34" t="s">
        <v>2569</v>
      </c>
      <c r="O138" s="36" t="str">
        <f t="shared" si="19"/>
        <v>B3 DISC 10%</v>
      </c>
      <c r="P138" s="34" t="s">
        <v>2569</v>
      </c>
    </row>
    <row r="139" spans="1:16" x14ac:dyDescent="0.35">
      <c r="A139" s="34" t="str">
        <f t="shared" si="16"/>
        <v>2026 NOV-FEB B3 DISC 10%</v>
      </c>
      <c r="B139" s="35">
        <f t="shared" si="17"/>
        <v>46086</v>
      </c>
      <c r="C139" s="35">
        <f t="shared" si="18"/>
        <v>46092</v>
      </c>
      <c r="D139" s="34">
        <v>3284</v>
      </c>
      <c r="E139" s="34">
        <v>338</v>
      </c>
      <c r="F139" s="34">
        <v>4</v>
      </c>
      <c r="G139" s="25">
        <v>7</v>
      </c>
      <c r="H139" s="25">
        <v>81827</v>
      </c>
      <c r="I139" s="34" t="s">
        <v>2690</v>
      </c>
      <c r="J139" s="24">
        <v>69857403</v>
      </c>
      <c r="K139" s="24" t="s">
        <v>7126</v>
      </c>
      <c r="L139" s="24" t="s">
        <v>7128</v>
      </c>
      <c r="M139" s="26">
        <v>29900</v>
      </c>
      <c r="N139" s="34" t="s">
        <v>2569</v>
      </c>
      <c r="O139" s="36" t="str">
        <f t="shared" si="19"/>
        <v>B3 DISC 10%</v>
      </c>
      <c r="P139" s="34" t="s">
        <v>2569</v>
      </c>
    </row>
    <row r="140" spans="1:16" x14ac:dyDescent="0.35">
      <c r="A140" s="34" t="str">
        <f t="shared" si="16"/>
        <v>2026 NOV-FEB B3 DISC 10%</v>
      </c>
      <c r="B140" s="35">
        <f t="shared" si="17"/>
        <v>46086</v>
      </c>
      <c r="C140" s="35">
        <f t="shared" si="18"/>
        <v>46092</v>
      </c>
      <c r="D140" s="34">
        <v>3284</v>
      </c>
      <c r="E140" s="34">
        <v>338</v>
      </c>
      <c r="F140" s="34">
        <v>4</v>
      </c>
      <c r="G140" s="25">
        <v>7</v>
      </c>
      <c r="H140" s="25">
        <v>81827</v>
      </c>
      <c r="I140" s="34" t="s">
        <v>2690</v>
      </c>
      <c r="J140" s="24">
        <v>69857412</v>
      </c>
      <c r="K140" s="24" t="s">
        <v>7126</v>
      </c>
      <c r="L140" s="24" t="s">
        <v>7127</v>
      </c>
      <c r="M140" s="26">
        <v>29900</v>
      </c>
      <c r="N140" s="34" t="s">
        <v>2569</v>
      </c>
      <c r="O140" s="36" t="str">
        <f t="shared" si="19"/>
        <v>B3 DISC 10%</v>
      </c>
      <c r="P140" s="34" t="s">
        <v>2569</v>
      </c>
    </row>
    <row r="141" spans="1:16" x14ac:dyDescent="0.35">
      <c r="A141" s="34" t="str">
        <f t="shared" si="16"/>
        <v>2026 NOV-FEB B3 DISC 10%</v>
      </c>
      <c r="B141" s="35">
        <f t="shared" si="17"/>
        <v>46086</v>
      </c>
      <c r="C141" s="35">
        <f t="shared" si="18"/>
        <v>46092</v>
      </c>
      <c r="D141" s="34">
        <v>3284</v>
      </c>
      <c r="E141" s="34">
        <v>338</v>
      </c>
      <c r="F141" s="34">
        <v>4</v>
      </c>
      <c r="G141" s="25">
        <v>7</v>
      </c>
      <c r="H141" s="25">
        <v>81827</v>
      </c>
      <c r="I141" s="34" t="s">
        <v>2690</v>
      </c>
      <c r="J141" s="24">
        <v>69857421</v>
      </c>
      <c r="K141" s="24" t="s">
        <v>7126</v>
      </c>
      <c r="L141" s="24" t="s">
        <v>7125</v>
      </c>
      <c r="M141" s="26">
        <v>29900</v>
      </c>
      <c r="N141" s="34" t="s">
        <v>2569</v>
      </c>
      <c r="O141" s="36" t="str">
        <f t="shared" si="19"/>
        <v>B3 DISC 10%</v>
      </c>
      <c r="P141" s="34" t="s">
        <v>2569</v>
      </c>
    </row>
    <row r="142" spans="1:16" x14ac:dyDescent="0.35">
      <c r="A142" s="34" t="str">
        <f t="shared" si="16"/>
        <v>2026 NOV-FEB B3 DISC 10%</v>
      </c>
      <c r="B142" s="35">
        <f t="shared" si="17"/>
        <v>46086</v>
      </c>
      <c r="C142" s="35">
        <f t="shared" si="18"/>
        <v>46092</v>
      </c>
      <c r="D142" s="34">
        <v>3284</v>
      </c>
      <c r="E142" s="34">
        <v>338</v>
      </c>
      <c r="F142" s="34">
        <v>4</v>
      </c>
      <c r="G142" s="25">
        <v>7</v>
      </c>
      <c r="H142" s="25">
        <v>81827</v>
      </c>
      <c r="I142" s="34" t="s">
        <v>2690</v>
      </c>
      <c r="J142" s="24">
        <v>69857430</v>
      </c>
      <c r="K142" s="24" t="s">
        <v>7122</v>
      </c>
      <c r="L142" s="24" t="s">
        <v>7124</v>
      </c>
      <c r="M142" s="26">
        <v>29900</v>
      </c>
      <c r="N142" s="34" t="s">
        <v>2569</v>
      </c>
      <c r="O142" s="36" t="str">
        <f t="shared" si="19"/>
        <v>B3 DISC 10%</v>
      </c>
      <c r="P142" s="34" t="s">
        <v>2569</v>
      </c>
    </row>
    <row r="143" spans="1:16" x14ac:dyDescent="0.35">
      <c r="A143" s="34" t="str">
        <f t="shared" si="16"/>
        <v>2026 NOV-FEB B3 DISC 10%</v>
      </c>
      <c r="B143" s="35">
        <f t="shared" si="17"/>
        <v>46086</v>
      </c>
      <c r="C143" s="35">
        <f t="shared" si="18"/>
        <v>46092</v>
      </c>
      <c r="D143" s="34">
        <v>3284</v>
      </c>
      <c r="E143" s="34">
        <v>338</v>
      </c>
      <c r="F143" s="34">
        <v>4</v>
      </c>
      <c r="G143" s="25">
        <v>7</v>
      </c>
      <c r="H143" s="25">
        <v>81827</v>
      </c>
      <c r="I143" s="34" t="s">
        <v>2690</v>
      </c>
      <c r="J143" s="24">
        <v>69857449</v>
      </c>
      <c r="K143" s="24" t="s">
        <v>7122</v>
      </c>
      <c r="L143" s="24" t="s">
        <v>7123</v>
      </c>
      <c r="M143" s="26">
        <v>29900</v>
      </c>
      <c r="N143" s="34" t="s">
        <v>2569</v>
      </c>
      <c r="O143" s="36" t="str">
        <f t="shared" si="19"/>
        <v>B3 DISC 10%</v>
      </c>
      <c r="P143" s="34" t="s">
        <v>2569</v>
      </c>
    </row>
    <row r="144" spans="1:16" x14ac:dyDescent="0.35">
      <c r="A144" s="34" t="str">
        <f t="shared" si="16"/>
        <v>2026 NOV-FEB B3 DISC 10%</v>
      </c>
      <c r="B144" s="35">
        <f t="shared" si="17"/>
        <v>46086</v>
      </c>
      <c r="C144" s="35">
        <f t="shared" si="18"/>
        <v>46092</v>
      </c>
      <c r="D144" s="34">
        <v>3284</v>
      </c>
      <c r="E144" s="34">
        <v>338</v>
      </c>
      <c r="F144" s="34">
        <v>4</v>
      </c>
      <c r="G144" s="25">
        <v>7</v>
      </c>
      <c r="H144" s="25">
        <v>81827</v>
      </c>
      <c r="I144" s="34" t="s">
        <v>2690</v>
      </c>
      <c r="J144" s="24">
        <v>69857458</v>
      </c>
      <c r="K144" s="24" t="s">
        <v>7122</v>
      </c>
      <c r="L144" s="24" t="s">
        <v>7121</v>
      </c>
      <c r="M144" s="26">
        <v>29900</v>
      </c>
      <c r="N144" s="34" t="s">
        <v>2569</v>
      </c>
      <c r="O144" s="36" t="str">
        <f t="shared" si="19"/>
        <v>B3 DISC 10%</v>
      </c>
      <c r="P144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76"/>
  <sheetViews>
    <sheetView zoomScale="80" zoomScaleNormal="80" workbookViewId="0">
      <pane ySplit="1" topLeftCell="A66" activePane="bottomLeft" state="frozen"/>
      <selection activeCell="M23" sqref="M23"/>
      <selection pane="bottomLeft" activeCell="K70" sqref="K70"/>
    </sheetView>
  </sheetViews>
  <sheetFormatPr defaultColWidth="8.81640625" defaultRowHeight="14.5" x14ac:dyDescent="0.35"/>
  <cols>
    <col min="1" max="1" width="26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54296875" style="33" customWidth="1"/>
    <col min="10" max="10" width="9.453125" style="33" bestFit="1" customWidth="1"/>
    <col min="11" max="11" width="12.453125" style="33" bestFit="1" customWidth="1"/>
    <col min="12" max="12" width="66.6328125" style="19" customWidth="1"/>
    <col min="13" max="13" width="17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25" t="s">
        <v>6749</v>
      </c>
      <c r="B2" s="35">
        <f>'2025 HILITE D80 - 3321'!B3</f>
        <v>46086</v>
      </c>
      <c r="C2" s="35">
        <f>'2025 HILITE D80 - 3321'!C3</f>
        <v>46092</v>
      </c>
      <c r="D2" s="34">
        <v>3287</v>
      </c>
      <c r="E2" s="34">
        <v>338</v>
      </c>
      <c r="F2" s="34">
        <v>4</v>
      </c>
      <c r="G2" s="25">
        <v>9</v>
      </c>
      <c r="H2" s="25">
        <v>81679</v>
      </c>
      <c r="I2" s="25" t="s">
        <v>17</v>
      </c>
      <c r="J2" s="24">
        <v>61073916</v>
      </c>
      <c r="K2" s="24" t="s">
        <v>6444</v>
      </c>
      <c r="L2" s="24" t="s">
        <v>6445</v>
      </c>
      <c r="M2" s="26">
        <v>89900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SHARP PRICE</v>
      </c>
      <c r="B3" s="35">
        <f>B2</f>
        <v>46086</v>
      </c>
      <c r="C3" s="35">
        <f>C2</f>
        <v>46092</v>
      </c>
      <c r="D3" s="34">
        <v>3287</v>
      </c>
      <c r="E3" s="34">
        <v>338</v>
      </c>
      <c r="F3" s="34">
        <v>4</v>
      </c>
      <c r="G3" s="25">
        <v>9</v>
      </c>
      <c r="H3" s="25">
        <v>81679</v>
      </c>
      <c r="I3" s="25" t="s">
        <v>17</v>
      </c>
      <c r="J3" s="24">
        <v>61073925</v>
      </c>
      <c r="K3" s="24" t="s">
        <v>6444</v>
      </c>
      <c r="L3" s="24" t="s">
        <v>6448</v>
      </c>
      <c r="M3" s="26">
        <v>89900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67" si="0">A3</f>
        <v>2025 OCT SHARP PRICE</v>
      </c>
      <c r="B4" s="35">
        <f t="shared" ref="B4:B67" si="1">B3</f>
        <v>46086</v>
      </c>
      <c r="C4" s="35">
        <f t="shared" ref="C4:C67" si="2">C3</f>
        <v>46092</v>
      </c>
      <c r="D4" s="34">
        <v>3287</v>
      </c>
      <c r="E4" s="34">
        <v>338</v>
      </c>
      <c r="F4" s="34">
        <v>4</v>
      </c>
      <c r="G4" s="25">
        <v>9</v>
      </c>
      <c r="H4" s="25">
        <v>81679</v>
      </c>
      <c r="I4" s="25" t="s">
        <v>17</v>
      </c>
      <c r="J4" s="24">
        <v>61073934</v>
      </c>
      <c r="K4" s="24" t="s">
        <v>6444</v>
      </c>
      <c r="L4" s="24" t="s">
        <v>6447</v>
      </c>
      <c r="M4" s="26">
        <v>89900</v>
      </c>
      <c r="N4" s="34">
        <v>0</v>
      </c>
      <c r="O4" s="36" t="s">
        <v>6746</v>
      </c>
      <c r="P4" s="34" t="s">
        <v>6747</v>
      </c>
    </row>
    <row r="5" spans="1:16" x14ac:dyDescent="0.35">
      <c r="A5" s="25" t="str">
        <f t="shared" si="0"/>
        <v>2025 OCT SHARP PRICE</v>
      </c>
      <c r="B5" s="35">
        <f t="shared" si="1"/>
        <v>46086</v>
      </c>
      <c r="C5" s="35">
        <f t="shared" si="2"/>
        <v>46092</v>
      </c>
      <c r="D5" s="34">
        <v>3287</v>
      </c>
      <c r="E5" s="34">
        <v>338</v>
      </c>
      <c r="F5" s="34">
        <v>4</v>
      </c>
      <c r="G5" s="25">
        <v>9</v>
      </c>
      <c r="H5" s="25">
        <v>81679</v>
      </c>
      <c r="I5" s="25" t="s">
        <v>17</v>
      </c>
      <c r="J5" s="24">
        <v>61073943</v>
      </c>
      <c r="K5" s="24" t="s">
        <v>6444</v>
      </c>
      <c r="L5" s="24" t="s">
        <v>6446</v>
      </c>
      <c r="M5" s="26">
        <v>89900</v>
      </c>
      <c r="N5" s="34">
        <v>0</v>
      </c>
      <c r="O5" s="36" t="str">
        <f t="shared" ref="O5" si="3">O4</f>
        <v>SHARP PRICE</v>
      </c>
      <c r="P5" s="34" t="s">
        <v>6747</v>
      </c>
    </row>
    <row r="6" spans="1:16" x14ac:dyDescent="0.35">
      <c r="A6" s="25" t="str">
        <f t="shared" si="0"/>
        <v>2025 OCT SHARP PRICE</v>
      </c>
      <c r="B6" s="35">
        <f t="shared" si="1"/>
        <v>46086</v>
      </c>
      <c r="C6" s="35">
        <f t="shared" si="2"/>
        <v>46092</v>
      </c>
      <c r="D6" s="34">
        <v>3287</v>
      </c>
      <c r="E6" s="34">
        <v>338</v>
      </c>
      <c r="F6" s="34">
        <v>4</v>
      </c>
      <c r="G6" s="25">
        <v>9</v>
      </c>
      <c r="H6" s="25">
        <v>81679</v>
      </c>
      <c r="I6" s="25" t="s">
        <v>17</v>
      </c>
      <c r="J6" s="24">
        <v>61073952</v>
      </c>
      <c r="K6" s="24" t="s">
        <v>6402</v>
      </c>
      <c r="L6" s="24" t="s">
        <v>6405</v>
      </c>
      <c r="M6" s="26">
        <v>89900</v>
      </c>
      <c r="N6" s="34">
        <v>0</v>
      </c>
      <c r="O6" s="36" t="s">
        <v>6746</v>
      </c>
      <c r="P6" s="34" t="s">
        <v>6747</v>
      </c>
    </row>
    <row r="7" spans="1:16" x14ac:dyDescent="0.35">
      <c r="A7" s="25" t="str">
        <f t="shared" si="0"/>
        <v>2025 OCT SHARP PRICE</v>
      </c>
      <c r="B7" s="35">
        <f t="shared" si="1"/>
        <v>46086</v>
      </c>
      <c r="C7" s="35">
        <f t="shared" si="2"/>
        <v>46092</v>
      </c>
      <c r="D7" s="34">
        <v>3287</v>
      </c>
      <c r="E7" s="34">
        <v>338</v>
      </c>
      <c r="F7" s="34">
        <v>4</v>
      </c>
      <c r="G7" s="25">
        <v>9</v>
      </c>
      <c r="H7" s="25">
        <v>81679</v>
      </c>
      <c r="I7" s="25" t="s">
        <v>17</v>
      </c>
      <c r="J7" s="24">
        <v>61073961</v>
      </c>
      <c r="K7" s="24" t="s">
        <v>6402</v>
      </c>
      <c r="L7" s="24" t="s">
        <v>6406</v>
      </c>
      <c r="M7" s="26">
        <v>89900</v>
      </c>
      <c r="N7" s="34">
        <v>0</v>
      </c>
      <c r="O7" s="36" t="str">
        <f t="shared" ref="O7" si="4">O6</f>
        <v>SHARP PRICE</v>
      </c>
      <c r="P7" s="34" t="s">
        <v>6747</v>
      </c>
    </row>
    <row r="8" spans="1:16" x14ac:dyDescent="0.35">
      <c r="A8" s="25" t="str">
        <f t="shared" si="0"/>
        <v>2025 OCT SHARP PRICE</v>
      </c>
      <c r="B8" s="35">
        <f t="shared" si="1"/>
        <v>46086</v>
      </c>
      <c r="C8" s="35">
        <f t="shared" si="2"/>
        <v>46092</v>
      </c>
      <c r="D8" s="34">
        <v>3287</v>
      </c>
      <c r="E8" s="34">
        <v>338</v>
      </c>
      <c r="F8" s="34">
        <v>4</v>
      </c>
      <c r="G8" s="25">
        <v>9</v>
      </c>
      <c r="H8" s="25">
        <v>81679</v>
      </c>
      <c r="I8" s="25" t="s">
        <v>17</v>
      </c>
      <c r="J8" s="24">
        <v>61073970</v>
      </c>
      <c r="K8" s="24" t="s">
        <v>6402</v>
      </c>
      <c r="L8" s="24" t="s">
        <v>6403</v>
      </c>
      <c r="M8" s="26">
        <v>89900</v>
      </c>
      <c r="N8" s="34">
        <v>0</v>
      </c>
      <c r="O8" s="36" t="s">
        <v>6746</v>
      </c>
      <c r="P8" s="34" t="s">
        <v>6747</v>
      </c>
    </row>
    <row r="9" spans="1:16" x14ac:dyDescent="0.35">
      <c r="A9" s="25" t="str">
        <f t="shared" si="0"/>
        <v>2025 OCT SHARP PRICE</v>
      </c>
      <c r="B9" s="35">
        <f t="shared" si="1"/>
        <v>46086</v>
      </c>
      <c r="C9" s="35">
        <f t="shared" si="2"/>
        <v>46092</v>
      </c>
      <c r="D9" s="34">
        <v>3287</v>
      </c>
      <c r="E9" s="34">
        <v>338</v>
      </c>
      <c r="F9" s="34">
        <v>4</v>
      </c>
      <c r="G9" s="25">
        <v>9</v>
      </c>
      <c r="H9" s="25">
        <v>81679</v>
      </c>
      <c r="I9" s="25" t="s">
        <v>17</v>
      </c>
      <c r="J9" s="24">
        <v>61073989</v>
      </c>
      <c r="K9" s="24" t="s">
        <v>6402</v>
      </c>
      <c r="L9" s="24" t="s">
        <v>6404</v>
      </c>
      <c r="M9" s="26">
        <v>89900</v>
      </c>
      <c r="N9" s="34">
        <v>0</v>
      </c>
      <c r="O9" s="36" t="str">
        <f t="shared" ref="O9" si="5">O8</f>
        <v>SHARP PRICE</v>
      </c>
      <c r="P9" s="34" t="s">
        <v>6747</v>
      </c>
    </row>
    <row r="10" spans="1:16" x14ac:dyDescent="0.35">
      <c r="A10" s="25" t="str">
        <f t="shared" si="0"/>
        <v>2025 OCT SHARP PRICE</v>
      </c>
      <c r="B10" s="35">
        <f t="shared" si="1"/>
        <v>46086</v>
      </c>
      <c r="C10" s="35">
        <f t="shared" si="2"/>
        <v>46092</v>
      </c>
      <c r="D10" s="34">
        <v>3287</v>
      </c>
      <c r="E10" s="34">
        <v>338</v>
      </c>
      <c r="F10" s="34">
        <v>4</v>
      </c>
      <c r="G10" s="25">
        <v>9</v>
      </c>
      <c r="H10" s="25">
        <v>81827</v>
      </c>
      <c r="I10" s="25" t="s">
        <v>17</v>
      </c>
      <c r="J10" s="24">
        <v>61074102</v>
      </c>
      <c r="K10" s="24" t="s">
        <v>6410</v>
      </c>
      <c r="L10" s="24" t="s">
        <v>6413</v>
      </c>
      <c r="M10" s="26">
        <v>29900</v>
      </c>
      <c r="N10" s="34">
        <v>0</v>
      </c>
      <c r="O10" s="36" t="s">
        <v>6746</v>
      </c>
      <c r="P10" s="34" t="s">
        <v>6747</v>
      </c>
    </row>
    <row r="11" spans="1:16" x14ac:dyDescent="0.35">
      <c r="A11" s="25" t="str">
        <f t="shared" si="0"/>
        <v>2025 OCT SHARP PRICE</v>
      </c>
      <c r="B11" s="35">
        <f t="shared" si="1"/>
        <v>46086</v>
      </c>
      <c r="C11" s="35">
        <f t="shared" si="2"/>
        <v>46092</v>
      </c>
      <c r="D11" s="34">
        <v>3287</v>
      </c>
      <c r="E11" s="34">
        <v>338</v>
      </c>
      <c r="F11" s="34">
        <v>4</v>
      </c>
      <c r="G11" s="25">
        <v>9</v>
      </c>
      <c r="H11" s="25">
        <v>81827</v>
      </c>
      <c r="I11" s="25" t="s">
        <v>17</v>
      </c>
      <c r="J11" s="24">
        <v>61074111</v>
      </c>
      <c r="K11" s="24" t="s">
        <v>6410</v>
      </c>
      <c r="L11" s="24" t="s">
        <v>6412</v>
      </c>
      <c r="M11" s="26">
        <v>29900</v>
      </c>
      <c r="N11" s="34">
        <v>0</v>
      </c>
      <c r="O11" s="36" t="str">
        <f t="shared" ref="O11" si="6">O10</f>
        <v>SHARP PRICE</v>
      </c>
      <c r="P11" s="34" t="s">
        <v>6747</v>
      </c>
    </row>
    <row r="12" spans="1:16" x14ac:dyDescent="0.35">
      <c r="A12" s="25" t="str">
        <f t="shared" si="0"/>
        <v>2025 OCT SHARP PRICE</v>
      </c>
      <c r="B12" s="35">
        <f t="shared" si="1"/>
        <v>46086</v>
      </c>
      <c r="C12" s="35">
        <f t="shared" si="2"/>
        <v>46092</v>
      </c>
      <c r="D12" s="34">
        <v>3287</v>
      </c>
      <c r="E12" s="34">
        <v>338</v>
      </c>
      <c r="F12" s="34">
        <v>4</v>
      </c>
      <c r="G12" s="25">
        <v>9</v>
      </c>
      <c r="H12" s="25">
        <v>81827</v>
      </c>
      <c r="I12" s="25" t="s">
        <v>17</v>
      </c>
      <c r="J12" s="24">
        <v>61074120</v>
      </c>
      <c r="K12" s="24" t="s">
        <v>6410</v>
      </c>
      <c r="L12" s="24" t="s">
        <v>6411</v>
      </c>
      <c r="M12" s="26">
        <v>29900</v>
      </c>
      <c r="N12" s="34">
        <v>0</v>
      </c>
      <c r="O12" s="36" t="s">
        <v>6746</v>
      </c>
      <c r="P12" s="34" t="s">
        <v>6747</v>
      </c>
    </row>
    <row r="13" spans="1:16" x14ac:dyDescent="0.35">
      <c r="A13" s="25" t="str">
        <f t="shared" si="0"/>
        <v>2025 OCT SHARP PRICE</v>
      </c>
      <c r="B13" s="35">
        <f t="shared" si="1"/>
        <v>46086</v>
      </c>
      <c r="C13" s="35">
        <f t="shared" si="2"/>
        <v>46092</v>
      </c>
      <c r="D13" s="34">
        <v>3287</v>
      </c>
      <c r="E13" s="34">
        <v>338</v>
      </c>
      <c r="F13" s="34">
        <v>4</v>
      </c>
      <c r="G13" s="25">
        <v>9</v>
      </c>
      <c r="H13" s="25">
        <v>81827</v>
      </c>
      <c r="I13" s="25" t="s">
        <v>17</v>
      </c>
      <c r="J13" s="24">
        <v>61074077</v>
      </c>
      <c r="K13" s="24" t="s">
        <v>6414</v>
      </c>
      <c r="L13" s="24" t="s">
        <v>6415</v>
      </c>
      <c r="M13" s="26">
        <v>29900</v>
      </c>
      <c r="N13" s="34">
        <v>0</v>
      </c>
      <c r="O13" s="36" t="str">
        <f t="shared" ref="O13" si="7">O12</f>
        <v>SHARP PRICE</v>
      </c>
      <c r="P13" s="34" t="s">
        <v>6747</v>
      </c>
    </row>
    <row r="14" spans="1:16" x14ac:dyDescent="0.35">
      <c r="A14" s="25" t="str">
        <f t="shared" si="0"/>
        <v>2025 OCT SHARP PRICE</v>
      </c>
      <c r="B14" s="35">
        <f t="shared" si="1"/>
        <v>46086</v>
      </c>
      <c r="C14" s="35">
        <f t="shared" si="2"/>
        <v>46092</v>
      </c>
      <c r="D14" s="34">
        <v>3287</v>
      </c>
      <c r="E14" s="34">
        <v>338</v>
      </c>
      <c r="F14" s="34">
        <v>4</v>
      </c>
      <c r="G14" s="25">
        <v>10</v>
      </c>
      <c r="H14" s="25">
        <v>81827</v>
      </c>
      <c r="I14" s="25" t="s">
        <v>17</v>
      </c>
      <c r="J14" s="24">
        <v>61074086</v>
      </c>
      <c r="K14" s="24" t="s">
        <v>6414</v>
      </c>
      <c r="L14" s="24" t="s">
        <v>6416</v>
      </c>
      <c r="M14" s="26">
        <v>29900</v>
      </c>
      <c r="N14" s="34">
        <v>0</v>
      </c>
      <c r="O14" s="36" t="s">
        <v>6746</v>
      </c>
      <c r="P14" s="34" t="s">
        <v>6747</v>
      </c>
    </row>
    <row r="15" spans="1:16" x14ac:dyDescent="0.35">
      <c r="A15" s="25" t="str">
        <f t="shared" si="0"/>
        <v>2025 OCT SHARP PRICE</v>
      </c>
      <c r="B15" s="35">
        <f t="shared" si="1"/>
        <v>46086</v>
      </c>
      <c r="C15" s="35">
        <f t="shared" si="2"/>
        <v>46092</v>
      </c>
      <c r="D15" s="34">
        <v>3287</v>
      </c>
      <c r="E15" s="34">
        <v>338</v>
      </c>
      <c r="F15" s="34">
        <v>4</v>
      </c>
      <c r="G15" s="25">
        <v>10</v>
      </c>
      <c r="H15" s="25">
        <v>81827</v>
      </c>
      <c r="I15" s="25" t="s">
        <v>17</v>
      </c>
      <c r="J15" s="24">
        <v>61074095</v>
      </c>
      <c r="K15" s="24" t="s">
        <v>6414</v>
      </c>
      <c r="L15" s="24" t="s">
        <v>6417</v>
      </c>
      <c r="M15" s="26">
        <v>29900</v>
      </c>
      <c r="N15" s="34">
        <v>0</v>
      </c>
      <c r="O15" s="36" t="str">
        <f t="shared" ref="O15" si="8">O14</f>
        <v>SHARP PRICE</v>
      </c>
      <c r="P15" s="34" t="s">
        <v>6747</v>
      </c>
    </row>
    <row r="16" spans="1:16" x14ac:dyDescent="0.35">
      <c r="A16" s="25" t="str">
        <f t="shared" si="0"/>
        <v>2025 OCT SHARP PRICE</v>
      </c>
      <c r="B16" s="35">
        <f t="shared" si="1"/>
        <v>46086</v>
      </c>
      <c r="C16" s="35">
        <f t="shared" si="2"/>
        <v>46092</v>
      </c>
      <c r="D16" s="34">
        <v>3287</v>
      </c>
      <c r="E16" s="34">
        <v>338</v>
      </c>
      <c r="F16" s="34">
        <v>4</v>
      </c>
      <c r="G16" s="25">
        <v>10</v>
      </c>
      <c r="H16" s="25">
        <v>4953</v>
      </c>
      <c r="I16" s="25" t="s">
        <v>17</v>
      </c>
      <c r="J16" s="24">
        <v>59123509</v>
      </c>
      <c r="K16" s="24" t="s">
        <v>6426</v>
      </c>
      <c r="L16" s="24" t="s">
        <v>6430</v>
      </c>
      <c r="M16" s="26">
        <v>149900</v>
      </c>
      <c r="N16" s="34">
        <v>0</v>
      </c>
      <c r="O16" s="36" t="s">
        <v>6746</v>
      </c>
      <c r="P16" s="34" t="s">
        <v>6747</v>
      </c>
    </row>
    <row r="17" spans="1:16" x14ac:dyDescent="0.35">
      <c r="A17" s="25" t="str">
        <f t="shared" si="0"/>
        <v>2025 OCT SHARP PRICE</v>
      </c>
      <c r="B17" s="35">
        <f t="shared" si="1"/>
        <v>46086</v>
      </c>
      <c r="C17" s="35">
        <f t="shared" si="2"/>
        <v>46092</v>
      </c>
      <c r="D17" s="34">
        <v>3287</v>
      </c>
      <c r="E17" s="34">
        <v>338</v>
      </c>
      <c r="F17" s="34">
        <v>4</v>
      </c>
      <c r="G17" s="25">
        <v>10</v>
      </c>
      <c r="H17" s="25">
        <v>4953</v>
      </c>
      <c r="I17" s="25" t="s">
        <v>17</v>
      </c>
      <c r="J17" s="24">
        <v>59123518</v>
      </c>
      <c r="K17" s="24" t="s">
        <v>6426</v>
      </c>
      <c r="L17" s="24" t="s">
        <v>6432</v>
      </c>
      <c r="M17" s="26">
        <v>149900</v>
      </c>
      <c r="N17" s="34">
        <v>0</v>
      </c>
      <c r="O17" s="36" t="str">
        <f t="shared" ref="O17" si="9">O16</f>
        <v>SHARP PRICE</v>
      </c>
      <c r="P17" s="34" t="s">
        <v>6747</v>
      </c>
    </row>
    <row r="18" spans="1:16" x14ac:dyDescent="0.35">
      <c r="A18" s="25" t="str">
        <f t="shared" si="0"/>
        <v>2025 OCT SHARP PRICE</v>
      </c>
      <c r="B18" s="35">
        <f t="shared" si="1"/>
        <v>46086</v>
      </c>
      <c r="C18" s="35">
        <f t="shared" si="2"/>
        <v>46092</v>
      </c>
      <c r="D18" s="34">
        <v>3287</v>
      </c>
      <c r="E18" s="34">
        <v>338</v>
      </c>
      <c r="F18" s="34">
        <v>4</v>
      </c>
      <c r="G18" s="25">
        <v>10</v>
      </c>
      <c r="H18" s="25">
        <v>4953</v>
      </c>
      <c r="I18" s="25" t="s">
        <v>17</v>
      </c>
      <c r="J18" s="24">
        <v>59123527</v>
      </c>
      <c r="K18" s="24" t="s">
        <v>6426</v>
      </c>
      <c r="L18" s="24" t="s">
        <v>6434</v>
      </c>
      <c r="M18" s="26">
        <v>149900</v>
      </c>
      <c r="N18" s="34">
        <v>0</v>
      </c>
      <c r="O18" s="36" t="s">
        <v>6746</v>
      </c>
      <c r="P18" s="34" t="s">
        <v>6747</v>
      </c>
    </row>
    <row r="19" spans="1:16" x14ac:dyDescent="0.35">
      <c r="A19" s="25" t="str">
        <f t="shared" si="0"/>
        <v>2025 OCT SHARP PRICE</v>
      </c>
      <c r="B19" s="35">
        <f t="shared" si="1"/>
        <v>46086</v>
      </c>
      <c r="C19" s="35">
        <f t="shared" si="2"/>
        <v>46092</v>
      </c>
      <c r="D19" s="34">
        <v>3287</v>
      </c>
      <c r="E19" s="34">
        <v>338</v>
      </c>
      <c r="F19" s="34">
        <v>4</v>
      </c>
      <c r="G19" s="25">
        <v>10</v>
      </c>
      <c r="H19" s="25">
        <v>4953</v>
      </c>
      <c r="I19" s="25" t="s">
        <v>17</v>
      </c>
      <c r="J19" s="24">
        <v>59123536</v>
      </c>
      <c r="K19" s="24" t="s">
        <v>6426</v>
      </c>
      <c r="L19" s="24" t="s">
        <v>6431</v>
      </c>
      <c r="M19" s="26">
        <v>149900</v>
      </c>
      <c r="N19" s="34">
        <v>0</v>
      </c>
      <c r="O19" s="36" t="str">
        <f t="shared" ref="O19" si="10">O18</f>
        <v>SHARP PRICE</v>
      </c>
      <c r="P19" s="34" t="s">
        <v>6747</v>
      </c>
    </row>
    <row r="20" spans="1:16" x14ac:dyDescent="0.35">
      <c r="A20" s="25" t="str">
        <f t="shared" si="0"/>
        <v>2025 OCT SHARP PRICE</v>
      </c>
      <c r="B20" s="35">
        <f t="shared" si="1"/>
        <v>46086</v>
      </c>
      <c r="C20" s="35">
        <f t="shared" si="2"/>
        <v>46092</v>
      </c>
      <c r="D20" s="34">
        <v>3287</v>
      </c>
      <c r="E20" s="34">
        <v>338</v>
      </c>
      <c r="F20" s="34">
        <v>4</v>
      </c>
      <c r="G20" s="25">
        <v>10</v>
      </c>
      <c r="H20" s="25">
        <v>4953</v>
      </c>
      <c r="I20" s="25" t="s">
        <v>17</v>
      </c>
      <c r="J20" s="24">
        <v>59123545</v>
      </c>
      <c r="K20" s="24" t="s">
        <v>6426</v>
      </c>
      <c r="L20" s="24" t="s">
        <v>6433</v>
      </c>
      <c r="M20" s="26">
        <v>149900</v>
      </c>
      <c r="N20" s="34">
        <v>0</v>
      </c>
      <c r="O20" s="36" t="s">
        <v>6746</v>
      </c>
      <c r="P20" s="34" t="s">
        <v>6747</v>
      </c>
    </row>
    <row r="21" spans="1:16" x14ac:dyDescent="0.35">
      <c r="A21" s="25" t="str">
        <f t="shared" si="0"/>
        <v>2025 OCT SHARP PRICE</v>
      </c>
      <c r="B21" s="35">
        <f t="shared" si="1"/>
        <v>46086</v>
      </c>
      <c r="C21" s="35">
        <f t="shared" si="2"/>
        <v>46092</v>
      </c>
      <c r="D21" s="34">
        <v>3287</v>
      </c>
      <c r="E21" s="34">
        <v>338</v>
      </c>
      <c r="F21" s="34">
        <v>4</v>
      </c>
      <c r="G21" s="25">
        <v>10</v>
      </c>
      <c r="H21" s="25">
        <v>4953</v>
      </c>
      <c r="I21" s="25" t="s">
        <v>17</v>
      </c>
      <c r="J21" s="24">
        <v>59123554</v>
      </c>
      <c r="K21" s="24" t="s">
        <v>6426</v>
      </c>
      <c r="L21" s="24" t="s">
        <v>6429</v>
      </c>
      <c r="M21" s="26">
        <v>149900</v>
      </c>
      <c r="N21" s="34">
        <v>0</v>
      </c>
      <c r="O21" s="36" t="str">
        <f t="shared" ref="O21" si="11">O20</f>
        <v>SHARP PRICE</v>
      </c>
      <c r="P21" s="34" t="s">
        <v>6747</v>
      </c>
    </row>
    <row r="22" spans="1:16" x14ac:dyDescent="0.35">
      <c r="A22" s="25" t="str">
        <f t="shared" si="0"/>
        <v>2025 OCT SHARP PRICE</v>
      </c>
      <c r="B22" s="35">
        <f t="shared" si="1"/>
        <v>46086</v>
      </c>
      <c r="C22" s="35">
        <f t="shared" si="2"/>
        <v>46092</v>
      </c>
      <c r="D22" s="34">
        <v>3287</v>
      </c>
      <c r="E22" s="34">
        <v>338</v>
      </c>
      <c r="F22" s="34">
        <v>4</v>
      </c>
      <c r="G22" s="25">
        <v>10</v>
      </c>
      <c r="H22" s="25">
        <v>4953</v>
      </c>
      <c r="I22" s="25" t="s">
        <v>17</v>
      </c>
      <c r="J22" s="24">
        <v>59123563</v>
      </c>
      <c r="K22" s="24" t="s">
        <v>6426</v>
      </c>
      <c r="L22" s="24" t="s">
        <v>6427</v>
      </c>
      <c r="M22" s="26">
        <v>149900</v>
      </c>
      <c r="N22" s="34">
        <v>0</v>
      </c>
      <c r="O22" s="36" t="s">
        <v>6746</v>
      </c>
      <c r="P22" s="34" t="s">
        <v>6747</v>
      </c>
    </row>
    <row r="23" spans="1:16" x14ac:dyDescent="0.35">
      <c r="A23" s="25" t="str">
        <f t="shared" si="0"/>
        <v>2025 OCT SHARP PRICE</v>
      </c>
      <c r="B23" s="35">
        <f t="shared" si="1"/>
        <v>46086</v>
      </c>
      <c r="C23" s="35">
        <f t="shared" si="2"/>
        <v>46092</v>
      </c>
      <c r="D23" s="34">
        <v>3287</v>
      </c>
      <c r="E23" s="34">
        <v>338</v>
      </c>
      <c r="F23" s="34">
        <v>4</v>
      </c>
      <c r="G23" s="25">
        <v>10</v>
      </c>
      <c r="H23" s="25">
        <v>4953</v>
      </c>
      <c r="I23" s="25" t="s">
        <v>17</v>
      </c>
      <c r="J23" s="24">
        <v>59123572</v>
      </c>
      <c r="K23" s="24" t="s">
        <v>6426</v>
      </c>
      <c r="L23" s="24" t="s">
        <v>6428</v>
      </c>
      <c r="M23" s="26">
        <v>149900</v>
      </c>
      <c r="N23" s="34">
        <v>0</v>
      </c>
      <c r="O23" s="36" t="str">
        <f t="shared" ref="O23" si="12">O22</f>
        <v>SHARP PRICE</v>
      </c>
      <c r="P23" s="34" t="s">
        <v>6747</v>
      </c>
    </row>
    <row r="24" spans="1:16" x14ac:dyDescent="0.35">
      <c r="A24" s="25" t="str">
        <f t="shared" si="0"/>
        <v>2025 OCT SHARP PRICE</v>
      </c>
      <c r="B24" s="35">
        <f t="shared" si="1"/>
        <v>46086</v>
      </c>
      <c r="C24" s="35">
        <f t="shared" si="2"/>
        <v>46092</v>
      </c>
      <c r="D24" s="34">
        <v>3287</v>
      </c>
      <c r="E24" s="34">
        <v>338</v>
      </c>
      <c r="F24" s="34">
        <v>4</v>
      </c>
      <c r="G24" s="25">
        <v>10</v>
      </c>
      <c r="H24" s="25">
        <v>4953</v>
      </c>
      <c r="I24" s="25" t="s">
        <v>17</v>
      </c>
      <c r="J24" s="24">
        <v>59123661</v>
      </c>
      <c r="K24" s="24" t="s">
        <v>6435</v>
      </c>
      <c r="L24" s="24" t="s">
        <v>6439</v>
      </c>
      <c r="M24" s="26">
        <v>129900</v>
      </c>
      <c r="N24" s="34">
        <v>0</v>
      </c>
      <c r="O24" s="36" t="s">
        <v>6746</v>
      </c>
      <c r="P24" s="34" t="s">
        <v>6747</v>
      </c>
    </row>
    <row r="25" spans="1:16" x14ac:dyDescent="0.35">
      <c r="A25" s="25" t="str">
        <f t="shared" si="0"/>
        <v>2025 OCT SHARP PRICE</v>
      </c>
      <c r="B25" s="35">
        <f t="shared" si="1"/>
        <v>46086</v>
      </c>
      <c r="C25" s="35">
        <f t="shared" si="2"/>
        <v>46092</v>
      </c>
      <c r="D25" s="34">
        <v>3287</v>
      </c>
      <c r="E25" s="34">
        <v>338</v>
      </c>
      <c r="F25" s="34">
        <v>4</v>
      </c>
      <c r="G25" s="25">
        <v>10</v>
      </c>
      <c r="H25" s="25">
        <v>4953</v>
      </c>
      <c r="I25" s="25" t="s">
        <v>17</v>
      </c>
      <c r="J25" s="24">
        <v>59123670</v>
      </c>
      <c r="K25" s="24" t="s">
        <v>6435</v>
      </c>
      <c r="L25" s="24" t="s">
        <v>6443</v>
      </c>
      <c r="M25" s="26">
        <v>129900</v>
      </c>
      <c r="N25" s="34">
        <v>0</v>
      </c>
      <c r="O25" s="36" t="str">
        <f t="shared" ref="O25" si="13">O24</f>
        <v>SHARP PRICE</v>
      </c>
      <c r="P25" s="34" t="s">
        <v>6747</v>
      </c>
    </row>
    <row r="26" spans="1:16" x14ac:dyDescent="0.35">
      <c r="A26" s="25" t="str">
        <f t="shared" si="0"/>
        <v>2025 OCT SHARP PRICE</v>
      </c>
      <c r="B26" s="35">
        <f t="shared" si="1"/>
        <v>46086</v>
      </c>
      <c r="C26" s="35">
        <f t="shared" si="2"/>
        <v>46092</v>
      </c>
      <c r="D26" s="34">
        <v>3287</v>
      </c>
      <c r="E26" s="34">
        <v>338</v>
      </c>
      <c r="F26" s="34">
        <v>4</v>
      </c>
      <c r="G26" s="25">
        <v>7</v>
      </c>
      <c r="H26" s="25">
        <v>4953</v>
      </c>
      <c r="I26" s="25" t="s">
        <v>17</v>
      </c>
      <c r="J26" s="24">
        <v>59123689</v>
      </c>
      <c r="K26" s="24" t="s">
        <v>6435</v>
      </c>
      <c r="L26" s="24" t="s">
        <v>6441</v>
      </c>
      <c r="M26" s="26">
        <v>129900</v>
      </c>
      <c r="N26" s="34">
        <v>0</v>
      </c>
      <c r="O26" s="36" t="s">
        <v>6746</v>
      </c>
      <c r="P26" s="34" t="s">
        <v>6747</v>
      </c>
    </row>
    <row r="27" spans="1:16" x14ac:dyDescent="0.35">
      <c r="A27" s="25" t="str">
        <f t="shared" si="0"/>
        <v>2025 OCT SHARP PRICE</v>
      </c>
      <c r="B27" s="35">
        <f t="shared" si="1"/>
        <v>46086</v>
      </c>
      <c r="C27" s="35">
        <f t="shared" si="2"/>
        <v>46092</v>
      </c>
      <c r="D27" s="34">
        <v>3287</v>
      </c>
      <c r="E27" s="34">
        <v>338</v>
      </c>
      <c r="F27" s="34">
        <v>4</v>
      </c>
      <c r="G27" s="25">
        <v>7</v>
      </c>
      <c r="H27" s="25">
        <v>4953</v>
      </c>
      <c r="I27" s="25" t="s">
        <v>17</v>
      </c>
      <c r="J27" s="24">
        <v>59123698</v>
      </c>
      <c r="K27" s="24" t="s">
        <v>6435</v>
      </c>
      <c r="L27" s="24" t="s">
        <v>6442</v>
      </c>
      <c r="M27" s="26">
        <v>129900</v>
      </c>
      <c r="N27" s="34">
        <v>0</v>
      </c>
      <c r="O27" s="36" t="str">
        <f t="shared" ref="O27" si="14">O26</f>
        <v>SHARP PRICE</v>
      </c>
      <c r="P27" s="34" t="s">
        <v>6747</v>
      </c>
    </row>
    <row r="28" spans="1:16" x14ac:dyDescent="0.35">
      <c r="A28" s="25" t="str">
        <f t="shared" si="0"/>
        <v>2025 OCT SHARP PRICE</v>
      </c>
      <c r="B28" s="35">
        <f t="shared" si="1"/>
        <v>46086</v>
      </c>
      <c r="C28" s="35">
        <f t="shared" si="2"/>
        <v>46092</v>
      </c>
      <c r="D28" s="34">
        <v>3287</v>
      </c>
      <c r="E28" s="34">
        <v>338</v>
      </c>
      <c r="F28" s="34">
        <v>4</v>
      </c>
      <c r="G28" s="25">
        <v>10</v>
      </c>
      <c r="H28" s="25">
        <v>4953</v>
      </c>
      <c r="I28" s="25" t="s">
        <v>17</v>
      </c>
      <c r="J28" s="24">
        <v>59123705</v>
      </c>
      <c r="K28" s="24" t="s">
        <v>6435</v>
      </c>
      <c r="L28" s="24" t="s">
        <v>6438</v>
      </c>
      <c r="M28" s="26">
        <v>129900</v>
      </c>
      <c r="N28" s="34">
        <v>0</v>
      </c>
      <c r="O28" s="36" t="s">
        <v>6746</v>
      </c>
      <c r="P28" s="34" t="s">
        <v>6747</v>
      </c>
    </row>
    <row r="29" spans="1:16" x14ac:dyDescent="0.35">
      <c r="A29" s="25" t="str">
        <f t="shared" si="0"/>
        <v>2025 OCT SHARP PRICE</v>
      </c>
      <c r="B29" s="35">
        <f t="shared" si="1"/>
        <v>46086</v>
      </c>
      <c r="C29" s="35">
        <f t="shared" si="2"/>
        <v>46092</v>
      </c>
      <c r="D29" s="34">
        <v>3287</v>
      </c>
      <c r="E29" s="34">
        <v>338</v>
      </c>
      <c r="F29" s="34">
        <v>4</v>
      </c>
      <c r="G29" s="25">
        <v>10</v>
      </c>
      <c r="H29" s="25">
        <v>4953</v>
      </c>
      <c r="I29" s="25" t="s">
        <v>17</v>
      </c>
      <c r="J29" s="24">
        <v>59123714</v>
      </c>
      <c r="K29" s="24" t="s">
        <v>6435</v>
      </c>
      <c r="L29" s="24" t="s">
        <v>6436</v>
      </c>
      <c r="M29" s="26">
        <v>129900</v>
      </c>
      <c r="N29" s="34">
        <v>0</v>
      </c>
      <c r="O29" s="36" t="str">
        <f t="shared" ref="O29" si="15">O28</f>
        <v>SHARP PRICE</v>
      </c>
      <c r="P29" s="34" t="s">
        <v>6747</v>
      </c>
    </row>
    <row r="30" spans="1:16" x14ac:dyDescent="0.35">
      <c r="A30" s="25" t="str">
        <f t="shared" si="0"/>
        <v>2025 OCT SHARP PRICE</v>
      </c>
      <c r="B30" s="35">
        <f t="shared" si="1"/>
        <v>46086</v>
      </c>
      <c r="C30" s="35">
        <f t="shared" si="2"/>
        <v>46092</v>
      </c>
      <c r="D30" s="34">
        <v>3287</v>
      </c>
      <c r="E30" s="34">
        <v>338</v>
      </c>
      <c r="F30" s="34">
        <v>4</v>
      </c>
      <c r="G30" s="25">
        <v>10</v>
      </c>
      <c r="H30" s="25">
        <v>4953</v>
      </c>
      <c r="I30" s="25" t="s">
        <v>17</v>
      </c>
      <c r="J30" s="24">
        <v>59123723</v>
      </c>
      <c r="K30" s="24" t="s">
        <v>6435</v>
      </c>
      <c r="L30" s="24" t="s">
        <v>6437</v>
      </c>
      <c r="M30" s="26">
        <v>129900</v>
      </c>
      <c r="N30" s="34">
        <v>0</v>
      </c>
      <c r="O30" s="36" t="s">
        <v>6746</v>
      </c>
      <c r="P30" s="34" t="s">
        <v>6747</v>
      </c>
    </row>
    <row r="31" spans="1:16" x14ac:dyDescent="0.35">
      <c r="A31" s="25" t="str">
        <f t="shared" si="0"/>
        <v>2025 OCT SHARP PRICE</v>
      </c>
      <c r="B31" s="35">
        <f t="shared" si="1"/>
        <v>46086</v>
      </c>
      <c r="C31" s="35">
        <f t="shared" si="2"/>
        <v>46092</v>
      </c>
      <c r="D31" s="34">
        <v>3287</v>
      </c>
      <c r="E31" s="34">
        <v>338</v>
      </c>
      <c r="F31" s="34">
        <v>4</v>
      </c>
      <c r="G31" s="25">
        <v>10</v>
      </c>
      <c r="H31" s="25">
        <v>4953</v>
      </c>
      <c r="I31" s="25" t="s">
        <v>17</v>
      </c>
      <c r="J31" s="24">
        <v>59123732</v>
      </c>
      <c r="K31" s="24" t="s">
        <v>6435</v>
      </c>
      <c r="L31" s="24" t="s">
        <v>6440</v>
      </c>
      <c r="M31" s="26">
        <v>129900</v>
      </c>
      <c r="N31" s="34">
        <v>0</v>
      </c>
      <c r="O31" s="36" t="str">
        <f t="shared" ref="O31" si="16">O30</f>
        <v>SHARP PRICE</v>
      </c>
      <c r="P31" s="34" t="s">
        <v>6747</v>
      </c>
    </row>
    <row r="32" spans="1:16" x14ac:dyDescent="0.35">
      <c r="A32" s="25" t="str">
        <f t="shared" si="0"/>
        <v>2025 OCT SHARP PRICE</v>
      </c>
      <c r="B32" s="35">
        <f t="shared" si="1"/>
        <v>46086</v>
      </c>
      <c r="C32" s="35">
        <f t="shared" si="2"/>
        <v>46092</v>
      </c>
      <c r="D32" s="34">
        <v>3287</v>
      </c>
      <c r="E32" s="34">
        <v>338</v>
      </c>
      <c r="F32" s="34">
        <v>4</v>
      </c>
      <c r="G32" s="25">
        <v>10</v>
      </c>
      <c r="H32" s="25">
        <v>81827</v>
      </c>
      <c r="I32" s="25" t="s">
        <v>17</v>
      </c>
      <c r="J32" s="24">
        <v>61074166</v>
      </c>
      <c r="K32" s="24" t="s">
        <v>6462</v>
      </c>
      <c r="L32" s="24" t="s">
        <v>6464</v>
      </c>
      <c r="M32" s="26">
        <v>29900</v>
      </c>
      <c r="N32" s="34">
        <v>0</v>
      </c>
      <c r="O32" s="36" t="s">
        <v>6746</v>
      </c>
      <c r="P32" s="34" t="s">
        <v>6747</v>
      </c>
    </row>
    <row r="33" spans="1:16" x14ac:dyDescent="0.35">
      <c r="A33" s="25" t="str">
        <f t="shared" si="0"/>
        <v>2025 OCT SHARP PRICE</v>
      </c>
      <c r="B33" s="35">
        <f t="shared" si="1"/>
        <v>46086</v>
      </c>
      <c r="C33" s="35">
        <f t="shared" si="2"/>
        <v>46092</v>
      </c>
      <c r="D33" s="34">
        <v>3287</v>
      </c>
      <c r="E33" s="34">
        <v>338</v>
      </c>
      <c r="F33" s="34">
        <v>4</v>
      </c>
      <c r="G33" s="25">
        <v>10</v>
      </c>
      <c r="H33" s="25">
        <v>81827</v>
      </c>
      <c r="I33" s="25" t="s">
        <v>17</v>
      </c>
      <c r="J33" s="24">
        <v>61074175</v>
      </c>
      <c r="K33" s="24" t="s">
        <v>6462</v>
      </c>
      <c r="L33" s="24" t="s">
        <v>6463</v>
      </c>
      <c r="M33" s="26">
        <v>29900</v>
      </c>
      <c r="N33" s="34">
        <v>0</v>
      </c>
      <c r="O33" s="36" t="str">
        <f t="shared" ref="O33" si="17">O32</f>
        <v>SHARP PRICE</v>
      </c>
      <c r="P33" s="34" t="s">
        <v>6747</v>
      </c>
    </row>
    <row r="34" spans="1:16" x14ac:dyDescent="0.35">
      <c r="A34" s="25" t="str">
        <f t="shared" si="0"/>
        <v>2025 OCT SHARP PRICE</v>
      </c>
      <c r="B34" s="35">
        <f t="shared" si="1"/>
        <v>46086</v>
      </c>
      <c r="C34" s="35">
        <f t="shared" si="2"/>
        <v>46092</v>
      </c>
      <c r="D34" s="34">
        <v>3287</v>
      </c>
      <c r="E34" s="34">
        <v>338</v>
      </c>
      <c r="F34" s="34">
        <v>4</v>
      </c>
      <c r="G34" s="25">
        <v>2</v>
      </c>
      <c r="H34" s="25">
        <v>81827</v>
      </c>
      <c r="I34" s="25" t="s">
        <v>17</v>
      </c>
      <c r="J34" s="24">
        <v>61074184</v>
      </c>
      <c r="K34" s="24" t="s">
        <v>6462</v>
      </c>
      <c r="L34" s="24" t="s">
        <v>6465</v>
      </c>
      <c r="M34" s="26">
        <v>29900</v>
      </c>
      <c r="N34" s="34">
        <v>0</v>
      </c>
      <c r="O34" s="36" t="s">
        <v>6746</v>
      </c>
      <c r="P34" s="34" t="s">
        <v>6747</v>
      </c>
    </row>
    <row r="35" spans="1:16" x14ac:dyDescent="0.35">
      <c r="A35" s="25" t="str">
        <f t="shared" si="0"/>
        <v>2025 OCT SHARP PRICE</v>
      </c>
      <c r="B35" s="35">
        <f t="shared" si="1"/>
        <v>46086</v>
      </c>
      <c r="C35" s="35">
        <f t="shared" si="2"/>
        <v>46092</v>
      </c>
      <c r="D35" s="34">
        <v>3287</v>
      </c>
      <c r="E35" s="34">
        <v>338</v>
      </c>
      <c r="F35" s="34">
        <v>4</v>
      </c>
      <c r="G35" s="25">
        <v>2</v>
      </c>
      <c r="H35" s="25">
        <v>81827</v>
      </c>
      <c r="I35" s="25" t="s">
        <v>17</v>
      </c>
      <c r="J35" s="24">
        <v>61074139</v>
      </c>
      <c r="K35" s="24" t="s">
        <v>6458</v>
      </c>
      <c r="L35" s="24" t="s">
        <v>6460</v>
      </c>
      <c r="M35" s="26">
        <v>29900</v>
      </c>
      <c r="N35" s="34">
        <v>0</v>
      </c>
      <c r="O35" s="36" t="str">
        <f t="shared" ref="O35" si="18">O34</f>
        <v>SHARP PRICE</v>
      </c>
      <c r="P35" s="34" t="s">
        <v>6747</v>
      </c>
    </row>
    <row r="36" spans="1:16" x14ac:dyDescent="0.35">
      <c r="A36" s="25" t="str">
        <f t="shared" si="0"/>
        <v>2025 OCT SHARP PRICE</v>
      </c>
      <c r="B36" s="35">
        <f t="shared" si="1"/>
        <v>46086</v>
      </c>
      <c r="C36" s="35">
        <f t="shared" si="2"/>
        <v>46092</v>
      </c>
      <c r="D36" s="34">
        <v>3287</v>
      </c>
      <c r="E36" s="34">
        <v>338</v>
      </c>
      <c r="F36" s="34">
        <v>4</v>
      </c>
      <c r="G36" s="25">
        <v>2</v>
      </c>
      <c r="H36" s="25">
        <v>81827</v>
      </c>
      <c r="I36" s="25" t="s">
        <v>17</v>
      </c>
      <c r="J36" s="24">
        <v>61074148</v>
      </c>
      <c r="K36" s="24" t="s">
        <v>6458</v>
      </c>
      <c r="L36" s="24" t="s">
        <v>6461</v>
      </c>
      <c r="M36" s="26">
        <v>29900</v>
      </c>
      <c r="N36" s="34">
        <v>0</v>
      </c>
      <c r="O36" s="36" t="s">
        <v>6746</v>
      </c>
      <c r="P36" s="34" t="s">
        <v>6747</v>
      </c>
    </row>
    <row r="37" spans="1:16" x14ac:dyDescent="0.35">
      <c r="A37" s="25" t="str">
        <f t="shared" si="0"/>
        <v>2025 OCT SHARP PRICE</v>
      </c>
      <c r="B37" s="35">
        <f t="shared" si="1"/>
        <v>46086</v>
      </c>
      <c r="C37" s="35">
        <f t="shared" si="2"/>
        <v>46092</v>
      </c>
      <c r="D37" s="34">
        <v>3287</v>
      </c>
      <c r="E37" s="34">
        <v>338</v>
      </c>
      <c r="F37" s="34">
        <v>4</v>
      </c>
      <c r="G37" s="25">
        <v>2</v>
      </c>
      <c r="H37" s="25">
        <v>81827</v>
      </c>
      <c r="I37" s="25" t="s">
        <v>17</v>
      </c>
      <c r="J37" s="24">
        <v>61074157</v>
      </c>
      <c r="K37" s="24" t="s">
        <v>6458</v>
      </c>
      <c r="L37" s="24" t="s">
        <v>6459</v>
      </c>
      <c r="M37" s="26">
        <v>29900</v>
      </c>
      <c r="N37" s="34">
        <v>0</v>
      </c>
      <c r="O37" s="36" t="str">
        <f t="shared" ref="O37" si="19">O36</f>
        <v>SHARP PRICE</v>
      </c>
      <c r="P37" s="34" t="s">
        <v>6747</v>
      </c>
    </row>
    <row r="38" spans="1:16" x14ac:dyDescent="0.35">
      <c r="A38" s="25" t="str">
        <f t="shared" si="0"/>
        <v>2025 OCT SHARP PRICE</v>
      </c>
      <c r="B38" s="35">
        <f t="shared" si="1"/>
        <v>46086</v>
      </c>
      <c r="C38" s="35">
        <f t="shared" si="2"/>
        <v>46092</v>
      </c>
      <c r="D38" s="34">
        <v>3287</v>
      </c>
      <c r="E38" s="34">
        <v>338</v>
      </c>
      <c r="F38" s="34">
        <v>4</v>
      </c>
      <c r="G38" s="25">
        <v>2</v>
      </c>
      <c r="H38" s="25">
        <v>81827</v>
      </c>
      <c r="I38" s="25" t="s">
        <v>17</v>
      </c>
      <c r="J38" s="24">
        <v>61074228</v>
      </c>
      <c r="K38" s="24" t="s">
        <v>6470</v>
      </c>
      <c r="L38" s="24" t="s">
        <v>6472</v>
      </c>
      <c r="M38" s="26">
        <v>29900</v>
      </c>
      <c r="N38" s="34">
        <v>0</v>
      </c>
      <c r="O38" s="36" t="s">
        <v>6746</v>
      </c>
      <c r="P38" s="34" t="s">
        <v>6747</v>
      </c>
    </row>
    <row r="39" spans="1:16" x14ac:dyDescent="0.35">
      <c r="A39" s="25" t="str">
        <f t="shared" si="0"/>
        <v>2025 OCT SHARP PRICE</v>
      </c>
      <c r="B39" s="35">
        <f t="shared" si="1"/>
        <v>46086</v>
      </c>
      <c r="C39" s="35">
        <f t="shared" si="2"/>
        <v>46092</v>
      </c>
      <c r="D39" s="34">
        <v>3287</v>
      </c>
      <c r="E39" s="34">
        <v>338</v>
      </c>
      <c r="F39" s="34">
        <v>4</v>
      </c>
      <c r="G39" s="25">
        <v>2</v>
      </c>
      <c r="H39" s="25">
        <v>81827</v>
      </c>
      <c r="I39" s="25" t="s">
        <v>17</v>
      </c>
      <c r="J39" s="24">
        <v>61074237</v>
      </c>
      <c r="K39" s="24" t="s">
        <v>6470</v>
      </c>
      <c r="L39" s="24" t="s">
        <v>6471</v>
      </c>
      <c r="M39" s="26">
        <v>29900</v>
      </c>
      <c r="N39" s="34">
        <v>0</v>
      </c>
      <c r="O39" s="36" t="str">
        <f t="shared" ref="O39" si="20">O38</f>
        <v>SHARP PRICE</v>
      </c>
      <c r="P39" s="34" t="s">
        <v>6747</v>
      </c>
    </row>
    <row r="40" spans="1:16" x14ac:dyDescent="0.35">
      <c r="A40" s="25" t="str">
        <f t="shared" si="0"/>
        <v>2025 OCT SHARP PRICE</v>
      </c>
      <c r="B40" s="35">
        <f t="shared" si="1"/>
        <v>46086</v>
      </c>
      <c r="C40" s="35">
        <f t="shared" si="2"/>
        <v>46092</v>
      </c>
      <c r="D40" s="34">
        <v>3287</v>
      </c>
      <c r="E40" s="34">
        <v>338</v>
      </c>
      <c r="F40" s="34">
        <v>4</v>
      </c>
      <c r="G40" s="25">
        <v>2</v>
      </c>
      <c r="H40" s="25">
        <v>81827</v>
      </c>
      <c r="I40" s="25" t="s">
        <v>17</v>
      </c>
      <c r="J40" s="24">
        <v>61074246</v>
      </c>
      <c r="K40" s="24" t="s">
        <v>6470</v>
      </c>
      <c r="L40" s="24" t="s">
        <v>6473</v>
      </c>
      <c r="M40" s="26">
        <v>29900</v>
      </c>
      <c r="N40" s="34">
        <v>0</v>
      </c>
      <c r="O40" s="36" t="s">
        <v>6746</v>
      </c>
      <c r="P40" s="34" t="s">
        <v>6747</v>
      </c>
    </row>
    <row r="41" spans="1:16" x14ac:dyDescent="0.35">
      <c r="A41" s="25" t="str">
        <f t="shared" si="0"/>
        <v>2025 OCT SHARP PRICE</v>
      </c>
      <c r="B41" s="35">
        <f t="shared" si="1"/>
        <v>46086</v>
      </c>
      <c r="C41" s="35">
        <f t="shared" si="2"/>
        <v>46092</v>
      </c>
      <c r="D41" s="34">
        <v>3287</v>
      </c>
      <c r="E41" s="34">
        <v>338</v>
      </c>
      <c r="F41" s="34">
        <v>4</v>
      </c>
      <c r="G41" s="25">
        <v>2</v>
      </c>
      <c r="H41" s="25">
        <v>81827</v>
      </c>
      <c r="I41" s="25" t="s">
        <v>17</v>
      </c>
      <c r="J41" s="24">
        <v>61074193</v>
      </c>
      <c r="K41" s="24" t="s">
        <v>6466</v>
      </c>
      <c r="L41" s="24" t="s">
        <v>6467</v>
      </c>
      <c r="M41" s="26">
        <v>29900</v>
      </c>
      <c r="N41" s="34">
        <v>0</v>
      </c>
      <c r="O41" s="36" t="str">
        <f t="shared" ref="O41" si="21">O40</f>
        <v>SHARP PRICE</v>
      </c>
      <c r="P41" s="34" t="s">
        <v>6747</v>
      </c>
    </row>
    <row r="42" spans="1:16" x14ac:dyDescent="0.35">
      <c r="A42" s="25" t="str">
        <f t="shared" si="0"/>
        <v>2025 OCT SHARP PRICE</v>
      </c>
      <c r="B42" s="35">
        <f t="shared" si="1"/>
        <v>46086</v>
      </c>
      <c r="C42" s="35">
        <f t="shared" si="2"/>
        <v>46092</v>
      </c>
      <c r="D42" s="34">
        <v>3287</v>
      </c>
      <c r="E42" s="34">
        <v>338</v>
      </c>
      <c r="F42" s="34">
        <v>4</v>
      </c>
      <c r="G42" s="25">
        <v>10</v>
      </c>
      <c r="H42" s="25">
        <v>81827</v>
      </c>
      <c r="I42" s="25" t="s">
        <v>17</v>
      </c>
      <c r="J42" s="24">
        <v>61074200</v>
      </c>
      <c r="K42" s="24" t="s">
        <v>6466</v>
      </c>
      <c r="L42" s="24" t="s">
        <v>6469</v>
      </c>
      <c r="M42" s="26">
        <v>29900</v>
      </c>
      <c r="N42" s="34">
        <v>0</v>
      </c>
      <c r="O42" s="36" t="s">
        <v>6746</v>
      </c>
      <c r="P42" s="34" t="s">
        <v>6747</v>
      </c>
    </row>
    <row r="43" spans="1:16" x14ac:dyDescent="0.35">
      <c r="A43" s="25" t="str">
        <f t="shared" si="0"/>
        <v>2025 OCT SHARP PRICE</v>
      </c>
      <c r="B43" s="35">
        <f t="shared" si="1"/>
        <v>46086</v>
      </c>
      <c r="C43" s="35">
        <f t="shared" si="2"/>
        <v>46092</v>
      </c>
      <c r="D43" s="34">
        <v>3287</v>
      </c>
      <c r="E43" s="34">
        <v>338</v>
      </c>
      <c r="F43" s="34">
        <v>4</v>
      </c>
      <c r="G43" s="25">
        <v>10</v>
      </c>
      <c r="H43" s="25">
        <v>81827</v>
      </c>
      <c r="I43" s="25" t="s">
        <v>17</v>
      </c>
      <c r="J43" s="24">
        <v>61074219</v>
      </c>
      <c r="K43" s="24" t="s">
        <v>6466</v>
      </c>
      <c r="L43" s="24" t="s">
        <v>6468</v>
      </c>
      <c r="M43" s="26">
        <v>29900</v>
      </c>
      <c r="N43" s="34">
        <v>0</v>
      </c>
      <c r="O43" s="36" t="str">
        <f t="shared" ref="O43" si="22">O42</f>
        <v>SHARP PRICE</v>
      </c>
      <c r="P43" s="34" t="s">
        <v>6747</v>
      </c>
    </row>
    <row r="44" spans="1:16" x14ac:dyDescent="0.35">
      <c r="A44" s="25" t="str">
        <f t="shared" si="0"/>
        <v>2025 OCT SHARP PRICE</v>
      </c>
      <c r="B44" s="35">
        <f t="shared" si="1"/>
        <v>46086</v>
      </c>
      <c r="C44" s="35">
        <f t="shared" si="2"/>
        <v>46092</v>
      </c>
      <c r="D44" s="34">
        <v>3287</v>
      </c>
      <c r="E44" s="34">
        <v>338</v>
      </c>
      <c r="F44" s="34">
        <v>4</v>
      </c>
      <c r="G44" s="25">
        <v>10</v>
      </c>
      <c r="H44" s="25">
        <v>81827</v>
      </c>
      <c r="I44" s="25" t="s">
        <v>17</v>
      </c>
      <c r="J44" s="24">
        <v>61315600</v>
      </c>
      <c r="K44" s="24" t="s">
        <v>6407</v>
      </c>
      <c r="L44" s="24" t="s">
        <v>6408</v>
      </c>
      <c r="M44" s="26">
        <v>29900</v>
      </c>
      <c r="N44" s="34">
        <v>0</v>
      </c>
      <c r="O44" s="36" t="s">
        <v>6746</v>
      </c>
      <c r="P44" s="34" t="s">
        <v>6747</v>
      </c>
    </row>
    <row r="45" spans="1:16" x14ac:dyDescent="0.35">
      <c r="A45" s="25" t="str">
        <f t="shared" si="0"/>
        <v>2025 OCT SHARP PRICE</v>
      </c>
      <c r="B45" s="35">
        <f t="shared" si="1"/>
        <v>46086</v>
      </c>
      <c r="C45" s="35">
        <f t="shared" si="2"/>
        <v>46092</v>
      </c>
      <c r="D45" s="34">
        <v>3287</v>
      </c>
      <c r="E45" s="34">
        <v>338</v>
      </c>
      <c r="F45" s="34">
        <v>4</v>
      </c>
      <c r="G45" s="25">
        <v>10</v>
      </c>
      <c r="H45" s="25">
        <v>81827</v>
      </c>
      <c r="I45" s="25" t="s">
        <v>17</v>
      </c>
      <c r="J45" s="24">
        <v>61315619</v>
      </c>
      <c r="K45" s="24" t="s">
        <v>6407</v>
      </c>
      <c r="L45" s="24" t="s">
        <v>6409</v>
      </c>
      <c r="M45" s="26">
        <v>29900</v>
      </c>
      <c r="N45" s="34">
        <v>0</v>
      </c>
      <c r="O45" s="36" t="str">
        <f t="shared" ref="O45" si="23">O44</f>
        <v>SHARP PRICE</v>
      </c>
      <c r="P45" s="34" t="s">
        <v>6747</v>
      </c>
    </row>
    <row r="46" spans="1:16" x14ac:dyDescent="0.35">
      <c r="A46" s="25" t="str">
        <f t="shared" si="0"/>
        <v>2025 OCT SHARP PRICE</v>
      </c>
      <c r="B46" s="35">
        <f t="shared" si="1"/>
        <v>46086</v>
      </c>
      <c r="C46" s="35">
        <f t="shared" si="2"/>
        <v>46092</v>
      </c>
      <c r="D46" s="34">
        <v>3287</v>
      </c>
      <c r="E46" s="34">
        <v>338</v>
      </c>
      <c r="F46" s="34">
        <v>4</v>
      </c>
      <c r="G46" s="25">
        <v>10</v>
      </c>
      <c r="H46" s="25">
        <v>81533</v>
      </c>
      <c r="I46" s="25" t="s">
        <v>17</v>
      </c>
      <c r="J46" s="24">
        <v>61074255</v>
      </c>
      <c r="K46" s="24" t="s">
        <v>6418</v>
      </c>
      <c r="L46" s="24" t="s">
        <v>6420</v>
      </c>
      <c r="M46" s="26">
        <v>29900</v>
      </c>
      <c r="N46" s="34">
        <v>0</v>
      </c>
      <c r="O46" s="36" t="s">
        <v>6746</v>
      </c>
      <c r="P46" s="34" t="s">
        <v>6747</v>
      </c>
    </row>
    <row r="47" spans="1:16" x14ac:dyDescent="0.35">
      <c r="A47" s="25" t="str">
        <f t="shared" si="0"/>
        <v>2025 OCT SHARP PRICE</v>
      </c>
      <c r="B47" s="35">
        <f t="shared" si="1"/>
        <v>46086</v>
      </c>
      <c r="C47" s="35">
        <f t="shared" si="2"/>
        <v>46092</v>
      </c>
      <c r="D47" s="34">
        <v>3287</v>
      </c>
      <c r="E47" s="34">
        <v>338</v>
      </c>
      <c r="F47" s="34">
        <v>4</v>
      </c>
      <c r="G47" s="25">
        <v>10</v>
      </c>
      <c r="H47" s="25">
        <v>81533</v>
      </c>
      <c r="I47" s="25" t="s">
        <v>17</v>
      </c>
      <c r="J47" s="24">
        <v>61074264</v>
      </c>
      <c r="K47" s="24" t="s">
        <v>6418</v>
      </c>
      <c r="L47" s="24" t="s">
        <v>6419</v>
      </c>
      <c r="M47" s="26">
        <v>29900</v>
      </c>
      <c r="N47" s="34">
        <v>0</v>
      </c>
      <c r="O47" s="36" t="str">
        <f t="shared" ref="O47" si="24">O46</f>
        <v>SHARP PRICE</v>
      </c>
      <c r="P47" s="34" t="s">
        <v>6747</v>
      </c>
    </row>
    <row r="48" spans="1:16" x14ac:dyDescent="0.35">
      <c r="A48" s="25" t="str">
        <f t="shared" si="0"/>
        <v>2025 OCT SHARP PRICE</v>
      </c>
      <c r="B48" s="35">
        <f t="shared" si="1"/>
        <v>46086</v>
      </c>
      <c r="C48" s="35">
        <f t="shared" si="2"/>
        <v>46092</v>
      </c>
      <c r="D48" s="34">
        <v>3287</v>
      </c>
      <c r="E48" s="34">
        <v>338</v>
      </c>
      <c r="F48" s="34">
        <v>4</v>
      </c>
      <c r="G48" s="25">
        <v>10</v>
      </c>
      <c r="H48" s="25">
        <v>81533</v>
      </c>
      <c r="I48" s="25" t="s">
        <v>17</v>
      </c>
      <c r="J48" s="24">
        <v>61074273</v>
      </c>
      <c r="K48" s="24" t="s">
        <v>6418</v>
      </c>
      <c r="L48" s="24" t="s">
        <v>6421</v>
      </c>
      <c r="M48" s="26">
        <v>29900</v>
      </c>
      <c r="N48" s="34">
        <v>0</v>
      </c>
      <c r="O48" s="36" t="s">
        <v>6746</v>
      </c>
      <c r="P48" s="34" t="s">
        <v>6747</v>
      </c>
    </row>
    <row r="49" spans="1:16" x14ac:dyDescent="0.35">
      <c r="A49" s="25" t="str">
        <f t="shared" si="0"/>
        <v>2025 OCT SHARP PRICE</v>
      </c>
      <c r="B49" s="35">
        <f t="shared" si="1"/>
        <v>46086</v>
      </c>
      <c r="C49" s="35">
        <f t="shared" si="2"/>
        <v>46092</v>
      </c>
      <c r="D49" s="34">
        <v>3287</v>
      </c>
      <c r="E49" s="34">
        <v>338</v>
      </c>
      <c r="F49" s="34">
        <v>4</v>
      </c>
      <c r="G49" s="25">
        <v>10</v>
      </c>
      <c r="H49" s="25">
        <v>81533</v>
      </c>
      <c r="I49" s="25" t="s">
        <v>17</v>
      </c>
      <c r="J49" s="24">
        <v>61074282</v>
      </c>
      <c r="K49" s="24" t="s">
        <v>6422</v>
      </c>
      <c r="L49" s="24" t="s">
        <v>6423</v>
      </c>
      <c r="M49" s="26">
        <v>29900</v>
      </c>
      <c r="N49" s="34">
        <v>0</v>
      </c>
      <c r="O49" s="36" t="str">
        <f t="shared" ref="O49" si="25">O48</f>
        <v>SHARP PRICE</v>
      </c>
      <c r="P49" s="34" t="s">
        <v>6747</v>
      </c>
    </row>
    <row r="50" spans="1:16" x14ac:dyDescent="0.35">
      <c r="A50" s="25" t="str">
        <f t="shared" si="0"/>
        <v>2025 OCT SHARP PRICE</v>
      </c>
      <c r="B50" s="35">
        <f t="shared" si="1"/>
        <v>46086</v>
      </c>
      <c r="C50" s="35">
        <f t="shared" si="2"/>
        <v>46092</v>
      </c>
      <c r="D50" s="34">
        <v>3287</v>
      </c>
      <c r="E50" s="34">
        <v>338</v>
      </c>
      <c r="F50" s="34">
        <v>4</v>
      </c>
      <c r="G50" s="25">
        <v>10</v>
      </c>
      <c r="H50" s="25">
        <v>81533</v>
      </c>
      <c r="I50" s="25" t="s">
        <v>17</v>
      </c>
      <c r="J50" s="24">
        <v>61074291</v>
      </c>
      <c r="K50" s="24" t="s">
        <v>6422</v>
      </c>
      <c r="L50" s="24" t="s">
        <v>6425</v>
      </c>
      <c r="M50" s="26">
        <v>29900</v>
      </c>
      <c r="N50" s="34">
        <v>0</v>
      </c>
      <c r="O50" s="36" t="s">
        <v>6746</v>
      </c>
      <c r="P50" s="34" t="s">
        <v>6747</v>
      </c>
    </row>
    <row r="51" spans="1:16" x14ac:dyDescent="0.35">
      <c r="A51" s="25" t="str">
        <f t="shared" si="0"/>
        <v>2025 OCT SHARP PRICE</v>
      </c>
      <c r="B51" s="35">
        <f t="shared" si="1"/>
        <v>46086</v>
      </c>
      <c r="C51" s="35">
        <f t="shared" si="2"/>
        <v>46092</v>
      </c>
      <c r="D51" s="34">
        <v>3287</v>
      </c>
      <c r="E51" s="34">
        <v>338</v>
      </c>
      <c r="F51" s="34">
        <v>4</v>
      </c>
      <c r="G51" s="25">
        <v>2</v>
      </c>
      <c r="H51" s="25">
        <v>81533</v>
      </c>
      <c r="I51" s="25" t="s">
        <v>17</v>
      </c>
      <c r="J51" s="24">
        <v>61074308</v>
      </c>
      <c r="K51" s="24" t="s">
        <v>6422</v>
      </c>
      <c r="L51" s="24" t="s">
        <v>6424</v>
      </c>
      <c r="M51" s="26">
        <v>29900</v>
      </c>
      <c r="N51" s="34">
        <v>0</v>
      </c>
      <c r="O51" s="36" t="str">
        <f t="shared" ref="O51" si="26">O50</f>
        <v>SHARP PRICE</v>
      </c>
      <c r="P51" s="34" t="s">
        <v>6747</v>
      </c>
    </row>
    <row r="52" spans="1:16" x14ac:dyDescent="0.35">
      <c r="A52" s="25" t="str">
        <f t="shared" si="0"/>
        <v>2025 OCT SHARP PRICE</v>
      </c>
      <c r="B52" s="35">
        <f t="shared" si="1"/>
        <v>46086</v>
      </c>
      <c r="C52" s="35">
        <f t="shared" si="2"/>
        <v>46092</v>
      </c>
      <c r="D52" s="34">
        <v>3287</v>
      </c>
      <c r="E52" s="34">
        <v>338</v>
      </c>
      <c r="F52" s="34">
        <v>4</v>
      </c>
      <c r="G52" s="25">
        <v>2</v>
      </c>
      <c r="H52" s="25">
        <v>81679</v>
      </c>
      <c r="I52" s="25" t="s">
        <v>17</v>
      </c>
      <c r="J52" s="24">
        <v>61315628</v>
      </c>
      <c r="K52" s="24" t="s">
        <v>6449</v>
      </c>
      <c r="L52" s="24" t="s">
        <v>6452</v>
      </c>
      <c r="M52" s="26">
        <v>149900</v>
      </c>
      <c r="N52" s="34">
        <v>0</v>
      </c>
      <c r="O52" s="36" t="s">
        <v>6746</v>
      </c>
      <c r="P52" s="34" t="s">
        <v>6747</v>
      </c>
    </row>
    <row r="53" spans="1:16" x14ac:dyDescent="0.35">
      <c r="A53" s="25" t="str">
        <f t="shared" si="0"/>
        <v>2025 OCT SHARP PRICE</v>
      </c>
      <c r="B53" s="35">
        <f t="shared" si="1"/>
        <v>46086</v>
      </c>
      <c r="C53" s="35">
        <f t="shared" si="2"/>
        <v>46092</v>
      </c>
      <c r="D53" s="34">
        <v>3287</v>
      </c>
      <c r="E53" s="34">
        <v>338</v>
      </c>
      <c r="F53" s="34">
        <v>4</v>
      </c>
      <c r="G53" s="25">
        <v>2</v>
      </c>
      <c r="H53" s="25">
        <v>81679</v>
      </c>
      <c r="I53" s="25" t="s">
        <v>17</v>
      </c>
      <c r="J53" s="24">
        <v>61315637</v>
      </c>
      <c r="K53" s="24" t="s">
        <v>6449</v>
      </c>
      <c r="L53" s="24" t="s">
        <v>6451</v>
      </c>
      <c r="M53" s="26">
        <v>149900</v>
      </c>
      <c r="N53" s="34">
        <v>0</v>
      </c>
      <c r="O53" s="36" t="str">
        <f t="shared" ref="O53" si="27">O52</f>
        <v>SHARP PRICE</v>
      </c>
      <c r="P53" s="34" t="s">
        <v>6747</v>
      </c>
    </row>
    <row r="54" spans="1:16" x14ac:dyDescent="0.35">
      <c r="A54" s="25" t="str">
        <f t="shared" si="0"/>
        <v>2025 OCT SHARP PRICE</v>
      </c>
      <c r="B54" s="35">
        <f t="shared" si="1"/>
        <v>46086</v>
      </c>
      <c r="C54" s="35">
        <f t="shared" si="2"/>
        <v>46092</v>
      </c>
      <c r="D54" s="34">
        <v>3287</v>
      </c>
      <c r="E54" s="34">
        <v>338</v>
      </c>
      <c r="F54" s="34">
        <v>4</v>
      </c>
      <c r="G54" s="25">
        <v>2</v>
      </c>
      <c r="H54" s="25">
        <v>81679</v>
      </c>
      <c r="I54" s="25" t="s">
        <v>17</v>
      </c>
      <c r="J54" s="24">
        <v>61315646</v>
      </c>
      <c r="K54" s="24" t="s">
        <v>6449</v>
      </c>
      <c r="L54" s="24" t="s">
        <v>6457</v>
      </c>
      <c r="M54" s="26">
        <v>149900</v>
      </c>
      <c r="N54" s="34">
        <v>0</v>
      </c>
      <c r="O54" s="36" t="s">
        <v>6746</v>
      </c>
      <c r="P54" s="34" t="s">
        <v>6747</v>
      </c>
    </row>
    <row r="55" spans="1:16" x14ac:dyDescent="0.35">
      <c r="A55" s="25" t="str">
        <f t="shared" si="0"/>
        <v>2025 OCT SHARP PRICE</v>
      </c>
      <c r="B55" s="35">
        <f t="shared" si="1"/>
        <v>46086</v>
      </c>
      <c r="C55" s="35">
        <f t="shared" si="2"/>
        <v>46092</v>
      </c>
      <c r="D55" s="34">
        <v>3287</v>
      </c>
      <c r="E55" s="34">
        <v>338</v>
      </c>
      <c r="F55" s="34">
        <v>4</v>
      </c>
      <c r="G55" s="25">
        <v>2</v>
      </c>
      <c r="H55" s="25">
        <v>81679</v>
      </c>
      <c r="I55" s="25" t="s">
        <v>17</v>
      </c>
      <c r="J55" s="24">
        <v>61315655</v>
      </c>
      <c r="K55" s="24" t="s">
        <v>6449</v>
      </c>
      <c r="L55" s="24" t="s">
        <v>6455</v>
      </c>
      <c r="M55" s="26">
        <v>149900</v>
      </c>
      <c r="N55" s="34">
        <v>0</v>
      </c>
      <c r="O55" s="36" t="str">
        <f t="shared" ref="O55" si="28">O54</f>
        <v>SHARP PRICE</v>
      </c>
      <c r="P55" s="34" t="s">
        <v>6747</v>
      </c>
    </row>
    <row r="56" spans="1:16" x14ac:dyDescent="0.35">
      <c r="A56" s="25" t="str">
        <f t="shared" si="0"/>
        <v>2025 OCT SHARP PRICE</v>
      </c>
      <c r="B56" s="35">
        <f t="shared" si="1"/>
        <v>46086</v>
      </c>
      <c r="C56" s="35">
        <f t="shared" si="2"/>
        <v>46092</v>
      </c>
      <c r="D56" s="34">
        <v>3287</v>
      </c>
      <c r="E56" s="34">
        <v>338</v>
      </c>
      <c r="F56" s="34">
        <v>4</v>
      </c>
      <c r="G56" s="25">
        <v>2</v>
      </c>
      <c r="H56" s="25">
        <v>81679</v>
      </c>
      <c r="I56" s="25" t="s">
        <v>17</v>
      </c>
      <c r="J56" s="24">
        <v>61315664</v>
      </c>
      <c r="K56" s="24" t="s">
        <v>6449</v>
      </c>
      <c r="L56" s="24" t="s">
        <v>6454</v>
      </c>
      <c r="M56" s="26">
        <v>149900</v>
      </c>
      <c r="N56" s="34">
        <v>0</v>
      </c>
      <c r="O56" s="36" t="s">
        <v>6746</v>
      </c>
      <c r="P56" s="34" t="s">
        <v>6747</v>
      </c>
    </row>
    <row r="57" spans="1:16" x14ac:dyDescent="0.35">
      <c r="A57" s="25" t="str">
        <f t="shared" si="0"/>
        <v>2025 OCT SHARP PRICE</v>
      </c>
      <c r="B57" s="35">
        <f t="shared" si="1"/>
        <v>46086</v>
      </c>
      <c r="C57" s="35">
        <f t="shared" si="2"/>
        <v>46092</v>
      </c>
      <c r="D57" s="34">
        <v>3287</v>
      </c>
      <c r="E57" s="34">
        <v>338</v>
      </c>
      <c r="F57" s="34">
        <v>4</v>
      </c>
      <c r="G57" s="25">
        <v>2</v>
      </c>
      <c r="H57" s="25">
        <v>81679</v>
      </c>
      <c r="I57" s="25" t="s">
        <v>17</v>
      </c>
      <c r="J57" s="24">
        <v>61315673</v>
      </c>
      <c r="K57" s="24" t="s">
        <v>6449</v>
      </c>
      <c r="L57" s="24" t="s">
        <v>6450</v>
      </c>
      <c r="M57" s="26">
        <v>149900</v>
      </c>
      <c r="N57" s="34">
        <v>0</v>
      </c>
      <c r="O57" s="36" t="str">
        <f t="shared" ref="O57" si="29">O56</f>
        <v>SHARP PRICE</v>
      </c>
      <c r="P57" s="34" t="s">
        <v>6747</v>
      </c>
    </row>
    <row r="58" spans="1:16" x14ac:dyDescent="0.35">
      <c r="A58" s="25" t="str">
        <f t="shared" si="0"/>
        <v>2025 OCT SHARP PRICE</v>
      </c>
      <c r="B58" s="35">
        <f t="shared" si="1"/>
        <v>46086</v>
      </c>
      <c r="C58" s="35">
        <f t="shared" si="2"/>
        <v>46092</v>
      </c>
      <c r="D58" s="34">
        <v>3287</v>
      </c>
      <c r="E58" s="34">
        <v>338</v>
      </c>
      <c r="F58" s="34">
        <v>4</v>
      </c>
      <c r="G58" s="25">
        <v>2</v>
      </c>
      <c r="H58" s="25">
        <v>81679</v>
      </c>
      <c r="I58" s="25" t="s">
        <v>17</v>
      </c>
      <c r="J58" s="24">
        <v>61315682</v>
      </c>
      <c r="K58" s="24" t="s">
        <v>6449</v>
      </c>
      <c r="L58" s="24" t="s">
        <v>6456</v>
      </c>
      <c r="M58" s="26">
        <v>149900</v>
      </c>
      <c r="N58" s="34">
        <v>0</v>
      </c>
      <c r="O58" s="36" t="s">
        <v>6746</v>
      </c>
      <c r="P58" s="34" t="s">
        <v>6747</v>
      </c>
    </row>
    <row r="59" spans="1:16" x14ac:dyDescent="0.35">
      <c r="A59" s="25" t="str">
        <f t="shared" si="0"/>
        <v>2025 OCT SHARP PRICE</v>
      </c>
      <c r="B59" s="35">
        <f t="shared" si="1"/>
        <v>46086</v>
      </c>
      <c r="C59" s="35">
        <f t="shared" si="2"/>
        <v>46092</v>
      </c>
      <c r="D59" s="34">
        <v>3287</v>
      </c>
      <c r="E59" s="34">
        <v>338</v>
      </c>
      <c r="F59" s="34">
        <v>4</v>
      </c>
      <c r="G59" s="25">
        <v>7</v>
      </c>
      <c r="H59" s="25">
        <v>81679</v>
      </c>
      <c r="I59" s="25" t="s">
        <v>17</v>
      </c>
      <c r="J59" s="24">
        <v>61315691</v>
      </c>
      <c r="K59" s="24" t="s">
        <v>6449</v>
      </c>
      <c r="L59" s="24" t="s">
        <v>6453</v>
      </c>
      <c r="M59" s="26">
        <v>149900</v>
      </c>
      <c r="N59" s="34">
        <v>0</v>
      </c>
      <c r="O59" s="36" t="str">
        <f t="shared" ref="O59" si="30">O58</f>
        <v>SHARP PRICE</v>
      </c>
      <c r="P59" s="34" t="s">
        <v>6747</v>
      </c>
    </row>
    <row r="60" spans="1:16" x14ac:dyDescent="0.35">
      <c r="A60" s="25" t="str">
        <f t="shared" si="0"/>
        <v>2025 OCT SHARP PRICE</v>
      </c>
      <c r="B60" s="35">
        <f t="shared" si="1"/>
        <v>46086</v>
      </c>
      <c r="C60" s="35">
        <f t="shared" si="2"/>
        <v>46092</v>
      </c>
      <c r="D60" s="34">
        <v>3287</v>
      </c>
      <c r="E60" s="34">
        <v>338</v>
      </c>
      <c r="F60" s="34">
        <v>4</v>
      </c>
      <c r="G60" s="25">
        <v>7</v>
      </c>
      <c r="H60" s="25">
        <v>81533</v>
      </c>
      <c r="I60" s="25" t="s">
        <v>17</v>
      </c>
      <c r="J60" s="24">
        <v>61074317</v>
      </c>
      <c r="K60" s="24" t="s">
        <v>6474</v>
      </c>
      <c r="L60" s="24" t="s">
        <v>6475</v>
      </c>
      <c r="M60" s="26">
        <v>29900</v>
      </c>
      <c r="N60" s="34">
        <v>0</v>
      </c>
      <c r="O60" s="36" t="s">
        <v>6746</v>
      </c>
      <c r="P60" s="34" t="s">
        <v>6747</v>
      </c>
    </row>
    <row r="61" spans="1:16" x14ac:dyDescent="0.35">
      <c r="A61" s="25" t="str">
        <f t="shared" si="0"/>
        <v>2025 OCT SHARP PRICE</v>
      </c>
      <c r="B61" s="35">
        <f t="shared" si="1"/>
        <v>46086</v>
      </c>
      <c r="C61" s="35">
        <f t="shared" si="2"/>
        <v>46092</v>
      </c>
      <c r="D61" s="34">
        <v>3287</v>
      </c>
      <c r="E61" s="34">
        <v>338</v>
      </c>
      <c r="F61" s="34">
        <v>4</v>
      </c>
      <c r="G61" s="25">
        <v>7</v>
      </c>
      <c r="H61" s="25">
        <v>81533</v>
      </c>
      <c r="I61" s="25" t="s">
        <v>17</v>
      </c>
      <c r="J61" s="24">
        <v>61074326</v>
      </c>
      <c r="K61" s="24" t="s">
        <v>6474</v>
      </c>
      <c r="L61" s="24" t="s">
        <v>6476</v>
      </c>
      <c r="M61" s="26">
        <v>29900</v>
      </c>
      <c r="N61" s="34">
        <v>0</v>
      </c>
      <c r="O61" s="36" t="str">
        <f t="shared" ref="O61" si="31">O60</f>
        <v>SHARP PRICE</v>
      </c>
      <c r="P61" s="34" t="s">
        <v>6747</v>
      </c>
    </row>
    <row r="62" spans="1:16" x14ac:dyDescent="0.35">
      <c r="A62" s="25" t="str">
        <f t="shared" si="0"/>
        <v>2025 OCT SHARP PRICE</v>
      </c>
      <c r="B62" s="35">
        <f t="shared" si="1"/>
        <v>46086</v>
      </c>
      <c r="C62" s="35">
        <f t="shared" si="2"/>
        <v>46092</v>
      </c>
      <c r="D62" s="34">
        <v>3287</v>
      </c>
      <c r="E62" s="34">
        <v>338</v>
      </c>
      <c r="F62" s="34">
        <v>4</v>
      </c>
      <c r="G62" s="25">
        <v>7</v>
      </c>
      <c r="H62" s="25">
        <v>81533</v>
      </c>
      <c r="I62" s="25" t="s">
        <v>17</v>
      </c>
      <c r="J62" s="24">
        <v>61074335</v>
      </c>
      <c r="K62" s="24" t="s">
        <v>6474</v>
      </c>
      <c r="L62" s="24" t="s">
        <v>6477</v>
      </c>
      <c r="M62" s="26">
        <v>29900</v>
      </c>
      <c r="N62" s="34">
        <v>0</v>
      </c>
      <c r="O62" s="36" t="s">
        <v>6746</v>
      </c>
      <c r="P62" s="34" t="s">
        <v>6747</v>
      </c>
    </row>
    <row r="63" spans="1:16" x14ac:dyDescent="0.35">
      <c r="A63" s="25" t="str">
        <f t="shared" si="0"/>
        <v>2025 OCT SHARP PRICE</v>
      </c>
      <c r="B63" s="35">
        <f t="shared" si="1"/>
        <v>46086</v>
      </c>
      <c r="C63" s="35">
        <f t="shared" si="2"/>
        <v>46092</v>
      </c>
      <c r="D63" s="34">
        <v>3287</v>
      </c>
      <c r="E63" s="34">
        <v>338</v>
      </c>
      <c r="F63" s="34">
        <v>4</v>
      </c>
      <c r="G63" s="25">
        <v>7</v>
      </c>
      <c r="H63" s="25">
        <v>81533</v>
      </c>
      <c r="I63" s="25" t="s">
        <v>17</v>
      </c>
      <c r="J63" s="24">
        <v>61074344</v>
      </c>
      <c r="K63" s="24" t="s">
        <v>6478</v>
      </c>
      <c r="L63" s="24" t="s">
        <v>6479</v>
      </c>
      <c r="M63" s="26">
        <v>29900</v>
      </c>
      <c r="N63" s="34">
        <v>0</v>
      </c>
      <c r="O63" s="36" t="str">
        <f t="shared" ref="O63" si="32">O62</f>
        <v>SHARP PRICE</v>
      </c>
      <c r="P63" s="34" t="s">
        <v>6747</v>
      </c>
    </row>
    <row r="64" spans="1:16" x14ac:dyDescent="0.35">
      <c r="A64" s="25" t="str">
        <f t="shared" si="0"/>
        <v>2025 OCT SHARP PRICE</v>
      </c>
      <c r="B64" s="35">
        <f t="shared" si="1"/>
        <v>46086</v>
      </c>
      <c r="C64" s="35">
        <f t="shared" si="2"/>
        <v>46092</v>
      </c>
      <c r="D64" s="34">
        <v>3287</v>
      </c>
      <c r="E64" s="34">
        <v>338</v>
      </c>
      <c r="F64" s="34">
        <v>4</v>
      </c>
      <c r="G64" s="25">
        <v>7</v>
      </c>
      <c r="H64" s="25">
        <v>81533</v>
      </c>
      <c r="I64" s="25" t="s">
        <v>17</v>
      </c>
      <c r="J64" s="24">
        <v>61074353</v>
      </c>
      <c r="K64" s="24" t="s">
        <v>6478</v>
      </c>
      <c r="L64" s="24" t="s">
        <v>6480</v>
      </c>
      <c r="M64" s="26">
        <v>29900</v>
      </c>
      <c r="N64" s="34">
        <v>0</v>
      </c>
      <c r="O64" s="36" t="s">
        <v>6746</v>
      </c>
      <c r="P64" s="34" t="s">
        <v>6747</v>
      </c>
    </row>
    <row r="65" spans="1:16" x14ac:dyDescent="0.35">
      <c r="A65" s="25" t="str">
        <f t="shared" si="0"/>
        <v>2025 OCT SHARP PRICE</v>
      </c>
      <c r="B65" s="35">
        <f t="shared" si="1"/>
        <v>46086</v>
      </c>
      <c r="C65" s="35">
        <f t="shared" si="2"/>
        <v>46092</v>
      </c>
      <c r="D65" s="34">
        <v>3287</v>
      </c>
      <c r="E65" s="34">
        <v>338</v>
      </c>
      <c r="F65" s="34">
        <v>4</v>
      </c>
      <c r="G65" s="25">
        <v>7</v>
      </c>
      <c r="H65" s="25">
        <v>81533</v>
      </c>
      <c r="I65" s="25" t="s">
        <v>17</v>
      </c>
      <c r="J65" s="24">
        <v>61074362</v>
      </c>
      <c r="K65" s="24" t="s">
        <v>6478</v>
      </c>
      <c r="L65" s="24" t="s">
        <v>6481</v>
      </c>
      <c r="M65" s="26">
        <v>29900</v>
      </c>
      <c r="N65" s="34">
        <v>0</v>
      </c>
      <c r="O65" s="36" t="str">
        <f t="shared" ref="O65" si="33">O64</f>
        <v>SHARP PRICE</v>
      </c>
      <c r="P65" s="34" t="s">
        <v>6747</v>
      </c>
    </row>
    <row r="66" spans="1:16" x14ac:dyDescent="0.35">
      <c r="A66" s="25" t="str">
        <f t="shared" si="0"/>
        <v>2025 OCT SHARP PRICE</v>
      </c>
      <c r="B66" s="35">
        <f t="shared" si="1"/>
        <v>46086</v>
      </c>
      <c r="C66" s="35">
        <f t="shared" si="2"/>
        <v>46092</v>
      </c>
      <c r="D66" s="34">
        <v>3287</v>
      </c>
      <c r="E66" s="34">
        <v>338</v>
      </c>
      <c r="F66" s="34">
        <v>4</v>
      </c>
      <c r="G66" s="25">
        <v>7</v>
      </c>
      <c r="H66" s="25">
        <v>81533</v>
      </c>
      <c r="I66" s="25" t="s">
        <v>17</v>
      </c>
      <c r="J66" s="24">
        <v>61074371</v>
      </c>
      <c r="K66" s="24" t="s">
        <v>6482</v>
      </c>
      <c r="L66" s="24" t="s">
        <v>6483</v>
      </c>
      <c r="M66" s="26">
        <v>29900</v>
      </c>
      <c r="N66" s="34">
        <v>0</v>
      </c>
      <c r="O66" s="36" t="s">
        <v>6746</v>
      </c>
      <c r="P66" s="34" t="s">
        <v>6747</v>
      </c>
    </row>
    <row r="67" spans="1:16" x14ac:dyDescent="0.35">
      <c r="A67" s="25" t="str">
        <f t="shared" si="0"/>
        <v>2025 OCT SHARP PRICE</v>
      </c>
      <c r="B67" s="35">
        <f t="shared" si="1"/>
        <v>46086</v>
      </c>
      <c r="C67" s="35">
        <f t="shared" si="2"/>
        <v>46092</v>
      </c>
      <c r="D67" s="34">
        <v>3287</v>
      </c>
      <c r="E67" s="34">
        <v>338</v>
      </c>
      <c r="F67" s="34">
        <v>4</v>
      </c>
      <c r="G67" s="25">
        <v>2</v>
      </c>
      <c r="H67" s="25">
        <v>81533</v>
      </c>
      <c r="I67" s="25" t="s">
        <v>17</v>
      </c>
      <c r="J67" s="24">
        <v>61074380</v>
      </c>
      <c r="K67" s="24" t="s">
        <v>6482</v>
      </c>
      <c r="L67" s="24" t="s">
        <v>6485</v>
      </c>
      <c r="M67" s="26">
        <v>29900</v>
      </c>
      <c r="N67" s="34">
        <v>0</v>
      </c>
      <c r="O67" s="36" t="str">
        <f t="shared" ref="O67" si="34">O66</f>
        <v>SHARP PRICE</v>
      </c>
      <c r="P67" s="34" t="s">
        <v>6747</v>
      </c>
    </row>
    <row r="68" spans="1:16" x14ac:dyDescent="0.35">
      <c r="A68" s="25" t="str">
        <f t="shared" ref="A68:A76" si="35">A67</f>
        <v>2025 OCT SHARP PRICE</v>
      </c>
      <c r="B68" s="35">
        <f t="shared" ref="B68:B76" si="36">B67</f>
        <v>46086</v>
      </c>
      <c r="C68" s="35">
        <f t="shared" ref="C68:C76" si="37">C67</f>
        <v>46092</v>
      </c>
      <c r="D68" s="34">
        <v>3287</v>
      </c>
      <c r="E68" s="34">
        <v>338</v>
      </c>
      <c r="F68" s="34">
        <v>4</v>
      </c>
      <c r="G68" s="25">
        <v>2</v>
      </c>
      <c r="H68" s="25">
        <v>81533</v>
      </c>
      <c r="I68" s="25" t="s">
        <v>17</v>
      </c>
      <c r="J68" s="24">
        <v>61074399</v>
      </c>
      <c r="K68" s="24" t="s">
        <v>6482</v>
      </c>
      <c r="L68" s="24" t="s">
        <v>6484</v>
      </c>
      <c r="M68" s="26">
        <v>29900</v>
      </c>
      <c r="N68" s="34">
        <v>0</v>
      </c>
      <c r="O68" s="36" t="s">
        <v>6746</v>
      </c>
      <c r="P68" s="34" t="s">
        <v>6747</v>
      </c>
    </row>
    <row r="69" spans="1:16" x14ac:dyDescent="0.35">
      <c r="A69" s="25" t="str">
        <f t="shared" si="35"/>
        <v>2025 OCT SHARP PRICE</v>
      </c>
      <c r="B69" s="35">
        <f t="shared" si="36"/>
        <v>46086</v>
      </c>
      <c r="C69" s="35">
        <f t="shared" si="37"/>
        <v>46092</v>
      </c>
      <c r="D69" s="34">
        <v>3287</v>
      </c>
      <c r="E69" s="34">
        <v>338</v>
      </c>
      <c r="F69" s="34">
        <v>4</v>
      </c>
      <c r="G69" s="25">
        <v>2</v>
      </c>
      <c r="H69" s="25">
        <v>81679</v>
      </c>
      <c r="I69" s="25" t="s">
        <v>17</v>
      </c>
      <c r="J69" s="24">
        <v>61920787</v>
      </c>
      <c r="K69" s="24" t="s">
        <v>6668</v>
      </c>
      <c r="L69" s="24" t="s">
        <v>6679</v>
      </c>
      <c r="M69" s="26">
        <v>179000</v>
      </c>
      <c r="N69" s="34">
        <v>0</v>
      </c>
      <c r="O69" s="36" t="str">
        <f t="shared" ref="O69" si="38">O68</f>
        <v>SHARP PRICE</v>
      </c>
      <c r="P69" s="34" t="s">
        <v>6747</v>
      </c>
    </row>
    <row r="70" spans="1:16" x14ac:dyDescent="0.35">
      <c r="A70" s="25" t="str">
        <f t="shared" si="35"/>
        <v>2025 OCT SHARP PRICE</v>
      </c>
      <c r="B70" s="35">
        <f t="shared" si="36"/>
        <v>46086</v>
      </c>
      <c r="C70" s="35">
        <f t="shared" si="37"/>
        <v>46092</v>
      </c>
      <c r="D70" s="34">
        <v>3287</v>
      </c>
      <c r="E70" s="34">
        <v>338</v>
      </c>
      <c r="F70" s="34">
        <v>4</v>
      </c>
      <c r="G70" s="25">
        <v>2</v>
      </c>
      <c r="H70" s="25">
        <v>81679</v>
      </c>
      <c r="I70" s="25" t="s">
        <v>17</v>
      </c>
      <c r="J70" s="24">
        <v>61920796</v>
      </c>
      <c r="K70" s="24" t="s">
        <v>6668</v>
      </c>
      <c r="L70" s="24" t="s">
        <v>6680</v>
      </c>
      <c r="M70" s="26">
        <v>179000</v>
      </c>
      <c r="N70" s="34">
        <v>0</v>
      </c>
      <c r="O70" s="36" t="s">
        <v>6746</v>
      </c>
      <c r="P70" s="34" t="s">
        <v>6747</v>
      </c>
    </row>
    <row r="71" spans="1:16" x14ac:dyDescent="0.35">
      <c r="A71" s="25" t="str">
        <f t="shared" si="35"/>
        <v>2025 OCT SHARP PRICE</v>
      </c>
      <c r="B71" s="35">
        <f t="shared" si="36"/>
        <v>46086</v>
      </c>
      <c r="C71" s="35">
        <f t="shared" si="37"/>
        <v>46092</v>
      </c>
      <c r="D71" s="34">
        <v>3287</v>
      </c>
      <c r="E71" s="34">
        <v>338</v>
      </c>
      <c r="F71" s="34">
        <v>4</v>
      </c>
      <c r="G71" s="25">
        <v>2</v>
      </c>
      <c r="H71" s="25">
        <v>81679</v>
      </c>
      <c r="I71" s="25" t="s">
        <v>17</v>
      </c>
      <c r="J71" s="24">
        <v>61920803</v>
      </c>
      <c r="K71" s="24" t="s">
        <v>6668</v>
      </c>
      <c r="L71" s="24" t="s">
        <v>6681</v>
      </c>
      <c r="M71" s="26">
        <v>179000</v>
      </c>
      <c r="N71" s="34">
        <v>0</v>
      </c>
      <c r="O71" s="36" t="str">
        <f t="shared" ref="O71" si="39">O70</f>
        <v>SHARP PRICE</v>
      </c>
      <c r="P71" s="34" t="s">
        <v>6747</v>
      </c>
    </row>
    <row r="72" spans="1:16" x14ac:dyDescent="0.35">
      <c r="A72" s="25" t="str">
        <f t="shared" si="35"/>
        <v>2025 OCT SHARP PRICE</v>
      </c>
      <c r="B72" s="35">
        <f t="shared" si="36"/>
        <v>46086</v>
      </c>
      <c r="C72" s="35">
        <f t="shared" si="37"/>
        <v>46092</v>
      </c>
      <c r="D72" s="34">
        <v>3287</v>
      </c>
      <c r="E72" s="34">
        <v>338</v>
      </c>
      <c r="F72" s="34">
        <v>4</v>
      </c>
      <c r="G72" s="25">
        <v>2</v>
      </c>
      <c r="H72" s="25">
        <v>81679</v>
      </c>
      <c r="I72" s="25" t="s">
        <v>17</v>
      </c>
      <c r="J72" s="24">
        <v>61920812</v>
      </c>
      <c r="K72" s="24" t="s">
        <v>6668</v>
      </c>
      <c r="L72" s="24" t="s">
        <v>6682</v>
      </c>
      <c r="M72" s="26">
        <v>179000</v>
      </c>
      <c r="N72" s="34">
        <v>0</v>
      </c>
      <c r="O72" s="36" t="s">
        <v>6746</v>
      </c>
      <c r="P72" s="34" t="s">
        <v>6747</v>
      </c>
    </row>
    <row r="73" spans="1:16" x14ac:dyDescent="0.35">
      <c r="A73" s="25" t="str">
        <f t="shared" si="35"/>
        <v>2025 OCT SHARP PRICE</v>
      </c>
      <c r="B73" s="35">
        <f t="shared" si="36"/>
        <v>46086</v>
      </c>
      <c r="C73" s="35">
        <f t="shared" si="37"/>
        <v>46092</v>
      </c>
      <c r="D73" s="34">
        <v>3287</v>
      </c>
      <c r="E73" s="34">
        <v>338</v>
      </c>
      <c r="F73" s="34">
        <v>4</v>
      </c>
      <c r="G73" s="25">
        <v>2</v>
      </c>
      <c r="H73" s="25">
        <v>81679</v>
      </c>
      <c r="I73" s="25" t="s">
        <v>17</v>
      </c>
      <c r="J73" s="24">
        <v>61920821</v>
      </c>
      <c r="K73" s="24" t="s">
        <v>6668</v>
      </c>
      <c r="L73" s="24" t="s">
        <v>6683</v>
      </c>
      <c r="M73" s="26">
        <v>179000</v>
      </c>
      <c r="N73" s="34">
        <v>0</v>
      </c>
      <c r="O73" s="36" t="str">
        <f t="shared" ref="O73" si="40">O72</f>
        <v>SHARP PRICE</v>
      </c>
      <c r="P73" s="34" t="s">
        <v>6747</v>
      </c>
    </row>
    <row r="74" spans="1:16" x14ac:dyDescent="0.35">
      <c r="A74" s="25" t="str">
        <f t="shared" si="35"/>
        <v>2025 OCT SHARP PRICE</v>
      </c>
      <c r="B74" s="35">
        <f t="shared" si="36"/>
        <v>46086</v>
      </c>
      <c r="C74" s="35">
        <f t="shared" si="37"/>
        <v>46092</v>
      </c>
      <c r="D74" s="34">
        <v>3287</v>
      </c>
      <c r="E74" s="34">
        <v>338</v>
      </c>
      <c r="F74" s="34">
        <v>4</v>
      </c>
      <c r="G74" s="25">
        <v>2</v>
      </c>
      <c r="H74" s="25">
        <v>81679</v>
      </c>
      <c r="I74" s="25" t="s">
        <v>17</v>
      </c>
      <c r="J74" s="24">
        <v>61920830</v>
      </c>
      <c r="K74" s="24" t="s">
        <v>6668</v>
      </c>
      <c r="L74" s="24" t="s">
        <v>6684</v>
      </c>
      <c r="M74" s="26">
        <v>179000</v>
      </c>
      <c r="N74" s="34">
        <v>0</v>
      </c>
      <c r="O74" s="36" t="s">
        <v>6746</v>
      </c>
      <c r="P74" s="34" t="s">
        <v>6747</v>
      </c>
    </row>
    <row r="75" spans="1:16" x14ac:dyDescent="0.35">
      <c r="A75" s="25" t="str">
        <f t="shared" si="35"/>
        <v>2025 OCT SHARP PRICE</v>
      </c>
      <c r="B75" s="35">
        <f t="shared" si="36"/>
        <v>46086</v>
      </c>
      <c r="C75" s="35">
        <f t="shared" si="37"/>
        <v>46092</v>
      </c>
      <c r="D75" s="34">
        <v>3287</v>
      </c>
      <c r="E75" s="34">
        <v>338</v>
      </c>
      <c r="F75" s="34">
        <v>4</v>
      </c>
      <c r="G75" s="25">
        <v>3</v>
      </c>
      <c r="H75" s="25">
        <v>81679</v>
      </c>
      <c r="I75" s="25" t="s">
        <v>17</v>
      </c>
      <c r="J75" s="24">
        <v>61920849</v>
      </c>
      <c r="K75" s="24" t="s">
        <v>6668</v>
      </c>
      <c r="L75" s="24" t="s">
        <v>6685</v>
      </c>
      <c r="M75" s="26">
        <v>179000</v>
      </c>
      <c r="N75" s="34">
        <v>0</v>
      </c>
      <c r="O75" s="36" t="str">
        <f t="shared" ref="O75" si="41">O74</f>
        <v>SHARP PRICE</v>
      </c>
      <c r="P75" s="34" t="s">
        <v>6747</v>
      </c>
    </row>
    <row r="76" spans="1:16" x14ac:dyDescent="0.35">
      <c r="A76" s="25" t="str">
        <f t="shared" si="35"/>
        <v>2025 OCT SHARP PRICE</v>
      </c>
      <c r="B76" s="35">
        <f t="shared" si="36"/>
        <v>46086</v>
      </c>
      <c r="C76" s="35">
        <f t="shared" si="37"/>
        <v>46092</v>
      </c>
      <c r="D76" s="34">
        <v>3287</v>
      </c>
      <c r="E76" s="34">
        <v>338</v>
      </c>
      <c r="F76" s="34">
        <v>4</v>
      </c>
      <c r="G76" s="25">
        <v>3</v>
      </c>
      <c r="H76" s="25">
        <v>81679</v>
      </c>
      <c r="I76" s="25" t="s">
        <v>17</v>
      </c>
      <c r="J76" s="24">
        <v>61920858</v>
      </c>
      <c r="K76" s="24" t="s">
        <v>6668</v>
      </c>
      <c r="L76" s="24" t="s">
        <v>6686</v>
      </c>
      <c r="M76" s="26">
        <v>179000</v>
      </c>
      <c r="N76" s="34">
        <v>0</v>
      </c>
      <c r="O76" s="36" t="s">
        <v>6746</v>
      </c>
      <c r="P76" s="34" t="s">
        <v>6747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76">
    <cfRule type="duplicateValues" dxfId="3" priority="6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9"/>
  <sheetViews>
    <sheetView topLeftCell="H1" zoomScale="70" zoomScaleNormal="70" workbookViewId="0">
      <pane ySplit="1" topLeftCell="A2" activePane="bottomLeft" state="frozen"/>
      <selection activeCell="F11" sqref="F11"/>
      <selection pane="bottomLeft" activeCell="G12" sqref="G12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6750</v>
      </c>
      <c r="B2" s="35">
        <f>'2025 AUG B1G1 - 3287 LC'!B34</f>
        <v>46086</v>
      </c>
      <c r="C2" s="35">
        <f>'2025 AUG B1G1 - 3287 LC'!C34</f>
        <v>46092</v>
      </c>
      <c r="D2" s="34">
        <v>3287</v>
      </c>
      <c r="E2" s="34">
        <v>338</v>
      </c>
      <c r="F2" s="34">
        <v>4</v>
      </c>
      <c r="G2" s="25">
        <v>9</v>
      </c>
      <c r="H2" s="25">
        <v>4953</v>
      </c>
      <c r="I2" s="34" t="s">
        <v>17</v>
      </c>
      <c r="J2" s="24">
        <v>59123581</v>
      </c>
      <c r="K2" s="24" t="s">
        <v>6341</v>
      </c>
      <c r="L2" s="24" t="s">
        <v>6342</v>
      </c>
      <c r="M2" s="44">
        <v>149900</v>
      </c>
      <c r="N2" s="22">
        <v>0.3</v>
      </c>
      <c r="O2" s="34">
        <f>M2-((30*M2)/100)</f>
        <v>104930</v>
      </c>
      <c r="P2" s="22" t="s">
        <v>16</v>
      </c>
    </row>
    <row r="3" spans="1:16" x14ac:dyDescent="0.35">
      <c r="A3" s="34" t="str">
        <f>A2</f>
        <v>2025 SEPT B1 30% LICENSE ESS</v>
      </c>
      <c r="B3" s="35">
        <f>B2</f>
        <v>46086</v>
      </c>
      <c r="C3" s="35">
        <f>C2</f>
        <v>46092</v>
      </c>
      <c r="D3" s="34">
        <v>3287</v>
      </c>
      <c r="E3" s="34">
        <v>338</v>
      </c>
      <c r="F3" s="34">
        <v>4</v>
      </c>
      <c r="G3" s="25">
        <v>9</v>
      </c>
      <c r="H3" s="25">
        <v>4953</v>
      </c>
      <c r="I3" s="34" t="s">
        <v>17</v>
      </c>
      <c r="J3" s="24">
        <v>59123590</v>
      </c>
      <c r="K3" s="24" t="s">
        <v>6341</v>
      </c>
      <c r="L3" s="24" t="s">
        <v>6346</v>
      </c>
      <c r="M3" s="44">
        <v>149900</v>
      </c>
      <c r="N3" s="22">
        <f>N2</f>
        <v>0.3</v>
      </c>
      <c r="O3" s="34">
        <f t="shared" ref="O3:O9" si="0">M3-((30*M3)/100)</f>
        <v>104930</v>
      </c>
      <c r="P3" s="22" t="str">
        <f>P2</f>
        <v>PERCENTAGE</v>
      </c>
    </row>
    <row r="4" spans="1:16" x14ac:dyDescent="0.35">
      <c r="A4" s="34" t="str">
        <f t="shared" ref="A4:A9" si="1">A3</f>
        <v>2025 SEPT B1 30% LICENSE ESS</v>
      </c>
      <c r="B4" s="35">
        <f t="shared" ref="B4:C9" si="2">B3</f>
        <v>46086</v>
      </c>
      <c r="C4" s="35">
        <f t="shared" si="2"/>
        <v>46092</v>
      </c>
      <c r="D4" s="34">
        <v>3287</v>
      </c>
      <c r="E4" s="34">
        <v>338</v>
      </c>
      <c r="F4" s="34">
        <v>4</v>
      </c>
      <c r="G4" s="25">
        <v>9</v>
      </c>
      <c r="H4" s="25">
        <v>4953</v>
      </c>
      <c r="I4" s="34" t="s">
        <v>17</v>
      </c>
      <c r="J4" s="24">
        <v>59123607</v>
      </c>
      <c r="K4" s="24" t="s">
        <v>6341</v>
      </c>
      <c r="L4" s="24" t="s">
        <v>6344</v>
      </c>
      <c r="M4" s="44">
        <v>149900</v>
      </c>
      <c r="N4" s="22">
        <f t="shared" ref="N4:N9" si="3">N3</f>
        <v>0.3</v>
      </c>
      <c r="O4" s="34">
        <f t="shared" si="0"/>
        <v>104930</v>
      </c>
      <c r="P4" s="22" t="str">
        <f t="shared" ref="P4:P9" si="4">P3</f>
        <v>PERCENTAGE</v>
      </c>
    </row>
    <row r="5" spans="1:16" x14ac:dyDescent="0.35">
      <c r="A5" s="34" t="str">
        <f t="shared" si="1"/>
        <v>2025 SEPT B1 30% LICENSE ESS</v>
      </c>
      <c r="B5" s="35">
        <f t="shared" si="2"/>
        <v>46086</v>
      </c>
      <c r="C5" s="35">
        <f t="shared" si="2"/>
        <v>46092</v>
      </c>
      <c r="D5" s="34">
        <v>3287</v>
      </c>
      <c r="E5" s="34">
        <v>338</v>
      </c>
      <c r="F5" s="34">
        <v>4</v>
      </c>
      <c r="G5" s="25">
        <v>9</v>
      </c>
      <c r="H5" s="25">
        <v>4953</v>
      </c>
      <c r="I5" s="34" t="s">
        <v>17</v>
      </c>
      <c r="J5" s="24">
        <v>59123616</v>
      </c>
      <c r="K5" s="24" t="s">
        <v>6341</v>
      </c>
      <c r="L5" s="24" t="s">
        <v>6345</v>
      </c>
      <c r="M5" s="44">
        <v>149900</v>
      </c>
      <c r="N5" s="22">
        <f t="shared" si="3"/>
        <v>0.3</v>
      </c>
      <c r="O5" s="34">
        <f t="shared" si="0"/>
        <v>104930</v>
      </c>
      <c r="P5" s="22" t="str">
        <f t="shared" si="4"/>
        <v>PERCENTAGE</v>
      </c>
    </row>
    <row r="6" spans="1:16" x14ac:dyDescent="0.35">
      <c r="A6" s="34" t="str">
        <f t="shared" si="1"/>
        <v>2025 SEPT B1 30% LICENSE ESS</v>
      </c>
      <c r="B6" s="35">
        <f t="shared" si="2"/>
        <v>46086</v>
      </c>
      <c r="C6" s="35">
        <f t="shared" si="2"/>
        <v>46092</v>
      </c>
      <c r="D6" s="34">
        <v>3287</v>
      </c>
      <c r="E6" s="34">
        <v>338</v>
      </c>
      <c r="F6" s="34">
        <v>4</v>
      </c>
      <c r="G6" s="25">
        <v>9</v>
      </c>
      <c r="H6" s="25">
        <v>4953</v>
      </c>
      <c r="I6" s="34" t="s">
        <v>17</v>
      </c>
      <c r="J6" s="24">
        <v>59123625</v>
      </c>
      <c r="K6" s="24" t="s">
        <v>6341</v>
      </c>
      <c r="L6" s="24" t="s">
        <v>6347</v>
      </c>
      <c r="M6" s="44">
        <v>149900</v>
      </c>
      <c r="N6" s="22">
        <f t="shared" si="3"/>
        <v>0.3</v>
      </c>
      <c r="O6" s="34">
        <f t="shared" si="0"/>
        <v>104930</v>
      </c>
      <c r="P6" s="22" t="str">
        <f t="shared" si="4"/>
        <v>PERCENTAGE</v>
      </c>
    </row>
    <row r="7" spans="1:16" x14ac:dyDescent="0.35">
      <c r="A7" s="34" t="str">
        <f t="shared" si="1"/>
        <v>2025 SEPT B1 30% LICENSE ESS</v>
      </c>
      <c r="B7" s="35">
        <f t="shared" si="2"/>
        <v>46086</v>
      </c>
      <c r="C7" s="35">
        <f t="shared" si="2"/>
        <v>46092</v>
      </c>
      <c r="D7" s="34">
        <v>3287</v>
      </c>
      <c r="E7" s="34">
        <v>338</v>
      </c>
      <c r="F7" s="34">
        <v>4</v>
      </c>
      <c r="G7" s="25">
        <v>9</v>
      </c>
      <c r="H7" s="25">
        <v>4953</v>
      </c>
      <c r="I7" s="34" t="s">
        <v>17</v>
      </c>
      <c r="J7" s="24">
        <v>59123634</v>
      </c>
      <c r="K7" s="24" t="s">
        <v>6341</v>
      </c>
      <c r="L7" s="24" t="s">
        <v>6343</v>
      </c>
      <c r="M7" s="44">
        <v>149900</v>
      </c>
      <c r="N7" s="22">
        <f t="shared" si="3"/>
        <v>0.3</v>
      </c>
      <c r="O7" s="34">
        <f t="shared" si="0"/>
        <v>104930</v>
      </c>
      <c r="P7" s="22" t="str">
        <f t="shared" si="4"/>
        <v>PERCENTAGE</v>
      </c>
    </row>
    <row r="8" spans="1:16" x14ac:dyDescent="0.35">
      <c r="A8" s="34" t="str">
        <f t="shared" si="1"/>
        <v>2025 SEPT B1 30% LICENSE ESS</v>
      </c>
      <c r="B8" s="35">
        <f t="shared" si="2"/>
        <v>46086</v>
      </c>
      <c r="C8" s="35">
        <f t="shared" si="2"/>
        <v>46092</v>
      </c>
      <c r="D8" s="34">
        <v>3287</v>
      </c>
      <c r="E8" s="34">
        <v>338</v>
      </c>
      <c r="F8" s="34">
        <v>4</v>
      </c>
      <c r="G8" s="25">
        <v>9</v>
      </c>
      <c r="H8" s="25">
        <v>4953</v>
      </c>
      <c r="I8" s="34" t="s">
        <v>17</v>
      </c>
      <c r="J8" s="24">
        <v>59123643</v>
      </c>
      <c r="K8" s="24" t="s">
        <v>6341</v>
      </c>
      <c r="L8" s="24" t="s">
        <v>6348</v>
      </c>
      <c r="M8" s="44">
        <v>149900</v>
      </c>
      <c r="N8" s="22">
        <f t="shared" si="3"/>
        <v>0.3</v>
      </c>
      <c r="O8" s="34">
        <f t="shared" si="0"/>
        <v>104930</v>
      </c>
      <c r="P8" s="22" t="str">
        <f t="shared" si="4"/>
        <v>PERCENTAGE</v>
      </c>
    </row>
    <row r="9" spans="1:16" x14ac:dyDescent="0.35">
      <c r="A9" s="34" t="str">
        <f t="shared" si="1"/>
        <v>2025 SEPT B1 30% LICENSE ESS</v>
      </c>
      <c r="B9" s="35">
        <f t="shared" si="2"/>
        <v>46086</v>
      </c>
      <c r="C9" s="35">
        <f t="shared" si="2"/>
        <v>46092</v>
      </c>
      <c r="D9" s="34">
        <v>3287</v>
      </c>
      <c r="E9" s="34">
        <v>338</v>
      </c>
      <c r="F9" s="34">
        <v>4</v>
      </c>
      <c r="G9" s="25">
        <v>9</v>
      </c>
      <c r="H9" s="25">
        <v>4953</v>
      </c>
      <c r="I9" s="34" t="s">
        <v>17</v>
      </c>
      <c r="J9" s="24">
        <v>59123652</v>
      </c>
      <c r="K9" s="24" t="s">
        <v>6341</v>
      </c>
      <c r="L9" s="24" t="s">
        <v>6349</v>
      </c>
      <c r="M9" s="44">
        <v>149900</v>
      </c>
      <c r="N9" s="22">
        <f t="shared" si="3"/>
        <v>0.3</v>
      </c>
      <c r="O9" s="34">
        <f t="shared" si="0"/>
        <v>104930</v>
      </c>
      <c r="P9" s="22" t="str">
        <f t="shared" si="4"/>
        <v>PERCENTAGE</v>
      </c>
    </row>
  </sheetData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0763-9AB5-4AEA-B3FF-952DE7569519}">
  <dimension ref="A1:P34"/>
  <sheetViews>
    <sheetView zoomScale="70" zoomScaleNormal="70" workbookViewId="0">
      <pane ySplit="1" topLeftCell="A2" activePane="bottomLeft" state="frozen"/>
      <selection activeCell="M23" sqref="M23"/>
      <selection pane="bottomLeft" activeCell="L13" sqref="L1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6744</v>
      </c>
      <c r="B2" s="35">
        <f>'2025 HILITE D80 - 3321'!B3</f>
        <v>46086</v>
      </c>
      <c r="C2" s="35">
        <f>'2025 HILITE D80 - 3321'!C3</f>
        <v>46092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4">
        <v>55253895</v>
      </c>
      <c r="K2" s="24" t="s">
        <v>6080</v>
      </c>
      <c r="L2" s="24" t="s">
        <v>6082</v>
      </c>
      <c r="M2" s="44">
        <v>29900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tr">
        <f t="shared" ref="A3:A34" si="0">A2</f>
        <v>2025 AUG B1G1 LICENSE ESS</v>
      </c>
      <c r="B3" s="35">
        <f t="shared" ref="B3:B34" si="1">B2</f>
        <v>46086</v>
      </c>
      <c r="C3" s="35">
        <f t="shared" ref="C3:C34" si="2">C2</f>
        <v>46092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4">
        <v>55253902</v>
      </c>
      <c r="K3" s="24" t="s">
        <v>6080</v>
      </c>
      <c r="L3" s="24" t="s">
        <v>6081</v>
      </c>
      <c r="M3" s="44">
        <v>29900</v>
      </c>
      <c r="N3" s="22" t="s">
        <v>2569</v>
      </c>
      <c r="O3" s="34" t="str">
        <f>O2</f>
        <v>B1G1</v>
      </c>
      <c r="P3" s="22" t="s">
        <v>2569</v>
      </c>
    </row>
    <row r="4" spans="1:16" x14ac:dyDescent="0.35">
      <c r="A4" s="34" t="str">
        <f t="shared" si="0"/>
        <v>2025 AUG B1G1 LICENSE ESS</v>
      </c>
      <c r="B4" s="35">
        <f t="shared" si="1"/>
        <v>46086</v>
      </c>
      <c r="C4" s="35">
        <f t="shared" si="2"/>
        <v>46092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4">
        <v>55253911</v>
      </c>
      <c r="K4" s="24" t="s">
        <v>6080</v>
      </c>
      <c r="L4" s="24" t="s">
        <v>6083</v>
      </c>
      <c r="M4" s="44">
        <v>29900</v>
      </c>
      <c r="N4" s="22" t="s">
        <v>2569</v>
      </c>
      <c r="O4" s="34" t="str">
        <f t="shared" ref="O4:O34" si="3">O3</f>
        <v>B1G1</v>
      </c>
      <c r="P4" s="22" t="s">
        <v>2569</v>
      </c>
    </row>
    <row r="5" spans="1:16" x14ac:dyDescent="0.35">
      <c r="A5" s="34" t="str">
        <f t="shared" si="0"/>
        <v>2025 AUG B1G1 LICENSE ESS</v>
      </c>
      <c r="B5" s="35">
        <f t="shared" si="1"/>
        <v>46086</v>
      </c>
      <c r="C5" s="35">
        <f t="shared" si="2"/>
        <v>46092</v>
      </c>
      <c r="D5" s="34">
        <v>3287</v>
      </c>
      <c r="E5" s="34">
        <v>338</v>
      </c>
      <c r="F5" s="34">
        <v>4</v>
      </c>
      <c r="G5" s="25">
        <v>1</v>
      </c>
      <c r="H5" s="25">
        <v>81679</v>
      </c>
      <c r="I5" s="34" t="s">
        <v>17</v>
      </c>
      <c r="J5" s="24">
        <v>55253715</v>
      </c>
      <c r="K5" s="24" t="s">
        <v>6066</v>
      </c>
      <c r="L5" s="24" t="s">
        <v>6069</v>
      </c>
      <c r="M5" s="44">
        <v>89900</v>
      </c>
      <c r="N5" s="22" t="s">
        <v>2569</v>
      </c>
      <c r="O5" s="34" t="str">
        <f t="shared" si="3"/>
        <v>B1G1</v>
      </c>
      <c r="P5" s="22" t="s">
        <v>2569</v>
      </c>
    </row>
    <row r="6" spans="1:16" x14ac:dyDescent="0.35">
      <c r="A6" s="34" t="str">
        <f t="shared" si="0"/>
        <v>2025 AUG B1G1 LICENSE ESS</v>
      </c>
      <c r="B6" s="35">
        <f t="shared" si="1"/>
        <v>46086</v>
      </c>
      <c r="C6" s="35">
        <f t="shared" si="2"/>
        <v>46092</v>
      </c>
      <c r="D6" s="34">
        <v>3287</v>
      </c>
      <c r="E6" s="34">
        <v>338</v>
      </c>
      <c r="F6" s="34">
        <v>4</v>
      </c>
      <c r="G6" s="25">
        <v>1</v>
      </c>
      <c r="H6" s="25">
        <v>81679</v>
      </c>
      <c r="I6" s="34" t="s">
        <v>17</v>
      </c>
      <c r="J6" s="24">
        <v>55253724</v>
      </c>
      <c r="K6" s="24" t="s">
        <v>6066</v>
      </c>
      <c r="L6" s="24" t="s">
        <v>6068</v>
      </c>
      <c r="M6" s="44">
        <v>89900</v>
      </c>
      <c r="N6" s="22" t="s">
        <v>2569</v>
      </c>
      <c r="O6" s="34" t="str">
        <f t="shared" si="3"/>
        <v>B1G1</v>
      </c>
      <c r="P6" s="22" t="s">
        <v>2569</v>
      </c>
    </row>
    <row r="7" spans="1:16" x14ac:dyDescent="0.35">
      <c r="A7" s="34" t="str">
        <f t="shared" si="0"/>
        <v>2025 AUG B1G1 LICENSE ESS</v>
      </c>
      <c r="B7" s="35">
        <f t="shared" si="1"/>
        <v>46086</v>
      </c>
      <c r="C7" s="35">
        <f t="shared" si="2"/>
        <v>46092</v>
      </c>
      <c r="D7" s="34">
        <v>3287</v>
      </c>
      <c r="E7" s="34">
        <v>338</v>
      </c>
      <c r="F7" s="34">
        <v>4</v>
      </c>
      <c r="G7" s="25">
        <v>1</v>
      </c>
      <c r="H7" s="25">
        <v>81679</v>
      </c>
      <c r="I7" s="34" t="s">
        <v>17</v>
      </c>
      <c r="J7" s="24">
        <v>55253733</v>
      </c>
      <c r="K7" s="24" t="s">
        <v>6066</v>
      </c>
      <c r="L7" s="24" t="s">
        <v>6070</v>
      </c>
      <c r="M7" s="44">
        <v>89900</v>
      </c>
      <c r="N7" s="22" t="s">
        <v>2569</v>
      </c>
      <c r="O7" s="34" t="str">
        <f t="shared" si="3"/>
        <v>B1G1</v>
      </c>
      <c r="P7" s="22" t="s">
        <v>2569</v>
      </c>
    </row>
    <row r="8" spans="1:16" x14ac:dyDescent="0.35">
      <c r="A8" s="34" t="str">
        <f t="shared" si="0"/>
        <v>2025 AUG B1G1 LICENSE ESS</v>
      </c>
      <c r="B8" s="35">
        <f t="shared" si="1"/>
        <v>46086</v>
      </c>
      <c r="C8" s="35">
        <f t="shared" si="2"/>
        <v>46092</v>
      </c>
      <c r="D8" s="34">
        <v>3287</v>
      </c>
      <c r="E8" s="34">
        <v>338</v>
      </c>
      <c r="F8" s="34">
        <v>4</v>
      </c>
      <c r="G8" s="25">
        <v>1</v>
      </c>
      <c r="H8" s="25">
        <v>81679</v>
      </c>
      <c r="I8" s="34" t="s">
        <v>17</v>
      </c>
      <c r="J8" s="24">
        <v>55253742</v>
      </c>
      <c r="K8" s="24" t="s">
        <v>6066</v>
      </c>
      <c r="L8" s="24" t="s">
        <v>6067</v>
      </c>
      <c r="M8" s="44">
        <v>89900</v>
      </c>
      <c r="N8" s="22" t="s">
        <v>2569</v>
      </c>
      <c r="O8" s="34" t="str">
        <f t="shared" si="3"/>
        <v>B1G1</v>
      </c>
      <c r="P8" s="22" t="s">
        <v>2569</v>
      </c>
    </row>
    <row r="9" spans="1:16" x14ac:dyDescent="0.35">
      <c r="A9" s="34" t="str">
        <f t="shared" si="0"/>
        <v>2025 AUG B1G1 LICENSE ESS</v>
      </c>
      <c r="B9" s="35">
        <f t="shared" si="1"/>
        <v>46086</v>
      </c>
      <c r="C9" s="35">
        <f t="shared" si="2"/>
        <v>46092</v>
      </c>
      <c r="D9" s="34">
        <v>3287</v>
      </c>
      <c r="E9" s="34">
        <v>338</v>
      </c>
      <c r="F9" s="34">
        <v>4</v>
      </c>
      <c r="G9" s="25">
        <v>4</v>
      </c>
      <c r="H9" s="25">
        <v>81679</v>
      </c>
      <c r="I9" s="34" t="s">
        <v>17</v>
      </c>
      <c r="J9" s="24">
        <v>55253751</v>
      </c>
      <c r="K9" s="24" t="s">
        <v>6071</v>
      </c>
      <c r="L9" s="24" t="s">
        <v>6073</v>
      </c>
      <c r="M9" s="44">
        <v>149900</v>
      </c>
      <c r="N9" s="22" t="s">
        <v>2569</v>
      </c>
      <c r="O9" s="34" t="str">
        <f t="shared" si="3"/>
        <v>B1G1</v>
      </c>
      <c r="P9" s="22" t="s">
        <v>2569</v>
      </c>
    </row>
    <row r="10" spans="1:16" x14ac:dyDescent="0.35">
      <c r="A10" s="34" t="str">
        <f t="shared" si="0"/>
        <v>2025 AUG B1G1 LICENSE ESS</v>
      </c>
      <c r="B10" s="35">
        <f t="shared" si="1"/>
        <v>46086</v>
      </c>
      <c r="C10" s="35">
        <f t="shared" si="2"/>
        <v>46092</v>
      </c>
      <c r="D10" s="34">
        <v>3287</v>
      </c>
      <c r="E10" s="34">
        <v>338</v>
      </c>
      <c r="F10" s="34">
        <v>4</v>
      </c>
      <c r="G10" s="25">
        <v>4</v>
      </c>
      <c r="H10" s="25">
        <v>81679</v>
      </c>
      <c r="I10" s="34" t="s">
        <v>17</v>
      </c>
      <c r="J10" s="24">
        <v>55253760</v>
      </c>
      <c r="K10" s="24" t="s">
        <v>6071</v>
      </c>
      <c r="L10" s="24" t="s">
        <v>6076</v>
      </c>
      <c r="M10" s="44">
        <v>149900</v>
      </c>
      <c r="N10" s="22" t="s">
        <v>2569</v>
      </c>
      <c r="O10" s="34" t="str">
        <f t="shared" si="3"/>
        <v>B1G1</v>
      </c>
      <c r="P10" s="22" t="s">
        <v>2569</v>
      </c>
    </row>
    <row r="11" spans="1:16" x14ac:dyDescent="0.35">
      <c r="A11" s="34" t="str">
        <f t="shared" si="0"/>
        <v>2025 AUG B1G1 LICENSE ESS</v>
      </c>
      <c r="B11" s="35">
        <f t="shared" si="1"/>
        <v>46086</v>
      </c>
      <c r="C11" s="35">
        <f t="shared" si="2"/>
        <v>46092</v>
      </c>
      <c r="D11" s="34">
        <v>3287</v>
      </c>
      <c r="E11" s="34">
        <v>338</v>
      </c>
      <c r="F11" s="34">
        <v>4</v>
      </c>
      <c r="G11" s="25">
        <v>4</v>
      </c>
      <c r="H11" s="25">
        <v>81679</v>
      </c>
      <c r="I11" s="34" t="s">
        <v>17</v>
      </c>
      <c r="J11" s="24">
        <v>55253779</v>
      </c>
      <c r="K11" s="24" t="s">
        <v>6071</v>
      </c>
      <c r="L11" s="24" t="s">
        <v>6078</v>
      </c>
      <c r="M11" s="44">
        <v>149900</v>
      </c>
      <c r="N11" s="22" t="s">
        <v>2569</v>
      </c>
      <c r="O11" s="34" t="str">
        <f t="shared" si="3"/>
        <v>B1G1</v>
      </c>
      <c r="P11" s="22" t="s">
        <v>2569</v>
      </c>
    </row>
    <row r="12" spans="1:16" x14ac:dyDescent="0.35">
      <c r="A12" s="34" t="str">
        <f t="shared" si="0"/>
        <v>2025 AUG B1G1 LICENSE ESS</v>
      </c>
      <c r="B12" s="35">
        <f t="shared" si="1"/>
        <v>46086</v>
      </c>
      <c r="C12" s="35">
        <f t="shared" si="2"/>
        <v>46092</v>
      </c>
      <c r="D12" s="34">
        <v>3287</v>
      </c>
      <c r="E12" s="34">
        <v>338</v>
      </c>
      <c r="F12" s="34">
        <v>4</v>
      </c>
      <c r="G12" s="25">
        <v>4</v>
      </c>
      <c r="H12" s="25">
        <v>81679</v>
      </c>
      <c r="I12" s="34" t="s">
        <v>17</v>
      </c>
      <c r="J12" s="24">
        <v>55253788</v>
      </c>
      <c r="K12" s="24" t="s">
        <v>6071</v>
      </c>
      <c r="L12" s="24" t="s">
        <v>6074</v>
      </c>
      <c r="M12" s="44">
        <v>149900</v>
      </c>
      <c r="N12" s="22" t="s">
        <v>2569</v>
      </c>
      <c r="O12" s="34" t="str">
        <f t="shared" si="3"/>
        <v>B1G1</v>
      </c>
      <c r="P12" s="22" t="s">
        <v>2569</v>
      </c>
    </row>
    <row r="13" spans="1:16" x14ac:dyDescent="0.35">
      <c r="A13" s="34" t="str">
        <f t="shared" si="0"/>
        <v>2025 AUG B1G1 LICENSE ESS</v>
      </c>
      <c r="B13" s="35">
        <f t="shared" si="1"/>
        <v>46086</v>
      </c>
      <c r="C13" s="35">
        <f t="shared" si="2"/>
        <v>46092</v>
      </c>
      <c r="D13" s="34">
        <v>3287</v>
      </c>
      <c r="E13" s="34">
        <v>338</v>
      </c>
      <c r="F13" s="34">
        <v>4</v>
      </c>
      <c r="G13" s="25">
        <v>4</v>
      </c>
      <c r="H13" s="25">
        <v>81679</v>
      </c>
      <c r="I13" s="34" t="s">
        <v>17</v>
      </c>
      <c r="J13" s="24">
        <v>55253797</v>
      </c>
      <c r="K13" s="24" t="s">
        <v>6071</v>
      </c>
      <c r="L13" s="24" t="s">
        <v>6072</v>
      </c>
      <c r="M13" s="44">
        <v>149900</v>
      </c>
      <c r="N13" s="22" t="s">
        <v>2569</v>
      </c>
      <c r="O13" s="34" t="str">
        <f t="shared" si="3"/>
        <v>B1G1</v>
      </c>
      <c r="P13" s="22" t="s">
        <v>2569</v>
      </c>
    </row>
    <row r="14" spans="1:16" x14ac:dyDescent="0.35">
      <c r="A14" s="34" t="str">
        <f t="shared" si="0"/>
        <v>2025 AUG B1G1 LICENSE ESS</v>
      </c>
      <c r="B14" s="35">
        <f t="shared" si="1"/>
        <v>46086</v>
      </c>
      <c r="C14" s="35">
        <f t="shared" si="2"/>
        <v>46092</v>
      </c>
      <c r="D14" s="34">
        <v>3287</v>
      </c>
      <c r="E14" s="34">
        <v>338</v>
      </c>
      <c r="F14" s="34">
        <v>4</v>
      </c>
      <c r="G14" s="25">
        <v>4</v>
      </c>
      <c r="H14" s="25">
        <v>81679</v>
      </c>
      <c r="I14" s="34" t="s">
        <v>17</v>
      </c>
      <c r="J14" s="24">
        <v>55253804</v>
      </c>
      <c r="K14" s="24" t="s">
        <v>6071</v>
      </c>
      <c r="L14" s="24" t="s">
        <v>6079</v>
      </c>
      <c r="M14" s="44">
        <v>149900</v>
      </c>
      <c r="N14" s="22" t="s">
        <v>2569</v>
      </c>
      <c r="O14" s="34" t="str">
        <f t="shared" si="3"/>
        <v>B1G1</v>
      </c>
      <c r="P14" s="22" t="s">
        <v>2569</v>
      </c>
    </row>
    <row r="15" spans="1:16" x14ac:dyDescent="0.35">
      <c r="A15" s="34" t="str">
        <f t="shared" si="0"/>
        <v>2025 AUG B1G1 LICENSE ESS</v>
      </c>
      <c r="B15" s="35">
        <f t="shared" si="1"/>
        <v>46086</v>
      </c>
      <c r="C15" s="35">
        <f t="shared" si="2"/>
        <v>46092</v>
      </c>
      <c r="D15" s="34">
        <v>3287</v>
      </c>
      <c r="E15" s="34">
        <v>338</v>
      </c>
      <c r="F15" s="34">
        <v>4</v>
      </c>
      <c r="G15" s="25">
        <v>4</v>
      </c>
      <c r="H15" s="25">
        <v>81679</v>
      </c>
      <c r="I15" s="34" t="s">
        <v>17</v>
      </c>
      <c r="J15" s="24">
        <v>55253813</v>
      </c>
      <c r="K15" s="24" t="s">
        <v>6071</v>
      </c>
      <c r="L15" s="24" t="s">
        <v>6077</v>
      </c>
      <c r="M15" s="44">
        <v>149900</v>
      </c>
      <c r="N15" s="22" t="s">
        <v>2569</v>
      </c>
      <c r="O15" s="34" t="str">
        <f t="shared" si="3"/>
        <v>B1G1</v>
      </c>
      <c r="P15" s="22" t="s">
        <v>2569</v>
      </c>
    </row>
    <row r="16" spans="1:16" x14ac:dyDescent="0.35">
      <c r="A16" s="34" t="str">
        <f t="shared" si="0"/>
        <v>2025 AUG B1G1 LICENSE ESS</v>
      </c>
      <c r="B16" s="35">
        <f t="shared" si="1"/>
        <v>46086</v>
      </c>
      <c r="C16" s="35">
        <f t="shared" si="2"/>
        <v>46092</v>
      </c>
      <c r="D16" s="34">
        <v>3287</v>
      </c>
      <c r="E16" s="34">
        <v>338</v>
      </c>
      <c r="F16" s="34">
        <v>4</v>
      </c>
      <c r="G16" s="25">
        <v>4</v>
      </c>
      <c r="H16" s="25">
        <v>81679</v>
      </c>
      <c r="I16" s="34" t="s">
        <v>17</v>
      </c>
      <c r="J16" s="24">
        <v>55253822</v>
      </c>
      <c r="K16" s="24" t="s">
        <v>6071</v>
      </c>
      <c r="L16" s="24" t="s">
        <v>6075</v>
      </c>
      <c r="M16" s="44">
        <v>149900</v>
      </c>
      <c r="N16" s="22" t="s">
        <v>2569</v>
      </c>
      <c r="O16" s="34" t="str">
        <f t="shared" si="3"/>
        <v>B1G1</v>
      </c>
      <c r="P16" s="22" t="s">
        <v>2569</v>
      </c>
    </row>
    <row r="17" spans="1:16" x14ac:dyDescent="0.35">
      <c r="A17" s="34" t="str">
        <f t="shared" si="0"/>
        <v>2025 AUG B1G1 LICENSE ESS</v>
      </c>
      <c r="B17" s="35">
        <f t="shared" si="1"/>
        <v>46086</v>
      </c>
      <c r="C17" s="35">
        <f t="shared" si="2"/>
        <v>46092</v>
      </c>
      <c r="D17" s="34">
        <v>3287</v>
      </c>
      <c r="E17" s="34">
        <v>338</v>
      </c>
      <c r="F17" s="34">
        <v>4</v>
      </c>
      <c r="G17" s="25">
        <v>8</v>
      </c>
      <c r="H17" s="25">
        <v>81679</v>
      </c>
      <c r="I17" s="34" t="s">
        <v>17</v>
      </c>
      <c r="J17" s="24">
        <v>55516155</v>
      </c>
      <c r="K17" s="24" t="s">
        <v>6084</v>
      </c>
      <c r="L17" s="24" t="s">
        <v>6088</v>
      </c>
      <c r="M17" s="44">
        <v>89900</v>
      </c>
      <c r="N17" s="22" t="s">
        <v>2569</v>
      </c>
      <c r="O17" s="34" t="str">
        <f t="shared" si="3"/>
        <v>B1G1</v>
      </c>
      <c r="P17" s="22" t="s">
        <v>2569</v>
      </c>
    </row>
    <row r="18" spans="1:16" x14ac:dyDescent="0.35">
      <c r="A18" s="34" t="str">
        <f t="shared" si="0"/>
        <v>2025 AUG B1G1 LICENSE ESS</v>
      </c>
      <c r="B18" s="35">
        <f t="shared" si="1"/>
        <v>46086</v>
      </c>
      <c r="C18" s="35">
        <f t="shared" si="2"/>
        <v>46092</v>
      </c>
      <c r="D18" s="34">
        <v>3287</v>
      </c>
      <c r="E18" s="34">
        <v>338</v>
      </c>
      <c r="F18" s="34">
        <v>4</v>
      </c>
      <c r="G18" s="25">
        <v>8</v>
      </c>
      <c r="H18" s="25">
        <v>81679</v>
      </c>
      <c r="I18" s="34" t="s">
        <v>17</v>
      </c>
      <c r="J18" s="24">
        <v>55516164</v>
      </c>
      <c r="K18" s="24" t="s">
        <v>6084</v>
      </c>
      <c r="L18" s="24" t="s">
        <v>6085</v>
      </c>
      <c r="M18" s="44">
        <v>89900</v>
      </c>
      <c r="N18" s="22" t="s">
        <v>2569</v>
      </c>
      <c r="O18" s="34" t="str">
        <f t="shared" si="3"/>
        <v>B1G1</v>
      </c>
      <c r="P18" s="22" t="s">
        <v>2569</v>
      </c>
    </row>
    <row r="19" spans="1:16" x14ac:dyDescent="0.35">
      <c r="A19" s="34" t="str">
        <f t="shared" si="0"/>
        <v>2025 AUG B1G1 LICENSE ESS</v>
      </c>
      <c r="B19" s="35">
        <f t="shared" si="1"/>
        <v>46086</v>
      </c>
      <c r="C19" s="35">
        <f t="shared" si="2"/>
        <v>46092</v>
      </c>
      <c r="D19" s="34">
        <v>3287</v>
      </c>
      <c r="E19" s="34">
        <v>338</v>
      </c>
      <c r="F19" s="34">
        <v>4</v>
      </c>
      <c r="G19" s="25">
        <v>8</v>
      </c>
      <c r="H19" s="25">
        <v>81679</v>
      </c>
      <c r="I19" s="34" t="s">
        <v>17</v>
      </c>
      <c r="J19" s="24">
        <v>55516173</v>
      </c>
      <c r="K19" s="24" t="s">
        <v>6084</v>
      </c>
      <c r="L19" s="24" t="s">
        <v>6087</v>
      </c>
      <c r="M19" s="44">
        <v>89900</v>
      </c>
      <c r="N19" s="22" t="s">
        <v>2569</v>
      </c>
      <c r="O19" s="34" t="str">
        <f t="shared" si="3"/>
        <v>B1G1</v>
      </c>
      <c r="P19" s="22" t="s">
        <v>2569</v>
      </c>
    </row>
    <row r="20" spans="1:16" x14ac:dyDescent="0.35">
      <c r="A20" s="34" t="str">
        <f t="shared" si="0"/>
        <v>2025 AUG B1G1 LICENSE ESS</v>
      </c>
      <c r="B20" s="35">
        <f t="shared" si="1"/>
        <v>46086</v>
      </c>
      <c r="C20" s="35">
        <f t="shared" si="2"/>
        <v>46092</v>
      </c>
      <c r="D20" s="34">
        <v>3287</v>
      </c>
      <c r="E20" s="34">
        <v>338</v>
      </c>
      <c r="F20" s="34">
        <v>4</v>
      </c>
      <c r="G20" s="25">
        <v>8</v>
      </c>
      <c r="H20" s="25">
        <v>81679</v>
      </c>
      <c r="I20" s="34" t="s">
        <v>17</v>
      </c>
      <c r="J20" s="24">
        <v>55516182</v>
      </c>
      <c r="K20" s="24" t="s">
        <v>6084</v>
      </c>
      <c r="L20" s="24" t="s">
        <v>6086</v>
      </c>
      <c r="M20" s="44">
        <v>89900</v>
      </c>
      <c r="N20" s="22" t="s">
        <v>2569</v>
      </c>
      <c r="O20" s="34" t="str">
        <f t="shared" si="3"/>
        <v>B1G1</v>
      </c>
      <c r="P20" s="22" t="s">
        <v>2569</v>
      </c>
    </row>
    <row r="21" spans="1:16" x14ac:dyDescent="0.35">
      <c r="A21" s="34" t="str">
        <f t="shared" si="0"/>
        <v>2025 AUG B1G1 LICENSE ESS</v>
      </c>
      <c r="B21" s="35">
        <f t="shared" si="1"/>
        <v>46086</v>
      </c>
      <c r="C21" s="35">
        <f t="shared" si="2"/>
        <v>46092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4">
        <v>55516306</v>
      </c>
      <c r="K21" s="24" t="s">
        <v>6284</v>
      </c>
      <c r="L21" s="24" t="s">
        <v>6287</v>
      </c>
      <c r="M21" s="44">
        <v>29900</v>
      </c>
      <c r="N21" s="22" t="s">
        <v>2569</v>
      </c>
      <c r="O21" s="34" t="str">
        <f t="shared" si="3"/>
        <v>B1G1</v>
      </c>
      <c r="P21" s="22" t="s">
        <v>2569</v>
      </c>
    </row>
    <row r="22" spans="1:16" x14ac:dyDescent="0.35">
      <c r="A22" s="34" t="str">
        <f t="shared" si="0"/>
        <v>2025 AUG B1G1 LICENSE ESS</v>
      </c>
      <c r="B22" s="35">
        <f t="shared" si="1"/>
        <v>46086</v>
      </c>
      <c r="C22" s="35">
        <f t="shared" si="2"/>
        <v>46092</v>
      </c>
      <c r="D22" s="34">
        <v>3287</v>
      </c>
      <c r="E22" s="34">
        <v>338</v>
      </c>
      <c r="F22" s="34">
        <v>4</v>
      </c>
      <c r="G22" s="25">
        <v>10</v>
      </c>
      <c r="H22" s="25">
        <v>81533</v>
      </c>
      <c r="I22" s="34" t="s">
        <v>17</v>
      </c>
      <c r="J22" s="24">
        <v>55516315</v>
      </c>
      <c r="K22" s="24" t="s">
        <v>6284</v>
      </c>
      <c r="L22" s="24" t="s">
        <v>6285</v>
      </c>
      <c r="M22" s="44">
        <v>29900</v>
      </c>
      <c r="N22" s="22" t="s">
        <v>2569</v>
      </c>
      <c r="O22" s="34" t="str">
        <f t="shared" si="3"/>
        <v>B1G1</v>
      </c>
      <c r="P22" s="22" t="s">
        <v>2569</v>
      </c>
    </row>
    <row r="23" spans="1:16" x14ac:dyDescent="0.35">
      <c r="A23" s="34" t="str">
        <f t="shared" si="0"/>
        <v>2025 AUG B1G1 LICENSE ESS</v>
      </c>
      <c r="B23" s="35">
        <f t="shared" si="1"/>
        <v>46086</v>
      </c>
      <c r="C23" s="35">
        <f t="shared" si="2"/>
        <v>46092</v>
      </c>
      <c r="D23" s="34">
        <v>3287</v>
      </c>
      <c r="E23" s="34">
        <v>338</v>
      </c>
      <c r="F23" s="34">
        <v>4</v>
      </c>
      <c r="G23" s="25">
        <v>10</v>
      </c>
      <c r="H23" s="25">
        <v>81533</v>
      </c>
      <c r="I23" s="34" t="s">
        <v>17</v>
      </c>
      <c r="J23" s="24">
        <v>55516324</v>
      </c>
      <c r="K23" s="24" t="s">
        <v>6284</v>
      </c>
      <c r="L23" s="24" t="s">
        <v>6286</v>
      </c>
      <c r="M23" s="44">
        <v>29900</v>
      </c>
      <c r="N23" s="22" t="s">
        <v>2569</v>
      </c>
      <c r="O23" s="34" t="str">
        <f t="shared" si="3"/>
        <v>B1G1</v>
      </c>
      <c r="P23" s="22" t="s">
        <v>2569</v>
      </c>
    </row>
    <row r="24" spans="1:16" x14ac:dyDescent="0.35">
      <c r="A24" s="34" t="str">
        <f t="shared" si="0"/>
        <v>2025 AUG B1G1 LICENSE ESS</v>
      </c>
      <c r="B24" s="35">
        <f t="shared" si="1"/>
        <v>46086</v>
      </c>
      <c r="C24" s="35">
        <f t="shared" si="2"/>
        <v>46092</v>
      </c>
      <c r="D24" s="34">
        <v>3287</v>
      </c>
      <c r="E24" s="34">
        <v>338</v>
      </c>
      <c r="F24" s="34">
        <v>4</v>
      </c>
      <c r="G24" s="25">
        <v>10</v>
      </c>
      <c r="H24" s="25">
        <v>81533</v>
      </c>
      <c r="I24" s="34" t="s">
        <v>17</v>
      </c>
      <c r="J24" s="24">
        <v>55516271</v>
      </c>
      <c r="K24" s="24" t="s">
        <v>6280</v>
      </c>
      <c r="L24" s="24" t="s">
        <v>6283</v>
      </c>
      <c r="M24" s="44">
        <v>29900</v>
      </c>
      <c r="N24" s="22" t="s">
        <v>2569</v>
      </c>
      <c r="O24" s="34" t="str">
        <f t="shared" si="3"/>
        <v>B1G1</v>
      </c>
      <c r="P24" s="22" t="s">
        <v>2569</v>
      </c>
    </row>
    <row r="25" spans="1:16" x14ac:dyDescent="0.35">
      <c r="A25" s="34" t="str">
        <f t="shared" si="0"/>
        <v>2025 AUG B1G1 LICENSE ESS</v>
      </c>
      <c r="B25" s="35">
        <f t="shared" si="1"/>
        <v>46086</v>
      </c>
      <c r="C25" s="35">
        <f t="shared" si="2"/>
        <v>46092</v>
      </c>
      <c r="D25" s="34">
        <v>3287</v>
      </c>
      <c r="E25" s="34">
        <v>338</v>
      </c>
      <c r="F25" s="34">
        <v>4</v>
      </c>
      <c r="G25" s="25">
        <v>10</v>
      </c>
      <c r="H25" s="25">
        <v>81533</v>
      </c>
      <c r="I25" s="34" t="s">
        <v>17</v>
      </c>
      <c r="J25" s="24">
        <v>55516280</v>
      </c>
      <c r="K25" s="24" t="s">
        <v>6280</v>
      </c>
      <c r="L25" s="24" t="s">
        <v>6281</v>
      </c>
      <c r="M25" s="44">
        <v>29900</v>
      </c>
      <c r="N25" s="22" t="s">
        <v>2569</v>
      </c>
      <c r="O25" s="34" t="str">
        <f t="shared" si="3"/>
        <v>B1G1</v>
      </c>
      <c r="P25" s="22" t="s">
        <v>2569</v>
      </c>
    </row>
    <row r="26" spans="1:16" x14ac:dyDescent="0.35">
      <c r="A26" s="34" t="str">
        <f t="shared" si="0"/>
        <v>2025 AUG B1G1 LICENSE ESS</v>
      </c>
      <c r="B26" s="35">
        <f t="shared" si="1"/>
        <v>46086</v>
      </c>
      <c r="C26" s="35">
        <f t="shared" si="2"/>
        <v>46092</v>
      </c>
      <c r="D26" s="34">
        <v>3287</v>
      </c>
      <c r="E26" s="34">
        <v>338</v>
      </c>
      <c r="F26" s="34">
        <v>4</v>
      </c>
      <c r="G26" s="25">
        <v>10</v>
      </c>
      <c r="H26" s="25">
        <v>81533</v>
      </c>
      <c r="I26" s="34" t="s">
        <v>17</v>
      </c>
      <c r="J26" s="24">
        <v>55516299</v>
      </c>
      <c r="K26" s="24" t="s">
        <v>6280</v>
      </c>
      <c r="L26" s="24" t="s">
        <v>6282</v>
      </c>
      <c r="M26" s="44">
        <v>29900</v>
      </c>
      <c r="N26" s="22" t="s">
        <v>2569</v>
      </c>
      <c r="O26" s="34" t="str">
        <f t="shared" si="3"/>
        <v>B1G1</v>
      </c>
      <c r="P26" s="22" t="s">
        <v>2569</v>
      </c>
    </row>
    <row r="27" spans="1:16" x14ac:dyDescent="0.35">
      <c r="A27" s="34" t="str">
        <f t="shared" si="0"/>
        <v>2025 AUG B1G1 LICENSE ESS</v>
      </c>
      <c r="B27" s="35">
        <f t="shared" si="1"/>
        <v>46086</v>
      </c>
      <c r="C27" s="35">
        <f t="shared" si="2"/>
        <v>46092</v>
      </c>
      <c r="D27" s="34">
        <v>3287</v>
      </c>
      <c r="E27" s="34">
        <v>338</v>
      </c>
      <c r="F27" s="34">
        <v>4</v>
      </c>
      <c r="G27" s="25">
        <v>8</v>
      </c>
      <c r="H27" s="25">
        <v>81679</v>
      </c>
      <c r="I27" s="34" t="s">
        <v>17</v>
      </c>
      <c r="J27" s="24">
        <v>55516191</v>
      </c>
      <c r="K27" s="24" t="s">
        <v>6275</v>
      </c>
      <c r="L27" s="24" t="s">
        <v>6278</v>
      </c>
      <c r="M27" s="44">
        <v>89900</v>
      </c>
      <c r="N27" s="22" t="s">
        <v>2569</v>
      </c>
      <c r="O27" s="34" t="str">
        <f t="shared" si="3"/>
        <v>B1G1</v>
      </c>
      <c r="P27" s="22" t="s">
        <v>2569</v>
      </c>
    </row>
    <row r="28" spans="1:16" x14ac:dyDescent="0.35">
      <c r="A28" s="34" t="str">
        <f t="shared" si="0"/>
        <v>2025 AUG B1G1 LICENSE ESS</v>
      </c>
      <c r="B28" s="35">
        <f t="shared" si="1"/>
        <v>46086</v>
      </c>
      <c r="C28" s="35">
        <f t="shared" si="2"/>
        <v>46092</v>
      </c>
      <c r="D28" s="34">
        <v>3287</v>
      </c>
      <c r="E28" s="34">
        <v>338</v>
      </c>
      <c r="F28" s="34">
        <v>4</v>
      </c>
      <c r="G28" s="25">
        <v>8</v>
      </c>
      <c r="H28" s="25">
        <v>81679</v>
      </c>
      <c r="I28" s="34" t="s">
        <v>17</v>
      </c>
      <c r="J28" s="24">
        <v>55516208</v>
      </c>
      <c r="K28" s="24" t="s">
        <v>6275</v>
      </c>
      <c r="L28" s="24" t="s">
        <v>6276</v>
      </c>
      <c r="M28" s="44">
        <v>89900</v>
      </c>
      <c r="N28" s="22" t="s">
        <v>2569</v>
      </c>
      <c r="O28" s="34" t="str">
        <f t="shared" si="3"/>
        <v>B1G1</v>
      </c>
      <c r="P28" s="22" t="s">
        <v>2569</v>
      </c>
    </row>
    <row r="29" spans="1:16" x14ac:dyDescent="0.35">
      <c r="A29" s="34" t="str">
        <f t="shared" si="0"/>
        <v>2025 AUG B1G1 LICENSE ESS</v>
      </c>
      <c r="B29" s="35">
        <f t="shared" si="1"/>
        <v>46086</v>
      </c>
      <c r="C29" s="35">
        <f t="shared" si="2"/>
        <v>46092</v>
      </c>
      <c r="D29" s="34">
        <v>3287</v>
      </c>
      <c r="E29" s="34">
        <v>338</v>
      </c>
      <c r="F29" s="34">
        <v>4</v>
      </c>
      <c r="G29" s="25">
        <v>8</v>
      </c>
      <c r="H29" s="25">
        <v>81679</v>
      </c>
      <c r="I29" s="34" t="s">
        <v>17</v>
      </c>
      <c r="J29" s="24">
        <v>55516217</v>
      </c>
      <c r="K29" s="24" t="s">
        <v>6275</v>
      </c>
      <c r="L29" s="24" t="s">
        <v>6277</v>
      </c>
      <c r="M29" s="44">
        <v>89900</v>
      </c>
      <c r="N29" s="22" t="s">
        <v>2569</v>
      </c>
      <c r="O29" s="34" t="str">
        <f t="shared" si="3"/>
        <v>B1G1</v>
      </c>
      <c r="P29" s="22" t="s">
        <v>2569</v>
      </c>
    </row>
    <row r="30" spans="1:16" x14ac:dyDescent="0.35">
      <c r="A30" s="34" t="str">
        <f t="shared" si="0"/>
        <v>2025 AUG B1G1 LICENSE ESS</v>
      </c>
      <c r="B30" s="35">
        <f t="shared" si="1"/>
        <v>46086</v>
      </c>
      <c r="C30" s="35">
        <f t="shared" si="2"/>
        <v>46092</v>
      </c>
      <c r="D30" s="34">
        <v>3287</v>
      </c>
      <c r="E30" s="34">
        <v>338</v>
      </c>
      <c r="F30" s="34">
        <v>4</v>
      </c>
      <c r="G30" s="25">
        <v>8</v>
      </c>
      <c r="H30" s="25">
        <v>81679</v>
      </c>
      <c r="I30" s="34" t="s">
        <v>17</v>
      </c>
      <c r="J30" s="24">
        <v>55516226</v>
      </c>
      <c r="K30" s="24" t="s">
        <v>6275</v>
      </c>
      <c r="L30" s="24" t="s">
        <v>6279</v>
      </c>
      <c r="M30" s="44">
        <v>89900</v>
      </c>
      <c r="N30" s="22" t="s">
        <v>2569</v>
      </c>
      <c r="O30" s="34" t="str">
        <f t="shared" si="3"/>
        <v>B1G1</v>
      </c>
      <c r="P30" s="22" t="s">
        <v>2569</v>
      </c>
    </row>
    <row r="31" spans="1:16" x14ac:dyDescent="0.35">
      <c r="A31" s="34" t="str">
        <f t="shared" si="0"/>
        <v>2025 AUG B1G1 LICENSE ESS</v>
      </c>
      <c r="B31" s="35">
        <f t="shared" si="1"/>
        <v>46086</v>
      </c>
      <c r="C31" s="35">
        <f t="shared" si="2"/>
        <v>46092</v>
      </c>
      <c r="D31" s="34">
        <v>3287</v>
      </c>
      <c r="E31" s="34">
        <v>338</v>
      </c>
      <c r="F31" s="34">
        <v>4</v>
      </c>
      <c r="G31" s="25">
        <v>8</v>
      </c>
      <c r="H31" s="25">
        <v>81679</v>
      </c>
      <c r="I31" s="34" t="s">
        <v>17</v>
      </c>
      <c r="J31" s="24">
        <v>55516235</v>
      </c>
      <c r="K31" s="24" t="s">
        <v>6336</v>
      </c>
      <c r="L31" s="24" t="s">
        <v>6340</v>
      </c>
      <c r="M31" s="44">
        <v>89900</v>
      </c>
      <c r="N31" s="22" t="s">
        <v>2569</v>
      </c>
      <c r="O31" s="34" t="str">
        <f t="shared" si="3"/>
        <v>B1G1</v>
      </c>
      <c r="P31" s="22" t="s">
        <v>2569</v>
      </c>
    </row>
    <row r="32" spans="1:16" x14ac:dyDescent="0.35">
      <c r="A32" s="34" t="str">
        <f t="shared" si="0"/>
        <v>2025 AUG B1G1 LICENSE ESS</v>
      </c>
      <c r="B32" s="35">
        <f t="shared" si="1"/>
        <v>46086</v>
      </c>
      <c r="C32" s="35">
        <f t="shared" si="2"/>
        <v>46092</v>
      </c>
      <c r="D32" s="34">
        <v>3287</v>
      </c>
      <c r="E32" s="34">
        <v>338</v>
      </c>
      <c r="F32" s="34">
        <v>4</v>
      </c>
      <c r="G32" s="25">
        <v>8</v>
      </c>
      <c r="H32" s="25">
        <v>81679</v>
      </c>
      <c r="I32" s="34" t="s">
        <v>17</v>
      </c>
      <c r="J32" s="24">
        <v>55516244</v>
      </c>
      <c r="K32" s="24" t="s">
        <v>6336</v>
      </c>
      <c r="L32" s="24" t="s">
        <v>6339</v>
      </c>
      <c r="M32" s="44">
        <v>89900</v>
      </c>
      <c r="N32" s="22" t="s">
        <v>2569</v>
      </c>
      <c r="O32" s="34" t="str">
        <f t="shared" si="3"/>
        <v>B1G1</v>
      </c>
      <c r="P32" s="22" t="s">
        <v>2569</v>
      </c>
    </row>
    <row r="33" spans="1:16" x14ac:dyDescent="0.35">
      <c r="A33" s="34" t="str">
        <f t="shared" si="0"/>
        <v>2025 AUG B1G1 LICENSE ESS</v>
      </c>
      <c r="B33" s="35">
        <f t="shared" si="1"/>
        <v>46086</v>
      </c>
      <c r="C33" s="35">
        <f t="shared" si="2"/>
        <v>46092</v>
      </c>
      <c r="D33" s="34">
        <v>3287</v>
      </c>
      <c r="E33" s="34">
        <v>338</v>
      </c>
      <c r="F33" s="34">
        <v>4</v>
      </c>
      <c r="G33" s="25">
        <v>8</v>
      </c>
      <c r="H33" s="25">
        <v>81679</v>
      </c>
      <c r="I33" s="34" t="s">
        <v>17</v>
      </c>
      <c r="J33" s="24">
        <v>55516253</v>
      </c>
      <c r="K33" s="24" t="s">
        <v>6336</v>
      </c>
      <c r="L33" s="24" t="s">
        <v>6337</v>
      </c>
      <c r="M33" s="44">
        <v>89900</v>
      </c>
      <c r="N33" s="22" t="s">
        <v>2569</v>
      </c>
      <c r="O33" s="34" t="str">
        <f t="shared" si="3"/>
        <v>B1G1</v>
      </c>
      <c r="P33" s="22" t="s">
        <v>2569</v>
      </c>
    </row>
    <row r="34" spans="1:16" x14ac:dyDescent="0.35">
      <c r="A34" s="34" t="str">
        <f t="shared" si="0"/>
        <v>2025 AUG B1G1 LICENSE ESS</v>
      </c>
      <c r="B34" s="35">
        <f t="shared" si="1"/>
        <v>46086</v>
      </c>
      <c r="C34" s="35">
        <f t="shared" si="2"/>
        <v>46092</v>
      </c>
      <c r="D34" s="34">
        <v>3287</v>
      </c>
      <c r="E34" s="34">
        <v>338</v>
      </c>
      <c r="F34" s="34">
        <v>4</v>
      </c>
      <c r="G34" s="25">
        <v>8</v>
      </c>
      <c r="H34" s="25">
        <v>81679</v>
      </c>
      <c r="I34" s="34" t="s">
        <v>17</v>
      </c>
      <c r="J34" s="24">
        <v>55516262</v>
      </c>
      <c r="K34" s="24" t="s">
        <v>6336</v>
      </c>
      <c r="L34" s="24" t="s">
        <v>6338</v>
      </c>
      <c r="M34" s="44">
        <v>89900</v>
      </c>
      <c r="N34" s="22" t="s">
        <v>2569</v>
      </c>
      <c r="O34" s="34" t="str">
        <f t="shared" si="3"/>
        <v>B1G1</v>
      </c>
      <c r="P34" s="22" t="s">
        <v>2569</v>
      </c>
    </row>
  </sheetData>
  <phoneticPr fontId="8" type="noConversion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223"/>
  <sheetViews>
    <sheetView zoomScale="70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20.90625" style="45" bestFit="1" customWidth="1"/>
    <col min="14" max="14" width="18.08984375" style="45" customWidth="1"/>
    <col min="15" max="16" width="19.90625" style="45" bestFit="1" customWidth="1"/>
    <col min="17" max="16384" width="8.6328125" style="45"/>
  </cols>
  <sheetData>
    <row r="1" spans="1:16" s="2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2" customFormat="1" x14ac:dyDescent="0.35">
      <c r="A2" s="34" t="s">
        <v>6514</v>
      </c>
      <c r="B2" s="35">
        <f>'2025 HILITE D80 - 3321'!B2</f>
        <v>46086</v>
      </c>
      <c r="C2" s="35">
        <f>'2025 HILITE D80 - 3321'!C2</f>
        <v>46092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5">
        <v>51694390</v>
      </c>
      <c r="K2" s="25" t="s">
        <v>5035</v>
      </c>
      <c r="L2" s="50" t="s">
        <v>5036</v>
      </c>
      <c r="M2" s="26">
        <v>35900</v>
      </c>
      <c r="N2" s="22" t="s">
        <v>2569</v>
      </c>
      <c r="O2" s="34" t="s">
        <v>2586</v>
      </c>
      <c r="P2" s="22" t="s">
        <v>2569</v>
      </c>
    </row>
    <row r="3" spans="1:16" s="2" customFormat="1" x14ac:dyDescent="0.35">
      <c r="A3" s="34" t="s">
        <v>6514</v>
      </c>
      <c r="B3" s="35">
        <f>B2</f>
        <v>46086</v>
      </c>
      <c r="C3" s="35">
        <f>C2</f>
        <v>46092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5">
        <v>51694407</v>
      </c>
      <c r="K3" s="25" t="s">
        <v>5035</v>
      </c>
      <c r="L3" s="50" t="s">
        <v>5046</v>
      </c>
      <c r="M3" s="26">
        <v>35900</v>
      </c>
      <c r="N3" s="22" t="s">
        <v>2569</v>
      </c>
      <c r="O3" s="34" t="s">
        <v>2586</v>
      </c>
      <c r="P3" s="22" t="s">
        <v>2569</v>
      </c>
    </row>
    <row r="4" spans="1:16" s="2" customFormat="1" x14ac:dyDescent="0.35">
      <c r="A4" s="34" t="s">
        <v>6514</v>
      </c>
      <c r="B4" s="35">
        <f t="shared" ref="B4:C19" si="0">B3</f>
        <v>46086</v>
      </c>
      <c r="C4" s="35">
        <f t="shared" si="0"/>
        <v>46092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5">
        <v>51694434</v>
      </c>
      <c r="K4" s="25" t="s">
        <v>5041</v>
      </c>
      <c r="L4" s="50" t="s">
        <v>5042</v>
      </c>
      <c r="M4" s="26">
        <v>35900</v>
      </c>
      <c r="N4" s="22" t="s">
        <v>2569</v>
      </c>
      <c r="O4" s="34" t="s">
        <v>2586</v>
      </c>
      <c r="P4" s="22" t="s">
        <v>2569</v>
      </c>
    </row>
    <row r="5" spans="1:16" s="2" customFormat="1" x14ac:dyDescent="0.35">
      <c r="A5" s="34" t="s">
        <v>6514</v>
      </c>
      <c r="B5" s="35">
        <f t="shared" si="0"/>
        <v>46086</v>
      </c>
      <c r="C5" s="35">
        <f t="shared" si="0"/>
        <v>46092</v>
      </c>
      <c r="D5" s="34">
        <v>3287</v>
      </c>
      <c r="E5" s="34">
        <v>338</v>
      </c>
      <c r="F5" s="34">
        <v>4</v>
      </c>
      <c r="G5" s="25">
        <v>10</v>
      </c>
      <c r="H5" s="25">
        <v>81533</v>
      </c>
      <c r="I5" s="34" t="s">
        <v>17</v>
      </c>
      <c r="J5" s="25">
        <v>51694443</v>
      </c>
      <c r="K5" s="25" t="s">
        <v>5041</v>
      </c>
      <c r="L5" s="50" t="s">
        <v>5049</v>
      </c>
      <c r="M5" s="26">
        <v>35900</v>
      </c>
      <c r="N5" s="22" t="s">
        <v>2569</v>
      </c>
      <c r="O5" s="34" t="s">
        <v>2586</v>
      </c>
      <c r="P5" s="22" t="s">
        <v>2569</v>
      </c>
    </row>
    <row r="6" spans="1:16" s="2" customFormat="1" x14ac:dyDescent="0.35">
      <c r="A6" s="34" t="s">
        <v>6514</v>
      </c>
      <c r="B6" s="35">
        <f t="shared" si="0"/>
        <v>46086</v>
      </c>
      <c r="C6" s="35">
        <f t="shared" si="0"/>
        <v>46092</v>
      </c>
      <c r="D6" s="34">
        <v>3287</v>
      </c>
      <c r="E6" s="34">
        <v>338</v>
      </c>
      <c r="F6" s="34">
        <v>4</v>
      </c>
      <c r="G6" s="25">
        <v>8</v>
      </c>
      <c r="H6" s="25">
        <v>81462</v>
      </c>
      <c r="I6" s="34" t="s">
        <v>17</v>
      </c>
      <c r="J6" s="25">
        <v>51694550</v>
      </c>
      <c r="K6" s="25" t="s">
        <v>5022</v>
      </c>
      <c r="L6" s="50" t="s">
        <v>5023</v>
      </c>
      <c r="M6" s="26">
        <v>119900</v>
      </c>
      <c r="N6" s="22" t="s">
        <v>2569</v>
      </c>
      <c r="O6" s="34" t="s">
        <v>2586</v>
      </c>
      <c r="P6" s="22" t="s">
        <v>2569</v>
      </c>
    </row>
    <row r="7" spans="1:16" s="2" customFormat="1" x14ac:dyDescent="0.35">
      <c r="A7" s="34" t="s">
        <v>6514</v>
      </c>
      <c r="B7" s="35">
        <f t="shared" si="0"/>
        <v>46086</v>
      </c>
      <c r="C7" s="35">
        <f t="shared" si="0"/>
        <v>46092</v>
      </c>
      <c r="D7" s="34">
        <v>3287</v>
      </c>
      <c r="E7" s="34">
        <v>338</v>
      </c>
      <c r="F7" s="34">
        <v>4</v>
      </c>
      <c r="G7" s="25">
        <v>8</v>
      </c>
      <c r="H7" s="25">
        <v>81462</v>
      </c>
      <c r="I7" s="34" t="s">
        <v>17</v>
      </c>
      <c r="J7" s="25">
        <v>51694569</v>
      </c>
      <c r="K7" s="25" t="s">
        <v>5022</v>
      </c>
      <c r="L7" s="50" t="s">
        <v>5026</v>
      </c>
      <c r="M7" s="26">
        <v>119900</v>
      </c>
      <c r="N7" s="22" t="s">
        <v>2569</v>
      </c>
      <c r="O7" s="34" t="s">
        <v>2586</v>
      </c>
      <c r="P7" s="22" t="s">
        <v>2569</v>
      </c>
    </row>
    <row r="8" spans="1:16" s="2" customFormat="1" x14ac:dyDescent="0.35">
      <c r="A8" s="34" t="s">
        <v>6514</v>
      </c>
      <c r="B8" s="35">
        <f t="shared" si="0"/>
        <v>46086</v>
      </c>
      <c r="C8" s="35">
        <f t="shared" si="0"/>
        <v>46092</v>
      </c>
      <c r="D8" s="34">
        <v>3287</v>
      </c>
      <c r="E8" s="34">
        <v>338</v>
      </c>
      <c r="F8" s="34">
        <v>4</v>
      </c>
      <c r="G8" s="25">
        <v>8</v>
      </c>
      <c r="H8" s="25">
        <v>81462</v>
      </c>
      <c r="I8" s="34" t="s">
        <v>17</v>
      </c>
      <c r="J8" s="25">
        <v>51694578</v>
      </c>
      <c r="K8" s="25" t="s">
        <v>5022</v>
      </c>
      <c r="L8" s="50" t="s">
        <v>5024</v>
      </c>
      <c r="M8" s="26">
        <v>119900</v>
      </c>
      <c r="N8" s="22" t="s">
        <v>2569</v>
      </c>
      <c r="O8" s="34" t="s">
        <v>2586</v>
      </c>
      <c r="P8" s="22" t="s">
        <v>2569</v>
      </c>
    </row>
    <row r="9" spans="1:16" s="2" customFormat="1" x14ac:dyDescent="0.35">
      <c r="A9" s="34" t="s">
        <v>6514</v>
      </c>
      <c r="B9" s="35">
        <f t="shared" si="0"/>
        <v>46086</v>
      </c>
      <c r="C9" s="35">
        <f t="shared" si="0"/>
        <v>46092</v>
      </c>
      <c r="D9" s="34">
        <v>3287</v>
      </c>
      <c r="E9" s="34">
        <v>338</v>
      </c>
      <c r="F9" s="34">
        <v>4</v>
      </c>
      <c r="G9" s="25">
        <v>8</v>
      </c>
      <c r="H9" s="25">
        <v>81462</v>
      </c>
      <c r="I9" s="34" t="s">
        <v>17</v>
      </c>
      <c r="J9" s="25">
        <v>51694587</v>
      </c>
      <c r="K9" s="25" t="s">
        <v>5022</v>
      </c>
      <c r="L9" s="50" t="s">
        <v>5025</v>
      </c>
      <c r="M9" s="26">
        <v>119900</v>
      </c>
      <c r="N9" s="22" t="s">
        <v>2569</v>
      </c>
      <c r="O9" s="34" t="s">
        <v>2586</v>
      </c>
      <c r="P9" s="22" t="s">
        <v>2569</v>
      </c>
    </row>
    <row r="10" spans="1:16" s="2" customFormat="1" x14ac:dyDescent="0.35">
      <c r="A10" s="34" t="s">
        <v>6514</v>
      </c>
      <c r="B10" s="35">
        <f t="shared" si="0"/>
        <v>46086</v>
      </c>
      <c r="C10" s="35">
        <f t="shared" si="0"/>
        <v>46092</v>
      </c>
      <c r="D10" s="34">
        <v>3287</v>
      </c>
      <c r="E10" s="34">
        <v>338</v>
      </c>
      <c r="F10" s="34">
        <v>4</v>
      </c>
      <c r="G10" s="25">
        <v>10</v>
      </c>
      <c r="H10" s="25">
        <v>81533</v>
      </c>
      <c r="I10" s="34" t="s">
        <v>17</v>
      </c>
      <c r="J10" s="25">
        <v>51694416</v>
      </c>
      <c r="K10" s="25" t="s">
        <v>5033</v>
      </c>
      <c r="L10" s="50" t="s">
        <v>5034</v>
      </c>
      <c r="M10" s="26">
        <v>35900</v>
      </c>
      <c r="N10" s="22" t="s">
        <v>2569</v>
      </c>
      <c r="O10" s="34" t="s">
        <v>2586</v>
      </c>
      <c r="P10" s="22" t="s">
        <v>2569</v>
      </c>
    </row>
    <row r="11" spans="1:16" s="2" customFormat="1" x14ac:dyDescent="0.35">
      <c r="A11" s="34" t="s">
        <v>6514</v>
      </c>
      <c r="B11" s="35">
        <f t="shared" si="0"/>
        <v>46086</v>
      </c>
      <c r="C11" s="35">
        <f t="shared" si="0"/>
        <v>46092</v>
      </c>
      <c r="D11" s="34">
        <v>3287</v>
      </c>
      <c r="E11" s="34">
        <v>338</v>
      </c>
      <c r="F11" s="34">
        <v>4</v>
      </c>
      <c r="G11" s="25">
        <v>10</v>
      </c>
      <c r="H11" s="25">
        <v>81533</v>
      </c>
      <c r="I11" s="34" t="s">
        <v>17</v>
      </c>
      <c r="J11" s="25">
        <v>51694425</v>
      </c>
      <c r="K11" s="25" t="s">
        <v>5033</v>
      </c>
      <c r="L11" s="50" t="s">
        <v>5050</v>
      </c>
      <c r="M11" s="26">
        <v>35900</v>
      </c>
      <c r="N11" s="22" t="s">
        <v>2569</v>
      </c>
      <c r="O11" s="34" t="s">
        <v>2586</v>
      </c>
      <c r="P11" s="22" t="s">
        <v>2569</v>
      </c>
    </row>
    <row r="12" spans="1:16" s="2" customFormat="1" x14ac:dyDescent="0.35">
      <c r="A12" s="34" t="s">
        <v>6514</v>
      </c>
      <c r="B12" s="35">
        <f t="shared" si="0"/>
        <v>46086</v>
      </c>
      <c r="C12" s="35">
        <f t="shared" si="0"/>
        <v>46092</v>
      </c>
      <c r="D12" s="34">
        <v>3287</v>
      </c>
      <c r="E12" s="34">
        <v>338</v>
      </c>
      <c r="F12" s="34">
        <v>4</v>
      </c>
      <c r="G12" s="25">
        <v>10</v>
      </c>
      <c r="H12" s="25">
        <v>81533</v>
      </c>
      <c r="I12" s="34" t="s">
        <v>17</v>
      </c>
      <c r="J12" s="25">
        <v>51694498</v>
      </c>
      <c r="K12" s="25" t="s">
        <v>5031</v>
      </c>
      <c r="L12" s="50" t="s">
        <v>5032</v>
      </c>
      <c r="M12" s="26">
        <v>35900</v>
      </c>
      <c r="N12" s="22" t="s">
        <v>2569</v>
      </c>
      <c r="O12" s="34" t="s">
        <v>2586</v>
      </c>
      <c r="P12" s="22" t="s">
        <v>2569</v>
      </c>
    </row>
    <row r="13" spans="1:16" s="2" customFormat="1" x14ac:dyDescent="0.35">
      <c r="A13" s="34" t="s">
        <v>6514</v>
      </c>
      <c r="B13" s="35">
        <f t="shared" si="0"/>
        <v>46086</v>
      </c>
      <c r="C13" s="35">
        <f t="shared" si="0"/>
        <v>46092</v>
      </c>
      <c r="D13" s="34">
        <v>3287</v>
      </c>
      <c r="E13" s="34">
        <v>338</v>
      </c>
      <c r="F13" s="34">
        <v>4</v>
      </c>
      <c r="G13" s="25">
        <v>10</v>
      </c>
      <c r="H13" s="25">
        <v>81533</v>
      </c>
      <c r="I13" s="34" t="s">
        <v>17</v>
      </c>
      <c r="J13" s="25">
        <v>51694505</v>
      </c>
      <c r="K13" s="25" t="s">
        <v>5031</v>
      </c>
      <c r="L13" s="50" t="s">
        <v>5043</v>
      </c>
      <c r="M13" s="26">
        <v>35900</v>
      </c>
      <c r="N13" s="22" t="s">
        <v>2569</v>
      </c>
      <c r="O13" s="34" t="s">
        <v>2586</v>
      </c>
      <c r="P13" s="22" t="s">
        <v>2569</v>
      </c>
    </row>
    <row r="14" spans="1:16" s="2" customFormat="1" x14ac:dyDescent="0.35">
      <c r="A14" s="34" t="s">
        <v>6514</v>
      </c>
      <c r="B14" s="35">
        <f t="shared" si="0"/>
        <v>46086</v>
      </c>
      <c r="C14" s="35">
        <f t="shared" si="0"/>
        <v>46092</v>
      </c>
      <c r="D14" s="34">
        <v>3287</v>
      </c>
      <c r="E14" s="34">
        <v>338</v>
      </c>
      <c r="F14" s="34">
        <v>4</v>
      </c>
      <c r="G14" s="25">
        <v>10</v>
      </c>
      <c r="H14" s="25">
        <v>81533</v>
      </c>
      <c r="I14" s="34" t="s">
        <v>17</v>
      </c>
      <c r="J14" s="25">
        <v>51694532</v>
      </c>
      <c r="K14" s="25" t="s">
        <v>5037</v>
      </c>
      <c r="L14" s="50" t="s">
        <v>5038</v>
      </c>
      <c r="M14" s="26">
        <v>35900</v>
      </c>
      <c r="N14" s="22" t="s">
        <v>2569</v>
      </c>
      <c r="O14" s="34" t="s">
        <v>2586</v>
      </c>
      <c r="P14" s="22" t="s">
        <v>2569</v>
      </c>
    </row>
    <row r="15" spans="1:16" s="2" customFormat="1" x14ac:dyDescent="0.35">
      <c r="A15" s="34" t="s">
        <v>6514</v>
      </c>
      <c r="B15" s="35">
        <f t="shared" si="0"/>
        <v>46086</v>
      </c>
      <c r="C15" s="35">
        <f t="shared" si="0"/>
        <v>46092</v>
      </c>
      <c r="D15" s="34">
        <v>3287</v>
      </c>
      <c r="E15" s="34">
        <v>338</v>
      </c>
      <c r="F15" s="34">
        <v>4</v>
      </c>
      <c r="G15" s="25">
        <v>10</v>
      </c>
      <c r="H15" s="25">
        <v>81533</v>
      </c>
      <c r="I15" s="34" t="s">
        <v>17</v>
      </c>
      <c r="J15" s="25">
        <v>51694541</v>
      </c>
      <c r="K15" s="25" t="s">
        <v>5037</v>
      </c>
      <c r="L15" s="50" t="s">
        <v>5040</v>
      </c>
      <c r="M15" s="26">
        <v>35900</v>
      </c>
      <c r="N15" s="22" t="s">
        <v>2569</v>
      </c>
      <c r="O15" s="34" t="s">
        <v>2586</v>
      </c>
      <c r="P15" s="22" t="s">
        <v>2569</v>
      </c>
    </row>
    <row r="16" spans="1:16" s="2" customFormat="1" x14ac:dyDescent="0.35">
      <c r="A16" s="34" t="s">
        <v>6514</v>
      </c>
      <c r="B16" s="35">
        <f t="shared" si="0"/>
        <v>46086</v>
      </c>
      <c r="C16" s="35">
        <f t="shared" si="0"/>
        <v>46092</v>
      </c>
      <c r="D16" s="34">
        <v>3287</v>
      </c>
      <c r="E16" s="34">
        <v>338</v>
      </c>
      <c r="F16" s="34">
        <v>4</v>
      </c>
      <c r="G16" s="25">
        <v>10</v>
      </c>
      <c r="H16" s="25">
        <v>81533</v>
      </c>
      <c r="I16" s="34" t="s">
        <v>17</v>
      </c>
      <c r="J16" s="25">
        <v>51694470</v>
      </c>
      <c r="K16" s="25" t="s">
        <v>5027</v>
      </c>
      <c r="L16" s="50" t="s">
        <v>5028</v>
      </c>
      <c r="M16" s="26">
        <v>35900</v>
      </c>
      <c r="N16" s="22" t="s">
        <v>2569</v>
      </c>
      <c r="O16" s="34" t="s">
        <v>2586</v>
      </c>
      <c r="P16" s="22" t="s">
        <v>2569</v>
      </c>
    </row>
    <row r="17" spans="1:16" s="2" customFormat="1" x14ac:dyDescent="0.35">
      <c r="A17" s="34" t="s">
        <v>6514</v>
      </c>
      <c r="B17" s="35">
        <f t="shared" si="0"/>
        <v>46086</v>
      </c>
      <c r="C17" s="35">
        <f t="shared" si="0"/>
        <v>46092</v>
      </c>
      <c r="D17" s="34">
        <v>3287</v>
      </c>
      <c r="E17" s="34">
        <v>338</v>
      </c>
      <c r="F17" s="34">
        <v>4</v>
      </c>
      <c r="G17" s="25">
        <v>10</v>
      </c>
      <c r="H17" s="25">
        <v>81533</v>
      </c>
      <c r="I17" s="34" t="s">
        <v>17</v>
      </c>
      <c r="J17" s="25">
        <v>51694489</v>
      </c>
      <c r="K17" s="25" t="s">
        <v>5027</v>
      </c>
      <c r="L17" s="50" t="s">
        <v>5039</v>
      </c>
      <c r="M17" s="26">
        <v>35900</v>
      </c>
      <c r="N17" s="22" t="s">
        <v>2569</v>
      </c>
      <c r="O17" s="34" t="s">
        <v>2586</v>
      </c>
      <c r="P17" s="22" t="s">
        <v>2569</v>
      </c>
    </row>
    <row r="18" spans="1:16" s="2" customFormat="1" x14ac:dyDescent="0.35">
      <c r="A18" s="34" t="s">
        <v>6514</v>
      </c>
      <c r="B18" s="35">
        <f t="shared" si="0"/>
        <v>46086</v>
      </c>
      <c r="C18" s="35">
        <f t="shared" si="0"/>
        <v>46092</v>
      </c>
      <c r="D18" s="34">
        <v>3287</v>
      </c>
      <c r="E18" s="34">
        <v>338</v>
      </c>
      <c r="F18" s="34">
        <v>4</v>
      </c>
      <c r="G18" s="25">
        <v>10</v>
      </c>
      <c r="H18" s="25">
        <v>81533</v>
      </c>
      <c r="I18" s="34" t="s">
        <v>17</v>
      </c>
      <c r="J18" s="25">
        <v>51694514</v>
      </c>
      <c r="K18" s="25" t="s">
        <v>5044</v>
      </c>
      <c r="L18" s="50" t="s">
        <v>5048</v>
      </c>
      <c r="M18" s="26">
        <v>35900</v>
      </c>
      <c r="N18" s="22" t="s">
        <v>2569</v>
      </c>
      <c r="O18" s="34" t="s">
        <v>2586</v>
      </c>
      <c r="P18" s="22" t="s">
        <v>2569</v>
      </c>
    </row>
    <row r="19" spans="1:16" s="2" customFormat="1" x14ac:dyDescent="0.35">
      <c r="A19" s="34" t="s">
        <v>6514</v>
      </c>
      <c r="B19" s="35">
        <f t="shared" si="0"/>
        <v>46086</v>
      </c>
      <c r="C19" s="35">
        <f t="shared" si="0"/>
        <v>46092</v>
      </c>
      <c r="D19" s="34">
        <v>3287</v>
      </c>
      <c r="E19" s="34">
        <v>338</v>
      </c>
      <c r="F19" s="34">
        <v>4</v>
      </c>
      <c r="G19" s="25">
        <v>10</v>
      </c>
      <c r="H19" s="25">
        <v>81533</v>
      </c>
      <c r="I19" s="34" t="s">
        <v>17</v>
      </c>
      <c r="J19" s="25">
        <v>51694523</v>
      </c>
      <c r="K19" s="25" t="s">
        <v>5044</v>
      </c>
      <c r="L19" s="50" t="s">
        <v>5045</v>
      </c>
      <c r="M19" s="26">
        <v>35900</v>
      </c>
      <c r="N19" s="22" t="s">
        <v>2569</v>
      </c>
      <c r="O19" s="34" t="s">
        <v>2586</v>
      </c>
      <c r="P19" s="22" t="s">
        <v>2569</v>
      </c>
    </row>
    <row r="20" spans="1:16" s="2" customFormat="1" x14ac:dyDescent="0.35">
      <c r="A20" s="34" t="s">
        <v>6514</v>
      </c>
      <c r="B20" s="35">
        <f t="shared" ref="B20:B83" si="1">B19</f>
        <v>46086</v>
      </c>
      <c r="C20" s="35">
        <f t="shared" ref="C20:C83" si="2">C19</f>
        <v>46092</v>
      </c>
      <c r="D20" s="34">
        <v>3287</v>
      </c>
      <c r="E20" s="34">
        <v>338</v>
      </c>
      <c r="F20" s="34">
        <v>4</v>
      </c>
      <c r="G20" s="25">
        <v>10</v>
      </c>
      <c r="H20" s="25">
        <v>81533</v>
      </c>
      <c r="I20" s="34" t="s">
        <v>17</v>
      </c>
      <c r="J20" s="25">
        <v>51694452</v>
      </c>
      <c r="K20" s="25" t="s">
        <v>5029</v>
      </c>
      <c r="L20" s="50" t="s">
        <v>5047</v>
      </c>
      <c r="M20" s="26">
        <v>35900</v>
      </c>
      <c r="N20" s="22" t="s">
        <v>2569</v>
      </c>
      <c r="O20" s="34" t="s">
        <v>2586</v>
      </c>
      <c r="P20" s="22" t="s">
        <v>2569</v>
      </c>
    </row>
    <row r="21" spans="1:16" s="2" customFormat="1" x14ac:dyDescent="0.35">
      <c r="A21" s="34" t="s">
        <v>6514</v>
      </c>
      <c r="B21" s="35">
        <f t="shared" si="1"/>
        <v>46086</v>
      </c>
      <c r="C21" s="35">
        <f t="shared" si="2"/>
        <v>46092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5">
        <v>51694461</v>
      </c>
      <c r="K21" s="25" t="s">
        <v>5029</v>
      </c>
      <c r="L21" s="50" t="s">
        <v>5030</v>
      </c>
      <c r="M21" s="26">
        <v>35900</v>
      </c>
      <c r="N21" s="22" t="s">
        <v>2569</v>
      </c>
      <c r="O21" s="34" t="s">
        <v>2586</v>
      </c>
      <c r="P21" s="22" t="s">
        <v>2569</v>
      </c>
    </row>
    <row r="22" spans="1:16" s="2" customFormat="1" x14ac:dyDescent="0.35">
      <c r="A22" s="34" t="s">
        <v>6514</v>
      </c>
      <c r="B22" s="35">
        <f t="shared" si="1"/>
        <v>46086</v>
      </c>
      <c r="C22" s="35">
        <f t="shared" si="2"/>
        <v>46092</v>
      </c>
      <c r="D22" s="34">
        <v>3287</v>
      </c>
      <c r="E22" s="34">
        <v>338</v>
      </c>
      <c r="F22" s="34">
        <v>4</v>
      </c>
      <c r="G22" s="25">
        <v>1</v>
      </c>
      <c r="H22" s="25">
        <v>81462</v>
      </c>
      <c r="I22" s="34" t="s">
        <v>17</v>
      </c>
      <c r="J22" s="25">
        <v>51395758</v>
      </c>
      <c r="K22" s="25" t="s">
        <v>4685</v>
      </c>
      <c r="L22" s="50" t="s">
        <v>4687</v>
      </c>
      <c r="M22" s="26">
        <v>119900</v>
      </c>
      <c r="N22" s="22" t="s">
        <v>2569</v>
      </c>
      <c r="O22" s="34" t="s">
        <v>2586</v>
      </c>
      <c r="P22" s="22" t="s">
        <v>2569</v>
      </c>
    </row>
    <row r="23" spans="1:16" s="2" customFormat="1" x14ac:dyDescent="0.35">
      <c r="A23" s="34" t="s">
        <v>6514</v>
      </c>
      <c r="B23" s="35">
        <f t="shared" si="1"/>
        <v>46086</v>
      </c>
      <c r="C23" s="35">
        <f t="shared" si="2"/>
        <v>46092</v>
      </c>
      <c r="D23" s="34">
        <v>3287</v>
      </c>
      <c r="E23" s="34">
        <v>338</v>
      </c>
      <c r="F23" s="34">
        <v>4</v>
      </c>
      <c r="G23" s="25">
        <v>1</v>
      </c>
      <c r="H23" s="25">
        <v>81462</v>
      </c>
      <c r="I23" s="34" t="s">
        <v>17</v>
      </c>
      <c r="J23" s="25">
        <v>51395767</v>
      </c>
      <c r="K23" s="25" t="s">
        <v>4685</v>
      </c>
      <c r="L23" s="50" t="s">
        <v>4689</v>
      </c>
      <c r="M23" s="26">
        <v>119900</v>
      </c>
      <c r="N23" s="22" t="s">
        <v>2569</v>
      </c>
      <c r="O23" s="34" t="s">
        <v>2586</v>
      </c>
      <c r="P23" s="22" t="s">
        <v>2569</v>
      </c>
    </row>
    <row r="24" spans="1:16" s="2" customFormat="1" x14ac:dyDescent="0.35">
      <c r="A24" s="34" t="s">
        <v>6514</v>
      </c>
      <c r="B24" s="35">
        <f t="shared" si="1"/>
        <v>46086</v>
      </c>
      <c r="C24" s="35">
        <f t="shared" si="2"/>
        <v>46092</v>
      </c>
      <c r="D24" s="34">
        <v>3287</v>
      </c>
      <c r="E24" s="34">
        <v>338</v>
      </c>
      <c r="F24" s="34">
        <v>4</v>
      </c>
      <c r="G24" s="25">
        <v>1</v>
      </c>
      <c r="H24" s="25">
        <v>81462</v>
      </c>
      <c r="I24" s="34" t="s">
        <v>17</v>
      </c>
      <c r="J24" s="25">
        <v>51395776</v>
      </c>
      <c r="K24" s="25" t="s">
        <v>4685</v>
      </c>
      <c r="L24" s="50" t="s">
        <v>4688</v>
      </c>
      <c r="M24" s="26">
        <v>119900</v>
      </c>
      <c r="N24" s="22" t="s">
        <v>2569</v>
      </c>
      <c r="O24" s="34" t="s">
        <v>2586</v>
      </c>
      <c r="P24" s="22" t="s">
        <v>2569</v>
      </c>
    </row>
    <row r="25" spans="1:16" s="2" customFormat="1" x14ac:dyDescent="0.35">
      <c r="A25" s="34" t="s">
        <v>6514</v>
      </c>
      <c r="B25" s="35">
        <f t="shared" si="1"/>
        <v>46086</v>
      </c>
      <c r="C25" s="35">
        <f t="shared" si="2"/>
        <v>46092</v>
      </c>
      <c r="D25" s="34">
        <v>3287</v>
      </c>
      <c r="E25" s="34">
        <v>338</v>
      </c>
      <c r="F25" s="34">
        <v>4</v>
      </c>
      <c r="G25" s="25">
        <v>1</v>
      </c>
      <c r="H25" s="25">
        <v>81462</v>
      </c>
      <c r="I25" s="34" t="s">
        <v>17</v>
      </c>
      <c r="J25" s="25">
        <v>51395785</v>
      </c>
      <c r="K25" s="25" t="s">
        <v>4685</v>
      </c>
      <c r="L25" s="50" t="s">
        <v>4686</v>
      </c>
      <c r="M25" s="26">
        <v>119900</v>
      </c>
      <c r="N25" s="22" t="s">
        <v>2569</v>
      </c>
      <c r="O25" s="34" t="s">
        <v>2586</v>
      </c>
      <c r="P25" s="22" t="s">
        <v>2569</v>
      </c>
    </row>
    <row r="26" spans="1:16" s="2" customFormat="1" x14ac:dyDescent="0.35">
      <c r="A26" s="34" t="s">
        <v>6514</v>
      </c>
      <c r="B26" s="35">
        <f t="shared" si="1"/>
        <v>46086</v>
      </c>
      <c r="C26" s="35">
        <f t="shared" si="2"/>
        <v>46092</v>
      </c>
      <c r="D26" s="34">
        <v>3287</v>
      </c>
      <c r="E26" s="34">
        <v>338</v>
      </c>
      <c r="F26" s="34">
        <v>4</v>
      </c>
      <c r="G26" s="25">
        <v>1</v>
      </c>
      <c r="H26" s="25">
        <v>81462</v>
      </c>
      <c r="I26" s="34" t="s">
        <v>17</v>
      </c>
      <c r="J26" s="25">
        <v>51395712</v>
      </c>
      <c r="K26" s="25" t="s">
        <v>4680</v>
      </c>
      <c r="L26" s="50" t="s">
        <v>4683</v>
      </c>
      <c r="M26" s="26">
        <v>119900</v>
      </c>
      <c r="N26" s="22" t="s">
        <v>2569</v>
      </c>
      <c r="O26" s="34" t="s">
        <v>2586</v>
      </c>
      <c r="P26" s="22" t="s">
        <v>2569</v>
      </c>
    </row>
    <row r="27" spans="1:16" s="2" customFormat="1" x14ac:dyDescent="0.35">
      <c r="A27" s="34" t="s">
        <v>6514</v>
      </c>
      <c r="B27" s="35">
        <f t="shared" si="1"/>
        <v>46086</v>
      </c>
      <c r="C27" s="35">
        <f t="shared" si="2"/>
        <v>46092</v>
      </c>
      <c r="D27" s="34">
        <v>3287</v>
      </c>
      <c r="E27" s="34">
        <v>338</v>
      </c>
      <c r="F27" s="34">
        <v>4</v>
      </c>
      <c r="G27" s="25">
        <v>1</v>
      </c>
      <c r="H27" s="25">
        <v>81462</v>
      </c>
      <c r="I27" s="34" t="s">
        <v>17</v>
      </c>
      <c r="J27" s="25">
        <v>51395721</v>
      </c>
      <c r="K27" s="25" t="s">
        <v>4680</v>
      </c>
      <c r="L27" s="50" t="s">
        <v>4684</v>
      </c>
      <c r="M27" s="26">
        <v>119900</v>
      </c>
      <c r="N27" s="22" t="s">
        <v>2569</v>
      </c>
      <c r="O27" s="34" t="s">
        <v>2586</v>
      </c>
      <c r="P27" s="22" t="s">
        <v>2569</v>
      </c>
    </row>
    <row r="28" spans="1:16" s="2" customFormat="1" x14ac:dyDescent="0.35">
      <c r="A28" s="34" t="s">
        <v>6514</v>
      </c>
      <c r="B28" s="35">
        <f t="shared" si="1"/>
        <v>46086</v>
      </c>
      <c r="C28" s="35">
        <f t="shared" si="2"/>
        <v>46092</v>
      </c>
      <c r="D28" s="34">
        <v>3287</v>
      </c>
      <c r="E28" s="34">
        <v>338</v>
      </c>
      <c r="F28" s="34">
        <v>4</v>
      </c>
      <c r="G28" s="25">
        <v>1</v>
      </c>
      <c r="H28" s="25">
        <v>81462</v>
      </c>
      <c r="I28" s="34" t="s">
        <v>17</v>
      </c>
      <c r="J28" s="25">
        <v>51395730</v>
      </c>
      <c r="K28" s="25" t="s">
        <v>4680</v>
      </c>
      <c r="L28" s="50" t="s">
        <v>4681</v>
      </c>
      <c r="M28" s="26">
        <v>119900</v>
      </c>
      <c r="N28" s="22" t="s">
        <v>2569</v>
      </c>
      <c r="O28" s="34" t="s">
        <v>2586</v>
      </c>
      <c r="P28" s="22" t="s">
        <v>2569</v>
      </c>
    </row>
    <row r="29" spans="1:16" s="2" customFormat="1" x14ac:dyDescent="0.35">
      <c r="A29" s="34" t="s">
        <v>6514</v>
      </c>
      <c r="B29" s="35">
        <f t="shared" si="1"/>
        <v>46086</v>
      </c>
      <c r="C29" s="35">
        <f t="shared" si="2"/>
        <v>46092</v>
      </c>
      <c r="D29" s="34">
        <v>3287</v>
      </c>
      <c r="E29" s="34">
        <v>338</v>
      </c>
      <c r="F29" s="34">
        <v>4</v>
      </c>
      <c r="G29" s="25">
        <v>1</v>
      </c>
      <c r="H29" s="25">
        <v>81462</v>
      </c>
      <c r="I29" s="34" t="s">
        <v>17</v>
      </c>
      <c r="J29" s="25">
        <v>51395749</v>
      </c>
      <c r="K29" s="25" t="s">
        <v>4680</v>
      </c>
      <c r="L29" s="50" t="s">
        <v>4682</v>
      </c>
      <c r="M29" s="26">
        <v>119900</v>
      </c>
      <c r="N29" s="22" t="s">
        <v>2569</v>
      </c>
      <c r="O29" s="34" t="s">
        <v>2586</v>
      </c>
      <c r="P29" s="22" t="s">
        <v>2569</v>
      </c>
    </row>
    <row r="30" spans="1:16" s="2" customFormat="1" x14ac:dyDescent="0.35">
      <c r="A30" s="34" t="s">
        <v>6514</v>
      </c>
      <c r="B30" s="35">
        <f t="shared" si="1"/>
        <v>46086</v>
      </c>
      <c r="C30" s="35">
        <f t="shared" si="2"/>
        <v>46092</v>
      </c>
      <c r="D30" s="34">
        <v>3287</v>
      </c>
      <c r="E30" s="34">
        <v>338</v>
      </c>
      <c r="F30" s="34">
        <v>4</v>
      </c>
      <c r="G30" s="25">
        <v>1</v>
      </c>
      <c r="H30" s="25">
        <v>81462</v>
      </c>
      <c r="I30" s="34" t="s">
        <v>17</v>
      </c>
      <c r="J30" s="25">
        <v>51395632</v>
      </c>
      <c r="K30" s="25" t="s">
        <v>4675</v>
      </c>
      <c r="L30" s="50" t="s">
        <v>4676</v>
      </c>
      <c r="M30" s="26">
        <v>119900</v>
      </c>
      <c r="N30" s="22" t="s">
        <v>2569</v>
      </c>
      <c r="O30" s="34" t="s">
        <v>2586</v>
      </c>
      <c r="P30" s="22" t="s">
        <v>2569</v>
      </c>
    </row>
    <row r="31" spans="1:16" s="2" customFormat="1" x14ac:dyDescent="0.35">
      <c r="A31" s="34" t="s">
        <v>6514</v>
      </c>
      <c r="B31" s="35">
        <f t="shared" si="1"/>
        <v>46086</v>
      </c>
      <c r="C31" s="35">
        <f t="shared" si="2"/>
        <v>46092</v>
      </c>
      <c r="D31" s="34">
        <v>3287</v>
      </c>
      <c r="E31" s="34">
        <v>338</v>
      </c>
      <c r="F31" s="34">
        <v>4</v>
      </c>
      <c r="G31" s="25">
        <v>1</v>
      </c>
      <c r="H31" s="25">
        <v>81462</v>
      </c>
      <c r="I31" s="34" t="s">
        <v>17</v>
      </c>
      <c r="J31" s="25">
        <v>51395641</v>
      </c>
      <c r="K31" s="25" t="s">
        <v>4675</v>
      </c>
      <c r="L31" s="50" t="s">
        <v>4679</v>
      </c>
      <c r="M31" s="26">
        <v>119900</v>
      </c>
      <c r="N31" s="22" t="s">
        <v>2569</v>
      </c>
      <c r="O31" s="34" t="s">
        <v>2586</v>
      </c>
      <c r="P31" s="22" t="s">
        <v>2569</v>
      </c>
    </row>
    <row r="32" spans="1:16" s="2" customFormat="1" x14ac:dyDescent="0.35">
      <c r="A32" s="34" t="s">
        <v>6514</v>
      </c>
      <c r="B32" s="35">
        <f t="shared" si="1"/>
        <v>46086</v>
      </c>
      <c r="C32" s="35">
        <f t="shared" si="2"/>
        <v>46092</v>
      </c>
      <c r="D32" s="34">
        <v>3287</v>
      </c>
      <c r="E32" s="34">
        <v>338</v>
      </c>
      <c r="F32" s="34">
        <v>4</v>
      </c>
      <c r="G32" s="25">
        <v>1</v>
      </c>
      <c r="H32" s="25">
        <v>81462</v>
      </c>
      <c r="I32" s="34" t="s">
        <v>17</v>
      </c>
      <c r="J32" s="25">
        <v>51395650</v>
      </c>
      <c r="K32" s="25" t="s">
        <v>4675</v>
      </c>
      <c r="L32" s="50" t="s">
        <v>4678</v>
      </c>
      <c r="M32" s="26">
        <v>119900</v>
      </c>
      <c r="N32" s="22" t="s">
        <v>2569</v>
      </c>
      <c r="O32" s="34" t="s">
        <v>2586</v>
      </c>
      <c r="P32" s="22" t="s">
        <v>2569</v>
      </c>
    </row>
    <row r="33" spans="1:16" s="2" customFormat="1" x14ac:dyDescent="0.35">
      <c r="A33" s="34" t="s">
        <v>6514</v>
      </c>
      <c r="B33" s="35">
        <f t="shared" si="1"/>
        <v>46086</v>
      </c>
      <c r="C33" s="35">
        <f t="shared" si="2"/>
        <v>46092</v>
      </c>
      <c r="D33" s="34">
        <v>3287</v>
      </c>
      <c r="E33" s="34">
        <v>338</v>
      </c>
      <c r="F33" s="34">
        <v>4</v>
      </c>
      <c r="G33" s="25">
        <v>1</v>
      </c>
      <c r="H33" s="25">
        <v>81462</v>
      </c>
      <c r="I33" s="34" t="s">
        <v>17</v>
      </c>
      <c r="J33" s="25">
        <v>51395669</v>
      </c>
      <c r="K33" s="25" t="s">
        <v>4675</v>
      </c>
      <c r="L33" s="50" t="s">
        <v>4677</v>
      </c>
      <c r="M33" s="26">
        <v>119900</v>
      </c>
      <c r="N33" s="22" t="s">
        <v>2569</v>
      </c>
      <c r="O33" s="34" t="s">
        <v>2586</v>
      </c>
      <c r="P33" s="22" t="s">
        <v>2569</v>
      </c>
    </row>
    <row r="34" spans="1:16" s="2" customFormat="1" x14ac:dyDescent="0.35">
      <c r="A34" s="34" t="s">
        <v>6514</v>
      </c>
      <c r="B34" s="35">
        <f t="shared" si="1"/>
        <v>46086</v>
      </c>
      <c r="C34" s="35">
        <f t="shared" si="2"/>
        <v>46092</v>
      </c>
      <c r="D34" s="34">
        <v>3287</v>
      </c>
      <c r="E34" s="34">
        <v>338</v>
      </c>
      <c r="F34" s="34">
        <v>4</v>
      </c>
      <c r="G34" s="25">
        <v>7</v>
      </c>
      <c r="H34" s="25">
        <v>81827</v>
      </c>
      <c r="I34" s="34" t="s">
        <v>17</v>
      </c>
      <c r="J34" s="25">
        <v>51630467</v>
      </c>
      <c r="K34" s="25" t="s">
        <v>4690</v>
      </c>
      <c r="L34" s="50" t="s">
        <v>4691</v>
      </c>
      <c r="M34" s="26">
        <v>35900</v>
      </c>
      <c r="N34" s="22" t="s">
        <v>2569</v>
      </c>
      <c r="O34" s="34" t="s">
        <v>2586</v>
      </c>
      <c r="P34" s="22" t="s">
        <v>2569</v>
      </c>
    </row>
    <row r="35" spans="1:16" s="2" customFormat="1" x14ac:dyDescent="0.35">
      <c r="A35" s="34" t="s">
        <v>6514</v>
      </c>
      <c r="B35" s="35">
        <f t="shared" si="1"/>
        <v>46086</v>
      </c>
      <c r="C35" s="35">
        <f t="shared" si="2"/>
        <v>46092</v>
      </c>
      <c r="D35" s="34">
        <v>3287</v>
      </c>
      <c r="E35" s="34">
        <v>338</v>
      </c>
      <c r="F35" s="34">
        <v>4</v>
      </c>
      <c r="G35" s="25">
        <v>7</v>
      </c>
      <c r="H35" s="25">
        <v>81827</v>
      </c>
      <c r="I35" s="34" t="s">
        <v>17</v>
      </c>
      <c r="J35" s="25">
        <v>51630476</v>
      </c>
      <c r="K35" s="25" t="s">
        <v>4690</v>
      </c>
      <c r="L35" s="50" t="s">
        <v>4692</v>
      </c>
      <c r="M35" s="26">
        <v>35900</v>
      </c>
      <c r="N35" s="22" t="s">
        <v>2569</v>
      </c>
      <c r="O35" s="34" t="s">
        <v>2586</v>
      </c>
      <c r="P35" s="22" t="s">
        <v>2569</v>
      </c>
    </row>
    <row r="36" spans="1:16" s="2" customFormat="1" x14ac:dyDescent="0.35">
      <c r="A36" s="34" t="s">
        <v>6514</v>
      </c>
      <c r="B36" s="35">
        <f t="shared" si="1"/>
        <v>46086</v>
      </c>
      <c r="C36" s="35">
        <f t="shared" si="2"/>
        <v>46092</v>
      </c>
      <c r="D36" s="34">
        <v>3287</v>
      </c>
      <c r="E36" s="34">
        <v>338</v>
      </c>
      <c r="F36" s="34">
        <v>4</v>
      </c>
      <c r="G36" s="25">
        <v>7</v>
      </c>
      <c r="H36" s="25">
        <v>81827</v>
      </c>
      <c r="I36" s="34" t="s">
        <v>17</v>
      </c>
      <c r="J36" s="25">
        <v>51630403</v>
      </c>
      <c r="K36" s="25" t="s">
        <v>4730</v>
      </c>
      <c r="L36" s="50" t="s">
        <v>4731</v>
      </c>
      <c r="M36" s="26">
        <v>35900</v>
      </c>
      <c r="N36" s="22" t="s">
        <v>2569</v>
      </c>
      <c r="O36" s="34" t="s">
        <v>2586</v>
      </c>
      <c r="P36" s="22" t="s">
        <v>2569</v>
      </c>
    </row>
    <row r="37" spans="1:16" s="2" customFormat="1" x14ac:dyDescent="0.35">
      <c r="A37" s="34" t="s">
        <v>6514</v>
      </c>
      <c r="B37" s="35">
        <f t="shared" si="1"/>
        <v>46086</v>
      </c>
      <c r="C37" s="35">
        <f t="shared" si="2"/>
        <v>46092</v>
      </c>
      <c r="D37" s="34">
        <v>3287</v>
      </c>
      <c r="E37" s="34">
        <v>338</v>
      </c>
      <c r="F37" s="34">
        <v>4</v>
      </c>
      <c r="G37" s="25">
        <v>7</v>
      </c>
      <c r="H37" s="25">
        <v>81827</v>
      </c>
      <c r="I37" s="34" t="s">
        <v>17</v>
      </c>
      <c r="J37" s="25">
        <v>51630412</v>
      </c>
      <c r="K37" s="25" t="s">
        <v>4730</v>
      </c>
      <c r="L37" s="50" t="s">
        <v>4732</v>
      </c>
      <c r="M37" s="26">
        <v>35900</v>
      </c>
      <c r="N37" s="22" t="s">
        <v>2569</v>
      </c>
      <c r="O37" s="34" t="s">
        <v>2586</v>
      </c>
      <c r="P37" s="22" t="s">
        <v>2569</v>
      </c>
    </row>
    <row r="38" spans="1:16" s="2" customFormat="1" x14ac:dyDescent="0.35">
      <c r="A38" s="34" t="s">
        <v>6514</v>
      </c>
      <c r="B38" s="35">
        <f t="shared" si="1"/>
        <v>46086</v>
      </c>
      <c r="C38" s="35">
        <f t="shared" si="2"/>
        <v>46092</v>
      </c>
      <c r="D38" s="34">
        <v>3287</v>
      </c>
      <c r="E38" s="34">
        <v>338</v>
      </c>
      <c r="F38" s="34">
        <v>4</v>
      </c>
      <c r="G38" s="25">
        <v>7</v>
      </c>
      <c r="H38" s="25">
        <v>81827</v>
      </c>
      <c r="I38" s="34" t="s">
        <v>17</v>
      </c>
      <c r="J38" s="25">
        <v>51630485</v>
      </c>
      <c r="K38" s="25" t="s">
        <v>4693</v>
      </c>
      <c r="L38" s="50" t="s">
        <v>4694</v>
      </c>
      <c r="M38" s="26">
        <v>35900</v>
      </c>
      <c r="N38" s="22" t="s">
        <v>2569</v>
      </c>
      <c r="O38" s="34" t="s">
        <v>2586</v>
      </c>
      <c r="P38" s="22" t="s">
        <v>2569</v>
      </c>
    </row>
    <row r="39" spans="1:16" s="2" customFormat="1" x14ac:dyDescent="0.35">
      <c r="A39" s="34" t="s">
        <v>6514</v>
      </c>
      <c r="B39" s="35">
        <f t="shared" si="1"/>
        <v>46086</v>
      </c>
      <c r="C39" s="35">
        <f t="shared" si="2"/>
        <v>46092</v>
      </c>
      <c r="D39" s="34">
        <v>3287</v>
      </c>
      <c r="E39" s="34">
        <v>338</v>
      </c>
      <c r="F39" s="34">
        <v>4</v>
      </c>
      <c r="G39" s="25">
        <v>7</v>
      </c>
      <c r="H39" s="25">
        <v>81827</v>
      </c>
      <c r="I39" s="34" t="s">
        <v>17</v>
      </c>
      <c r="J39" s="25">
        <v>51630494</v>
      </c>
      <c r="K39" s="25" t="s">
        <v>4693</v>
      </c>
      <c r="L39" s="50" t="s">
        <v>4695</v>
      </c>
      <c r="M39" s="26">
        <v>35900</v>
      </c>
      <c r="N39" s="22" t="s">
        <v>2569</v>
      </c>
      <c r="O39" s="34" t="s">
        <v>2586</v>
      </c>
      <c r="P39" s="22" t="s">
        <v>2569</v>
      </c>
    </row>
    <row r="40" spans="1:16" s="2" customFormat="1" x14ac:dyDescent="0.35">
      <c r="A40" s="34" t="s">
        <v>6514</v>
      </c>
      <c r="B40" s="35">
        <f t="shared" si="1"/>
        <v>46086</v>
      </c>
      <c r="C40" s="35">
        <f t="shared" si="2"/>
        <v>46092</v>
      </c>
      <c r="D40" s="34">
        <v>3287</v>
      </c>
      <c r="E40" s="34">
        <v>338</v>
      </c>
      <c r="F40" s="34">
        <v>4</v>
      </c>
      <c r="G40" s="25">
        <v>7</v>
      </c>
      <c r="H40" s="25">
        <v>81827</v>
      </c>
      <c r="I40" s="34" t="s">
        <v>17</v>
      </c>
      <c r="J40" s="25">
        <v>51630421</v>
      </c>
      <c r="K40" s="25" t="s">
        <v>4733</v>
      </c>
      <c r="L40" s="50" t="s">
        <v>4734</v>
      </c>
      <c r="M40" s="26">
        <v>35900</v>
      </c>
      <c r="N40" s="22" t="s">
        <v>2569</v>
      </c>
      <c r="O40" s="34" t="s">
        <v>2586</v>
      </c>
      <c r="P40" s="22" t="s">
        <v>2569</v>
      </c>
    </row>
    <row r="41" spans="1:16" s="2" customFormat="1" x14ac:dyDescent="0.35">
      <c r="A41" s="34" t="s">
        <v>6514</v>
      </c>
      <c r="B41" s="35">
        <f t="shared" si="1"/>
        <v>46086</v>
      </c>
      <c r="C41" s="35">
        <f t="shared" si="2"/>
        <v>46092</v>
      </c>
      <c r="D41" s="34">
        <v>3287</v>
      </c>
      <c r="E41" s="34">
        <v>338</v>
      </c>
      <c r="F41" s="34">
        <v>4</v>
      </c>
      <c r="G41" s="25">
        <v>7</v>
      </c>
      <c r="H41" s="25">
        <v>81827</v>
      </c>
      <c r="I41" s="34" t="s">
        <v>17</v>
      </c>
      <c r="J41" s="25">
        <v>51630430</v>
      </c>
      <c r="K41" s="25" t="s">
        <v>4733</v>
      </c>
      <c r="L41" s="50" t="s">
        <v>4735</v>
      </c>
      <c r="M41" s="26">
        <v>35900</v>
      </c>
      <c r="N41" s="22" t="s">
        <v>2569</v>
      </c>
      <c r="O41" s="34" t="s">
        <v>2586</v>
      </c>
      <c r="P41" s="22" t="s">
        <v>2569</v>
      </c>
    </row>
    <row r="42" spans="1:16" s="2" customFormat="1" x14ac:dyDescent="0.35">
      <c r="A42" s="34" t="s">
        <v>6514</v>
      </c>
      <c r="B42" s="35">
        <f t="shared" si="1"/>
        <v>46086</v>
      </c>
      <c r="C42" s="35">
        <f t="shared" si="2"/>
        <v>46092</v>
      </c>
      <c r="D42" s="34">
        <v>3287</v>
      </c>
      <c r="E42" s="34">
        <v>338</v>
      </c>
      <c r="F42" s="34">
        <v>4</v>
      </c>
      <c r="G42" s="25">
        <v>3</v>
      </c>
      <c r="H42" s="25">
        <v>81462</v>
      </c>
      <c r="I42" s="34" t="s">
        <v>17</v>
      </c>
      <c r="J42" s="25">
        <v>51943110</v>
      </c>
      <c r="K42" s="25" t="s">
        <v>4929</v>
      </c>
      <c r="L42" s="50" t="s">
        <v>4932</v>
      </c>
      <c r="M42" s="26">
        <v>119900</v>
      </c>
      <c r="N42" s="22" t="s">
        <v>2569</v>
      </c>
      <c r="O42" s="34" t="s">
        <v>2586</v>
      </c>
      <c r="P42" s="22" t="s">
        <v>2569</v>
      </c>
    </row>
    <row r="43" spans="1:16" s="2" customFormat="1" x14ac:dyDescent="0.35">
      <c r="A43" s="34" t="s">
        <v>6514</v>
      </c>
      <c r="B43" s="35">
        <f t="shared" si="1"/>
        <v>46086</v>
      </c>
      <c r="C43" s="35">
        <f t="shared" si="2"/>
        <v>46092</v>
      </c>
      <c r="D43" s="34">
        <v>3287</v>
      </c>
      <c r="E43" s="34">
        <v>338</v>
      </c>
      <c r="F43" s="34">
        <v>4</v>
      </c>
      <c r="G43" s="25">
        <v>3</v>
      </c>
      <c r="H43" s="25">
        <v>81462</v>
      </c>
      <c r="I43" s="34" t="s">
        <v>17</v>
      </c>
      <c r="J43" s="25">
        <v>51943129</v>
      </c>
      <c r="K43" s="25" t="s">
        <v>4929</v>
      </c>
      <c r="L43" s="50" t="s">
        <v>4930</v>
      </c>
      <c r="M43" s="26">
        <v>119900</v>
      </c>
      <c r="N43" s="22" t="s">
        <v>2569</v>
      </c>
      <c r="O43" s="34" t="s">
        <v>2586</v>
      </c>
      <c r="P43" s="22" t="s">
        <v>2569</v>
      </c>
    </row>
    <row r="44" spans="1:16" s="2" customFormat="1" x14ac:dyDescent="0.35">
      <c r="A44" s="34" t="s">
        <v>6514</v>
      </c>
      <c r="B44" s="35">
        <f t="shared" si="1"/>
        <v>46086</v>
      </c>
      <c r="C44" s="35">
        <f t="shared" si="2"/>
        <v>46092</v>
      </c>
      <c r="D44" s="34">
        <v>3287</v>
      </c>
      <c r="E44" s="34">
        <v>338</v>
      </c>
      <c r="F44" s="34">
        <v>4</v>
      </c>
      <c r="G44" s="25">
        <v>3</v>
      </c>
      <c r="H44" s="25">
        <v>81462</v>
      </c>
      <c r="I44" s="34" t="s">
        <v>17</v>
      </c>
      <c r="J44" s="25">
        <v>51943138</v>
      </c>
      <c r="K44" s="25" t="s">
        <v>4929</v>
      </c>
      <c r="L44" s="50" t="s">
        <v>4933</v>
      </c>
      <c r="M44" s="26">
        <v>119900</v>
      </c>
      <c r="N44" s="22" t="s">
        <v>2569</v>
      </c>
      <c r="O44" s="34" t="s">
        <v>2586</v>
      </c>
      <c r="P44" s="22" t="s">
        <v>2569</v>
      </c>
    </row>
    <row r="45" spans="1:16" s="2" customFormat="1" x14ac:dyDescent="0.35">
      <c r="A45" s="34" t="s">
        <v>6514</v>
      </c>
      <c r="B45" s="35">
        <f t="shared" si="1"/>
        <v>46086</v>
      </c>
      <c r="C45" s="35">
        <f t="shared" si="2"/>
        <v>46092</v>
      </c>
      <c r="D45" s="34">
        <v>3287</v>
      </c>
      <c r="E45" s="34">
        <v>338</v>
      </c>
      <c r="F45" s="34">
        <v>4</v>
      </c>
      <c r="G45" s="25">
        <v>3</v>
      </c>
      <c r="H45" s="25">
        <v>81462</v>
      </c>
      <c r="I45" s="34" t="s">
        <v>17</v>
      </c>
      <c r="J45" s="25">
        <v>51943147</v>
      </c>
      <c r="K45" s="25" t="s">
        <v>4929</v>
      </c>
      <c r="L45" s="50" t="s">
        <v>4931</v>
      </c>
      <c r="M45" s="26">
        <v>119900</v>
      </c>
      <c r="N45" s="22" t="s">
        <v>2569</v>
      </c>
      <c r="O45" s="34" t="s">
        <v>2586</v>
      </c>
      <c r="P45" s="22" t="s">
        <v>2569</v>
      </c>
    </row>
    <row r="46" spans="1:16" s="2" customFormat="1" x14ac:dyDescent="0.35">
      <c r="A46" s="34" t="s">
        <v>6514</v>
      </c>
      <c r="B46" s="35">
        <f t="shared" si="1"/>
        <v>46086</v>
      </c>
      <c r="C46" s="35">
        <f t="shared" si="2"/>
        <v>46092</v>
      </c>
      <c r="D46" s="34">
        <v>3287</v>
      </c>
      <c r="E46" s="34">
        <v>338</v>
      </c>
      <c r="F46" s="34">
        <v>4</v>
      </c>
      <c r="G46" s="25">
        <v>3</v>
      </c>
      <c r="H46" s="25">
        <v>81574</v>
      </c>
      <c r="I46" s="34" t="s">
        <v>17</v>
      </c>
      <c r="J46" s="25">
        <v>51395874</v>
      </c>
      <c r="K46" s="25" t="s">
        <v>4725</v>
      </c>
      <c r="L46" s="50" t="s">
        <v>4729</v>
      </c>
      <c r="M46" s="26">
        <v>119900</v>
      </c>
      <c r="N46" s="22" t="s">
        <v>2569</v>
      </c>
      <c r="O46" s="34" t="s">
        <v>2586</v>
      </c>
      <c r="P46" s="22" t="s">
        <v>2569</v>
      </c>
    </row>
    <row r="47" spans="1:16" s="2" customFormat="1" x14ac:dyDescent="0.35">
      <c r="A47" s="34" t="s">
        <v>6514</v>
      </c>
      <c r="B47" s="35">
        <f t="shared" si="1"/>
        <v>46086</v>
      </c>
      <c r="C47" s="35">
        <f t="shared" si="2"/>
        <v>46092</v>
      </c>
      <c r="D47" s="34">
        <v>3287</v>
      </c>
      <c r="E47" s="34">
        <v>338</v>
      </c>
      <c r="F47" s="34">
        <v>4</v>
      </c>
      <c r="G47" s="25">
        <v>3</v>
      </c>
      <c r="H47" s="25">
        <v>81574</v>
      </c>
      <c r="I47" s="34" t="s">
        <v>17</v>
      </c>
      <c r="J47" s="25">
        <v>51395883</v>
      </c>
      <c r="K47" s="25" t="s">
        <v>4725</v>
      </c>
      <c r="L47" s="50" t="s">
        <v>4728</v>
      </c>
      <c r="M47" s="26">
        <v>119900</v>
      </c>
      <c r="N47" s="22" t="s">
        <v>2569</v>
      </c>
      <c r="O47" s="34" t="s">
        <v>2586</v>
      </c>
      <c r="P47" s="22" t="s">
        <v>2569</v>
      </c>
    </row>
    <row r="48" spans="1:16" s="2" customFormat="1" x14ac:dyDescent="0.35">
      <c r="A48" s="34" t="s">
        <v>6514</v>
      </c>
      <c r="B48" s="35">
        <f t="shared" si="1"/>
        <v>46086</v>
      </c>
      <c r="C48" s="35">
        <f t="shared" si="2"/>
        <v>46092</v>
      </c>
      <c r="D48" s="34">
        <v>3287</v>
      </c>
      <c r="E48" s="34">
        <v>338</v>
      </c>
      <c r="F48" s="34">
        <v>4</v>
      </c>
      <c r="G48" s="25">
        <v>3</v>
      </c>
      <c r="H48" s="25">
        <v>81574</v>
      </c>
      <c r="I48" s="34" t="s">
        <v>17</v>
      </c>
      <c r="J48" s="25">
        <v>51395892</v>
      </c>
      <c r="K48" s="25" t="s">
        <v>4725</v>
      </c>
      <c r="L48" s="50" t="s">
        <v>4727</v>
      </c>
      <c r="M48" s="26">
        <v>119900</v>
      </c>
      <c r="N48" s="22" t="s">
        <v>2569</v>
      </c>
      <c r="O48" s="34" t="s">
        <v>2586</v>
      </c>
      <c r="P48" s="22" t="s">
        <v>2569</v>
      </c>
    </row>
    <row r="49" spans="1:16" s="2" customFormat="1" x14ac:dyDescent="0.35">
      <c r="A49" s="34" t="s">
        <v>6514</v>
      </c>
      <c r="B49" s="35">
        <f t="shared" si="1"/>
        <v>46086</v>
      </c>
      <c r="C49" s="35">
        <f t="shared" si="2"/>
        <v>46092</v>
      </c>
      <c r="D49" s="34">
        <v>3287</v>
      </c>
      <c r="E49" s="34">
        <v>338</v>
      </c>
      <c r="F49" s="34">
        <v>4</v>
      </c>
      <c r="G49" s="25">
        <v>3</v>
      </c>
      <c r="H49" s="25">
        <v>81574</v>
      </c>
      <c r="I49" s="34" t="s">
        <v>17</v>
      </c>
      <c r="J49" s="25">
        <v>51395909</v>
      </c>
      <c r="K49" s="25" t="s">
        <v>4725</v>
      </c>
      <c r="L49" s="50" t="s">
        <v>4726</v>
      </c>
      <c r="M49" s="26">
        <v>119900</v>
      </c>
      <c r="N49" s="22" t="s">
        <v>2569</v>
      </c>
      <c r="O49" s="34" t="s">
        <v>2586</v>
      </c>
      <c r="P49" s="22" t="s">
        <v>2569</v>
      </c>
    </row>
    <row r="50" spans="1:16" s="2" customFormat="1" x14ac:dyDescent="0.35">
      <c r="A50" s="34" t="s">
        <v>6514</v>
      </c>
      <c r="B50" s="35">
        <f t="shared" si="1"/>
        <v>46086</v>
      </c>
      <c r="C50" s="35">
        <f t="shared" si="2"/>
        <v>46092</v>
      </c>
      <c r="D50" s="34">
        <v>3287</v>
      </c>
      <c r="E50" s="34">
        <v>338</v>
      </c>
      <c r="F50" s="34">
        <v>4</v>
      </c>
      <c r="G50" s="25">
        <v>3</v>
      </c>
      <c r="H50" s="25">
        <v>81574</v>
      </c>
      <c r="I50" s="34" t="s">
        <v>17</v>
      </c>
      <c r="J50" s="25">
        <v>51395918</v>
      </c>
      <c r="K50" s="25" t="s">
        <v>4720</v>
      </c>
      <c r="L50" s="50" t="s">
        <v>4721</v>
      </c>
      <c r="M50" s="26">
        <v>119900</v>
      </c>
      <c r="N50" s="22" t="s">
        <v>2569</v>
      </c>
      <c r="O50" s="34" t="s">
        <v>2586</v>
      </c>
      <c r="P50" s="22" t="s">
        <v>2569</v>
      </c>
    </row>
    <row r="51" spans="1:16" s="2" customFormat="1" x14ac:dyDescent="0.35">
      <c r="A51" s="34" t="s">
        <v>6514</v>
      </c>
      <c r="B51" s="35">
        <f t="shared" si="1"/>
        <v>46086</v>
      </c>
      <c r="C51" s="35">
        <f t="shared" si="2"/>
        <v>46092</v>
      </c>
      <c r="D51" s="34">
        <v>3287</v>
      </c>
      <c r="E51" s="34">
        <v>338</v>
      </c>
      <c r="F51" s="34">
        <v>4</v>
      </c>
      <c r="G51" s="25">
        <v>3</v>
      </c>
      <c r="H51" s="25">
        <v>81574</v>
      </c>
      <c r="I51" s="34" t="s">
        <v>17</v>
      </c>
      <c r="J51" s="25">
        <v>51395927</v>
      </c>
      <c r="K51" s="25" t="s">
        <v>4720</v>
      </c>
      <c r="L51" s="50" t="s">
        <v>4723</v>
      </c>
      <c r="M51" s="26">
        <v>119900</v>
      </c>
      <c r="N51" s="22" t="s">
        <v>2569</v>
      </c>
      <c r="O51" s="34" t="s">
        <v>2586</v>
      </c>
      <c r="P51" s="22" t="s">
        <v>2569</v>
      </c>
    </row>
    <row r="52" spans="1:16" s="2" customFormat="1" x14ac:dyDescent="0.35">
      <c r="A52" s="34" t="s">
        <v>6514</v>
      </c>
      <c r="B52" s="35">
        <f t="shared" si="1"/>
        <v>46086</v>
      </c>
      <c r="C52" s="35">
        <f t="shared" si="2"/>
        <v>46092</v>
      </c>
      <c r="D52" s="34">
        <v>3287</v>
      </c>
      <c r="E52" s="34">
        <v>338</v>
      </c>
      <c r="F52" s="34">
        <v>4</v>
      </c>
      <c r="G52" s="25">
        <v>3</v>
      </c>
      <c r="H52" s="25">
        <v>81574</v>
      </c>
      <c r="I52" s="34" t="s">
        <v>17</v>
      </c>
      <c r="J52" s="25">
        <v>51395936</v>
      </c>
      <c r="K52" s="25" t="s">
        <v>4720</v>
      </c>
      <c r="L52" s="50" t="s">
        <v>4722</v>
      </c>
      <c r="M52" s="26">
        <v>119900</v>
      </c>
      <c r="N52" s="22" t="s">
        <v>2569</v>
      </c>
      <c r="O52" s="34" t="s">
        <v>2586</v>
      </c>
      <c r="P52" s="22" t="s">
        <v>2569</v>
      </c>
    </row>
    <row r="53" spans="1:16" s="2" customFormat="1" x14ac:dyDescent="0.35">
      <c r="A53" s="34" t="s">
        <v>6514</v>
      </c>
      <c r="B53" s="35">
        <f t="shared" si="1"/>
        <v>46086</v>
      </c>
      <c r="C53" s="35">
        <f t="shared" si="2"/>
        <v>46092</v>
      </c>
      <c r="D53" s="34">
        <v>3287</v>
      </c>
      <c r="E53" s="34">
        <v>338</v>
      </c>
      <c r="F53" s="34">
        <v>4</v>
      </c>
      <c r="G53" s="25">
        <v>3</v>
      </c>
      <c r="H53" s="25">
        <v>81574</v>
      </c>
      <c r="I53" s="34" t="s">
        <v>17</v>
      </c>
      <c r="J53" s="25">
        <v>51395945</v>
      </c>
      <c r="K53" s="25" t="s">
        <v>4720</v>
      </c>
      <c r="L53" s="50" t="s">
        <v>4724</v>
      </c>
      <c r="M53" s="26">
        <v>119900</v>
      </c>
      <c r="N53" s="22" t="s">
        <v>2569</v>
      </c>
      <c r="O53" s="34" t="s">
        <v>2586</v>
      </c>
      <c r="P53" s="22" t="s">
        <v>2569</v>
      </c>
    </row>
    <row r="54" spans="1:16" s="2" customFormat="1" x14ac:dyDescent="0.35">
      <c r="A54" s="34" t="s">
        <v>6514</v>
      </c>
      <c r="B54" s="35">
        <f t="shared" si="1"/>
        <v>46086</v>
      </c>
      <c r="C54" s="35">
        <f t="shared" si="2"/>
        <v>46092</v>
      </c>
      <c r="D54" s="34">
        <v>3287</v>
      </c>
      <c r="E54" s="34">
        <v>338</v>
      </c>
      <c r="F54" s="34">
        <v>4</v>
      </c>
      <c r="G54" s="25">
        <v>7</v>
      </c>
      <c r="H54" s="25">
        <v>81827</v>
      </c>
      <c r="I54" s="34" t="s">
        <v>17</v>
      </c>
      <c r="J54" s="25">
        <v>51630547</v>
      </c>
      <c r="K54" s="25" t="s">
        <v>4708</v>
      </c>
      <c r="L54" s="50" t="s">
        <v>4709</v>
      </c>
      <c r="M54" s="26">
        <v>35900</v>
      </c>
      <c r="N54" s="22" t="s">
        <v>2569</v>
      </c>
      <c r="O54" s="34" t="s">
        <v>2586</v>
      </c>
      <c r="P54" s="22" t="s">
        <v>2569</v>
      </c>
    </row>
    <row r="55" spans="1:16" s="2" customFormat="1" x14ac:dyDescent="0.35">
      <c r="A55" s="34" t="s">
        <v>6514</v>
      </c>
      <c r="B55" s="35">
        <f t="shared" si="1"/>
        <v>46086</v>
      </c>
      <c r="C55" s="35">
        <f t="shared" si="2"/>
        <v>46092</v>
      </c>
      <c r="D55" s="34">
        <v>3287</v>
      </c>
      <c r="E55" s="34">
        <v>338</v>
      </c>
      <c r="F55" s="34">
        <v>4</v>
      </c>
      <c r="G55" s="25">
        <v>7</v>
      </c>
      <c r="H55" s="25">
        <v>81827</v>
      </c>
      <c r="I55" s="34" t="s">
        <v>17</v>
      </c>
      <c r="J55" s="25">
        <v>51630556</v>
      </c>
      <c r="K55" s="25" t="s">
        <v>4708</v>
      </c>
      <c r="L55" s="50" t="s">
        <v>4710</v>
      </c>
      <c r="M55" s="26">
        <v>35900</v>
      </c>
      <c r="N55" s="22" t="s">
        <v>2569</v>
      </c>
      <c r="O55" s="34" t="s">
        <v>2586</v>
      </c>
      <c r="P55" s="22" t="s">
        <v>2569</v>
      </c>
    </row>
    <row r="56" spans="1:16" s="2" customFormat="1" x14ac:dyDescent="0.35">
      <c r="A56" s="34" t="s">
        <v>6514</v>
      </c>
      <c r="B56" s="35">
        <f t="shared" si="1"/>
        <v>46086</v>
      </c>
      <c r="C56" s="35">
        <f t="shared" si="2"/>
        <v>46092</v>
      </c>
      <c r="D56" s="34">
        <v>3287</v>
      </c>
      <c r="E56" s="34">
        <v>338</v>
      </c>
      <c r="F56" s="34">
        <v>4</v>
      </c>
      <c r="G56" s="25">
        <v>7</v>
      </c>
      <c r="H56" s="25">
        <v>81827</v>
      </c>
      <c r="I56" s="34" t="s">
        <v>17</v>
      </c>
      <c r="J56" s="25">
        <v>51630583</v>
      </c>
      <c r="K56" s="25" t="s">
        <v>4705</v>
      </c>
      <c r="L56" s="50" t="s">
        <v>4707</v>
      </c>
      <c r="M56" s="26">
        <v>35900</v>
      </c>
      <c r="N56" s="22" t="s">
        <v>2569</v>
      </c>
      <c r="O56" s="34" t="s">
        <v>2586</v>
      </c>
      <c r="P56" s="22" t="s">
        <v>2569</v>
      </c>
    </row>
    <row r="57" spans="1:16" s="2" customFormat="1" x14ac:dyDescent="0.35">
      <c r="A57" s="34" t="s">
        <v>6514</v>
      </c>
      <c r="B57" s="35">
        <f t="shared" si="1"/>
        <v>46086</v>
      </c>
      <c r="C57" s="35">
        <f t="shared" si="2"/>
        <v>46092</v>
      </c>
      <c r="D57" s="34">
        <v>3287</v>
      </c>
      <c r="E57" s="34">
        <v>338</v>
      </c>
      <c r="F57" s="34">
        <v>4</v>
      </c>
      <c r="G57" s="25">
        <v>7</v>
      </c>
      <c r="H57" s="25">
        <v>81827</v>
      </c>
      <c r="I57" s="34" t="s">
        <v>17</v>
      </c>
      <c r="J57" s="25">
        <v>51630592</v>
      </c>
      <c r="K57" s="25" t="s">
        <v>4705</v>
      </c>
      <c r="L57" s="50" t="s">
        <v>4706</v>
      </c>
      <c r="M57" s="26">
        <v>35900</v>
      </c>
      <c r="N57" s="22" t="s">
        <v>2569</v>
      </c>
      <c r="O57" s="34" t="s">
        <v>2586</v>
      </c>
      <c r="P57" s="22" t="s">
        <v>2569</v>
      </c>
    </row>
    <row r="58" spans="1:16" s="2" customFormat="1" x14ac:dyDescent="0.35">
      <c r="A58" s="34" t="s">
        <v>6514</v>
      </c>
      <c r="B58" s="35">
        <f t="shared" si="1"/>
        <v>46086</v>
      </c>
      <c r="C58" s="35">
        <f t="shared" si="2"/>
        <v>46092</v>
      </c>
      <c r="D58" s="34">
        <v>3287</v>
      </c>
      <c r="E58" s="34">
        <v>338</v>
      </c>
      <c r="F58" s="34">
        <v>4</v>
      </c>
      <c r="G58" s="25">
        <v>7</v>
      </c>
      <c r="H58" s="25">
        <v>81827</v>
      </c>
      <c r="I58" s="34" t="s">
        <v>17</v>
      </c>
      <c r="J58" s="25">
        <v>51630707</v>
      </c>
      <c r="K58" s="25" t="s">
        <v>4699</v>
      </c>
      <c r="L58" s="50" t="s">
        <v>4701</v>
      </c>
      <c r="M58" s="26">
        <v>35900</v>
      </c>
      <c r="N58" s="22" t="s">
        <v>2569</v>
      </c>
      <c r="O58" s="34" t="s">
        <v>2586</v>
      </c>
      <c r="P58" s="22" t="s">
        <v>2569</v>
      </c>
    </row>
    <row r="59" spans="1:16" s="2" customFormat="1" x14ac:dyDescent="0.35">
      <c r="A59" s="34" t="s">
        <v>6514</v>
      </c>
      <c r="B59" s="35">
        <f t="shared" si="1"/>
        <v>46086</v>
      </c>
      <c r="C59" s="35">
        <f t="shared" si="2"/>
        <v>46092</v>
      </c>
      <c r="D59" s="34">
        <v>3287</v>
      </c>
      <c r="E59" s="34">
        <v>338</v>
      </c>
      <c r="F59" s="34">
        <v>4</v>
      </c>
      <c r="G59" s="25">
        <v>7</v>
      </c>
      <c r="H59" s="25">
        <v>81827</v>
      </c>
      <c r="I59" s="34" t="s">
        <v>17</v>
      </c>
      <c r="J59" s="25">
        <v>51630716</v>
      </c>
      <c r="K59" s="25" t="s">
        <v>4699</v>
      </c>
      <c r="L59" s="50" t="s">
        <v>4700</v>
      </c>
      <c r="M59" s="26">
        <v>35900</v>
      </c>
      <c r="N59" s="22" t="s">
        <v>2569</v>
      </c>
      <c r="O59" s="34" t="s">
        <v>2586</v>
      </c>
      <c r="P59" s="22" t="s">
        <v>2569</v>
      </c>
    </row>
    <row r="60" spans="1:16" s="2" customFormat="1" x14ac:dyDescent="0.35">
      <c r="A60" s="34" t="s">
        <v>6514</v>
      </c>
      <c r="B60" s="35">
        <f t="shared" si="1"/>
        <v>46086</v>
      </c>
      <c r="C60" s="35">
        <f t="shared" si="2"/>
        <v>46092</v>
      </c>
      <c r="D60" s="34">
        <v>3287</v>
      </c>
      <c r="E60" s="34">
        <v>338</v>
      </c>
      <c r="F60" s="34">
        <v>4</v>
      </c>
      <c r="G60" s="25">
        <v>7</v>
      </c>
      <c r="H60" s="25">
        <v>81827</v>
      </c>
      <c r="I60" s="34" t="s">
        <v>17</v>
      </c>
      <c r="J60" s="25">
        <v>51630609</v>
      </c>
      <c r="K60" s="25" t="s">
        <v>4739</v>
      </c>
      <c r="L60" s="50" t="s">
        <v>4741</v>
      </c>
      <c r="M60" s="26">
        <v>35900</v>
      </c>
      <c r="N60" s="22" t="s">
        <v>2569</v>
      </c>
      <c r="O60" s="34" t="s">
        <v>2586</v>
      </c>
      <c r="P60" s="22" t="s">
        <v>2569</v>
      </c>
    </row>
    <row r="61" spans="1:16" s="2" customFormat="1" x14ac:dyDescent="0.35">
      <c r="A61" s="34" t="s">
        <v>6514</v>
      </c>
      <c r="B61" s="35">
        <f t="shared" si="1"/>
        <v>46086</v>
      </c>
      <c r="C61" s="35">
        <f t="shared" si="2"/>
        <v>46092</v>
      </c>
      <c r="D61" s="34">
        <v>3287</v>
      </c>
      <c r="E61" s="34">
        <v>338</v>
      </c>
      <c r="F61" s="34">
        <v>4</v>
      </c>
      <c r="G61" s="25">
        <v>7</v>
      </c>
      <c r="H61" s="25">
        <v>81827</v>
      </c>
      <c r="I61" s="34" t="s">
        <v>17</v>
      </c>
      <c r="J61" s="25">
        <v>51630618</v>
      </c>
      <c r="K61" s="25" t="s">
        <v>4739</v>
      </c>
      <c r="L61" s="50" t="s">
        <v>4740</v>
      </c>
      <c r="M61" s="26">
        <v>35900</v>
      </c>
      <c r="N61" s="22" t="s">
        <v>2569</v>
      </c>
      <c r="O61" s="34" t="s">
        <v>2586</v>
      </c>
      <c r="P61" s="22" t="s">
        <v>2569</v>
      </c>
    </row>
    <row r="62" spans="1:16" s="2" customFormat="1" x14ac:dyDescent="0.35">
      <c r="A62" s="34" t="s">
        <v>6514</v>
      </c>
      <c r="B62" s="35">
        <f t="shared" si="1"/>
        <v>46086</v>
      </c>
      <c r="C62" s="35">
        <f t="shared" si="2"/>
        <v>46092</v>
      </c>
      <c r="D62" s="34">
        <v>3287</v>
      </c>
      <c r="E62" s="34">
        <v>338</v>
      </c>
      <c r="F62" s="34">
        <v>4</v>
      </c>
      <c r="G62" s="25">
        <v>7</v>
      </c>
      <c r="H62" s="25">
        <v>81827</v>
      </c>
      <c r="I62" s="34" t="s">
        <v>17</v>
      </c>
      <c r="J62" s="25">
        <v>51630501</v>
      </c>
      <c r="K62" s="25" t="s">
        <v>4702</v>
      </c>
      <c r="L62" s="50" t="s">
        <v>4703</v>
      </c>
      <c r="M62" s="26">
        <v>35900</v>
      </c>
      <c r="N62" s="22" t="s">
        <v>2569</v>
      </c>
      <c r="O62" s="34" t="s">
        <v>2586</v>
      </c>
      <c r="P62" s="22" t="s">
        <v>2569</v>
      </c>
    </row>
    <row r="63" spans="1:16" s="2" customFormat="1" x14ac:dyDescent="0.35">
      <c r="A63" s="34" t="s">
        <v>6514</v>
      </c>
      <c r="B63" s="35">
        <f t="shared" si="1"/>
        <v>46086</v>
      </c>
      <c r="C63" s="35">
        <f t="shared" si="2"/>
        <v>46092</v>
      </c>
      <c r="D63" s="34">
        <v>3287</v>
      </c>
      <c r="E63" s="34">
        <v>338</v>
      </c>
      <c r="F63" s="34">
        <v>4</v>
      </c>
      <c r="G63" s="25">
        <v>7</v>
      </c>
      <c r="H63" s="25">
        <v>81827</v>
      </c>
      <c r="I63" s="34" t="s">
        <v>17</v>
      </c>
      <c r="J63" s="25">
        <v>51630510</v>
      </c>
      <c r="K63" s="25" t="s">
        <v>4702</v>
      </c>
      <c r="L63" s="50" t="s">
        <v>4704</v>
      </c>
      <c r="M63" s="26">
        <v>35900</v>
      </c>
      <c r="N63" s="22" t="s">
        <v>2569</v>
      </c>
      <c r="O63" s="34" t="s">
        <v>2586</v>
      </c>
      <c r="P63" s="22" t="s">
        <v>2569</v>
      </c>
    </row>
    <row r="64" spans="1:16" s="2" customFormat="1" x14ac:dyDescent="0.35">
      <c r="A64" s="34" t="s">
        <v>6514</v>
      </c>
      <c r="B64" s="35">
        <f t="shared" si="1"/>
        <v>46086</v>
      </c>
      <c r="C64" s="35">
        <f t="shared" si="2"/>
        <v>46092</v>
      </c>
      <c r="D64" s="34">
        <v>3287</v>
      </c>
      <c r="E64" s="34">
        <v>338</v>
      </c>
      <c r="F64" s="34">
        <v>4</v>
      </c>
      <c r="G64" s="25">
        <v>7</v>
      </c>
      <c r="H64" s="25">
        <v>81827</v>
      </c>
      <c r="I64" s="34" t="s">
        <v>17</v>
      </c>
      <c r="J64" s="25">
        <v>51630529</v>
      </c>
      <c r="K64" s="25" t="s">
        <v>4696</v>
      </c>
      <c r="L64" s="50" t="s">
        <v>4697</v>
      </c>
      <c r="M64" s="26">
        <v>35900</v>
      </c>
      <c r="N64" s="22" t="s">
        <v>2569</v>
      </c>
      <c r="O64" s="34" t="s">
        <v>2586</v>
      </c>
      <c r="P64" s="22" t="s">
        <v>2569</v>
      </c>
    </row>
    <row r="65" spans="1:16" s="2" customFormat="1" x14ac:dyDescent="0.35">
      <c r="A65" s="34" t="s">
        <v>6514</v>
      </c>
      <c r="B65" s="35">
        <f t="shared" si="1"/>
        <v>46086</v>
      </c>
      <c r="C65" s="35">
        <f t="shared" si="2"/>
        <v>46092</v>
      </c>
      <c r="D65" s="34">
        <v>3287</v>
      </c>
      <c r="E65" s="34">
        <v>338</v>
      </c>
      <c r="F65" s="34">
        <v>4</v>
      </c>
      <c r="G65" s="25">
        <v>7</v>
      </c>
      <c r="H65" s="25">
        <v>81827</v>
      </c>
      <c r="I65" s="34" t="s">
        <v>17</v>
      </c>
      <c r="J65" s="25">
        <v>51630538</v>
      </c>
      <c r="K65" s="25" t="s">
        <v>4696</v>
      </c>
      <c r="L65" s="50" t="s">
        <v>4698</v>
      </c>
      <c r="M65" s="26">
        <v>35900</v>
      </c>
      <c r="N65" s="22" t="s">
        <v>2569</v>
      </c>
      <c r="O65" s="34" t="s">
        <v>2586</v>
      </c>
      <c r="P65" s="22" t="s">
        <v>2569</v>
      </c>
    </row>
    <row r="66" spans="1:16" s="2" customFormat="1" x14ac:dyDescent="0.35">
      <c r="A66" s="34" t="s">
        <v>6514</v>
      </c>
      <c r="B66" s="35">
        <f t="shared" si="1"/>
        <v>46086</v>
      </c>
      <c r="C66" s="35">
        <f t="shared" si="2"/>
        <v>46092</v>
      </c>
      <c r="D66" s="34">
        <v>3287</v>
      </c>
      <c r="E66" s="34">
        <v>338</v>
      </c>
      <c r="F66" s="34">
        <v>4</v>
      </c>
      <c r="G66" s="25">
        <v>7</v>
      </c>
      <c r="H66" s="25">
        <v>81827</v>
      </c>
      <c r="I66" s="34" t="s">
        <v>17</v>
      </c>
      <c r="J66" s="25">
        <v>51630565</v>
      </c>
      <c r="K66" s="25" t="s">
        <v>4736</v>
      </c>
      <c r="L66" s="50" t="s">
        <v>4738</v>
      </c>
      <c r="M66" s="26">
        <v>35900</v>
      </c>
      <c r="N66" s="22" t="s">
        <v>2569</v>
      </c>
      <c r="O66" s="34" t="s">
        <v>2586</v>
      </c>
      <c r="P66" s="22" t="s">
        <v>2569</v>
      </c>
    </row>
    <row r="67" spans="1:16" s="2" customFormat="1" x14ac:dyDescent="0.35">
      <c r="A67" s="34" t="s">
        <v>6514</v>
      </c>
      <c r="B67" s="35">
        <f t="shared" si="1"/>
        <v>46086</v>
      </c>
      <c r="C67" s="35">
        <f t="shared" si="2"/>
        <v>46092</v>
      </c>
      <c r="D67" s="34">
        <v>3287</v>
      </c>
      <c r="E67" s="34">
        <v>338</v>
      </c>
      <c r="F67" s="34">
        <v>4</v>
      </c>
      <c r="G67" s="25">
        <v>7</v>
      </c>
      <c r="H67" s="25">
        <v>81827</v>
      </c>
      <c r="I67" s="34" t="s">
        <v>17</v>
      </c>
      <c r="J67" s="25">
        <v>51630574</v>
      </c>
      <c r="K67" s="25" t="s">
        <v>4736</v>
      </c>
      <c r="L67" s="50" t="s">
        <v>4737</v>
      </c>
      <c r="M67" s="26">
        <v>35900</v>
      </c>
      <c r="N67" s="22" t="s">
        <v>2569</v>
      </c>
      <c r="O67" s="34" t="s">
        <v>2586</v>
      </c>
      <c r="P67" s="22" t="s">
        <v>2569</v>
      </c>
    </row>
    <row r="68" spans="1:16" s="2" customFormat="1" x14ac:dyDescent="0.35">
      <c r="A68" s="34" t="s">
        <v>6514</v>
      </c>
      <c r="B68" s="35">
        <f t="shared" si="1"/>
        <v>46086</v>
      </c>
      <c r="C68" s="35">
        <f t="shared" si="2"/>
        <v>46092</v>
      </c>
      <c r="D68" s="34">
        <v>3287</v>
      </c>
      <c r="E68" s="34">
        <v>338</v>
      </c>
      <c r="F68" s="34">
        <v>4</v>
      </c>
      <c r="G68" s="25">
        <v>2</v>
      </c>
      <c r="H68" s="25">
        <v>81676</v>
      </c>
      <c r="I68" s="34" t="s">
        <v>17</v>
      </c>
      <c r="J68" s="25">
        <v>51395552</v>
      </c>
      <c r="K68" s="25" t="s">
        <v>4711</v>
      </c>
      <c r="L68" s="50" t="s">
        <v>4712</v>
      </c>
      <c r="M68" s="26">
        <v>219900</v>
      </c>
      <c r="N68" s="22" t="s">
        <v>2569</v>
      </c>
      <c r="O68" s="34" t="s">
        <v>2586</v>
      </c>
      <c r="P68" s="22" t="s">
        <v>2569</v>
      </c>
    </row>
    <row r="69" spans="1:16" s="2" customFormat="1" x14ac:dyDescent="0.35">
      <c r="A69" s="34" t="s">
        <v>6514</v>
      </c>
      <c r="B69" s="35">
        <f t="shared" si="1"/>
        <v>46086</v>
      </c>
      <c r="C69" s="35">
        <f t="shared" si="2"/>
        <v>46092</v>
      </c>
      <c r="D69" s="34">
        <v>3287</v>
      </c>
      <c r="E69" s="34">
        <v>338</v>
      </c>
      <c r="F69" s="34">
        <v>4</v>
      </c>
      <c r="G69" s="25">
        <v>2</v>
      </c>
      <c r="H69" s="25">
        <v>81676</v>
      </c>
      <c r="I69" s="34" t="s">
        <v>17</v>
      </c>
      <c r="J69" s="25">
        <v>51395561</v>
      </c>
      <c r="K69" s="25" t="s">
        <v>4711</v>
      </c>
      <c r="L69" s="50" t="s">
        <v>4717</v>
      </c>
      <c r="M69" s="26">
        <v>219900</v>
      </c>
      <c r="N69" s="22" t="s">
        <v>2569</v>
      </c>
      <c r="O69" s="34" t="s">
        <v>2586</v>
      </c>
      <c r="P69" s="22" t="s">
        <v>2569</v>
      </c>
    </row>
    <row r="70" spans="1:16" s="2" customFormat="1" x14ac:dyDescent="0.35">
      <c r="A70" s="34" t="s">
        <v>6514</v>
      </c>
      <c r="B70" s="35">
        <f t="shared" si="1"/>
        <v>46086</v>
      </c>
      <c r="C70" s="35">
        <f t="shared" si="2"/>
        <v>46092</v>
      </c>
      <c r="D70" s="34">
        <v>3287</v>
      </c>
      <c r="E70" s="34">
        <v>338</v>
      </c>
      <c r="F70" s="34">
        <v>4</v>
      </c>
      <c r="G70" s="25">
        <v>2</v>
      </c>
      <c r="H70" s="25">
        <v>81676</v>
      </c>
      <c r="I70" s="34" t="s">
        <v>17</v>
      </c>
      <c r="J70" s="25">
        <v>51395570</v>
      </c>
      <c r="K70" s="25" t="s">
        <v>4711</v>
      </c>
      <c r="L70" s="50" t="s">
        <v>4715</v>
      </c>
      <c r="M70" s="26">
        <v>219900</v>
      </c>
      <c r="N70" s="22" t="s">
        <v>2569</v>
      </c>
      <c r="O70" s="34" t="s">
        <v>2586</v>
      </c>
      <c r="P70" s="22" t="s">
        <v>2569</v>
      </c>
    </row>
    <row r="71" spans="1:16" s="2" customFormat="1" x14ac:dyDescent="0.35">
      <c r="A71" s="34" t="s">
        <v>6514</v>
      </c>
      <c r="B71" s="35">
        <f t="shared" si="1"/>
        <v>46086</v>
      </c>
      <c r="C71" s="35">
        <f t="shared" si="2"/>
        <v>46092</v>
      </c>
      <c r="D71" s="34">
        <v>3287</v>
      </c>
      <c r="E71" s="34">
        <v>338</v>
      </c>
      <c r="F71" s="34">
        <v>4</v>
      </c>
      <c r="G71" s="25">
        <v>2</v>
      </c>
      <c r="H71" s="25">
        <v>81676</v>
      </c>
      <c r="I71" s="34" t="s">
        <v>17</v>
      </c>
      <c r="J71" s="25">
        <v>51395589</v>
      </c>
      <c r="K71" s="25" t="s">
        <v>4711</v>
      </c>
      <c r="L71" s="50" t="s">
        <v>4713</v>
      </c>
      <c r="M71" s="26">
        <v>219900</v>
      </c>
      <c r="N71" s="22" t="s">
        <v>2569</v>
      </c>
      <c r="O71" s="34" t="s">
        <v>2586</v>
      </c>
      <c r="P71" s="22" t="s">
        <v>2569</v>
      </c>
    </row>
    <row r="72" spans="1:16" s="2" customFormat="1" x14ac:dyDescent="0.35">
      <c r="A72" s="34" t="s">
        <v>6514</v>
      </c>
      <c r="B72" s="35">
        <f t="shared" si="1"/>
        <v>46086</v>
      </c>
      <c r="C72" s="35">
        <f t="shared" si="2"/>
        <v>46092</v>
      </c>
      <c r="D72" s="34">
        <v>3287</v>
      </c>
      <c r="E72" s="34">
        <v>338</v>
      </c>
      <c r="F72" s="34">
        <v>4</v>
      </c>
      <c r="G72" s="25">
        <v>2</v>
      </c>
      <c r="H72" s="25">
        <v>81676</v>
      </c>
      <c r="I72" s="34" t="s">
        <v>17</v>
      </c>
      <c r="J72" s="25">
        <v>51395598</v>
      </c>
      <c r="K72" s="25" t="s">
        <v>4711</v>
      </c>
      <c r="L72" s="50" t="s">
        <v>4719</v>
      </c>
      <c r="M72" s="26">
        <v>229900</v>
      </c>
      <c r="N72" s="22" t="s">
        <v>2569</v>
      </c>
      <c r="O72" s="34" t="s">
        <v>2586</v>
      </c>
      <c r="P72" s="22" t="s">
        <v>2569</v>
      </c>
    </row>
    <row r="73" spans="1:16" s="2" customFormat="1" x14ac:dyDescent="0.35">
      <c r="A73" s="34" t="s">
        <v>6514</v>
      </c>
      <c r="B73" s="35">
        <f t="shared" si="1"/>
        <v>46086</v>
      </c>
      <c r="C73" s="35">
        <f t="shared" si="2"/>
        <v>46092</v>
      </c>
      <c r="D73" s="34">
        <v>3287</v>
      </c>
      <c r="E73" s="34">
        <v>338</v>
      </c>
      <c r="F73" s="34">
        <v>4</v>
      </c>
      <c r="G73" s="25">
        <v>2</v>
      </c>
      <c r="H73" s="25">
        <v>81676</v>
      </c>
      <c r="I73" s="34" t="s">
        <v>17</v>
      </c>
      <c r="J73" s="25">
        <v>51395605</v>
      </c>
      <c r="K73" s="25" t="s">
        <v>4711</v>
      </c>
      <c r="L73" s="50" t="s">
        <v>4718</v>
      </c>
      <c r="M73" s="26">
        <v>229900</v>
      </c>
      <c r="N73" s="22" t="s">
        <v>2569</v>
      </c>
      <c r="O73" s="34" t="s">
        <v>2586</v>
      </c>
      <c r="P73" s="22" t="s">
        <v>2569</v>
      </c>
    </row>
    <row r="74" spans="1:16" s="2" customFormat="1" x14ac:dyDescent="0.35">
      <c r="A74" s="34" t="s">
        <v>6514</v>
      </c>
      <c r="B74" s="35">
        <f t="shared" si="1"/>
        <v>46086</v>
      </c>
      <c r="C74" s="35">
        <f t="shared" si="2"/>
        <v>46092</v>
      </c>
      <c r="D74" s="34">
        <v>3287</v>
      </c>
      <c r="E74" s="34">
        <v>338</v>
      </c>
      <c r="F74" s="34">
        <v>4</v>
      </c>
      <c r="G74" s="25">
        <v>2</v>
      </c>
      <c r="H74" s="25">
        <v>81676</v>
      </c>
      <c r="I74" s="34" t="s">
        <v>17</v>
      </c>
      <c r="J74" s="25">
        <v>51395614</v>
      </c>
      <c r="K74" s="25" t="s">
        <v>4711</v>
      </c>
      <c r="L74" s="50" t="s">
        <v>4714</v>
      </c>
      <c r="M74" s="26">
        <v>229900</v>
      </c>
      <c r="N74" s="22" t="s">
        <v>2569</v>
      </c>
      <c r="O74" s="34" t="s">
        <v>2586</v>
      </c>
      <c r="P74" s="22" t="s">
        <v>2569</v>
      </c>
    </row>
    <row r="75" spans="1:16" s="2" customFormat="1" x14ac:dyDescent="0.35">
      <c r="A75" s="34" t="s">
        <v>6514</v>
      </c>
      <c r="B75" s="35">
        <f t="shared" si="1"/>
        <v>46086</v>
      </c>
      <c r="C75" s="35">
        <f t="shared" si="2"/>
        <v>46092</v>
      </c>
      <c r="D75" s="34">
        <v>3287</v>
      </c>
      <c r="E75" s="34">
        <v>338</v>
      </c>
      <c r="F75" s="34">
        <v>4</v>
      </c>
      <c r="G75" s="25">
        <v>2</v>
      </c>
      <c r="H75" s="25">
        <v>81676</v>
      </c>
      <c r="I75" s="34" t="s">
        <v>17</v>
      </c>
      <c r="J75" s="25">
        <v>51395623</v>
      </c>
      <c r="K75" s="25" t="s">
        <v>4711</v>
      </c>
      <c r="L75" s="50" t="s">
        <v>4716</v>
      </c>
      <c r="M75" s="26">
        <v>229900</v>
      </c>
      <c r="N75" s="22" t="s">
        <v>2569</v>
      </c>
      <c r="O75" s="34" t="s">
        <v>2586</v>
      </c>
      <c r="P75" s="22" t="s">
        <v>2569</v>
      </c>
    </row>
    <row r="76" spans="1:16" s="2" customFormat="1" x14ac:dyDescent="0.35">
      <c r="A76" s="34" t="s">
        <v>6514</v>
      </c>
      <c r="B76" s="35">
        <f t="shared" si="1"/>
        <v>46086</v>
      </c>
      <c r="C76" s="35">
        <f t="shared" si="2"/>
        <v>46092</v>
      </c>
      <c r="D76" s="34">
        <v>3287</v>
      </c>
      <c r="E76" s="34">
        <v>338</v>
      </c>
      <c r="F76" s="34">
        <v>4</v>
      </c>
      <c r="G76" s="25">
        <v>4</v>
      </c>
      <c r="H76" s="25">
        <v>81379</v>
      </c>
      <c r="I76" s="34" t="s">
        <v>17</v>
      </c>
      <c r="J76" s="25">
        <v>51395990</v>
      </c>
      <c r="K76" s="25" t="s">
        <v>4742</v>
      </c>
      <c r="L76" s="50" t="s">
        <v>4750</v>
      </c>
      <c r="M76" s="26">
        <v>219900</v>
      </c>
      <c r="N76" s="22" t="s">
        <v>2569</v>
      </c>
      <c r="O76" s="34" t="s">
        <v>2586</v>
      </c>
      <c r="P76" s="22" t="s">
        <v>2569</v>
      </c>
    </row>
    <row r="77" spans="1:16" s="2" customFormat="1" x14ac:dyDescent="0.35">
      <c r="A77" s="34" t="s">
        <v>6514</v>
      </c>
      <c r="B77" s="35">
        <f t="shared" si="1"/>
        <v>46086</v>
      </c>
      <c r="C77" s="35">
        <f t="shared" si="2"/>
        <v>46092</v>
      </c>
      <c r="D77" s="34">
        <v>3287</v>
      </c>
      <c r="E77" s="34">
        <v>338</v>
      </c>
      <c r="F77" s="34">
        <v>4</v>
      </c>
      <c r="G77" s="25">
        <v>4</v>
      </c>
      <c r="H77" s="25">
        <v>81379</v>
      </c>
      <c r="I77" s="34" t="s">
        <v>17</v>
      </c>
      <c r="J77" s="25">
        <v>51396006</v>
      </c>
      <c r="K77" s="25" t="s">
        <v>4742</v>
      </c>
      <c r="L77" s="50" t="s">
        <v>4743</v>
      </c>
      <c r="M77" s="26">
        <v>219900</v>
      </c>
      <c r="N77" s="22" t="s">
        <v>2569</v>
      </c>
      <c r="O77" s="34" t="s">
        <v>2586</v>
      </c>
      <c r="P77" s="22" t="s">
        <v>2569</v>
      </c>
    </row>
    <row r="78" spans="1:16" s="2" customFormat="1" x14ac:dyDescent="0.35">
      <c r="A78" s="34" t="s">
        <v>6514</v>
      </c>
      <c r="B78" s="35">
        <f t="shared" si="1"/>
        <v>46086</v>
      </c>
      <c r="C78" s="35">
        <f t="shared" si="2"/>
        <v>46092</v>
      </c>
      <c r="D78" s="34">
        <v>3287</v>
      </c>
      <c r="E78" s="34">
        <v>338</v>
      </c>
      <c r="F78" s="34">
        <v>4</v>
      </c>
      <c r="G78" s="25">
        <v>4</v>
      </c>
      <c r="H78" s="25">
        <v>81379</v>
      </c>
      <c r="I78" s="34" t="s">
        <v>17</v>
      </c>
      <c r="J78" s="25">
        <v>51396015</v>
      </c>
      <c r="K78" s="25" t="s">
        <v>4742</v>
      </c>
      <c r="L78" s="50" t="s">
        <v>4748</v>
      </c>
      <c r="M78" s="26">
        <v>219900</v>
      </c>
      <c r="N78" s="22" t="s">
        <v>2569</v>
      </c>
      <c r="O78" s="34" t="s">
        <v>2586</v>
      </c>
      <c r="P78" s="22" t="s">
        <v>2569</v>
      </c>
    </row>
    <row r="79" spans="1:16" s="2" customFormat="1" x14ac:dyDescent="0.35">
      <c r="A79" s="34" t="s">
        <v>6514</v>
      </c>
      <c r="B79" s="35">
        <f t="shared" si="1"/>
        <v>46086</v>
      </c>
      <c r="C79" s="35">
        <f t="shared" si="2"/>
        <v>46092</v>
      </c>
      <c r="D79" s="34">
        <v>3287</v>
      </c>
      <c r="E79" s="34">
        <v>338</v>
      </c>
      <c r="F79" s="34">
        <v>4</v>
      </c>
      <c r="G79" s="25">
        <v>4</v>
      </c>
      <c r="H79" s="25">
        <v>81379</v>
      </c>
      <c r="I79" s="34" t="s">
        <v>17</v>
      </c>
      <c r="J79" s="25">
        <v>51396024</v>
      </c>
      <c r="K79" s="25" t="s">
        <v>4742</v>
      </c>
      <c r="L79" s="50" t="s">
        <v>4746</v>
      </c>
      <c r="M79" s="26">
        <v>219900</v>
      </c>
      <c r="N79" s="22" t="s">
        <v>2569</v>
      </c>
      <c r="O79" s="34" t="s">
        <v>2586</v>
      </c>
      <c r="P79" s="22" t="s">
        <v>2569</v>
      </c>
    </row>
    <row r="80" spans="1:16" s="2" customFormat="1" x14ac:dyDescent="0.35">
      <c r="A80" s="34" t="s">
        <v>6514</v>
      </c>
      <c r="B80" s="35">
        <f t="shared" si="1"/>
        <v>46086</v>
      </c>
      <c r="C80" s="35">
        <f t="shared" si="2"/>
        <v>46092</v>
      </c>
      <c r="D80" s="34">
        <v>3287</v>
      </c>
      <c r="E80" s="34">
        <v>338</v>
      </c>
      <c r="F80" s="34">
        <v>4</v>
      </c>
      <c r="G80" s="25">
        <v>4</v>
      </c>
      <c r="H80" s="25">
        <v>81379</v>
      </c>
      <c r="I80" s="34" t="s">
        <v>17</v>
      </c>
      <c r="J80" s="25">
        <v>51396033</v>
      </c>
      <c r="K80" s="25" t="s">
        <v>4742</v>
      </c>
      <c r="L80" s="50" t="s">
        <v>4747</v>
      </c>
      <c r="M80" s="26">
        <v>229900</v>
      </c>
      <c r="N80" s="22" t="s">
        <v>2569</v>
      </c>
      <c r="O80" s="34" t="s">
        <v>2586</v>
      </c>
      <c r="P80" s="22" t="s">
        <v>2569</v>
      </c>
    </row>
    <row r="81" spans="1:16" s="2" customFormat="1" x14ac:dyDescent="0.35">
      <c r="A81" s="34" t="s">
        <v>6514</v>
      </c>
      <c r="B81" s="35">
        <f t="shared" si="1"/>
        <v>46086</v>
      </c>
      <c r="C81" s="35">
        <f t="shared" si="2"/>
        <v>46092</v>
      </c>
      <c r="D81" s="34">
        <v>3287</v>
      </c>
      <c r="E81" s="34">
        <v>338</v>
      </c>
      <c r="F81" s="34">
        <v>4</v>
      </c>
      <c r="G81" s="25">
        <v>4</v>
      </c>
      <c r="H81" s="25">
        <v>81379</v>
      </c>
      <c r="I81" s="34" t="s">
        <v>17</v>
      </c>
      <c r="J81" s="25">
        <v>51396042</v>
      </c>
      <c r="K81" s="25" t="s">
        <v>4742</v>
      </c>
      <c r="L81" s="50" t="s">
        <v>4745</v>
      </c>
      <c r="M81" s="26">
        <v>229900</v>
      </c>
      <c r="N81" s="22" t="s">
        <v>2569</v>
      </c>
      <c r="O81" s="34" t="s">
        <v>2586</v>
      </c>
      <c r="P81" s="22" t="s">
        <v>2569</v>
      </c>
    </row>
    <row r="82" spans="1:16" s="2" customFormat="1" x14ac:dyDescent="0.35">
      <c r="A82" s="34" t="s">
        <v>6514</v>
      </c>
      <c r="B82" s="35">
        <f t="shared" si="1"/>
        <v>46086</v>
      </c>
      <c r="C82" s="35">
        <f t="shared" si="2"/>
        <v>46092</v>
      </c>
      <c r="D82" s="34">
        <v>3287</v>
      </c>
      <c r="E82" s="34">
        <v>338</v>
      </c>
      <c r="F82" s="34">
        <v>4</v>
      </c>
      <c r="G82" s="25">
        <v>4</v>
      </c>
      <c r="H82" s="25">
        <v>81379</v>
      </c>
      <c r="I82" s="34" t="s">
        <v>17</v>
      </c>
      <c r="J82" s="25">
        <v>51396051</v>
      </c>
      <c r="K82" s="25" t="s">
        <v>4742</v>
      </c>
      <c r="L82" s="50" t="s">
        <v>4744</v>
      </c>
      <c r="M82" s="26">
        <v>229900</v>
      </c>
      <c r="N82" s="22" t="s">
        <v>2569</v>
      </c>
      <c r="O82" s="34" t="s">
        <v>2586</v>
      </c>
      <c r="P82" s="22" t="s">
        <v>2569</v>
      </c>
    </row>
    <row r="83" spans="1:16" s="2" customFormat="1" x14ac:dyDescent="0.35">
      <c r="A83" s="34" t="s">
        <v>6514</v>
      </c>
      <c r="B83" s="35">
        <f t="shared" si="1"/>
        <v>46086</v>
      </c>
      <c r="C83" s="35">
        <f t="shared" si="2"/>
        <v>46092</v>
      </c>
      <c r="D83" s="34">
        <v>3287</v>
      </c>
      <c r="E83" s="34">
        <v>338</v>
      </c>
      <c r="F83" s="34">
        <v>4</v>
      </c>
      <c r="G83" s="25">
        <v>4</v>
      </c>
      <c r="H83" s="25">
        <v>81379</v>
      </c>
      <c r="I83" s="34" t="s">
        <v>17</v>
      </c>
      <c r="J83" s="25">
        <v>51396060</v>
      </c>
      <c r="K83" s="25" t="s">
        <v>4742</v>
      </c>
      <c r="L83" s="50" t="s">
        <v>4749</v>
      </c>
      <c r="M83" s="26">
        <v>229900</v>
      </c>
      <c r="N83" s="22" t="s">
        <v>2569</v>
      </c>
      <c r="O83" s="34" t="s">
        <v>2586</v>
      </c>
      <c r="P83" s="22" t="s">
        <v>2569</v>
      </c>
    </row>
    <row r="84" spans="1:16" s="2" customFormat="1" x14ac:dyDescent="0.35">
      <c r="A84" s="34" t="s">
        <v>6514</v>
      </c>
      <c r="B84" s="35">
        <f t="shared" ref="B84:B147" si="3">B83</f>
        <v>46086</v>
      </c>
      <c r="C84" s="35">
        <f t="shared" ref="C84:C147" si="4">C83</f>
        <v>46092</v>
      </c>
      <c r="D84" s="34">
        <v>3287</v>
      </c>
      <c r="E84" s="34">
        <v>338</v>
      </c>
      <c r="F84" s="34">
        <v>4</v>
      </c>
      <c r="G84" s="25">
        <v>4</v>
      </c>
      <c r="H84" s="25">
        <v>81379</v>
      </c>
      <c r="I84" s="34" t="s">
        <v>17</v>
      </c>
      <c r="J84" s="25">
        <v>51942835</v>
      </c>
      <c r="K84" s="25" t="s">
        <v>4751</v>
      </c>
      <c r="L84" s="50" t="s">
        <v>4755</v>
      </c>
      <c r="M84" s="26">
        <v>219900</v>
      </c>
      <c r="N84" s="22" t="s">
        <v>2569</v>
      </c>
      <c r="O84" s="34" t="s">
        <v>2586</v>
      </c>
      <c r="P84" s="22" t="s">
        <v>2569</v>
      </c>
    </row>
    <row r="85" spans="1:16" s="2" customFormat="1" x14ac:dyDescent="0.35">
      <c r="A85" s="34" t="s">
        <v>6514</v>
      </c>
      <c r="B85" s="35">
        <f t="shared" si="3"/>
        <v>46086</v>
      </c>
      <c r="C85" s="35">
        <f t="shared" si="4"/>
        <v>46092</v>
      </c>
      <c r="D85" s="34">
        <v>3287</v>
      </c>
      <c r="E85" s="34">
        <v>338</v>
      </c>
      <c r="F85" s="34">
        <v>4</v>
      </c>
      <c r="G85" s="25">
        <v>4</v>
      </c>
      <c r="H85" s="25">
        <v>81379</v>
      </c>
      <c r="I85" s="34" t="s">
        <v>17</v>
      </c>
      <c r="J85" s="25">
        <v>51942844</v>
      </c>
      <c r="K85" s="25" t="s">
        <v>4751</v>
      </c>
      <c r="L85" s="50" t="s">
        <v>4752</v>
      </c>
      <c r="M85" s="26">
        <v>219900</v>
      </c>
      <c r="N85" s="22" t="s">
        <v>2569</v>
      </c>
      <c r="O85" s="34" t="s">
        <v>2586</v>
      </c>
      <c r="P85" s="22" t="s">
        <v>2569</v>
      </c>
    </row>
    <row r="86" spans="1:16" s="2" customFormat="1" x14ac:dyDescent="0.35">
      <c r="A86" s="34" t="s">
        <v>6514</v>
      </c>
      <c r="B86" s="35">
        <f t="shared" si="3"/>
        <v>46086</v>
      </c>
      <c r="C86" s="35">
        <f t="shared" si="4"/>
        <v>46092</v>
      </c>
      <c r="D86" s="34">
        <v>3287</v>
      </c>
      <c r="E86" s="34">
        <v>338</v>
      </c>
      <c r="F86" s="34">
        <v>4</v>
      </c>
      <c r="G86" s="25">
        <v>4</v>
      </c>
      <c r="H86" s="25">
        <v>81379</v>
      </c>
      <c r="I86" s="34" t="s">
        <v>17</v>
      </c>
      <c r="J86" s="25">
        <v>51942853</v>
      </c>
      <c r="K86" s="25" t="s">
        <v>4751</v>
      </c>
      <c r="L86" s="50" t="s">
        <v>4753</v>
      </c>
      <c r="M86" s="26">
        <v>219900</v>
      </c>
      <c r="N86" s="22" t="s">
        <v>2569</v>
      </c>
      <c r="O86" s="34" t="s">
        <v>2586</v>
      </c>
      <c r="P86" s="22" t="s">
        <v>2569</v>
      </c>
    </row>
    <row r="87" spans="1:16" s="2" customFormat="1" x14ac:dyDescent="0.35">
      <c r="A87" s="34" t="s">
        <v>6514</v>
      </c>
      <c r="B87" s="35">
        <f t="shared" si="3"/>
        <v>46086</v>
      </c>
      <c r="C87" s="35">
        <f t="shared" si="4"/>
        <v>46092</v>
      </c>
      <c r="D87" s="34">
        <v>3287</v>
      </c>
      <c r="E87" s="34">
        <v>338</v>
      </c>
      <c r="F87" s="34">
        <v>4</v>
      </c>
      <c r="G87" s="25">
        <v>4</v>
      </c>
      <c r="H87" s="25">
        <v>81379</v>
      </c>
      <c r="I87" s="34" t="s">
        <v>17</v>
      </c>
      <c r="J87" s="25">
        <v>51942862</v>
      </c>
      <c r="K87" s="25" t="s">
        <v>4751</v>
      </c>
      <c r="L87" s="50" t="s">
        <v>4758</v>
      </c>
      <c r="M87" s="26">
        <v>219900</v>
      </c>
      <c r="N87" s="22" t="s">
        <v>2569</v>
      </c>
      <c r="O87" s="34" t="s">
        <v>2586</v>
      </c>
      <c r="P87" s="22" t="s">
        <v>2569</v>
      </c>
    </row>
    <row r="88" spans="1:16" s="2" customFormat="1" x14ac:dyDescent="0.35">
      <c r="A88" s="34" t="s">
        <v>6514</v>
      </c>
      <c r="B88" s="35">
        <f t="shared" si="3"/>
        <v>46086</v>
      </c>
      <c r="C88" s="35">
        <f t="shared" si="4"/>
        <v>46092</v>
      </c>
      <c r="D88" s="34">
        <v>3287</v>
      </c>
      <c r="E88" s="34">
        <v>338</v>
      </c>
      <c r="F88" s="34">
        <v>4</v>
      </c>
      <c r="G88" s="25">
        <v>4</v>
      </c>
      <c r="H88" s="25">
        <v>81379</v>
      </c>
      <c r="I88" s="34" t="s">
        <v>17</v>
      </c>
      <c r="J88" s="25">
        <v>51942871</v>
      </c>
      <c r="K88" s="25" t="s">
        <v>4751</v>
      </c>
      <c r="L88" s="50" t="s">
        <v>4759</v>
      </c>
      <c r="M88" s="26">
        <v>219900</v>
      </c>
      <c r="N88" s="22" t="s">
        <v>2569</v>
      </c>
      <c r="O88" s="34" t="s">
        <v>2586</v>
      </c>
      <c r="P88" s="22" t="s">
        <v>2569</v>
      </c>
    </row>
    <row r="89" spans="1:16" s="2" customFormat="1" x14ac:dyDescent="0.35">
      <c r="A89" s="34" t="s">
        <v>6514</v>
      </c>
      <c r="B89" s="35">
        <f t="shared" si="3"/>
        <v>46086</v>
      </c>
      <c r="C89" s="35">
        <f t="shared" si="4"/>
        <v>46092</v>
      </c>
      <c r="D89" s="34">
        <v>3287</v>
      </c>
      <c r="E89" s="34">
        <v>338</v>
      </c>
      <c r="F89" s="34">
        <v>4</v>
      </c>
      <c r="G89" s="25">
        <v>4</v>
      </c>
      <c r="H89" s="25">
        <v>81379</v>
      </c>
      <c r="I89" s="34" t="s">
        <v>17</v>
      </c>
      <c r="J89" s="25">
        <v>51942880</v>
      </c>
      <c r="K89" s="25" t="s">
        <v>4751</v>
      </c>
      <c r="L89" s="50" t="s">
        <v>4757</v>
      </c>
      <c r="M89" s="26">
        <v>219900</v>
      </c>
      <c r="N89" s="22" t="s">
        <v>2569</v>
      </c>
      <c r="O89" s="34" t="s">
        <v>2586</v>
      </c>
      <c r="P89" s="22" t="s">
        <v>2569</v>
      </c>
    </row>
    <row r="90" spans="1:16" s="2" customFormat="1" x14ac:dyDescent="0.35">
      <c r="A90" s="34" t="s">
        <v>6514</v>
      </c>
      <c r="B90" s="35">
        <f t="shared" si="3"/>
        <v>46086</v>
      </c>
      <c r="C90" s="35">
        <f t="shared" si="4"/>
        <v>46092</v>
      </c>
      <c r="D90" s="34">
        <v>3287</v>
      </c>
      <c r="E90" s="34">
        <v>338</v>
      </c>
      <c r="F90" s="34">
        <v>4</v>
      </c>
      <c r="G90" s="25">
        <v>4</v>
      </c>
      <c r="H90" s="25">
        <v>81379</v>
      </c>
      <c r="I90" s="34" t="s">
        <v>17</v>
      </c>
      <c r="J90" s="25">
        <v>51942899</v>
      </c>
      <c r="K90" s="25" t="s">
        <v>4751</v>
      </c>
      <c r="L90" s="50" t="s">
        <v>4754</v>
      </c>
      <c r="M90" s="26">
        <v>219900</v>
      </c>
      <c r="N90" s="22" t="s">
        <v>2569</v>
      </c>
      <c r="O90" s="34" t="s">
        <v>2586</v>
      </c>
      <c r="P90" s="22" t="s">
        <v>2569</v>
      </c>
    </row>
    <row r="91" spans="1:16" s="2" customFormat="1" x14ac:dyDescent="0.35">
      <c r="A91" s="34" t="s">
        <v>6514</v>
      </c>
      <c r="B91" s="35">
        <f t="shared" si="3"/>
        <v>46086</v>
      </c>
      <c r="C91" s="35">
        <f t="shared" si="4"/>
        <v>46092</v>
      </c>
      <c r="D91" s="34">
        <v>3287</v>
      </c>
      <c r="E91" s="34">
        <v>338</v>
      </c>
      <c r="F91" s="34">
        <v>4</v>
      </c>
      <c r="G91" s="25">
        <v>4</v>
      </c>
      <c r="H91" s="25">
        <v>81379</v>
      </c>
      <c r="I91" s="34" t="s">
        <v>17</v>
      </c>
      <c r="J91" s="25">
        <v>51942906</v>
      </c>
      <c r="K91" s="25" t="s">
        <v>4751</v>
      </c>
      <c r="L91" s="50" t="s">
        <v>4756</v>
      </c>
      <c r="M91" s="26">
        <v>219900</v>
      </c>
      <c r="N91" s="22" t="s">
        <v>2569</v>
      </c>
      <c r="O91" s="34" t="s">
        <v>2586</v>
      </c>
      <c r="P91" s="22" t="s">
        <v>2569</v>
      </c>
    </row>
    <row r="92" spans="1:16" s="2" customFormat="1" x14ac:dyDescent="0.35">
      <c r="A92" s="34" t="s">
        <v>6514</v>
      </c>
      <c r="B92" s="35">
        <f t="shared" si="3"/>
        <v>46086</v>
      </c>
      <c r="C92" s="35">
        <f t="shared" si="4"/>
        <v>46092</v>
      </c>
      <c r="D92" s="34">
        <v>3287</v>
      </c>
      <c r="E92" s="34">
        <v>338</v>
      </c>
      <c r="F92" s="34">
        <v>4</v>
      </c>
      <c r="G92" s="25">
        <v>3</v>
      </c>
      <c r="H92" s="25">
        <v>81462</v>
      </c>
      <c r="I92" s="34" t="s">
        <v>17</v>
      </c>
      <c r="J92" s="25">
        <v>51395954</v>
      </c>
      <c r="K92" s="25" t="s">
        <v>4934</v>
      </c>
      <c r="L92" s="50" t="s">
        <v>4937</v>
      </c>
      <c r="M92" s="26">
        <v>119900</v>
      </c>
      <c r="N92" s="22" t="s">
        <v>2569</v>
      </c>
      <c r="O92" s="34" t="s">
        <v>2586</v>
      </c>
      <c r="P92" s="22" t="s">
        <v>2569</v>
      </c>
    </row>
    <row r="93" spans="1:16" s="2" customFormat="1" x14ac:dyDescent="0.35">
      <c r="A93" s="34" t="s">
        <v>6514</v>
      </c>
      <c r="B93" s="35">
        <f t="shared" si="3"/>
        <v>46086</v>
      </c>
      <c r="C93" s="35">
        <f t="shared" si="4"/>
        <v>46092</v>
      </c>
      <c r="D93" s="34">
        <v>3287</v>
      </c>
      <c r="E93" s="34">
        <v>338</v>
      </c>
      <c r="F93" s="34">
        <v>4</v>
      </c>
      <c r="G93" s="25">
        <v>3</v>
      </c>
      <c r="H93" s="25">
        <v>81462</v>
      </c>
      <c r="I93" s="34" t="s">
        <v>17</v>
      </c>
      <c r="J93" s="25">
        <v>51395963</v>
      </c>
      <c r="K93" s="25" t="s">
        <v>4934</v>
      </c>
      <c r="L93" s="50" t="s">
        <v>4936</v>
      </c>
      <c r="M93" s="26">
        <v>119900</v>
      </c>
      <c r="N93" s="22" t="s">
        <v>2569</v>
      </c>
      <c r="O93" s="34" t="s">
        <v>2586</v>
      </c>
      <c r="P93" s="22" t="s">
        <v>2569</v>
      </c>
    </row>
    <row r="94" spans="1:16" s="2" customFormat="1" x14ac:dyDescent="0.35">
      <c r="A94" s="34" t="s">
        <v>6514</v>
      </c>
      <c r="B94" s="35">
        <f t="shared" si="3"/>
        <v>46086</v>
      </c>
      <c r="C94" s="35">
        <f t="shared" si="4"/>
        <v>46092</v>
      </c>
      <c r="D94" s="34">
        <v>3287</v>
      </c>
      <c r="E94" s="34">
        <v>338</v>
      </c>
      <c r="F94" s="34">
        <v>4</v>
      </c>
      <c r="G94" s="25">
        <v>3</v>
      </c>
      <c r="H94" s="25">
        <v>81462</v>
      </c>
      <c r="I94" s="34" t="s">
        <v>17</v>
      </c>
      <c r="J94" s="25">
        <v>51395972</v>
      </c>
      <c r="K94" s="25" t="s">
        <v>4934</v>
      </c>
      <c r="L94" s="50" t="s">
        <v>4938</v>
      </c>
      <c r="M94" s="26">
        <v>119900</v>
      </c>
      <c r="N94" s="22" t="s">
        <v>2569</v>
      </c>
      <c r="O94" s="34" t="s">
        <v>2586</v>
      </c>
      <c r="P94" s="22" t="s">
        <v>2569</v>
      </c>
    </row>
    <row r="95" spans="1:16" s="2" customFormat="1" x14ac:dyDescent="0.35">
      <c r="A95" s="34" t="s">
        <v>6514</v>
      </c>
      <c r="B95" s="35">
        <f t="shared" si="3"/>
        <v>46086</v>
      </c>
      <c r="C95" s="35">
        <f t="shared" si="4"/>
        <v>46092</v>
      </c>
      <c r="D95" s="34">
        <v>3287</v>
      </c>
      <c r="E95" s="34">
        <v>338</v>
      </c>
      <c r="F95" s="34">
        <v>4</v>
      </c>
      <c r="G95" s="25">
        <v>3</v>
      </c>
      <c r="H95" s="25">
        <v>81462</v>
      </c>
      <c r="I95" s="34" t="s">
        <v>17</v>
      </c>
      <c r="J95" s="25">
        <v>51395981</v>
      </c>
      <c r="K95" s="25" t="s">
        <v>4934</v>
      </c>
      <c r="L95" s="50" t="s">
        <v>4935</v>
      </c>
      <c r="M95" s="26">
        <v>119900</v>
      </c>
      <c r="N95" s="22" t="s">
        <v>2569</v>
      </c>
      <c r="O95" s="34" t="s">
        <v>2586</v>
      </c>
      <c r="P95" s="22" t="s">
        <v>2569</v>
      </c>
    </row>
    <row r="96" spans="1:16" s="2" customFormat="1" x14ac:dyDescent="0.35">
      <c r="A96" s="34" t="s">
        <v>6514</v>
      </c>
      <c r="B96" s="35">
        <f t="shared" si="3"/>
        <v>46086</v>
      </c>
      <c r="C96" s="35">
        <f t="shared" si="4"/>
        <v>46092</v>
      </c>
      <c r="D96" s="34">
        <v>3287</v>
      </c>
      <c r="E96" s="34">
        <v>338</v>
      </c>
      <c r="F96" s="34">
        <v>4</v>
      </c>
      <c r="G96" s="25">
        <v>3</v>
      </c>
      <c r="H96" s="25">
        <v>81574</v>
      </c>
      <c r="I96" s="34" t="s">
        <v>17</v>
      </c>
      <c r="J96" s="25">
        <v>52190628</v>
      </c>
      <c r="K96" s="25" t="s">
        <v>4924</v>
      </c>
      <c r="L96" s="50" t="s">
        <v>4925</v>
      </c>
      <c r="M96" s="26">
        <v>119900</v>
      </c>
      <c r="N96" s="22" t="s">
        <v>2569</v>
      </c>
      <c r="O96" s="34" t="s">
        <v>2586</v>
      </c>
      <c r="P96" s="22" t="s">
        <v>2569</v>
      </c>
    </row>
    <row r="97" spans="1:16" s="2" customFormat="1" x14ac:dyDescent="0.35">
      <c r="A97" s="34" t="s">
        <v>6514</v>
      </c>
      <c r="B97" s="35">
        <f t="shared" si="3"/>
        <v>46086</v>
      </c>
      <c r="C97" s="35">
        <f t="shared" si="4"/>
        <v>46092</v>
      </c>
      <c r="D97" s="34">
        <v>3287</v>
      </c>
      <c r="E97" s="34">
        <v>338</v>
      </c>
      <c r="F97" s="34">
        <v>4</v>
      </c>
      <c r="G97" s="25">
        <v>3</v>
      </c>
      <c r="H97" s="25">
        <v>81574</v>
      </c>
      <c r="I97" s="34" t="s">
        <v>17</v>
      </c>
      <c r="J97" s="25">
        <v>52190637</v>
      </c>
      <c r="K97" s="25" t="s">
        <v>4924</v>
      </c>
      <c r="L97" s="50" t="s">
        <v>4928</v>
      </c>
      <c r="M97" s="26">
        <v>119900</v>
      </c>
      <c r="N97" s="22" t="s">
        <v>2569</v>
      </c>
      <c r="O97" s="34" t="s">
        <v>2586</v>
      </c>
      <c r="P97" s="22" t="s">
        <v>2569</v>
      </c>
    </row>
    <row r="98" spans="1:16" s="2" customFormat="1" x14ac:dyDescent="0.35">
      <c r="A98" s="34" t="s">
        <v>6514</v>
      </c>
      <c r="B98" s="35">
        <f t="shared" si="3"/>
        <v>46086</v>
      </c>
      <c r="C98" s="35">
        <f t="shared" si="4"/>
        <v>46092</v>
      </c>
      <c r="D98" s="34">
        <v>3287</v>
      </c>
      <c r="E98" s="34">
        <v>338</v>
      </c>
      <c r="F98" s="34">
        <v>4</v>
      </c>
      <c r="G98" s="25">
        <v>3</v>
      </c>
      <c r="H98" s="25">
        <v>81574</v>
      </c>
      <c r="I98" s="34" t="s">
        <v>17</v>
      </c>
      <c r="J98" s="25">
        <v>52190646</v>
      </c>
      <c r="K98" s="25" t="s">
        <v>4924</v>
      </c>
      <c r="L98" s="50" t="s">
        <v>4927</v>
      </c>
      <c r="M98" s="26">
        <v>119900</v>
      </c>
      <c r="N98" s="22" t="s">
        <v>2569</v>
      </c>
      <c r="O98" s="34" t="s">
        <v>2586</v>
      </c>
      <c r="P98" s="22" t="s">
        <v>2569</v>
      </c>
    </row>
    <row r="99" spans="1:16" s="2" customFormat="1" x14ac:dyDescent="0.35">
      <c r="A99" s="34" t="s">
        <v>6514</v>
      </c>
      <c r="B99" s="35">
        <f t="shared" si="3"/>
        <v>46086</v>
      </c>
      <c r="C99" s="35">
        <f t="shared" si="4"/>
        <v>46092</v>
      </c>
      <c r="D99" s="34">
        <v>3287</v>
      </c>
      <c r="E99" s="34">
        <v>338</v>
      </c>
      <c r="F99" s="34">
        <v>4</v>
      </c>
      <c r="G99" s="25">
        <v>3</v>
      </c>
      <c r="H99" s="25">
        <v>81574</v>
      </c>
      <c r="I99" s="34" t="s">
        <v>17</v>
      </c>
      <c r="J99" s="25">
        <v>52190655</v>
      </c>
      <c r="K99" s="25" t="s">
        <v>4924</v>
      </c>
      <c r="L99" s="50" t="s">
        <v>4926</v>
      </c>
      <c r="M99" s="26">
        <v>119900</v>
      </c>
      <c r="N99" s="22" t="s">
        <v>2569</v>
      </c>
      <c r="O99" s="34" t="s">
        <v>2586</v>
      </c>
      <c r="P99" s="22" t="s">
        <v>2569</v>
      </c>
    </row>
    <row r="100" spans="1:16" s="2" customFormat="1" x14ac:dyDescent="0.35">
      <c r="A100" s="34" t="s">
        <v>6514</v>
      </c>
      <c r="B100" s="35">
        <f t="shared" si="3"/>
        <v>46086</v>
      </c>
      <c r="C100" s="35">
        <f t="shared" si="4"/>
        <v>46092</v>
      </c>
      <c r="D100" s="34">
        <v>3287</v>
      </c>
      <c r="E100" s="34">
        <v>338</v>
      </c>
      <c r="F100" s="34">
        <v>4</v>
      </c>
      <c r="G100" s="25">
        <v>4</v>
      </c>
      <c r="H100" s="25">
        <v>81462</v>
      </c>
      <c r="I100" s="34" t="s">
        <v>17</v>
      </c>
      <c r="J100" s="25">
        <v>51942915</v>
      </c>
      <c r="K100" s="25" t="s">
        <v>4939</v>
      </c>
      <c r="L100" s="50" t="s">
        <v>4940</v>
      </c>
      <c r="M100" s="26">
        <v>219900</v>
      </c>
      <c r="N100" s="22" t="s">
        <v>2569</v>
      </c>
      <c r="O100" s="34" t="s">
        <v>2586</v>
      </c>
      <c r="P100" s="22" t="s">
        <v>2569</v>
      </c>
    </row>
    <row r="101" spans="1:16" s="2" customFormat="1" x14ac:dyDescent="0.35">
      <c r="A101" s="34" t="s">
        <v>6514</v>
      </c>
      <c r="B101" s="35">
        <f t="shared" si="3"/>
        <v>46086</v>
      </c>
      <c r="C101" s="35">
        <f t="shared" si="4"/>
        <v>46092</v>
      </c>
      <c r="D101" s="34">
        <v>3287</v>
      </c>
      <c r="E101" s="34">
        <v>338</v>
      </c>
      <c r="F101" s="34">
        <v>4</v>
      </c>
      <c r="G101" s="25">
        <v>4</v>
      </c>
      <c r="H101" s="25">
        <v>81462</v>
      </c>
      <c r="I101" s="34" t="s">
        <v>17</v>
      </c>
      <c r="J101" s="25">
        <v>51942924</v>
      </c>
      <c r="K101" s="25" t="s">
        <v>4939</v>
      </c>
      <c r="L101" s="50" t="s">
        <v>4941</v>
      </c>
      <c r="M101" s="26">
        <v>219900</v>
      </c>
      <c r="N101" s="22" t="s">
        <v>2569</v>
      </c>
      <c r="O101" s="34" t="s">
        <v>2586</v>
      </c>
      <c r="P101" s="22" t="s">
        <v>2569</v>
      </c>
    </row>
    <row r="102" spans="1:16" s="2" customFormat="1" x14ac:dyDescent="0.35">
      <c r="A102" s="34" t="s">
        <v>6514</v>
      </c>
      <c r="B102" s="35">
        <f t="shared" si="3"/>
        <v>46086</v>
      </c>
      <c r="C102" s="35">
        <f t="shared" si="4"/>
        <v>46092</v>
      </c>
      <c r="D102" s="34">
        <v>3287</v>
      </c>
      <c r="E102" s="34">
        <v>338</v>
      </c>
      <c r="F102" s="34">
        <v>4</v>
      </c>
      <c r="G102" s="25">
        <v>4</v>
      </c>
      <c r="H102" s="25">
        <v>81462</v>
      </c>
      <c r="I102" s="34" t="s">
        <v>17</v>
      </c>
      <c r="J102" s="25">
        <v>51942933</v>
      </c>
      <c r="K102" s="25" t="s">
        <v>4939</v>
      </c>
      <c r="L102" s="50" t="s">
        <v>4947</v>
      </c>
      <c r="M102" s="26">
        <v>219900</v>
      </c>
      <c r="N102" s="22" t="s">
        <v>2569</v>
      </c>
      <c r="O102" s="34" t="s">
        <v>2586</v>
      </c>
      <c r="P102" s="22" t="s">
        <v>2569</v>
      </c>
    </row>
    <row r="103" spans="1:16" s="2" customFormat="1" x14ac:dyDescent="0.35">
      <c r="A103" s="34" t="s">
        <v>6514</v>
      </c>
      <c r="B103" s="35">
        <f t="shared" si="3"/>
        <v>46086</v>
      </c>
      <c r="C103" s="35">
        <f t="shared" si="4"/>
        <v>46092</v>
      </c>
      <c r="D103" s="34">
        <v>3287</v>
      </c>
      <c r="E103" s="34">
        <v>338</v>
      </c>
      <c r="F103" s="34">
        <v>4</v>
      </c>
      <c r="G103" s="25">
        <v>4</v>
      </c>
      <c r="H103" s="25">
        <v>81462</v>
      </c>
      <c r="I103" s="34" t="s">
        <v>17</v>
      </c>
      <c r="J103" s="25">
        <v>51942942</v>
      </c>
      <c r="K103" s="25" t="s">
        <v>4939</v>
      </c>
      <c r="L103" s="50" t="s">
        <v>4944</v>
      </c>
      <c r="M103" s="26">
        <v>219900</v>
      </c>
      <c r="N103" s="22" t="s">
        <v>2569</v>
      </c>
      <c r="O103" s="34" t="s">
        <v>2586</v>
      </c>
      <c r="P103" s="22" t="s">
        <v>2569</v>
      </c>
    </row>
    <row r="104" spans="1:16" s="2" customFormat="1" x14ac:dyDescent="0.35">
      <c r="A104" s="34" t="s">
        <v>6514</v>
      </c>
      <c r="B104" s="35">
        <f t="shared" si="3"/>
        <v>46086</v>
      </c>
      <c r="C104" s="35">
        <f t="shared" si="4"/>
        <v>46092</v>
      </c>
      <c r="D104" s="34">
        <v>3287</v>
      </c>
      <c r="E104" s="34">
        <v>338</v>
      </c>
      <c r="F104" s="34">
        <v>4</v>
      </c>
      <c r="G104" s="25">
        <v>4</v>
      </c>
      <c r="H104" s="25">
        <v>81462</v>
      </c>
      <c r="I104" s="34" t="s">
        <v>17</v>
      </c>
      <c r="J104" s="25">
        <v>51942951</v>
      </c>
      <c r="K104" s="25" t="s">
        <v>4939</v>
      </c>
      <c r="L104" s="50" t="s">
        <v>4945</v>
      </c>
      <c r="M104" s="26">
        <v>229900</v>
      </c>
      <c r="N104" s="22" t="s">
        <v>2569</v>
      </c>
      <c r="O104" s="34" t="s">
        <v>2586</v>
      </c>
      <c r="P104" s="22" t="s">
        <v>2569</v>
      </c>
    </row>
    <row r="105" spans="1:16" s="2" customFormat="1" x14ac:dyDescent="0.35">
      <c r="A105" s="34" t="s">
        <v>6514</v>
      </c>
      <c r="B105" s="35">
        <f t="shared" si="3"/>
        <v>46086</v>
      </c>
      <c r="C105" s="35">
        <f t="shared" si="4"/>
        <v>46092</v>
      </c>
      <c r="D105" s="34">
        <v>3287</v>
      </c>
      <c r="E105" s="34">
        <v>338</v>
      </c>
      <c r="F105" s="34">
        <v>4</v>
      </c>
      <c r="G105" s="25">
        <v>4</v>
      </c>
      <c r="H105" s="25">
        <v>81462</v>
      </c>
      <c r="I105" s="34" t="s">
        <v>17</v>
      </c>
      <c r="J105" s="25">
        <v>51942960</v>
      </c>
      <c r="K105" s="25" t="s">
        <v>4939</v>
      </c>
      <c r="L105" s="50" t="s">
        <v>4946</v>
      </c>
      <c r="M105" s="26">
        <v>229900</v>
      </c>
      <c r="N105" s="22" t="s">
        <v>2569</v>
      </c>
      <c r="O105" s="34" t="s">
        <v>2586</v>
      </c>
      <c r="P105" s="22" t="s">
        <v>2569</v>
      </c>
    </row>
    <row r="106" spans="1:16" s="2" customFormat="1" x14ac:dyDescent="0.35">
      <c r="A106" s="34" t="s">
        <v>6514</v>
      </c>
      <c r="B106" s="35">
        <f t="shared" si="3"/>
        <v>46086</v>
      </c>
      <c r="C106" s="35">
        <f t="shared" si="4"/>
        <v>46092</v>
      </c>
      <c r="D106" s="34">
        <v>3287</v>
      </c>
      <c r="E106" s="34">
        <v>338</v>
      </c>
      <c r="F106" s="34">
        <v>4</v>
      </c>
      <c r="G106" s="25">
        <v>4</v>
      </c>
      <c r="H106" s="25">
        <v>81462</v>
      </c>
      <c r="I106" s="34" t="s">
        <v>17</v>
      </c>
      <c r="J106" s="25">
        <v>51942979</v>
      </c>
      <c r="K106" s="25" t="s">
        <v>4939</v>
      </c>
      <c r="L106" s="50" t="s">
        <v>4942</v>
      </c>
      <c r="M106" s="26">
        <v>229900</v>
      </c>
      <c r="N106" s="22" t="s">
        <v>2569</v>
      </c>
      <c r="O106" s="34" t="s">
        <v>2586</v>
      </c>
      <c r="P106" s="22" t="s">
        <v>2569</v>
      </c>
    </row>
    <row r="107" spans="1:16" s="2" customFormat="1" x14ac:dyDescent="0.35">
      <c r="A107" s="34" t="s">
        <v>6514</v>
      </c>
      <c r="B107" s="35">
        <f t="shared" si="3"/>
        <v>46086</v>
      </c>
      <c r="C107" s="35">
        <f t="shared" si="4"/>
        <v>46092</v>
      </c>
      <c r="D107" s="34">
        <v>3287</v>
      </c>
      <c r="E107" s="34">
        <v>338</v>
      </c>
      <c r="F107" s="34">
        <v>4</v>
      </c>
      <c r="G107" s="25">
        <v>4</v>
      </c>
      <c r="H107" s="25">
        <v>81462</v>
      </c>
      <c r="I107" s="34" t="s">
        <v>17</v>
      </c>
      <c r="J107" s="25">
        <v>51942988</v>
      </c>
      <c r="K107" s="25" t="s">
        <v>4939</v>
      </c>
      <c r="L107" s="50" t="s">
        <v>4943</v>
      </c>
      <c r="M107" s="26">
        <v>229900</v>
      </c>
      <c r="N107" s="22" t="s">
        <v>2569</v>
      </c>
      <c r="O107" s="34" t="s">
        <v>2586</v>
      </c>
      <c r="P107" s="22" t="s">
        <v>2569</v>
      </c>
    </row>
    <row r="108" spans="1:16" s="2" customFormat="1" x14ac:dyDescent="0.35">
      <c r="A108" s="34" t="s">
        <v>6514</v>
      </c>
      <c r="B108" s="35">
        <f t="shared" si="3"/>
        <v>46086</v>
      </c>
      <c r="C108" s="35">
        <f t="shared" si="4"/>
        <v>46092</v>
      </c>
      <c r="D108" s="34">
        <v>3287</v>
      </c>
      <c r="E108" s="34">
        <v>338</v>
      </c>
      <c r="F108" s="34">
        <v>4</v>
      </c>
      <c r="G108" s="25">
        <v>4</v>
      </c>
      <c r="H108" s="25">
        <v>81462</v>
      </c>
      <c r="I108" s="34" t="s">
        <v>17</v>
      </c>
      <c r="J108" s="25">
        <v>51942997</v>
      </c>
      <c r="K108" s="25" t="s">
        <v>4948</v>
      </c>
      <c r="L108" s="50" t="s">
        <v>4952</v>
      </c>
      <c r="M108" s="26">
        <v>219900</v>
      </c>
      <c r="N108" s="22" t="s">
        <v>2569</v>
      </c>
      <c r="O108" s="34" t="s">
        <v>2586</v>
      </c>
      <c r="P108" s="22" t="s">
        <v>2569</v>
      </c>
    </row>
    <row r="109" spans="1:16" s="2" customFormat="1" x14ac:dyDescent="0.35">
      <c r="A109" s="34" t="s">
        <v>6514</v>
      </c>
      <c r="B109" s="35">
        <f t="shared" si="3"/>
        <v>46086</v>
      </c>
      <c r="C109" s="35">
        <f t="shared" si="4"/>
        <v>46092</v>
      </c>
      <c r="D109" s="34">
        <v>3287</v>
      </c>
      <c r="E109" s="34">
        <v>338</v>
      </c>
      <c r="F109" s="34">
        <v>4</v>
      </c>
      <c r="G109" s="25">
        <v>4</v>
      </c>
      <c r="H109" s="25">
        <v>81462</v>
      </c>
      <c r="I109" s="34" t="s">
        <v>17</v>
      </c>
      <c r="J109" s="25">
        <v>51943003</v>
      </c>
      <c r="K109" s="25" t="s">
        <v>4948</v>
      </c>
      <c r="L109" s="50" t="s">
        <v>4953</v>
      </c>
      <c r="M109" s="26">
        <v>219900</v>
      </c>
      <c r="N109" s="22" t="s">
        <v>2569</v>
      </c>
      <c r="O109" s="34" t="s">
        <v>2586</v>
      </c>
      <c r="P109" s="22" t="s">
        <v>2569</v>
      </c>
    </row>
    <row r="110" spans="1:16" s="2" customFormat="1" x14ac:dyDescent="0.35">
      <c r="A110" s="34" t="s">
        <v>6514</v>
      </c>
      <c r="B110" s="35">
        <f t="shared" si="3"/>
        <v>46086</v>
      </c>
      <c r="C110" s="35">
        <f t="shared" si="4"/>
        <v>46092</v>
      </c>
      <c r="D110" s="34">
        <v>3287</v>
      </c>
      <c r="E110" s="34">
        <v>338</v>
      </c>
      <c r="F110" s="34">
        <v>4</v>
      </c>
      <c r="G110" s="25">
        <v>4</v>
      </c>
      <c r="H110" s="25">
        <v>81462</v>
      </c>
      <c r="I110" s="34" t="s">
        <v>17</v>
      </c>
      <c r="J110" s="25">
        <v>51943012</v>
      </c>
      <c r="K110" s="25" t="s">
        <v>4948</v>
      </c>
      <c r="L110" s="50" t="s">
        <v>4949</v>
      </c>
      <c r="M110" s="26">
        <v>219900</v>
      </c>
      <c r="N110" s="22" t="s">
        <v>2569</v>
      </c>
      <c r="O110" s="34" t="s">
        <v>2586</v>
      </c>
      <c r="P110" s="22" t="s">
        <v>2569</v>
      </c>
    </row>
    <row r="111" spans="1:16" s="2" customFormat="1" x14ac:dyDescent="0.35">
      <c r="A111" s="34" t="s">
        <v>6514</v>
      </c>
      <c r="B111" s="35">
        <f t="shared" si="3"/>
        <v>46086</v>
      </c>
      <c r="C111" s="35">
        <f t="shared" si="4"/>
        <v>46092</v>
      </c>
      <c r="D111" s="34">
        <v>3287</v>
      </c>
      <c r="E111" s="34">
        <v>338</v>
      </c>
      <c r="F111" s="34">
        <v>4</v>
      </c>
      <c r="G111" s="25">
        <v>4</v>
      </c>
      <c r="H111" s="25">
        <v>81462</v>
      </c>
      <c r="I111" s="34" t="s">
        <v>17</v>
      </c>
      <c r="J111" s="25">
        <v>51943021</v>
      </c>
      <c r="K111" s="25" t="s">
        <v>4948</v>
      </c>
      <c r="L111" s="50" t="s">
        <v>4950</v>
      </c>
      <c r="M111" s="26">
        <v>219900</v>
      </c>
      <c r="N111" s="22" t="s">
        <v>2569</v>
      </c>
      <c r="O111" s="34" t="s">
        <v>2586</v>
      </c>
      <c r="P111" s="22" t="s">
        <v>2569</v>
      </c>
    </row>
    <row r="112" spans="1:16" s="2" customFormat="1" x14ac:dyDescent="0.35">
      <c r="A112" s="34" t="s">
        <v>6514</v>
      </c>
      <c r="B112" s="35">
        <f t="shared" si="3"/>
        <v>46086</v>
      </c>
      <c r="C112" s="35">
        <f t="shared" si="4"/>
        <v>46092</v>
      </c>
      <c r="D112" s="34">
        <v>3287</v>
      </c>
      <c r="E112" s="34">
        <v>338</v>
      </c>
      <c r="F112" s="34">
        <v>4</v>
      </c>
      <c r="G112" s="25">
        <v>4</v>
      </c>
      <c r="H112" s="25">
        <v>81462</v>
      </c>
      <c r="I112" s="34" t="s">
        <v>17</v>
      </c>
      <c r="J112" s="25">
        <v>51943030</v>
      </c>
      <c r="K112" s="25" t="s">
        <v>4948</v>
      </c>
      <c r="L112" s="50" t="s">
        <v>4956</v>
      </c>
      <c r="M112" s="26">
        <v>229900</v>
      </c>
      <c r="N112" s="22" t="s">
        <v>2569</v>
      </c>
      <c r="O112" s="34" t="s">
        <v>2586</v>
      </c>
      <c r="P112" s="22" t="s">
        <v>2569</v>
      </c>
    </row>
    <row r="113" spans="1:16" s="2" customFormat="1" x14ac:dyDescent="0.35">
      <c r="A113" s="34" t="s">
        <v>6514</v>
      </c>
      <c r="B113" s="35">
        <f t="shared" si="3"/>
        <v>46086</v>
      </c>
      <c r="C113" s="35">
        <f t="shared" si="4"/>
        <v>46092</v>
      </c>
      <c r="D113" s="34">
        <v>3287</v>
      </c>
      <c r="E113" s="34">
        <v>338</v>
      </c>
      <c r="F113" s="34">
        <v>4</v>
      </c>
      <c r="G113" s="25">
        <v>4</v>
      </c>
      <c r="H113" s="25">
        <v>81462</v>
      </c>
      <c r="I113" s="34" t="s">
        <v>17</v>
      </c>
      <c r="J113" s="25">
        <v>51943049</v>
      </c>
      <c r="K113" s="25" t="s">
        <v>4948</v>
      </c>
      <c r="L113" s="50" t="s">
        <v>4951</v>
      </c>
      <c r="M113" s="26">
        <v>229900</v>
      </c>
      <c r="N113" s="22" t="s">
        <v>2569</v>
      </c>
      <c r="O113" s="34" t="s">
        <v>2586</v>
      </c>
      <c r="P113" s="22" t="s">
        <v>2569</v>
      </c>
    </row>
    <row r="114" spans="1:16" s="2" customFormat="1" x14ac:dyDescent="0.35">
      <c r="A114" s="34" t="s">
        <v>6514</v>
      </c>
      <c r="B114" s="35">
        <f t="shared" si="3"/>
        <v>46086</v>
      </c>
      <c r="C114" s="35">
        <f t="shared" si="4"/>
        <v>46092</v>
      </c>
      <c r="D114" s="34">
        <v>3287</v>
      </c>
      <c r="E114" s="34">
        <v>338</v>
      </c>
      <c r="F114" s="34">
        <v>4</v>
      </c>
      <c r="G114" s="25">
        <v>4</v>
      </c>
      <c r="H114" s="25">
        <v>81462</v>
      </c>
      <c r="I114" s="34" t="s">
        <v>17</v>
      </c>
      <c r="J114" s="25">
        <v>51943058</v>
      </c>
      <c r="K114" s="25" t="s">
        <v>4948</v>
      </c>
      <c r="L114" s="50" t="s">
        <v>4955</v>
      </c>
      <c r="M114" s="26">
        <v>229900</v>
      </c>
      <c r="N114" s="22" t="s">
        <v>2569</v>
      </c>
      <c r="O114" s="34" t="s">
        <v>2586</v>
      </c>
      <c r="P114" s="22" t="s">
        <v>2569</v>
      </c>
    </row>
    <row r="115" spans="1:16" s="2" customFormat="1" x14ac:dyDescent="0.35">
      <c r="A115" s="34" t="s">
        <v>6514</v>
      </c>
      <c r="B115" s="35">
        <f t="shared" si="3"/>
        <v>46086</v>
      </c>
      <c r="C115" s="35">
        <f t="shared" si="4"/>
        <v>46092</v>
      </c>
      <c r="D115" s="34">
        <v>3287</v>
      </c>
      <c r="E115" s="34">
        <v>338</v>
      </c>
      <c r="F115" s="34">
        <v>4</v>
      </c>
      <c r="G115" s="25">
        <v>4</v>
      </c>
      <c r="H115" s="25">
        <v>81462</v>
      </c>
      <c r="I115" s="34" t="s">
        <v>17</v>
      </c>
      <c r="J115" s="25">
        <v>51943067</v>
      </c>
      <c r="K115" s="25" t="s">
        <v>4948</v>
      </c>
      <c r="L115" s="50" t="s">
        <v>4954</v>
      </c>
      <c r="M115" s="26">
        <v>229900</v>
      </c>
      <c r="N115" s="22" t="s">
        <v>2569</v>
      </c>
      <c r="O115" s="34" t="s">
        <v>2586</v>
      </c>
      <c r="P115" s="22" t="s">
        <v>2569</v>
      </c>
    </row>
    <row r="116" spans="1:16" s="2" customFormat="1" x14ac:dyDescent="0.35">
      <c r="A116" s="34" t="s">
        <v>6514</v>
      </c>
      <c r="B116" s="35">
        <f t="shared" si="3"/>
        <v>46086</v>
      </c>
      <c r="C116" s="35">
        <f t="shared" si="4"/>
        <v>46092</v>
      </c>
      <c r="D116" s="34">
        <v>3287</v>
      </c>
      <c r="E116" s="34">
        <v>338</v>
      </c>
      <c r="F116" s="34">
        <v>4</v>
      </c>
      <c r="G116" s="25">
        <v>9</v>
      </c>
      <c r="H116" s="25">
        <v>81462</v>
      </c>
      <c r="I116" s="34" t="s">
        <v>17</v>
      </c>
      <c r="J116" s="25">
        <v>52340966</v>
      </c>
      <c r="K116" s="25" t="s">
        <v>5051</v>
      </c>
      <c r="L116" s="50" t="s">
        <v>5054</v>
      </c>
      <c r="M116" s="26">
        <v>219900</v>
      </c>
      <c r="N116" s="22" t="s">
        <v>2569</v>
      </c>
      <c r="O116" s="34" t="s">
        <v>2586</v>
      </c>
      <c r="P116" s="22" t="s">
        <v>2569</v>
      </c>
    </row>
    <row r="117" spans="1:16" s="2" customFormat="1" x14ac:dyDescent="0.35">
      <c r="A117" s="34" t="s">
        <v>6514</v>
      </c>
      <c r="B117" s="35">
        <f t="shared" si="3"/>
        <v>46086</v>
      </c>
      <c r="C117" s="35">
        <f t="shared" si="4"/>
        <v>46092</v>
      </c>
      <c r="D117" s="34">
        <v>3287</v>
      </c>
      <c r="E117" s="34">
        <v>338</v>
      </c>
      <c r="F117" s="34">
        <v>4</v>
      </c>
      <c r="G117" s="25">
        <v>9</v>
      </c>
      <c r="H117" s="25">
        <v>81462</v>
      </c>
      <c r="I117" s="34" t="s">
        <v>17</v>
      </c>
      <c r="J117" s="25">
        <v>52340975</v>
      </c>
      <c r="K117" s="25" t="s">
        <v>5051</v>
      </c>
      <c r="L117" s="50" t="s">
        <v>5059</v>
      </c>
      <c r="M117" s="26">
        <v>219900</v>
      </c>
      <c r="N117" s="22" t="s">
        <v>2569</v>
      </c>
      <c r="O117" s="34" t="s">
        <v>2586</v>
      </c>
      <c r="P117" s="22" t="s">
        <v>2569</v>
      </c>
    </row>
    <row r="118" spans="1:16" s="2" customFormat="1" x14ac:dyDescent="0.35">
      <c r="A118" s="34" t="s">
        <v>6514</v>
      </c>
      <c r="B118" s="35">
        <f t="shared" si="3"/>
        <v>46086</v>
      </c>
      <c r="C118" s="35">
        <f t="shared" si="4"/>
        <v>46092</v>
      </c>
      <c r="D118" s="34">
        <v>3287</v>
      </c>
      <c r="E118" s="34">
        <v>338</v>
      </c>
      <c r="F118" s="34">
        <v>4</v>
      </c>
      <c r="G118" s="25">
        <v>9</v>
      </c>
      <c r="H118" s="25">
        <v>81462</v>
      </c>
      <c r="I118" s="34" t="s">
        <v>17</v>
      </c>
      <c r="J118" s="25">
        <v>52340984</v>
      </c>
      <c r="K118" s="25" t="s">
        <v>5051</v>
      </c>
      <c r="L118" s="50" t="s">
        <v>5056</v>
      </c>
      <c r="M118" s="26">
        <v>219900</v>
      </c>
      <c r="N118" s="22" t="s">
        <v>2569</v>
      </c>
      <c r="O118" s="34" t="s">
        <v>2586</v>
      </c>
      <c r="P118" s="22" t="s">
        <v>2569</v>
      </c>
    </row>
    <row r="119" spans="1:16" s="2" customFormat="1" x14ac:dyDescent="0.35">
      <c r="A119" s="34" t="s">
        <v>6514</v>
      </c>
      <c r="B119" s="35">
        <f t="shared" si="3"/>
        <v>46086</v>
      </c>
      <c r="C119" s="35">
        <f t="shared" si="4"/>
        <v>46092</v>
      </c>
      <c r="D119" s="34">
        <v>3287</v>
      </c>
      <c r="E119" s="34">
        <v>338</v>
      </c>
      <c r="F119" s="34">
        <v>4</v>
      </c>
      <c r="G119" s="25">
        <v>9</v>
      </c>
      <c r="H119" s="25">
        <v>81462</v>
      </c>
      <c r="I119" s="34" t="s">
        <v>17</v>
      </c>
      <c r="J119" s="25">
        <v>52340993</v>
      </c>
      <c r="K119" s="25" t="s">
        <v>5051</v>
      </c>
      <c r="L119" s="50" t="s">
        <v>5055</v>
      </c>
      <c r="M119" s="26">
        <v>219900</v>
      </c>
      <c r="N119" s="22" t="s">
        <v>2569</v>
      </c>
      <c r="O119" s="34" t="s">
        <v>2586</v>
      </c>
      <c r="P119" s="22" t="s">
        <v>2569</v>
      </c>
    </row>
    <row r="120" spans="1:16" s="2" customFormat="1" x14ac:dyDescent="0.35">
      <c r="A120" s="34" t="s">
        <v>6514</v>
      </c>
      <c r="B120" s="35">
        <f t="shared" si="3"/>
        <v>46086</v>
      </c>
      <c r="C120" s="35">
        <f t="shared" si="4"/>
        <v>46092</v>
      </c>
      <c r="D120" s="34">
        <v>3287</v>
      </c>
      <c r="E120" s="34">
        <v>338</v>
      </c>
      <c r="F120" s="34">
        <v>4</v>
      </c>
      <c r="G120" s="25">
        <v>9</v>
      </c>
      <c r="H120" s="25">
        <v>81462</v>
      </c>
      <c r="I120" s="34" t="s">
        <v>17</v>
      </c>
      <c r="J120" s="25">
        <v>52341009</v>
      </c>
      <c r="K120" s="25" t="s">
        <v>5051</v>
      </c>
      <c r="L120" s="50" t="s">
        <v>5058</v>
      </c>
      <c r="M120" s="26">
        <v>219900</v>
      </c>
      <c r="N120" s="22" t="s">
        <v>2569</v>
      </c>
      <c r="O120" s="34" t="s">
        <v>2586</v>
      </c>
      <c r="P120" s="22" t="s">
        <v>2569</v>
      </c>
    </row>
    <row r="121" spans="1:16" s="2" customFormat="1" x14ac:dyDescent="0.35">
      <c r="A121" s="34" t="s">
        <v>6514</v>
      </c>
      <c r="B121" s="35">
        <f t="shared" si="3"/>
        <v>46086</v>
      </c>
      <c r="C121" s="35">
        <f t="shared" si="4"/>
        <v>46092</v>
      </c>
      <c r="D121" s="34">
        <v>3287</v>
      </c>
      <c r="E121" s="34">
        <v>338</v>
      </c>
      <c r="F121" s="34">
        <v>4</v>
      </c>
      <c r="G121" s="25">
        <v>9</v>
      </c>
      <c r="H121" s="25">
        <v>81462</v>
      </c>
      <c r="I121" s="34" t="s">
        <v>17</v>
      </c>
      <c r="J121" s="25">
        <v>52341018</v>
      </c>
      <c r="K121" s="25" t="s">
        <v>5051</v>
      </c>
      <c r="L121" s="50" t="s">
        <v>5053</v>
      </c>
      <c r="M121" s="26">
        <v>219900</v>
      </c>
      <c r="N121" s="22" t="s">
        <v>2569</v>
      </c>
      <c r="O121" s="34" t="s">
        <v>2586</v>
      </c>
      <c r="P121" s="22" t="s">
        <v>2569</v>
      </c>
    </row>
    <row r="122" spans="1:16" s="2" customFormat="1" x14ac:dyDescent="0.35">
      <c r="A122" s="34" t="s">
        <v>6514</v>
      </c>
      <c r="B122" s="35">
        <f t="shared" si="3"/>
        <v>46086</v>
      </c>
      <c r="C122" s="35">
        <f t="shared" si="4"/>
        <v>46092</v>
      </c>
      <c r="D122" s="34">
        <v>3287</v>
      </c>
      <c r="E122" s="34">
        <v>338</v>
      </c>
      <c r="F122" s="34">
        <v>4</v>
      </c>
      <c r="G122" s="25">
        <v>9</v>
      </c>
      <c r="H122" s="25">
        <v>81462</v>
      </c>
      <c r="I122" s="34" t="s">
        <v>17</v>
      </c>
      <c r="J122" s="25">
        <v>52341027</v>
      </c>
      <c r="K122" s="25" t="s">
        <v>5051</v>
      </c>
      <c r="L122" s="50" t="s">
        <v>5052</v>
      </c>
      <c r="M122" s="26">
        <v>219900</v>
      </c>
      <c r="N122" s="22" t="s">
        <v>2569</v>
      </c>
      <c r="O122" s="34" t="s">
        <v>2586</v>
      </c>
      <c r="P122" s="22" t="s">
        <v>2569</v>
      </c>
    </row>
    <row r="123" spans="1:16" s="2" customFormat="1" x14ac:dyDescent="0.35">
      <c r="A123" s="34" t="s">
        <v>6514</v>
      </c>
      <c r="B123" s="35">
        <f t="shared" si="3"/>
        <v>46086</v>
      </c>
      <c r="C123" s="35">
        <f t="shared" si="4"/>
        <v>46092</v>
      </c>
      <c r="D123" s="34">
        <v>3287</v>
      </c>
      <c r="E123" s="34">
        <v>338</v>
      </c>
      <c r="F123" s="34">
        <v>4</v>
      </c>
      <c r="G123" s="25">
        <v>9</v>
      </c>
      <c r="H123" s="25">
        <v>81462</v>
      </c>
      <c r="I123" s="34" t="s">
        <v>17</v>
      </c>
      <c r="J123" s="25">
        <v>52341036</v>
      </c>
      <c r="K123" s="25" t="s">
        <v>5051</v>
      </c>
      <c r="L123" s="50" t="s">
        <v>5057</v>
      </c>
      <c r="M123" s="26">
        <v>219900</v>
      </c>
      <c r="N123" s="22" t="s">
        <v>2569</v>
      </c>
      <c r="O123" s="34" t="s">
        <v>2586</v>
      </c>
      <c r="P123" s="22" t="s">
        <v>2569</v>
      </c>
    </row>
    <row r="124" spans="1:16" s="2" customFormat="1" x14ac:dyDescent="0.35">
      <c r="A124" s="34" t="s">
        <v>6514</v>
      </c>
      <c r="B124" s="35">
        <f t="shared" si="3"/>
        <v>46086</v>
      </c>
      <c r="C124" s="35">
        <f t="shared" si="4"/>
        <v>46092</v>
      </c>
      <c r="D124" s="34">
        <v>3287</v>
      </c>
      <c r="E124" s="34">
        <v>338</v>
      </c>
      <c r="F124" s="34">
        <v>4</v>
      </c>
      <c r="G124" s="25">
        <v>2</v>
      </c>
      <c r="H124" s="25">
        <v>81462</v>
      </c>
      <c r="I124" s="34" t="s">
        <v>17</v>
      </c>
      <c r="J124" s="25">
        <v>52340886</v>
      </c>
      <c r="K124" s="25" t="s">
        <v>4962</v>
      </c>
      <c r="L124" s="50" t="s">
        <v>4968</v>
      </c>
      <c r="M124" s="26">
        <v>219900</v>
      </c>
      <c r="N124" s="22" t="s">
        <v>2569</v>
      </c>
      <c r="O124" s="34" t="s">
        <v>2586</v>
      </c>
      <c r="P124" s="22" t="s">
        <v>2569</v>
      </c>
    </row>
    <row r="125" spans="1:16" s="2" customFormat="1" x14ac:dyDescent="0.35">
      <c r="A125" s="34" t="s">
        <v>6514</v>
      </c>
      <c r="B125" s="35">
        <f t="shared" si="3"/>
        <v>46086</v>
      </c>
      <c r="C125" s="35">
        <f t="shared" si="4"/>
        <v>46092</v>
      </c>
      <c r="D125" s="34">
        <v>3287</v>
      </c>
      <c r="E125" s="34">
        <v>338</v>
      </c>
      <c r="F125" s="34">
        <v>4</v>
      </c>
      <c r="G125" s="25">
        <v>2</v>
      </c>
      <c r="H125" s="25">
        <v>81462</v>
      </c>
      <c r="I125" s="34" t="s">
        <v>17</v>
      </c>
      <c r="J125" s="25">
        <v>52340895</v>
      </c>
      <c r="K125" s="25" t="s">
        <v>4962</v>
      </c>
      <c r="L125" s="50" t="s">
        <v>4965</v>
      </c>
      <c r="M125" s="26">
        <v>219900</v>
      </c>
      <c r="N125" s="22" t="s">
        <v>2569</v>
      </c>
      <c r="O125" s="34" t="s">
        <v>2586</v>
      </c>
      <c r="P125" s="22" t="s">
        <v>2569</v>
      </c>
    </row>
    <row r="126" spans="1:16" s="2" customFormat="1" x14ac:dyDescent="0.35">
      <c r="A126" s="34" t="s">
        <v>6514</v>
      </c>
      <c r="B126" s="35">
        <f t="shared" si="3"/>
        <v>46086</v>
      </c>
      <c r="C126" s="35">
        <f t="shared" si="4"/>
        <v>46092</v>
      </c>
      <c r="D126" s="34">
        <v>3287</v>
      </c>
      <c r="E126" s="34">
        <v>338</v>
      </c>
      <c r="F126" s="34">
        <v>4</v>
      </c>
      <c r="G126" s="25">
        <v>2</v>
      </c>
      <c r="H126" s="25">
        <v>81462</v>
      </c>
      <c r="I126" s="34" t="s">
        <v>17</v>
      </c>
      <c r="J126" s="25">
        <v>52340902</v>
      </c>
      <c r="K126" s="25" t="s">
        <v>4962</v>
      </c>
      <c r="L126" s="50" t="s">
        <v>4964</v>
      </c>
      <c r="M126" s="26">
        <v>219900</v>
      </c>
      <c r="N126" s="22" t="s">
        <v>2569</v>
      </c>
      <c r="O126" s="34" t="s">
        <v>2586</v>
      </c>
      <c r="P126" s="22" t="s">
        <v>2569</v>
      </c>
    </row>
    <row r="127" spans="1:16" s="2" customFormat="1" x14ac:dyDescent="0.35">
      <c r="A127" s="34" t="s">
        <v>6514</v>
      </c>
      <c r="B127" s="35">
        <f t="shared" si="3"/>
        <v>46086</v>
      </c>
      <c r="C127" s="35">
        <f t="shared" si="4"/>
        <v>46092</v>
      </c>
      <c r="D127" s="34">
        <v>3287</v>
      </c>
      <c r="E127" s="34">
        <v>338</v>
      </c>
      <c r="F127" s="34">
        <v>4</v>
      </c>
      <c r="G127" s="25">
        <v>2</v>
      </c>
      <c r="H127" s="25">
        <v>81462</v>
      </c>
      <c r="I127" s="34" t="s">
        <v>17</v>
      </c>
      <c r="J127" s="25">
        <v>52340911</v>
      </c>
      <c r="K127" s="25" t="s">
        <v>4962</v>
      </c>
      <c r="L127" s="50" t="s">
        <v>4963</v>
      </c>
      <c r="M127" s="26">
        <v>219900</v>
      </c>
      <c r="N127" s="22" t="s">
        <v>2569</v>
      </c>
      <c r="O127" s="34" t="s">
        <v>2586</v>
      </c>
      <c r="P127" s="22" t="s">
        <v>2569</v>
      </c>
    </row>
    <row r="128" spans="1:16" s="2" customFormat="1" x14ac:dyDescent="0.35">
      <c r="A128" s="34" t="s">
        <v>6514</v>
      </c>
      <c r="B128" s="35">
        <f t="shared" si="3"/>
        <v>46086</v>
      </c>
      <c r="C128" s="35">
        <f t="shared" si="4"/>
        <v>46092</v>
      </c>
      <c r="D128" s="34">
        <v>3287</v>
      </c>
      <c r="E128" s="34">
        <v>338</v>
      </c>
      <c r="F128" s="34">
        <v>4</v>
      </c>
      <c r="G128" s="25">
        <v>2</v>
      </c>
      <c r="H128" s="25">
        <v>81462</v>
      </c>
      <c r="I128" s="34" t="s">
        <v>17</v>
      </c>
      <c r="J128" s="25">
        <v>52340920</v>
      </c>
      <c r="K128" s="25" t="s">
        <v>4962</v>
      </c>
      <c r="L128" s="50" t="s">
        <v>4970</v>
      </c>
      <c r="M128" s="26">
        <v>219900</v>
      </c>
      <c r="N128" s="22" t="s">
        <v>2569</v>
      </c>
      <c r="O128" s="34" t="s">
        <v>2586</v>
      </c>
      <c r="P128" s="22" t="s">
        <v>2569</v>
      </c>
    </row>
    <row r="129" spans="1:16" s="2" customFormat="1" x14ac:dyDescent="0.35">
      <c r="A129" s="34" t="s">
        <v>6514</v>
      </c>
      <c r="B129" s="35">
        <f t="shared" si="3"/>
        <v>46086</v>
      </c>
      <c r="C129" s="35">
        <f t="shared" si="4"/>
        <v>46092</v>
      </c>
      <c r="D129" s="34">
        <v>3287</v>
      </c>
      <c r="E129" s="34">
        <v>338</v>
      </c>
      <c r="F129" s="34">
        <v>4</v>
      </c>
      <c r="G129" s="25">
        <v>2</v>
      </c>
      <c r="H129" s="25">
        <v>81462</v>
      </c>
      <c r="I129" s="34" t="s">
        <v>17</v>
      </c>
      <c r="J129" s="25">
        <v>52340939</v>
      </c>
      <c r="K129" s="25" t="s">
        <v>4962</v>
      </c>
      <c r="L129" s="50" t="s">
        <v>4969</v>
      </c>
      <c r="M129" s="26">
        <v>219900</v>
      </c>
      <c r="N129" s="22" t="s">
        <v>2569</v>
      </c>
      <c r="O129" s="34" t="s">
        <v>2586</v>
      </c>
      <c r="P129" s="22" t="s">
        <v>2569</v>
      </c>
    </row>
    <row r="130" spans="1:16" s="2" customFormat="1" x14ac:dyDescent="0.35">
      <c r="A130" s="34" t="s">
        <v>6514</v>
      </c>
      <c r="B130" s="35">
        <f t="shared" si="3"/>
        <v>46086</v>
      </c>
      <c r="C130" s="35">
        <f t="shared" si="4"/>
        <v>46092</v>
      </c>
      <c r="D130" s="34">
        <v>3287</v>
      </c>
      <c r="E130" s="34">
        <v>338</v>
      </c>
      <c r="F130" s="34">
        <v>4</v>
      </c>
      <c r="G130" s="25">
        <v>2</v>
      </c>
      <c r="H130" s="25">
        <v>81462</v>
      </c>
      <c r="I130" s="34" t="s">
        <v>17</v>
      </c>
      <c r="J130" s="25">
        <v>52340948</v>
      </c>
      <c r="K130" s="25" t="s">
        <v>4962</v>
      </c>
      <c r="L130" s="50" t="s">
        <v>4966</v>
      </c>
      <c r="M130" s="26">
        <v>219900</v>
      </c>
      <c r="N130" s="22" t="s">
        <v>2569</v>
      </c>
      <c r="O130" s="34" t="s">
        <v>2586</v>
      </c>
      <c r="P130" s="22" t="s">
        <v>2569</v>
      </c>
    </row>
    <row r="131" spans="1:16" s="2" customFormat="1" x14ac:dyDescent="0.35">
      <c r="A131" s="34" t="s">
        <v>6514</v>
      </c>
      <c r="B131" s="35">
        <f t="shared" si="3"/>
        <v>46086</v>
      </c>
      <c r="C131" s="35">
        <f t="shared" si="4"/>
        <v>46092</v>
      </c>
      <c r="D131" s="34">
        <v>3287</v>
      </c>
      <c r="E131" s="34">
        <v>338</v>
      </c>
      <c r="F131" s="34">
        <v>4</v>
      </c>
      <c r="G131" s="25">
        <v>2</v>
      </c>
      <c r="H131" s="25">
        <v>81462</v>
      </c>
      <c r="I131" s="34" t="s">
        <v>17</v>
      </c>
      <c r="J131" s="25">
        <v>52340957</v>
      </c>
      <c r="K131" s="25" t="s">
        <v>4962</v>
      </c>
      <c r="L131" s="50" t="s">
        <v>4967</v>
      </c>
      <c r="M131" s="26">
        <v>219900</v>
      </c>
      <c r="N131" s="22" t="s">
        <v>2569</v>
      </c>
      <c r="O131" s="34" t="s">
        <v>2586</v>
      </c>
      <c r="P131" s="22" t="s">
        <v>2569</v>
      </c>
    </row>
    <row r="132" spans="1:16" s="2" customFormat="1" x14ac:dyDescent="0.35">
      <c r="A132" s="34" t="s">
        <v>6514</v>
      </c>
      <c r="B132" s="35">
        <f t="shared" si="3"/>
        <v>46086</v>
      </c>
      <c r="C132" s="35">
        <f t="shared" si="4"/>
        <v>46092</v>
      </c>
      <c r="D132" s="34">
        <v>3287</v>
      </c>
      <c r="E132" s="34">
        <v>338</v>
      </c>
      <c r="F132" s="34">
        <v>4</v>
      </c>
      <c r="G132" s="25">
        <v>8</v>
      </c>
      <c r="H132" s="25">
        <v>81462</v>
      </c>
      <c r="I132" s="34" t="s">
        <v>17</v>
      </c>
      <c r="J132" s="25">
        <v>52544773</v>
      </c>
      <c r="K132" s="25" t="s">
        <v>5060</v>
      </c>
      <c r="L132" s="50" t="s">
        <v>5064</v>
      </c>
      <c r="M132" s="26">
        <v>119900</v>
      </c>
      <c r="N132" s="22" t="s">
        <v>2569</v>
      </c>
      <c r="O132" s="34" t="s">
        <v>2586</v>
      </c>
      <c r="P132" s="22" t="s">
        <v>2569</v>
      </c>
    </row>
    <row r="133" spans="1:16" s="2" customFormat="1" x14ac:dyDescent="0.35">
      <c r="A133" s="34" t="s">
        <v>6514</v>
      </c>
      <c r="B133" s="35">
        <f t="shared" si="3"/>
        <v>46086</v>
      </c>
      <c r="C133" s="35">
        <f t="shared" si="4"/>
        <v>46092</v>
      </c>
      <c r="D133" s="34">
        <v>3287</v>
      </c>
      <c r="E133" s="34">
        <v>338</v>
      </c>
      <c r="F133" s="34">
        <v>4</v>
      </c>
      <c r="G133" s="25">
        <v>8</v>
      </c>
      <c r="H133" s="25">
        <v>81462</v>
      </c>
      <c r="I133" s="34" t="s">
        <v>17</v>
      </c>
      <c r="J133" s="25">
        <v>52547805</v>
      </c>
      <c r="K133" s="25" t="s">
        <v>5060</v>
      </c>
      <c r="L133" s="50" t="s">
        <v>5062</v>
      </c>
      <c r="M133" s="26">
        <v>119900</v>
      </c>
      <c r="N133" s="22" t="s">
        <v>2569</v>
      </c>
      <c r="O133" s="34" t="s">
        <v>2586</v>
      </c>
      <c r="P133" s="22" t="s">
        <v>2569</v>
      </c>
    </row>
    <row r="134" spans="1:16" s="2" customFormat="1" x14ac:dyDescent="0.35">
      <c r="A134" s="34" t="s">
        <v>6514</v>
      </c>
      <c r="B134" s="35">
        <f t="shared" si="3"/>
        <v>46086</v>
      </c>
      <c r="C134" s="35">
        <f t="shared" si="4"/>
        <v>46092</v>
      </c>
      <c r="D134" s="34">
        <v>3287</v>
      </c>
      <c r="E134" s="34">
        <v>338</v>
      </c>
      <c r="F134" s="34">
        <v>4</v>
      </c>
      <c r="G134" s="25">
        <v>8</v>
      </c>
      <c r="H134" s="25">
        <v>81462</v>
      </c>
      <c r="I134" s="34" t="s">
        <v>17</v>
      </c>
      <c r="J134" s="25">
        <v>52547814</v>
      </c>
      <c r="K134" s="25" t="s">
        <v>5060</v>
      </c>
      <c r="L134" s="50" t="s">
        <v>5061</v>
      </c>
      <c r="M134" s="26">
        <v>119900</v>
      </c>
      <c r="N134" s="22" t="s">
        <v>2569</v>
      </c>
      <c r="O134" s="34" t="s">
        <v>2586</v>
      </c>
      <c r="P134" s="22" t="s">
        <v>2569</v>
      </c>
    </row>
    <row r="135" spans="1:16" s="2" customFormat="1" x14ac:dyDescent="0.35">
      <c r="A135" s="34" t="s">
        <v>6514</v>
      </c>
      <c r="B135" s="35">
        <f t="shared" si="3"/>
        <v>46086</v>
      </c>
      <c r="C135" s="35">
        <f t="shared" si="4"/>
        <v>46092</v>
      </c>
      <c r="D135" s="34">
        <v>3287</v>
      </c>
      <c r="E135" s="34">
        <v>338</v>
      </c>
      <c r="F135" s="34">
        <v>4</v>
      </c>
      <c r="G135" s="25">
        <v>8</v>
      </c>
      <c r="H135" s="25">
        <v>81462</v>
      </c>
      <c r="I135" s="34" t="s">
        <v>17</v>
      </c>
      <c r="J135" s="25">
        <v>52547823</v>
      </c>
      <c r="K135" s="25" t="s">
        <v>5060</v>
      </c>
      <c r="L135" s="50" t="s">
        <v>5063</v>
      </c>
      <c r="M135" s="26">
        <v>119900</v>
      </c>
      <c r="N135" s="22" t="s">
        <v>2569</v>
      </c>
      <c r="O135" s="34" t="s">
        <v>2586</v>
      </c>
      <c r="P135" s="22" t="s">
        <v>2569</v>
      </c>
    </row>
    <row r="136" spans="1:16" s="2" customFormat="1" x14ac:dyDescent="0.35">
      <c r="A136" s="34" t="s">
        <v>6514</v>
      </c>
      <c r="B136" s="35">
        <f t="shared" si="3"/>
        <v>46086</v>
      </c>
      <c r="C136" s="35">
        <f t="shared" si="4"/>
        <v>46092</v>
      </c>
      <c r="D136" s="34">
        <v>3287</v>
      </c>
      <c r="E136" s="34">
        <v>338</v>
      </c>
      <c r="F136" s="34">
        <v>4</v>
      </c>
      <c r="G136" s="25">
        <v>1</v>
      </c>
      <c r="H136" s="25">
        <v>81462</v>
      </c>
      <c r="I136" s="34" t="s">
        <v>17</v>
      </c>
      <c r="J136" s="25">
        <v>51395678</v>
      </c>
      <c r="K136" s="25" t="s">
        <v>4957</v>
      </c>
      <c r="L136" s="50" t="s">
        <v>4959</v>
      </c>
      <c r="M136" s="26">
        <v>119900</v>
      </c>
      <c r="N136" s="22" t="s">
        <v>2569</v>
      </c>
      <c r="O136" s="34" t="s">
        <v>2586</v>
      </c>
      <c r="P136" s="22" t="s">
        <v>2569</v>
      </c>
    </row>
    <row r="137" spans="1:16" s="2" customFormat="1" x14ac:dyDescent="0.35">
      <c r="A137" s="34" t="s">
        <v>6514</v>
      </c>
      <c r="B137" s="35">
        <f t="shared" si="3"/>
        <v>46086</v>
      </c>
      <c r="C137" s="35">
        <f t="shared" si="4"/>
        <v>46092</v>
      </c>
      <c r="D137" s="34">
        <v>3287</v>
      </c>
      <c r="E137" s="34">
        <v>338</v>
      </c>
      <c r="F137" s="34">
        <v>4</v>
      </c>
      <c r="G137" s="25">
        <v>1</v>
      </c>
      <c r="H137" s="25">
        <v>81462</v>
      </c>
      <c r="I137" s="34" t="s">
        <v>17</v>
      </c>
      <c r="J137" s="25">
        <v>51395687</v>
      </c>
      <c r="K137" s="25" t="s">
        <v>4957</v>
      </c>
      <c r="L137" s="50" t="s">
        <v>4958</v>
      </c>
      <c r="M137" s="26">
        <v>119900</v>
      </c>
      <c r="N137" s="22" t="s">
        <v>2569</v>
      </c>
      <c r="O137" s="34" t="s">
        <v>2586</v>
      </c>
      <c r="P137" s="22" t="s">
        <v>2569</v>
      </c>
    </row>
    <row r="138" spans="1:16" s="2" customFormat="1" x14ac:dyDescent="0.35">
      <c r="A138" s="34" t="s">
        <v>6514</v>
      </c>
      <c r="B138" s="35">
        <f t="shared" si="3"/>
        <v>46086</v>
      </c>
      <c r="C138" s="35">
        <f t="shared" si="4"/>
        <v>46092</v>
      </c>
      <c r="D138" s="34">
        <v>3287</v>
      </c>
      <c r="E138" s="34">
        <v>338</v>
      </c>
      <c r="F138" s="34">
        <v>4</v>
      </c>
      <c r="G138" s="25">
        <v>1</v>
      </c>
      <c r="H138" s="25">
        <v>81462</v>
      </c>
      <c r="I138" s="34" t="s">
        <v>17</v>
      </c>
      <c r="J138" s="25">
        <v>51395696</v>
      </c>
      <c r="K138" s="25" t="s">
        <v>4957</v>
      </c>
      <c r="L138" s="50" t="s">
        <v>4960</v>
      </c>
      <c r="M138" s="26">
        <v>119900</v>
      </c>
      <c r="N138" s="22" t="s">
        <v>2569</v>
      </c>
      <c r="O138" s="34" t="s">
        <v>2586</v>
      </c>
      <c r="P138" s="22" t="s">
        <v>2569</v>
      </c>
    </row>
    <row r="139" spans="1:16" s="2" customFormat="1" x14ac:dyDescent="0.35">
      <c r="A139" s="34" t="s">
        <v>6514</v>
      </c>
      <c r="B139" s="35">
        <f t="shared" si="3"/>
        <v>46086</v>
      </c>
      <c r="C139" s="35">
        <f t="shared" si="4"/>
        <v>46092</v>
      </c>
      <c r="D139" s="34">
        <v>3287</v>
      </c>
      <c r="E139" s="34">
        <v>338</v>
      </c>
      <c r="F139" s="34">
        <v>4</v>
      </c>
      <c r="G139" s="25">
        <v>1</v>
      </c>
      <c r="H139" s="25">
        <v>81462</v>
      </c>
      <c r="I139" s="34" t="s">
        <v>17</v>
      </c>
      <c r="J139" s="25">
        <v>51395703</v>
      </c>
      <c r="K139" s="25" t="s">
        <v>4957</v>
      </c>
      <c r="L139" s="50" t="s">
        <v>4961</v>
      </c>
      <c r="M139" s="26">
        <v>119900</v>
      </c>
      <c r="N139" s="22" t="s">
        <v>2569</v>
      </c>
      <c r="O139" s="34" t="s">
        <v>2586</v>
      </c>
      <c r="P139" s="22" t="s">
        <v>2569</v>
      </c>
    </row>
    <row r="140" spans="1:16" s="2" customFormat="1" x14ac:dyDescent="0.35">
      <c r="A140" s="34" t="s">
        <v>6514</v>
      </c>
      <c r="B140" s="35">
        <f t="shared" si="3"/>
        <v>46086</v>
      </c>
      <c r="C140" s="35">
        <f t="shared" si="4"/>
        <v>46092</v>
      </c>
      <c r="D140" s="34">
        <v>3287</v>
      </c>
      <c r="E140" s="34">
        <v>338</v>
      </c>
      <c r="F140" s="34">
        <v>4</v>
      </c>
      <c r="G140" s="25">
        <v>3</v>
      </c>
      <c r="H140" s="25">
        <v>81462</v>
      </c>
      <c r="I140" s="34" t="s">
        <v>17</v>
      </c>
      <c r="J140" s="25">
        <v>51943076</v>
      </c>
      <c r="K140" s="25" t="s">
        <v>4976</v>
      </c>
      <c r="L140" s="50" t="s">
        <v>4980</v>
      </c>
      <c r="M140" s="26">
        <v>119900</v>
      </c>
      <c r="N140" s="22" t="s">
        <v>2569</v>
      </c>
      <c r="O140" s="34" t="s">
        <v>2586</v>
      </c>
      <c r="P140" s="22" t="s">
        <v>2569</v>
      </c>
    </row>
    <row r="141" spans="1:16" s="2" customFormat="1" x14ac:dyDescent="0.35">
      <c r="A141" s="34" t="s">
        <v>6514</v>
      </c>
      <c r="B141" s="35">
        <f t="shared" si="3"/>
        <v>46086</v>
      </c>
      <c r="C141" s="35">
        <f t="shared" si="4"/>
        <v>46092</v>
      </c>
      <c r="D141" s="34">
        <v>3287</v>
      </c>
      <c r="E141" s="34">
        <v>338</v>
      </c>
      <c r="F141" s="34">
        <v>4</v>
      </c>
      <c r="G141" s="25">
        <v>3</v>
      </c>
      <c r="H141" s="25">
        <v>81462</v>
      </c>
      <c r="I141" s="34" t="s">
        <v>17</v>
      </c>
      <c r="J141" s="25">
        <v>51943085</v>
      </c>
      <c r="K141" s="25" t="s">
        <v>4976</v>
      </c>
      <c r="L141" s="50" t="s">
        <v>4977</v>
      </c>
      <c r="M141" s="26">
        <v>119900</v>
      </c>
      <c r="N141" s="22" t="s">
        <v>2569</v>
      </c>
      <c r="O141" s="34" t="s">
        <v>2586</v>
      </c>
      <c r="P141" s="22" t="s">
        <v>2569</v>
      </c>
    </row>
    <row r="142" spans="1:16" s="2" customFormat="1" x14ac:dyDescent="0.35">
      <c r="A142" s="34" t="s">
        <v>6514</v>
      </c>
      <c r="B142" s="35">
        <f t="shared" si="3"/>
        <v>46086</v>
      </c>
      <c r="C142" s="35">
        <f t="shared" si="4"/>
        <v>46092</v>
      </c>
      <c r="D142" s="34">
        <v>3287</v>
      </c>
      <c r="E142" s="34">
        <v>338</v>
      </c>
      <c r="F142" s="34">
        <v>4</v>
      </c>
      <c r="G142" s="25">
        <v>3</v>
      </c>
      <c r="H142" s="25">
        <v>81462</v>
      </c>
      <c r="I142" s="34" t="s">
        <v>17</v>
      </c>
      <c r="J142" s="25">
        <v>51943094</v>
      </c>
      <c r="K142" s="25" t="s">
        <v>4976</v>
      </c>
      <c r="L142" s="50" t="s">
        <v>4978</v>
      </c>
      <c r="M142" s="26">
        <v>119900</v>
      </c>
      <c r="N142" s="22" t="s">
        <v>2569</v>
      </c>
      <c r="O142" s="34" t="s">
        <v>2586</v>
      </c>
      <c r="P142" s="22" t="s">
        <v>2569</v>
      </c>
    </row>
    <row r="143" spans="1:16" s="2" customFormat="1" x14ac:dyDescent="0.35">
      <c r="A143" s="34" t="s">
        <v>6514</v>
      </c>
      <c r="B143" s="35">
        <f t="shared" si="3"/>
        <v>46086</v>
      </c>
      <c r="C143" s="35">
        <f t="shared" si="4"/>
        <v>46092</v>
      </c>
      <c r="D143" s="34">
        <v>3287</v>
      </c>
      <c r="E143" s="34">
        <v>338</v>
      </c>
      <c r="F143" s="34">
        <v>4</v>
      </c>
      <c r="G143" s="25">
        <v>3</v>
      </c>
      <c r="H143" s="25">
        <v>81462</v>
      </c>
      <c r="I143" s="34" t="s">
        <v>17</v>
      </c>
      <c r="J143" s="25">
        <v>51943101</v>
      </c>
      <c r="K143" s="25" t="s">
        <v>4976</v>
      </c>
      <c r="L143" s="50" t="s">
        <v>4979</v>
      </c>
      <c r="M143" s="26">
        <v>119900</v>
      </c>
      <c r="N143" s="22" t="s">
        <v>2569</v>
      </c>
      <c r="O143" s="34" t="s">
        <v>2586</v>
      </c>
      <c r="P143" s="22" t="s">
        <v>2569</v>
      </c>
    </row>
    <row r="144" spans="1:16" s="2" customFormat="1" x14ac:dyDescent="0.35">
      <c r="A144" s="34" t="s">
        <v>6514</v>
      </c>
      <c r="B144" s="35">
        <f t="shared" si="3"/>
        <v>46086</v>
      </c>
      <c r="C144" s="35">
        <f t="shared" si="4"/>
        <v>46092</v>
      </c>
      <c r="D144" s="34">
        <v>3287</v>
      </c>
      <c r="E144" s="34">
        <v>338</v>
      </c>
      <c r="F144" s="34">
        <v>4</v>
      </c>
      <c r="G144" s="25">
        <v>3</v>
      </c>
      <c r="H144" s="25">
        <v>81574</v>
      </c>
      <c r="I144" s="34" t="s">
        <v>17</v>
      </c>
      <c r="J144" s="25">
        <v>51395838</v>
      </c>
      <c r="K144" s="25" t="s">
        <v>4971</v>
      </c>
      <c r="L144" s="50" t="s">
        <v>4975</v>
      </c>
      <c r="M144" s="26">
        <v>119900</v>
      </c>
      <c r="N144" s="22" t="s">
        <v>2569</v>
      </c>
      <c r="O144" s="34" t="s">
        <v>2586</v>
      </c>
      <c r="P144" s="22" t="s">
        <v>2569</v>
      </c>
    </row>
    <row r="145" spans="1:16" s="2" customFormat="1" x14ac:dyDescent="0.35">
      <c r="A145" s="34" t="s">
        <v>6514</v>
      </c>
      <c r="B145" s="35">
        <f t="shared" si="3"/>
        <v>46086</v>
      </c>
      <c r="C145" s="35">
        <f t="shared" si="4"/>
        <v>46092</v>
      </c>
      <c r="D145" s="34">
        <v>3287</v>
      </c>
      <c r="E145" s="34">
        <v>338</v>
      </c>
      <c r="F145" s="34">
        <v>4</v>
      </c>
      <c r="G145" s="25">
        <v>3</v>
      </c>
      <c r="H145" s="25">
        <v>81574</v>
      </c>
      <c r="I145" s="34" t="s">
        <v>17</v>
      </c>
      <c r="J145" s="25">
        <v>51395847</v>
      </c>
      <c r="K145" s="25" t="s">
        <v>4971</v>
      </c>
      <c r="L145" s="50" t="s">
        <v>4972</v>
      </c>
      <c r="M145" s="26">
        <v>119900</v>
      </c>
      <c r="N145" s="22" t="s">
        <v>2569</v>
      </c>
      <c r="O145" s="34" t="s">
        <v>2586</v>
      </c>
      <c r="P145" s="22" t="s">
        <v>2569</v>
      </c>
    </row>
    <row r="146" spans="1:16" s="2" customFormat="1" x14ac:dyDescent="0.35">
      <c r="A146" s="34" t="s">
        <v>6514</v>
      </c>
      <c r="B146" s="35">
        <f t="shared" si="3"/>
        <v>46086</v>
      </c>
      <c r="C146" s="35">
        <f t="shared" si="4"/>
        <v>46092</v>
      </c>
      <c r="D146" s="34">
        <v>3287</v>
      </c>
      <c r="E146" s="34">
        <v>338</v>
      </c>
      <c r="F146" s="34">
        <v>4</v>
      </c>
      <c r="G146" s="25">
        <v>3</v>
      </c>
      <c r="H146" s="25">
        <v>81574</v>
      </c>
      <c r="I146" s="34" t="s">
        <v>17</v>
      </c>
      <c r="J146" s="25">
        <v>51395856</v>
      </c>
      <c r="K146" s="25" t="s">
        <v>4971</v>
      </c>
      <c r="L146" s="50" t="s">
        <v>4974</v>
      </c>
      <c r="M146" s="26">
        <v>119900</v>
      </c>
      <c r="N146" s="22" t="s">
        <v>2569</v>
      </c>
      <c r="O146" s="34" t="s">
        <v>2586</v>
      </c>
      <c r="P146" s="22" t="s">
        <v>2569</v>
      </c>
    </row>
    <row r="147" spans="1:16" s="2" customFormat="1" x14ac:dyDescent="0.35">
      <c r="A147" s="34" t="s">
        <v>6514</v>
      </c>
      <c r="B147" s="35">
        <f t="shared" si="3"/>
        <v>46086</v>
      </c>
      <c r="C147" s="35">
        <f t="shared" si="4"/>
        <v>46092</v>
      </c>
      <c r="D147" s="34">
        <v>3287</v>
      </c>
      <c r="E147" s="34">
        <v>338</v>
      </c>
      <c r="F147" s="34">
        <v>4</v>
      </c>
      <c r="G147" s="25">
        <v>3</v>
      </c>
      <c r="H147" s="25">
        <v>81574</v>
      </c>
      <c r="I147" s="34" t="s">
        <v>17</v>
      </c>
      <c r="J147" s="25">
        <v>51395865</v>
      </c>
      <c r="K147" s="25" t="s">
        <v>4971</v>
      </c>
      <c r="L147" s="50" t="s">
        <v>4973</v>
      </c>
      <c r="M147" s="26">
        <v>119900</v>
      </c>
      <c r="N147" s="22" t="s">
        <v>2569</v>
      </c>
      <c r="O147" s="34" t="s">
        <v>2586</v>
      </c>
      <c r="P147" s="22" t="s">
        <v>2569</v>
      </c>
    </row>
    <row r="148" spans="1:16" s="2" customFormat="1" x14ac:dyDescent="0.35">
      <c r="A148" s="34" t="s">
        <v>6514</v>
      </c>
      <c r="B148" s="35">
        <f t="shared" ref="B148:B211" si="5">B147</f>
        <v>46086</v>
      </c>
      <c r="C148" s="35">
        <f t="shared" ref="C148:C211" si="6">C147</f>
        <v>46092</v>
      </c>
      <c r="D148" s="34">
        <v>3287</v>
      </c>
      <c r="E148" s="34">
        <v>338</v>
      </c>
      <c r="F148" s="34">
        <v>4</v>
      </c>
      <c r="G148" s="25">
        <v>8</v>
      </c>
      <c r="H148" s="25">
        <v>81462</v>
      </c>
      <c r="I148" s="34" t="s">
        <v>17</v>
      </c>
      <c r="J148" s="25">
        <v>52547832</v>
      </c>
      <c r="K148" s="25" t="s">
        <v>5065</v>
      </c>
      <c r="L148" s="50" t="s">
        <v>5069</v>
      </c>
      <c r="M148" s="26">
        <v>119900</v>
      </c>
      <c r="N148" s="22" t="s">
        <v>2569</v>
      </c>
      <c r="O148" s="34" t="s">
        <v>2586</v>
      </c>
      <c r="P148" s="22" t="s">
        <v>2569</v>
      </c>
    </row>
    <row r="149" spans="1:16" s="2" customFormat="1" x14ac:dyDescent="0.35">
      <c r="A149" s="34" t="s">
        <v>6514</v>
      </c>
      <c r="B149" s="35">
        <f t="shared" si="5"/>
        <v>46086</v>
      </c>
      <c r="C149" s="35">
        <f t="shared" si="6"/>
        <v>46092</v>
      </c>
      <c r="D149" s="34">
        <v>3287</v>
      </c>
      <c r="E149" s="34">
        <v>338</v>
      </c>
      <c r="F149" s="34">
        <v>4</v>
      </c>
      <c r="G149" s="25">
        <v>8</v>
      </c>
      <c r="H149" s="25">
        <v>81462</v>
      </c>
      <c r="I149" s="34" t="s">
        <v>17</v>
      </c>
      <c r="J149" s="25">
        <v>52547841</v>
      </c>
      <c r="K149" s="25" t="s">
        <v>5065</v>
      </c>
      <c r="L149" s="50" t="s">
        <v>5068</v>
      </c>
      <c r="M149" s="26">
        <v>119900</v>
      </c>
      <c r="N149" s="22" t="s">
        <v>2569</v>
      </c>
      <c r="O149" s="34" t="s">
        <v>2586</v>
      </c>
      <c r="P149" s="22" t="s">
        <v>2569</v>
      </c>
    </row>
    <row r="150" spans="1:16" s="2" customFormat="1" x14ac:dyDescent="0.35">
      <c r="A150" s="34" t="s">
        <v>6514</v>
      </c>
      <c r="B150" s="35">
        <f t="shared" si="5"/>
        <v>46086</v>
      </c>
      <c r="C150" s="35">
        <f t="shared" si="6"/>
        <v>46092</v>
      </c>
      <c r="D150" s="34">
        <v>3287</v>
      </c>
      <c r="E150" s="34">
        <v>338</v>
      </c>
      <c r="F150" s="34">
        <v>4</v>
      </c>
      <c r="G150" s="25">
        <v>8</v>
      </c>
      <c r="H150" s="25">
        <v>81462</v>
      </c>
      <c r="I150" s="34" t="s">
        <v>17</v>
      </c>
      <c r="J150" s="25">
        <v>52547850</v>
      </c>
      <c r="K150" s="25" t="s">
        <v>5065</v>
      </c>
      <c r="L150" s="50" t="s">
        <v>5066</v>
      </c>
      <c r="M150" s="26">
        <v>119900</v>
      </c>
      <c r="N150" s="22" t="s">
        <v>2569</v>
      </c>
      <c r="O150" s="34" t="s">
        <v>2586</v>
      </c>
      <c r="P150" s="22" t="s">
        <v>2569</v>
      </c>
    </row>
    <row r="151" spans="1:16" s="2" customFormat="1" x14ac:dyDescent="0.35">
      <c r="A151" s="34" t="s">
        <v>6514</v>
      </c>
      <c r="B151" s="35">
        <f t="shared" si="5"/>
        <v>46086</v>
      </c>
      <c r="C151" s="35">
        <f t="shared" si="6"/>
        <v>46092</v>
      </c>
      <c r="D151" s="34">
        <v>3287</v>
      </c>
      <c r="E151" s="34">
        <v>338</v>
      </c>
      <c r="F151" s="34">
        <v>4</v>
      </c>
      <c r="G151" s="25">
        <v>8</v>
      </c>
      <c r="H151" s="25">
        <v>81462</v>
      </c>
      <c r="I151" s="34" t="s">
        <v>17</v>
      </c>
      <c r="J151" s="25">
        <v>52547869</v>
      </c>
      <c r="K151" s="25" t="s">
        <v>5065</v>
      </c>
      <c r="L151" s="50" t="s">
        <v>5067</v>
      </c>
      <c r="M151" s="26">
        <v>119900</v>
      </c>
      <c r="N151" s="22" t="s">
        <v>2569</v>
      </c>
      <c r="O151" s="34" t="s">
        <v>2586</v>
      </c>
      <c r="P151" s="22" t="s">
        <v>2569</v>
      </c>
    </row>
    <row r="152" spans="1:16" s="2" customFormat="1" x14ac:dyDescent="0.35">
      <c r="A152" s="34" t="s">
        <v>6514</v>
      </c>
      <c r="B152" s="35">
        <f t="shared" si="5"/>
        <v>46086</v>
      </c>
      <c r="C152" s="35">
        <f t="shared" si="6"/>
        <v>46092</v>
      </c>
      <c r="D152" s="34">
        <v>3287</v>
      </c>
      <c r="E152" s="34">
        <v>338</v>
      </c>
      <c r="F152" s="34">
        <v>4</v>
      </c>
      <c r="G152" s="25">
        <v>7</v>
      </c>
      <c r="H152" s="25">
        <v>81827</v>
      </c>
      <c r="I152" s="34" t="s">
        <v>17</v>
      </c>
      <c r="J152" s="25">
        <v>51630369</v>
      </c>
      <c r="K152" s="25" t="s">
        <v>5685</v>
      </c>
      <c r="L152" s="50" t="s">
        <v>5690</v>
      </c>
      <c r="M152" s="26">
        <v>35900</v>
      </c>
      <c r="N152" s="22" t="s">
        <v>2569</v>
      </c>
      <c r="O152" s="34" t="s">
        <v>2586</v>
      </c>
      <c r="P152" s="22" t="s">
        <v>2569</v>
      </c>
    </row>
    <row r="153" spans="1:16" s="2" customFormat="1" x14ac:dyDescent="0.35">
      <c r="A153" s="34" t="s">
        <v>6514</v>
      </c>
      <c r="B153" s="35">
        <f t="shared" si="5"/>
        <v>46086</v>
      </c>
      <c r="C153" s="35">
        <f t="shared" si="6"/>
        <v>46092</v>
      </c>
      <c r="D153" s="34">
        <v>3287</v>
      </c>
      <c r="E153" s="34">
        <v>338</v>
      </c>
      <c r="F153" s="34">
        <v>4</v>
      </c>
      <c r="G153" s="25">
        <v>7</v>
      </c>
      <c r="H153" s="25">
        <v>81827</v>
      </c>
      <c r="I153" s="34" t="s">
        <v>17</v>
      </c>
      <c r="J153" s="25">
        <v>51630378</v>
      </c>
      <c r="K153" s="25" t="s">
        <v>5685</v>
      </c>
      <c r="L153" s="50" t="s">
        <v>5686</v>
      </c>
      <c r="M153" s="26">
        <v>35900</v>
      </c>
      <c r="N153" s="22" t="s">
        <v>2569</v>
      </c>
      <c r="O153" s="34" t="s">
        <v>2586</v>
      </c>
      <c r="P153" s="22" t="s">
        <v>2569</v>
      </c>
    </row>
    <row r="154" spans="1:16" s="2" customFormat="1" x14ac:dyDescent="0.35">
      <c r="A154" s="34" t="s">
        <v>6514</v>
      </c>
      <c r="B154" s="35">
        <f t="shared" si="5"/>
        <v>46086</v>
      </c>
      <c r="C154" s="35">
        <f t="shared" si="6"/>
        <v>46092</v>
      </c>
      <c r="D154" s="34">
        <v>3287</v>
      </c>
      <c r="E154" s="34">
        <v>338</v>
      </c>
      <c r="F154" s="34">
        <v>4</v>
      </c>
      <c r="G154" s="25">
        <v>7</v>
      </c>
      <c r="H154" s="25">
        <v>81827</v>
      </c>
      <c r="I154" s="34" t="s">
        <v>17</v>
      </c>
      <c r="J154" s="25">
        <v>51630387</v>
      </c>
      <c r="K154" s="25" t="s">
        <v>5687</v>
      </c>
      <c r="L154" s="50" t="s">
        <v>5688</v>
      </c>
      <c r="M154" s="26">
        <v>35900</v>
      </c>
      <c r="N154" s="22" t="s">
        <v>2569</v>
      </c>
      <c r="O154" s="34" t="s">
        <v>2586</v>
      </c>
      <c r="P154" s="22" t="s">
        <v>2569</v>
      </c>
    </row>
    <row r="155" spans="1:16" s="2" customFormat="1" x14ac:dyDescent="0.35">
      <c r="A155" s="34" t="s">
        <v>6514</v>
      </c>
      <c r="B155" s="35">
        <f t="shared" si="5"/>
        <v>46086</v>
      </c>
      <c r="C155" s="35">
        <f t="shared" si="6"/>
        <v>46092</v>
      </c>
      <c r="D155" s="34">
        <v>3287</v>
      </c>
      <c r="E155" s="34">
        <v>338</v>
      </c>
      <c r="F155" s="34">
        <v>4</v>
      </c>
      <c r="G155" s="25">
        <v>7</v>
      </c>
      <c r="H155" s="25">
        <v>81827</v>
      </c>
      <c r="I155" s="34" t="s">
        <v>17</v>
      </c>
      <c r="J155" s="25">
        <v>51630396</v>
      </c>
      <c r="K155" s="25" t="s">
        <v>5687</v>
      </c>
      <c r="L155" s="50" t="s">
        <v>5689</v>
      </c>
      <c r="M155" s="26">
        <v>35900</v>
      </c>
      <c r="N155" s="22" t="s">
        <v>2569</v>
      </c>
      <c r="O155" s="34" t="s">
        <v>2586</v>
      </c>
      <c r="P155" s="22" t="s">
        <v>2569</v>
      </c>
    </row>
    <row r="156" spans="1:16" s="2" customFormat="1" x14ac:dyDescent="0.35">
      <c r="A156" s="34" t="s">
        <v>6514</v>
      </c>
      <c r="B156" s="35">
        <f t="shared" si="5"/>
        <v>46086</v>
      </c>
      <c r="C156" s="35">
        <f t="shared" si="6"/>
        <v>46092</v>
      </c>
      <c r="D156" s="34">
        <v>3287</v>
      </c>
      <c r="E156" s="34">
        <v>338</v>
      </c>
      <c r="F156" s="34">
        <v>4</v>
      </c>
      <c r="G156" s="25">
        <v>7</v>
      </c>
      <c r="H156" s="25">
        <v>81827</v>
      </c>
      <c r="I156" s="34" t="s">
        <v>17</v>
      </c>
      <c r="J156" s="25">
        <v>51630627</v>
      </c>
      <c r="K156" s="25" t="s">
        <v>5691</v>
      </c>
      <c r="L156" s="50" t="s">
        <v>5704</v>
      </c>
      <c r="M156" s="26">
        <v>35900</v>
      </c>
      <c r="N156" s="22" t="s">
        <v>2569</v>
      </c>
      <c r="O156" s="34" t="s">
        <v>2586</v>
      </c>
      <c r="P156" s="22" t="s">
        <v>2569</v>
      </c>
    </row>
    <row r="157" spans="1:16" s="2" customFormat="1" x14ac:dyDescent="0.35">
      <c r="A157" s="34" t="s">
        <v>6514</v>
      </c>
      <c r="B157" s="35">
        <f t="shared" si="5"/>
        <v>46086</v>
      </c>
      <c r="C157" s="35">
        <f t="shared" si="6"/>
        <v>46092</v>
      </c>
      <c r="D157" s="34">
        <v>3287</v>
      </c>
      <c r="E157" s="34">
        <v>338</v>
      </c>
      <c r="F157" s="34">
        <v>4</v>
      </c>
      <c r="G157" s="25">
        <v>7</v>
      </c>
      <c r="H157" s="25">
        <v>81827</v>
      </c>
      <c r="I157" s="34" t="s">
        <v>17</v>
      </c>
      <c r="J157" s="25">
        <v>51630636</v>
      </c>
      <c r="K157" s="25" t="s">
        <v>5691</v>
      </c>
      <c r="L157" s="50" t="s">
        <v>5692</v>
      </c>
      <c r="M157" s="26">
        <v>35900</v>
      </c>
      <c r="N157" s="22" t="s">
        <v>2569</v>
      </c>
      <c r="O157" s="34" t="s">
        <v>2586</v>
      </c>
      <c r="P157" s="22" t="s">
        <v>2569</v>
      </c>
    </row>
    <row r="158" spans="1:16" s="2" customFormat="1" x14ac:dyDescent="0.35">
      <c r="A158" s="34" t="s">
        <v>6514</v>
      </c>
      <c r="B158" s="35">
        <f t="shared" si="5"/>
        <v>46086</v>
      </c>
      <c r="C158" s="35">
        <f t="shared" si="6"/>
        <v>46092</v>
      </c>
      <c r="D158" s="34">
        <v>3287</v>
      </c>
      <c r="E158" s="34">
        <v>338</v>
      </c>
      <c r="F158" s="34">
        <v>4</v>
      </c>
      <c r="G158" s="25">
        <v>7</v>
      </c>
      <c r="H158" s="25">
        <v>81827</v>
      </c>
      <c r="I158" s="34" t="s">
        <v>17</v>
      </c>
      <c r="J158" s="25">
        <v>51630645</v>
      </c>
      <c r="K158" s="25" t="s">
        <v>5693</v>
      </c>
      <c r="L158" s="50" t="s">
        <v>5702</v>
      </c>
      <c r="M158" s="26">
        <v>35900</v>
      </c>
      <c r="N158" s="22" t="s">
        <v>2569</v>
      </c>
      <c r="O158" s="34" t="s">
        <v>2586</v>
      </c>
      <c r="P158" s="22" t="s">
        <v>2569</v>
      </c>
    </row>
    <row r="159" spans="1:16" s="2" customFormat="1" x14ac:dyDescent="0.35">
      <c r="A159" s="34" t="s">
        <v>6514</v>
      </c>
      <c r="B159" s="35">
        <f t="shared" si="5"/>
        <v>46086</v>
      </c>
      <c r="C159" s="35">
        <f t="shared" si="6"/>
        <v>46092</v>
      </c>
      <c r="D159" s="34">
        <v>3287</v>
      </c>
      <c r="E159" s="34">
        <v>338</v>
      </c>
      <c r="F159" s="34">
        <v>4</v>
      </c>
      <c r="G159" s="25">
        <v>7</v>
      </c>
      <c r="H159" s="25">
        <v>81827</v>
      </c>
      <c r="I159" s="34" t="s">
        <v>17</v>
      </c>
      <c r="J159" s="25">
        <v>51630654</v>
      </c>
      <c r="K159" s="25" t="s">
        <v>5693</v>
      </c>
      <c r="L159" s="50" t="s">
        <v>5694</v>
      </c>
      <c r="M159" s="26">
        <v>35900</v>
      </c>
      <c r="N159" s="22" t="s">
        <v>2569</v>
      </c>
      <c r="O159" s="34" t="s">
        <v>2586</v>
      </c>
      <c r="P159" s="22" t="s">
        <v>2569</v>
      </c>
    </row>
    <row r="160" spans="1:16" s="2" customFormat="1" x14ac:dyDescent="0.35">
      <c r="A160" s="34" t="s">
        <v>6514</v>
      </c>
      <c r="B160" s="35">
        <f t="shared" si="5"/>
        <v>46086</v>
      </c>
      <c r="C160" s="35">
        <f t="shared" si="6"/>
        <v>46092</v>
      </c>
      <c r="D160" s="34">
        <v>3287</v>
      </c>
      <c r="E160" s="34">
        <v>338</v>
      </c>
      <c r="F160" s="34">
        <v>4</v>
      </c>
      <c r="G160" s="25">
        <v>7</v>
      </c>
      <c r="H160" s="25">
        <v>81827</v>
      </c>
      <c r="I160" s="34" t="s">
        <v>17</v>
      </c>
      <c r="J160" s="25">
        <v>52659499</v>
      </c>
      <c r="K160" s="25" t="s">
        <v>5695</v>
      </c>
      <c r="L160" s="50" t="s">
        <v>5696</v>
      </c>
      <c r="M160" s="26">
        <v>35900</v>
      </c>
      <c r="N160" s="22" t="s">
        <v>2569</v>
      </c>
      <c r="O160" s="34" t="s">
        <v>2586</v>
      </c>
      <c r="P160" s="22" t="s">
        <v>2569</v>
      </c>
    </row>
    <row r="161" spans="1:16" s="2" customFormat="1" x14ac:dyDescent="0.35">
      <c r="A161" s="34" t="s">
        <v>6514</v>
      </c>
      <c r="B161" s="35">
        <f t="shared" si="5"/>
        <v>46086</v>
      </c>
      <c r="C161" s="35">
        <f t="shared" si="6"/>
        <v>46092</v>
      </c>
      <c r="D161" s="34">
        <v>3287</v>
      </c>
      <c r="E161" s="34">
        <v>338</v>
      </c>
      <c r="F161" s="34">
        <v>4</v>
      </c>
      <c r="G161" s="25">
        <v>7</v>
      </c>
      <c r="H161" s="25">
        <v>81827</v>
      </c>
      <c r="I161" s="34" t="s">
        <v>17</v>
      </c>
      <c r="J161" s="25">
        <v>52659506</v>
      </c>
      <c r="K161" s="25" t="s">
        <v>5695</v>
      </c>
      <c r="L161" s="50" t="s">
        <v>5705</v>
      </c>
      <c r="M161" s="26">
        <v>35900</v>
      </c>
      <c r="N161" s="22" t="s">
        <v>2569</v>
      </c>
      <c r="O161" s="34" t="s">
        <v>2586</v>
      </c>
      <c r="P161" s="22" t="s">
        <v>2569</v>
      </c>
    </row>
    <row r="162" spans="1:16" s="2" customFormat="1" x14ac:dyDescent="0.35">
      <c r="A162" s="34" t="s">
        <v>6514</v>
      </c>
      <c r="B162" s="35">
        <f t="shared" si="5"/>
        <v>46086</v>
      </c>
      <c r="C162" s="35">
        <f t="shared" si="6"/>
        <v>46092</v>
      </c>
      <c r="D162" s="34">
        <v>3287</v>
      </c>
      <c r="E162" s="34">
        <v>338</v>
      </c>
      <c r="F162" s="34">
        <v>4</v>
      </c>
      <c r="G162" s="25">
        <v>7</v>
      </c>
      <c r="H162" s="25">
        <v>81470</v>
      </c>
      <c r="I162" s="34" t="s">
        <v>17</v>
      </c>
      <c r="J162" s="25">
        <v>52341063</v>
      </c>
      <c r="K162" s="25" t="s">
        <v>5676</v>
      </c>
      <c r="L162" s="50" t="s">
        <v>5677</v>
      </c>
      <c r="M162" s="26">
        <v>35900</v>
      </c>
      <c r="N162" s="22" t="s">
        <v>2569</v>
      </c>
      <c r="O162" s="34" t="s">
        <v>2586</v>
      </c>
      <c r="P162" s="22" t="s">
        <v>2569</v>
      </c>
    </row>
    <row r="163" spans="1:16" s="2" customFormat="1" x14ac:dyDescent="0.35">
      <c r="A163" s="34" t="s">
        <v>6514</v>
      </c>
      <c r="B163" s="35">
        <f t="shared" si="5"/>
        <v>46086</v>
      </c>
      <c r="C163" s="35">
        <f t="shared" si="6"/>
        <v>46092</v>
      </c>
      <c r="D163" s="34">
        <v>3287</v>
      </c>
      <c r="E163" s="34">
        <v>338</v>
      </c>
      <c r="F163" s="34">
        <v>4</v>
      </c>
      <c r="G163" s="25">
        <v>7</v>
      </c>
      <c r="H163" s="25">
        <v>81470</v>
      </c>
      <c r="I163" s="34" t="s">
        <v>17</v>
      </c>
      <c r="J163" s="25">
        <v>52341072</v>
      </c>
      <c r="K163" s="25" t="s">
        <v>5676</v>
      </c>
      <c r="L163" s="50" t="s">
        <v>5678</v>
      </c>
      <c r="M163" s="26">
        <v>35900</v>
      </c>
      <c r="N163" s="22" t="s">
        <v>2569</v>
      </c>
      <c r="O163" s="34" t="s">
        <v>2586</v>
      </c>
      <c r="P163" s="22" t="s">
        <v>2569</v>
      </c>
    </row>
    <row r="164" spans="1:16" s="2" customFormat="1" x14ac:dyDescent="0.35">
      <c r="A164" s="34" t="s">
        <v>6514</v>
      </c>
      <c r="B164" s="35">
        <f t="shared" si="5"/>
        <v>46086</v>
      </c>
      <c r="C164" s="35">
        <f t="shared" si="6"/>
        <v>46092</v>
      </c>
      <c r="D164" s="34">
        <v>3287</v>
      </c>
      <c r="E164" s="34">
        <v>338</v>
      </c>
      <c r="F164" s="34">
        <v>4</v>
      </c>
      <c r="G164" s="25">
        <v>7</v>
      </c>
      <c r="H164" s="25">
        <v>81827</v>
      </c>
      <c r="I164" s="34" t="s">
        <v>17</v>
      </c>
      <c r="J164" s="25">
        <v>52659453</v>
      </c>
      <c r="K164" s="25" t="s">
        <v>5706</v>
      </c>
      <c r="L164" s="50" t="s">
        <v>5707</v>
      </c>
      <c r="M164" s="26">
        <v>35900</v>
      </c>
      <c r="N164" s="22" t="s">
        <v>2569</v>
      </c>
      <c r="O164" s="34" t="s">
        <v>2586</v>
      </c>
      <c r="P164" s="22" t="s">
        <v>2569</v>
      </c>
    </row>
    <row r="165" spans="1:16" s="2" customFormat="1" x14ac:dyDescent="0.35">
      <c r="A165" s="34" t="s">
        <v>6514</v>
      </c>
      <c r="B165" s="35">
        <f t="shared" si="5"/>
        <v>46086</v>
      </c>
      <c r="C165" s="35">
        <f t="shared" si="6"/>
        <v>46092</v>
      </c>
      <c r="D165" s="34">
        <v>3287</v>
      </c>
      <c r="E165" s="34">
        <v>338</v>
      </c>
      <c r="F165" s="34">
        <v>4</v>
      </c>
      <c r="G165" s="25">
        <v>7</v>
      </c>
      <c r="H165" s="25">
        <v>81827</v>
      </c>
      <c r="I165" s="34" t="s">
        <v>17</v>
      </c>
      <c r="J165" s="25">
        <v>52659462</v>
      </c>
      <c r="K165" s="25" t="s">
        <v>5706</v>
      </c>
      <c r="L165" s="50" t="s">
        <v>5708</v>
      </c>
      <c r="M165" s="26">
        <v>35900</v>
      </c>
      <c r="N165" s="22" t="s">
        <v>2569</v>
      </c>
      <c r="O165" s="34" t="s">
        <v>2586</v>
      </c>
      <c r="P165" s="22" t="s">
        <v>2569</v>
      </c>
    </row>
    <row r="166" spans="1:16" s="2" customFormat="1" x14ac:dyDescent="0.35">
      <c r="A166" s="34" t="s">
        <v>6514</v>
      </c>
      <c r="B166" s="35">
        <f t="shared" si="5"/>
        <v>46086</v>
      </c>
      <c r="C166" s="35">
        <f t="shared" si="6"/>
        <v>46092</v>
      </c>
      <c r="D166" s="34">
        <v>3287</v>
      </c>
      <c r="E166" s="34">
        <v>338</v>
      </c>
      <c r="F166" s="34">
        <v>4</v>
      </c>
      <c r="G166" s="25">
        <v>7</v>
      </c>
      <c r="H166" s="25">
        <v>81470</v>
      </c>
      <c r="I166" s="34" t="s">
        <v>17</v>
      </c>
      <c r="J166" s="25">
        <v>52341045</v>
      </c>
      <c r="K166" s="25" t="s">
        <v>5679</v>
      </c>
      <c r="L166" s="50" t="s">
        <v>5680</v>
      </c>
      <c r="M166" s="26">
        <v>35900</v>
      </c>
      <c r="N166" s="22" t="s">
        <v>2569</v>
      </c>
      <c r="O166" s="34" t="s">
        <v>2586</v>
      </c>
      <c r="P166" s="22" t="s">
        <v>2569</v>
      </c>
    </row>
    <row r="167" spans="1:16" s="2" customFormat="1" x14ac:dyDescent="0.35">
      <c r="A167" s="34" t="s">
        <v>6514</v>
      </c>
      <c r="B167" s="35">
        <f t="shared" si="5"/>
        <v>46086</v>
      </c>
      <c r="C167" s="35">
        <f t="shared" si="6"/>
        <v>46092</v>
      </c>
      <c r="D167" s="34">
        <v>3287</v>
      </c>
      <c r="E167" s="34">
        <v>338</v>
      </c>
      <c r="F167" s="34">
        <v>4</v>
      </c>
      <c r="G167" s="25">
        <v>7</v>
      </c>
      <c r="H167" s="25">
        <v>81470</v>
      </c>
      <c r="I167" s="34" t="s">
        <v>17</v>
      </c>
      <c r="J167" s="25">
        <v>52341054</v>
      </c>
      <c r="K167" s="25" t="s">
        <v>5679</v>
      </c>
      <c r="L167" s="50" t="s">
        <v>5683</v>
      </c>
      <c r="M167" s="26">
        <v>35900</v>
      </c>
      <c r="N167" s="22" t="s">
        <v>2569</v>
      </c>
      <c r="O167" s="34" t="s">
        <v>2586</v>
      </c>
      <c r="P167" s="22" t="s">
        <v>2569</v>
      </c>
    </row>
    <row r="168" spans="1:16" s="2" customFormat="1" x14ac:dyDescent="0.35">
      <c r="A168" s="34" t="s">
        <v>6514</v>
      </c>
      <c r="B168" s="35">
        <f t="shared" si="5"/>
        <v>46086</v>
      </c>
      <c r="C168" s="35">
        <f t="shared" si="6"/>
        <v>46092</v>
      </c>
      <c r="D168" s="34">
        <v>3287</v>
      </c>
      <c r="E168" s="34">
        <v>338</v>
      </c>
      <c r="F168" s="34">
        <v>4</v>
      </c>
      <c r="G168" s="25">
        <v>7</v>
      </c>
      <c r="H168" s="25">
        <v>81827</v>
      </c>
      <c r="I168" s="34" t="s">
        <v>17</v>
      </c>
      <c r="J168" s="25">
        <v>51630681</v>
      </c>
      <c r="K168" s="25" t="s">
        <v>5697</v>
      </c>
      <c r="L168" s="50" t="s">
        <v>5698</v>
      </c>
      <c r="M168" s="26">
        <v>35900</v>
      </c>
      <c r="N168" s="22" t="s">
        <v>2569</v>
      </c>
      <c r="O168" s="34" t="s">
        <v>2586</v>
      </c>
      <c r="P168" s="22" t="s">
        <v>2569</v>
      </c>
    </row>
    <row r="169" spans="1:16" s="2" customFormat="1" x14ac:dyDescent="0.35">
      <c r="A169" s="34" t="s">
        <v>6514</v>
      </c>
      <c r="B169" s="35">
        <f t="shared" si="5"/>
        <v>46086</v>
      </c>
      <c r="C169" s="35">
        <f t="shared" si="6"/>
        <v>46092</v>
      </c>
      <c r="D169" s="34">
        <v>3287</v>
      </c>
      <c r="E169" s="34">
        <v>338</v>
      </c>
      <c r="F169" s="34">
        <v>4</v>
      </c>
      <c r="G169" s="25">
        <v>7</v>
      </c>
      <c r="H169" s="25">
        <v>81827</v>
      </c>
      <c r="I169" s="34" t="s">
        <v>17</v>
      </c>
      <c r="J169" s="25">
        <v>51630690</v>
      </c>
      <c r="K169" s="25" t="s">
        <v>5697</v>
      </c>
      <c r="L169" s="50" t="s">
        <v>5703</v>
      </c>
      <c r="M169" s="26">
        <v>35900</v>
      </c>
      <c r="N169" s="22" t="s">
        <v>2569</v>
      </c>
      <c r="O169" s="34" t="s">
        <v>2586</v>
      </c>
      <c r="P169" s="22" t="s">
        <v>2569</v>
      </c>
    </row>
    <row r="170" spans="1:16" s="2" customFormat="1" x14ac:dyDescent="0.35">
      <c r="A170" s="34" t="s">
        <v>6514</v>
      </c>
      <c r="B170" s="35">
        <f t="shared" si="5"/>
        <v>46086</v>
      </c>
      <c r="C170" s="35">
        <f t="shared" si="6"/>
        <v>46092</v>
      </c>
      <c r="D170" s="34">
        <v>3287</v>
      </c>
      <c r="E170" s="34">
        <v>338</v>
      </c>
      <c r="F170" s="34">
        <v>4</v>
      </c>
      <c r="G170" s="25">
        <v>7</v>
      </c>
      <c r="H170" s="25">
        <v>81470</v>
      </c>
      <c r="I170" s="34" t="s">
        <v>17</v>
      </c>
      <c r="J170" s="25">
        <v>52341081</v>
      </c>
      <c r="K170" s="25" t="s">
        <v>5681</v>
      </c>
      <c r="L170" s="50" t="s">
        <v>5684</v>
      </c>
      <c r="M170" s="26">
        <v>35900</v>
      </c>
      <c r="N170" s="22" t="s">
        <v>2569</v>
      </c>
      <c r="O170" s="34" t="s">
        <v>2586</v>
      </c>
      <c r="P170" s="22" t="s">
        <v>2569</v>
      </c>
    </row>
    <row r="171" spans="1:16" s="2" customFormat="1" x14ac:dyDescent="0.35">
      <c r="A171" s="34" t="s">
        <v>6514</v>
      </c>
      <c r="B171" s="35">
        <f t="shared" si="5"/>
        <v>46086</v>
      </c>
      <c r="C171" s="35">
        <f t="shared" si="6"/>
        <v>46092</v>
      </c>
      <c r="D171" s="34">
        <v>3287</v>
      </c>
      <c r="E171" s="34">
        <v>338</v>
      </c>
      <c r="F171" s="34">
        <v>4</v>
      </c>
      <c r="G171" s="25">
        <v>7</v>
      </c>
      <c r="H171" s="25">
        <v>81470</v>
      </c>
      <c r="I171" s="34" t="s">
        <v>17</v>
      </c>
      <c r="J171" s="25">
        <v>52341090</v>
      </c>
      <c r="K171" s="25" t="s">
        <v>5681</v>
      </c>
      <c r="L171" s="50" t="s">
        <v>5682</v>
      </c>
      <c r="M171" s="26">
        <v>35900</v>
      </c>
      <c r="N171" s="22" t="s">
        <v>2569</v>
      </c>
      <c r="O171" s="34" t="s">
        <v>2586</v>
      </c>
      <c r="P171" s="22" t="s">
        <v>2569</v>
      </c>
    </row>
    <row r="172" spans="1:16" s="2" customFormat="1" x14ac:dyDescent="0.35">
      <c r="A172" s="34" t="s">
        <v>6514</v>
      </c>
      <c r="B172" s="35">
        <f t="shared" si="5"/>
        <v>46086</v>
      </c>
      <c r="C172" s="35">
        <f t="shared" si="6"/>
        <v>46092</v>
      </c>
      <c r="D172" s="34">
        <v>3287</v>
      </c>
      <c r="E172" s="34">
        <v>338</v>
      </c>
      <c r="F172" s="34">
        <v>4</v>
      </c>
      <c r="G172" s="25">
        <v>7</v>
      </c>
      <c r="H172" s="25">
        <v>81827</v>
      </c>
      <c r="I172" s="34" t="s">
        <v>17</v>
      </c>
      <c r="J172" s="25">
        <v>52659471</v>
      </c>
      <c r="K172" s="25" t="s">
        <v>5699</v>
      </c>
      <c r="L172" s="50" t="s">
        <v>5701</v>
      </c>
      <c r="M172" s="26">
        <v>35900</v>
      </c>
      <c r="N172" s="22" t="s">
        <v>2569</v>
      </c>
      <c r="O172" s="34" t="s">
        <v>2586</v>
      </c>
      <c r="P172" s="22" t="s">
        <v>2569</v>
      </c>
    </row>
    <row r="173" spans="1:16" s="2" customFormat="1" x14ac:dyDescent="0.35">
      <c r="A173" s="34" t="s">
        <v>6514</v>
      </c>
      <c r="B173" s="35">
        <f t="shared" si="5"/>
        <v>46086</v>
      </c>
      <c r="C173" s="35">
        <f t="shared" si="6"/>
        <v>46092</v>
      </c>
      <c r="D173" s="34">
        <v>3287</v>
      </c>
      <c r="E173" s="34">
        <v>338</v>
      </c>
      <c r="F173" s="34">
        <v>4</v>
      </c>
      <c r="G173" s="25">
        <v>7</v>
      </c>
      <c r="H173" s="25">
        <v>81827</v>
      </c>
      <c r="I173" s="34" t="s">
        <v>17</v>
      </c>
      <c r="J173" s="25">
        <v>52659480</v>
      </c>
      <c r="K173" s="25" t="s">
        <v>5699</v>
      </c>
      <c r="L173" s="50" t="s">
        <v>5700</v>
      </c>
      <c r="M173" s="26">
        <v>35900</v>
      </c>
      <c r="N173" s="22" t="s">
        <v>2569</v>
      </c>
      <c r="O173" s="34" t="s">
        <v>2586</v>
      </c>
      <c r="P173" s="22" t="s">
        <v>2569</v>
      </c>
    </row>
    <row r="174" spans="1:16" s="2" customFormat="1" x14ac:dyDescent="0.35">
      <c r="A174" s="34" t="s">
        <v>6514</v>
      </c>
      <c r="B174" s="35">
        <f t="shared" si="5"/>
        <v>46086</v>
      </c>
      <c r="C174" s="35">
        <f t="shared" si="6"/>
        <v>46092</v>
      </c>
      <c r="D174" s="34">
        <v>3287</v>
      </c>
      <c r="E174" s="34">
        <v>338</v>
      </c>
      <c r="F174" s="34">
        <v>4</v>
      </c>
      <c r="G174" s="25">
        <v>9</v>
      </c>
      <c r="H174" s="25">
        <v>81462</v>
      </c>
      <c r="I174" s="34" t="s">
        <v>17</v>
      </c>
      <c r="J174" s="25">
        <v>53174831</v>
      </c>
      <c r="K174" s="25" t="s">
        <v>5709</v>
      </c>
      <c r="L174" s="50" t="s">
        <v>5713</v>
      </c>
      <c r="M174" s="26">
        <v>239900</v>
      </c>
      <c r="N174" s="22" t="s">
        <v>2569</v>
      </c>
      <c r="O174" s="34" t="s">
        <v>2586</v>
      </c>
      <c r="P174" s="22" t="s">
        <v>2569</v>
      </c>
    </row>
    <row r="175" spans="1:16" s="2" customFormat="1" x14ac:dyDescent="0.35">
      <c r="A175" s="34" t="s">
        <v>6514</v>
      </c>
      <c r="B175" s="35">
        <f t="shared" si="5"/>
        <v>46086</v>
      </c>
      <c r="C175" s="35">
        <f t="shared" si="6"/>
        <v>46092</v>
      </c>
      <c r="D175" s="34">
        <v>3287</v>
      </c>
      <c r="E175" s="34">
        <v>338</v>
      </c>
      <c r="F175" s="34">
        <v>4</v>
      </c>
      <c r="G175" s="25">
        <v>9</v>
      </c>
      <c r="H175" s="25">
        <v>81462</v>
      </c>
      <c r="I175" s="34" t="s">
        <v>17</v>
      </c>
      <c r="J175" s="25">
        <v>53174840</v>
      </c>
      <c r="K175" s="25" t="s">
        <v>5709</v>
      </c>
      <c r="L175" s="50" t="s">
        <v>5711</v>
      </c>
      <c r="M175" s="26">
        <v>239900</v>
      </c>
      <c r="N175" s="22" t="s">
        <v>2569</v>
      </c>
      <c r="O175" s="34" t="s">
        <v>2586</v>
      </c>
      <c r="P175" s="22" t="s">
        <v>2569</v>
      </c>
    </row>
    <row r="176" spans="1:16" s="2" customFormat="1" x14ac:dyDescent="0.35">
      <c r="A176" s="34" t="s">
        <v>6514</v>
      </c>
      <c r="B176" s="35">
        <f t="shared" si="5"/>
        <v>46086</v>
      </c>
      <c r="C176" s="35">
        <f t="shared" si="6"/>
        <v>46092</v>
      </c>
      <c r="D176" s="34">
        <v>3287</v>
      </c>
      <c r="E176" s="34">
        <v>338</v>
      </c>
      <c r="F176" s="34">
        <v>4</v>
      </c>
      <c r="G176" s="25">
        <v>9</v>
      </c>
      <c r="H176" s="25">
        <v>81462</v>
      </c>
      <c r="I176" s="34" t="s">
        <v>17</v>
      </c>
      <c r="J176" s="25">
        <v>53174859</v>
      </c>
      <c r="K176" s="25" t="s">
        <v>5709</v>
      </c>
      <c r="L176" s="50" t="s">
        <v>5712</v>
      </c>
      <c r="M176" s="26">
        <v>239900</v>
      </c>
      <c r="N176" s="22" t="s">
        <v>2569</v>
      </c>
      <c r="O176" s="34" t="s">
        <v>2586</v>
      </c>
      <c r="P176" s="22" t="s">
        <v>2569</v>
      </c>
    </row>
    <row r="177" spans="1:16" s="2" customFormat="1" x14ac:dyDescent="0.35">
      <c r="A177" s="34" t="s">
        <v>6514</v>
      </c>
      <c r="B177" s="35">
        <f t="shared" si="5"/>
        <v>46086</v>
      </c>
      <c r="C177" s="35">
        <f t="shared" si="6"/>
        <v>46092</v>
      </c>
      <c r="D177" s="34">
        <v>3287</v>
      </c>
      <c r="E177" s="34">
        <v>338</v>
      </c>
      <c r="F177" s="34">
        <v>4</v>
      </c>
      <c r="G177" s="25">
        <v>9</v>
      </c>
      <c r="H177" s="25">
        <v>81462</v>
      </c>
      <c r="I177" s="34" t="s">
        <v>17</v>
      </c>
      <c r="J177" s="25">
        <v>53174868</v>
      </c>
      <c r="K177" s="25" t="s">
        <v>5709</v>
      </c>
      <c r="L177" s="50" t="s">
        <v>5710</v>
      </c>
      <c r="M177" s="26">
        <v>239900</v>
      </c>
      <c r="N177" s="22" t="s">
        <v>2569</v>
      </c>
      <c r="O177" s="34" t="s">
        <v>2586</v>
      </c>
      <c r="P177" s="22" t="s">
        <v>2569</v>
      </c>
    </row>
    <row r="178" spans="1:16" s="2" customFormat="1" x14ac:dyDescent="0.35">
      <c r="A178" s="34" t="s">
        <v>6514</v>
      </c>
      <c r="B178" s="35">
        <f t="shared" si="5"/>
        <v>46086</v>
      </c>
      <c r="C178" s="35">
        <f t="shared" si="6"/>
        <v>46092</v>
      </c>
      <c r="D178" s="34">
        <v>3287</v>
      </c>
      <c r="E178" s="34">
        <v>338</v>
      </c>
      <c r="F178" s="34">
        <v>4</v>
      </c>
      <c r="G178" s="25">
        <v>9</v>
      </c>
      <c r="H178" s="25">
        <v>81462</v>
      </c>
      <c r="I178" s="34" t="s">
        <v>17</v>
      </c>
      <c r="J178" s="25">
        <v>53174877</v>
      </c>
      <c r="K178" s="25" t="s">
        <v>5709</v>
      </c>
      <c r="L178" s="50" t="s">
        <v>6549</v>
      </c>
      <c r="M178" s="26">
        <v>239900</v>
      </c>
      <c r="N178" s="22" t="s">
        <v>2569</v>
      </c>
      <c r="O178" s="34" t="s">
        <v>2586</v>
      </c>
      <c r="P178" s="22" t="s">
        <v>2569</v>
      </c>
    </row>
    <row r="179" spans="1:16" s="2" customFormat="1" x14ac:dyDescent="0.35">
      <c r="A179" s="34" t="s">
        <v>6514</v>
      </c>
      <c r="B179" s="35">
        <f t="shared" si="5"/>
        <v>46086</v>
      </c>
      <c r="C179" s="35">
        <f t="shared" si="6"/>
        <v>46092</v>
      </c>
      <c r="D179" s="34">
        <v>3287</v>
      </c>
      <c r="E179" s="34">
        <v>338</v>
      </c>
      <c r="F179" s="34">
        <v>4</v>
      </c>
      <c r="G179" s="25">
        <v>9</v>
      </c>
      <c r="H179" s="25">
        <v>81462</v>
      </c>
      <c r="I179" s="34" t="s">
        <v>17</v>
      </c>
      <c r="J179" s="25">
        <v>53174886</v>
      </c>
      <c r="K179" s="25" t="s">
        <v>5709</v>
      </c>
      <c r="L179" s="50" t="s">
        <v>6550</v>
      </c>
      <c r="M179" s="26">
        <v>239900</v>
      </c>
      <c r="N179" s="22" t="s">
        <v>2569</v>
      </c>
      <c r="O179" s="34" t="s">
        <v>2586</v>
      </c>
      <c r="P179" s="22" t="s">
        <v>2569</v>
      </c>
    </row>
    <row r="180" spans="1:16" s="2" customFormat="1" x14ac:dyDescent="0.35">
      <c r="A180" s="34" t="s">
        <v>6514</v>
      </c>
      <c r="B180" s="35">
        <f t="shared" si="5"/>
        <v>46086</v>
      </c>
      <c r="C180" s="35">
        <f t="shared" si="6"/>
        <v>46092</v>
      </c>
      <c r="D180" s="34">
        <v>3287</v>
      </c>
      <c r="E180" s="34">
        <v>338</v>
      </c>
      <c r="F180" s="34">
        <v>4</v>
      </c>
      <c r="G180" s="25">
        <v>9</v>
      </c>
      <c r="H180" s="25">
        <v>81462</v>
      </c>
      <c r="I180" s="34" t="s">
        <v>17</v>
      </c>
      <c r="J180" s="25">
        <v>53174895</v>
      </c>
      <c r="K180" s="25" t="s">
        <v>5709</v>
      </c>
      <c r="L180" s="50" t="s">
        <v>6551</v>
      </c>
      <c r="M180" s="26">
        <v>239900</v>
      </c>
      <c r="N180" s="22" t="s">
        <v>2569</v>
      </c>
      <c r="O180" s="34" t="s">
        <v>2586</v>
      </c>
      <c r="P180" s="22" t="s">
        <v>2569</v>
      </c>
    </row>
    <row r="181" spans="1:16" s="2" customFormat="1" x14ac:dyDescent="0.35">
      <c r="A181" s="34" t="s">
        <v>6514</v>
      </c>
      <c r="B181" s="35">
        <f t="shared" si="5"/>
        <v>46086</v>
      </c>
      <c r="C181" s="35">
        <f t="shared" si="6"/>
        <v>46092</v>
      </c>
      <c r="D181" s="34">
        <v>3287</v>
      </c>
      <c r="E181" s="34">
        <v>338</v>
      </c>
      <c r="F181" s="34">
        <v>4</v>
      </c>
      <c r="G181" s="25">
        <v>9</v>
      </c>
      <c r="H181" s="25">
        <v>81462</v>
      </c>
      <c r="I181" s="34" t="s">
        <v>17</v>
      </c>
      <c r="J181" s="25">
        <v>53174902</v>
      </c>
      <c r="K181" s="25" t="s">
        <v>5709</v>
      </c>
      <c r="L181" s="50" t="s">
        <v>6552</v>
      </c>
      <c r="M181" s="26">
        <v>239900</v>
      </c>
      <c r="N181" s="22" t="s">
        <v>2569</v>
      </c>
      <c r="O181" s="34" t="s">
        <v>2586</v>
      </c>
      <c r="P181" s="22" t="s">
        <v>2569</v>
      </c>
    </row>
    <row r="182" spans="1:16" s="2" customFormat="1" x14ac:dyDescent="0.35">
      <c r="A182" s="34" t="s">
        <v>6514</v>
      </c>
      <c r="B182" s="35">
        <f t="shared" si="5"/>
        <v>46086</v>
      </c>
      <c r="C182" s="35">
        <f t="shared" si="6"/>
        <v>46092</v>
      </c>
      <c r="D182" s="34">
        <v>3287</v>
      </c>
      <c r="E182" s="34">
        <v>338</v>
      </c>
      <c r="F182" s="34">
        <v>4</v>
      </c>
      <c r="G182" s="25">
        <v>8</v>
      </c>
      <c r="H182" s="25">
        <v>81462</v>
      </c>
      <c r="I182" s="34" t="s">
        <v>17</v>
      </c>
      <c r="J182" s="25">
        <v>53160659</v>
      </c>
      <c r="K182" s="25" t="s">
        <v>6553</v>
      </c>
      <c r="L182" s="50" t="s">
        <v>6554</v>
      </c>
      <c r="M182" s="26">
        <v>119900</v>
      </c>
      <c r="N182" s="22" t="s">
        <v>2569</v>
      </c>
      <c r="O182" s="34" t="s">
        <v>2586</v>
      </c>
      <c r="P182" s="22" t="s">
        <v>2569</v>
      </c>
    </row>
    <row r="183" spans="1:16" s="2" customFormat="1" x14ac:dyDescent="0.35">
      <c r="A183" s="34" t="s">
        <v>6514</v>
      </c>
      <c r="B183" s="35">
        <f t="shared" si="5"/>
        <v>46086</v>
      </c>
      <c r="C183" s="35">
        <f t="shared" si="6"/>
        <v>46092</v>
      </c>
      <c r="D183" s="34">
        <v>3287</v>
      </c>
      <c r="E183" s="34">
        <v>338</v>
      </c>
      <c r="F183" s="34">
        <v>4</v>
      </c>
      <c r="G183" s="25">
        <v>8</v>
      </c>
      <c r="H183" s="25">
        <v>81462</v>
      </c>
      <c r="I183" s="34" t="s">
        <v>17</v>
      </c>
      <c r="J183" s="25">
        <v>53160668</v>
      </c>
      <c r="K183" s="25" t="s">
        <v>6553</v>
      </c>
      <c r="L183" s="50" t="s">
        <v>6555</v>
      </c>
      <c r="M183" s="26">
        <v>119900</v>
      </c>
      <c r="N183" s="22" t="s">
        <v>2569</v>
      </c>
      <c r="O183" s="34" t="s">
        <v>2586</v>
      </c>
      <c r="P183" s="22" t="s">
        <v>2569</v>
      </c>
    </row>
    <row r="184" spans="1:16" s="2" customFormat="1" x14ac:dyDescent="0.35">
      <c r="A184" s="34" t="s">
        <v>6514</v>
      </c>
      <c r="B184" s="35">
        <f t="shared" si="5"/>
        <v>46086</v>
      </c>
      <c r="C184" s="35">
        <f t="shared" si="6"/>
        <v>46092</v>
      </c>
      <c r="D184" s="34">
        <v>3287</v>
      </c>
      <c r="E184" s="34">
        <v>338</v>
      </c>
      <c r="F184" s="34">
        <v>4</v>
      </c>
      <c r="G184" s="25">
        <v>8</v>
      </c>
      <c r="H184" s="25">
        <v>81462</v>
      </c>
      <c r="I184" s="34" t="s">
        <v>17</v>
      </c>
      <c r="J184" s="25">
        <v>53160677</v>
      </c>
      <c r="K184" s="25" t="s">
        <v>6553</v>
      </c>
      <c r="L184" s="50" t="s">
        <v>6556</v>
      </c>
      <c r="M184" s="26">
        <v>119900</v>
      </c>
      <c r="N184" s="22" t="s">
        <v>2569</v>
      </c>
      <c r="O184" s="34" t="s">
        <v>2586</v>
      </c>
      <c r="P184" s="22" t="s">
        <v>2569</v>
      </c>
    </row>
    <row r="185" spans="1:16" s="2" customFormat="1" x14ac:dyDescent="0.35">
      <c r="A185" s="34" t="s">
        <v>6514</v>
      </c>
      <c r="B185" s="35">
        <f t="shared" si="5"/>
        <v>46086</v>
      </c>
      <c r="C185" s="35">
        <f t="shared" si="6"/>
        <v>46092</v>
      </c>
      <c r="D185" s="34">
        <v>3287</v>
      </c>
      <c r="E185" s="34">
        <v>338</v>
      </c>
      <c r="F185" s="34">
        <v>4</v>
      </c>
      <c r="G185" s="25">
        <v>8</v>
      </c>
      <c r="H185" s="25">
        <v>81462</v>
      </c>
      <c r="I185" s="34" t="s">
        <v>17</v>
      </c>
      <c r="J185" s="25">
        <v>53160686</v>
      </c>
      <c r="K185" s="25" t="s">
        <v>6553</v>
      </c>
      <c r="L185" s="50" t="s">
        <v>6557</v>
      </c>
      <c r="M185" s="26">
        <v>119900</v>
      </c>
      <c r="N185" s="22" t="s">
        <v>2569</v>
      </c>
      <c r="O185" s="34" t="s">
        <v>2586</v>
      </c>
      <c r="P185" s="22" t="s">
        <v>2569</v>
      </c>
    </row>
    <row r="186" spans="1:16" s="2" customFormat="1" x14ac:dyDescent="0.35">
      <c r="A186" s="34" t="s">
        <v>6514</v>
      </c>
      <c r="B186" s="35">
        <f t="shared" si="5"/>
        <v>46086</v>
      </c>
      <c r="C186" s="35">
        <f t="shared" si="6"/>
        <v>46092</v>
      </c>
      <c r="D186" s="34">
        <v>3287</v>
      </c>
      <c r="E186" s="34">
        <v>338</v>
      </c>
      <c r="F186" s="34">
        <v>4</v>
      </c>
      <c r="G186" s="25">
        <v>8</v>
      </c>
      <c r="H186" s="25">
        <v>81462</v>
      </c>
      <c r="I186" s="34" t="s">
        <v>17</v>
      </c>
      <c r="J186" s="25">
        <v>52659417</v>
      </c>
      <c r="K186" s="25" t="s">
        <v>5714</v>
      </c>
      <c r="L186" s="50" t="s">
        <v>5715</v>
      </c>
      <c r="M186" s="26">
        <v>119900</v>
      </c>
      <c r="N186" s="22" t="s">
        <v>2569</v>
      </c>
      <c r="O186" s="34" t="s">
        <v>2586</v>
      </c>
      <c r="P186" s="22" t="s">
        <v>2569</v>
      </c>
    </row>
    <row r="187" spans="1:16" s="2" customFormat="1" x14ac:dyDescent="0.35">
      <c r="A187" s="34" t="s">
        <v>6514</v>
      </c>
      <c r="B187" s="35">
        <f t="shared" si="5"/>
        <v>46086</v>
      </c>
      <c r="C187" s="35">
        <f t="shared" si="6"/>
        <v>46092</v>
      </c>
      <c r="D187" s="34">
        <v>3287</v>
      </c>
      <c r="E187" s="34">
        <v>338</v>
      </c>
      <c r="F187" s="34">
        <v>4</v>
      </c>
      <c r="G187" s="25">
        <v>8</v>
      </c>
      <c r="H187" s="25">
        <v>81462</v>
      </c>
      <c r="I187" s="34" t="s">
        <v>17</v>
      </c>
      <c r="J187" s="25">
        <v>52659426</v>
      </c>
      <c r="K187" s="25" t="s">
        <v>5714</v>
      </c>
      <c r="L187" s="50" t="s">
        <v>5717</v>
      </c>
      <c r="M187" s="26">
        <v>119900</v>
      </c>
      <c r="N187" s="22" t="s">
        <v>2569</v>
      </c>
      <c r="O187" s="34" t="s">
        <v>2586</v>
      </c>
      <c r="P187" s="22" t="s">
        <v>2569</v>
      </c>
    </row>
    <row r="188" spans="1:16" s="2" customFormat="1" x14ac:dyDescent="0.35">
      <c r="A188" s="34" t="s">
        <v>6514</v>
      </c>
      <c r="B188" s="35">
        <f t="shared" si="5"/>
        <v>46086</v>
      </c>
      <c r="C188" s="35">
        <f t="shared" si="6"/>
        <v>46092</v>
      </c>
      <c r="D188" s="34">
        <v>3287</v>
      </c>
      <c r="E188" s="34">
        <v>338</v>
      </c>
      <c r="F188" s="34">
        <v>4</v>
      </c>
      <c r="G188" s="25">
        <v>8</v>
      </c>
      <c r="H188" s="25">
        <v>81462</v>
      </c>
      <c r="I188" s="34" t="s">
        <v>17</v>
      </c>
      <c r="J188" s="25">
        <v>52659435</v>
      </c>
      <c r="K188" s="25" t="s">
        <v>5714</v>
      </c>
      <c r="L188" s="50" t="s">
        <v>5716</v>
      </c>
      <c r="M188" s="26">
        <v>119900</v>
      </c>
      <c r="N188" s="22" t="s">
        <v>2569</v>
      </c>
      <c r="O188" s="34" t="s">
        <v>2586</v>
      </c>
      <c r="P188" s="22" t="s">
        <v>2569</v>
      </c>
    </row>
    <row r="189" spans="1:16" s="2" customFormat="1" x14ac:dyDescent="0.35">
      <c r="A189" s="34" t="s">
        <v>6514</v>
      </c>
      <c r="B189" s="35">
        <f t="shared" si="5"/>
        <v>46086</v>
      </c>
      <c r="C189" s="35">
        <f t="shared" si="6"/>
        <v>46092</v>
      </c>
      <c r="D189" s="34">
        <v>3287</v>
      </c>
      <c r="E189" s="34">
        <v>338</v>
      </c>
      <c r="F189" s="34">
        <v>4</v>
      </c>
      <c r="G189" s="25">
        <v>8</v>
      </c>
      <c r="H189" s="25">
        <v>81462</v>
      </c>
      <c r="I189" s="34" t="s">
        <v>17</v>
      </c>
      <c r="J189" s="25">
        <v>52659444</v>
      </c>
      <c r="K189" s="25" t="s">
        <v>5714</v>
      </c>
      <c r="L189" s="50" t="s">
        <v>5718</v>
      </c>
      <c r="M189" s="26">
        <v>119900</v>
      </c>
      <c r="N189" s="22" t="s">
        <v>2569</v>
      </c>
      <c r="O189" s="34" t="s">
        <v>2586</v>
      </c>
      <c r="P189" s="22" t="s">
        <v>2569</v>
      </c>
    </row>
    <row r="190" spans="1:16" s="2" customFormat="1" x14ac:dyDescent="0.35">
      <c r="A190" s="34" t="s">
        <v>6514</v>
      </c>
      <c r="B190" s="35">
        <f t="shared" si="5"/>
        <v>46086</v>
      </c>
      <c r="C190" s="35">
        <f t="shared" si="6"/>
        <v>46092</v>
      </c>
      <c r="D190" s="34">
        <v>3287</v>
      </c>
      <c r="E190" s="34">
        <v>338</v>
      </c>
      <c r="F190" s="34">
        <v>4</v>
      </c>
      <c r="G190" s="25">
        <v>8</v>
      </c>
      <c r="H190" s="25">
        <v>81462</v>
      </c>
      <c r="I190" s="34" t="s">
        <v>17</v>
      </c>
      <c r="J190" s="25">
        <v>51694596</v>
      </c>
      <c r="K190" s="25" t="s">
        <v>5719</v>
      </c>
      <c r="L190" s="50" t="s">
        <v>5720</v>
      </c>
      <c r="M190" s="26">
        <v>119900</v>
      </c>
      <c r="N190" s="22" t="s">
        <v>2569</v>
      </c>
      <c r="O190" s="34" t="s">
        <v>2586</v>
      </c>
      <c r="P190" s="22" t="s">
        <v>2569</v>
      </c>
    </row>
    <row r="191" spans="1:16" s="2" customFormat="1" x14ac:dyDescent="0.35">
      <c r="A191" s="34" t="s">
        <v>6514</v>
      </c>
      <c r="B191" s="35">
        <f t="shared" si="5"/>
        <v>46086</v>
      </c>
      <c r="C191" s="35">
        <f t="shared" si="6"/>
        <v>46092</v>
      </c>
      <c r="D191" s="34">
        <v>3287</v>
      </c>
      <c r="E191" s="34">
        <v>338</v>
      </c>
      <c r="F191" s="34">
        <v>4</v>
      </c>
      <c r="G191" s="25">
        <v>8</v>
      </c>
      <c r="H191" s="25">
        <v>81462</v>
      </c>
      <c r="I191" s="34" t="s">
        <v>17</v>
      </c>
      <c r="J191" s="25">
        <v>51694603</v>
      </c>
      <c r="K191" s="25" t="s">
        <v>5719</v>
      </c>
      <c r="L191" s="50" t="s">
        <v>5723</v>
      </c>
      <c r="M191" s="26">
        <v>119900</v>
      </c>
      <c r="N191" s="22" t="s">
        <v>2569</v>
      </c>
      <c r="O191" s="34" t="s">
        <v>2586</v>
      </c>
      <c r="P191" s="22" t="s">
        <v>2569</v>
      </c>
    </row>
    <row r="192" spans="1:16" s="2" customFormat="1" x14ac:dyDescent="0.35">
      <c r="A192" s="34" t="s">
        <v>6514</v>
      </c>
      <c r="B192" s="35">
        <f t="shared" si="5"/>
        <v>46086</v>
      </c>
      <c r="C192" s="35">
        <f t="shared" si="6"/>
        <v>46092</v>
      </c>
      <c r="D192" s="34">
        <v>3287</v>
      </c>
      <c r="E192" s="34">
        <v>338</v>
      </c>
      <c r="F192" s="34">
        <v>4</v>
      </c>
      <c r="G192" s="25">
        <v>8</v>
      </c>
      <c r="H192" s="25">
        <v>81462</v>
      </c>
      <c r="I192" s="34" t="s">
        <v>17</v>
      </c>
      <c r="J192" s="25">
        <v>51694612</v>
      </c>
      <c r="K192" s="25" t="s">
        <v>5719</v>
      </c>
      <c r="L192" s="50" t="s">
        <v>5722</v>
      </c>
      <c r="M192" s="26">
        <v>119900</v>
      </c>
      <c r="N192" s="22" t="s">
        <v>2569</v>
      </c>
      <c r="O192" s="34" t="s">
        <v>2586</v>
      </c>
      <c r="P192" s="22" t="s">
        <v>2569</v>
      </c>
    </row>
    <row r="193" spans="1:16" s="2" customFormat="1" x14ac:dyDescent="0.35">
      <c r="A193" s="34" t="s">
        <v>6514</v>
      </c>
      <c r="B193" s="35">
        <f t="shared" si="5"/>
        <v>46086</v>
      </c>
      <c r="C193" s="35">
        <f t="shared" si="6"/>
        <v>46092</v>
      </c>
      <c r="D193" s="34">
        <v>3287</v>
      </c>
      <c r="E193" s="34">
        <v>338</v>
      </c>
      <c r="F193" s="34">
        <v>4</v>
      </c>
      <c r="G193" s="25">
        <v>8</v>
      </c>
      <c r="H193" s="25">
        <v>81462</v>
      </c>
      <c r="I193" s="34" t="s">
        <v>17</v>
      </c>
      <c r="J193" s="25">
        <v>51694621</v>
      </c>
      <c r="K193" s="25" t="s">
        <v>5719</v>
      </c>
      <c r="L193" s="50" t="s">
        <v>5721</v>
      </c>
      <c r="M193" s="26">
        <v>119900</v>
      </c>
      <c r="N193" s="22" t="s">
        <v>2569</v>
      </c>
      <c r="O193" s="34" t="s">
        <v>2586</v>
      </c>
      <c r="P193" s="22" t="s">
        <v>2569</v>
      </c>
    </row>
    <row r="194" spans="1:16" s="2" customFormat="1" x14ac:dyDescent="0.35">
      <c r="A194" s="34" t="s">
        <v>6514</v>
      </c>
      <c r="B194" s="35">
        <f t="shared" si="5"/>
        <v>46086</v>
      </c>
      <c r="C194" s="35">
        <f t="shared" si="6"/>
        <v>46092</v>
      </c>
      <c r="D194" s="34">
        <v>3287</v>
      </c>
      <c r="E194" s="34">
        <v>338</v>
      </c>
      <c r="F194" s="34">
        <v>4</v>
      </c>
      <c r="G194" s="25">
        <v>4</v>
      </c>
      <c r="H194" s="25">
        <v>81462</v>
      </c>
      <c r="I194" s="34" t="s">
        <v>17</v>
      </c>
      <c r="J194" s="25">
        <v>53160695</v>
      </c>
      <c r="K194" s="25" t="s">
        <v>5724</v>
      </c>
      <c r="L194" s="50" t="s">
        <v>5732</v>
      </c>
      <c r="M194" s="26">
        <v>219900</v>
      </c>
      <c r="N194" s="22" t="s">
        <v>2569</v>
      </c>
      <c r="O194" s="34" t="s">
        <v>2586</v>
      </c>
      <c r="P194" s="22" t="s">
        <v>2569</v>
      </c>
    </row>
    <row r="195" spans="1:16" s="2" customFormat="1" x14ac:dyDescent="0.35">
      <c r="A195" s="34" t="s">
        <v>6514</v>
      </c>
      <c r="B195" s="35">
        <f t="shared" si="5"/>
        <v>46086</v>
      </c>
      <c r="C195" s="35">
        <f t="shared" si="6"/>
        <v>46092</v>
      </c>
      <c r="D195" s="34">
        <v>3287</v>
      </c>
      <c r="E195" s="34">
        <v>338</v>
      </c>
      <c r="F195" s="34">
        <v>4</v>
      </c>
      <c r="G195" s="25">
        <v>4</v>
      </c>
      <c r="H195" s="25">
        <v>81462</v>
      </c>
      <c r="I195" s="34" t="s">
        <v>17</v>
      </c>
      <c r="J195" s="25">
        <v>53160702</v>
      </c>
      <c r="K195" s="25" t="s">
        <v>5724</v>
      </c>
      <c r="L195" s="50" t="s">
        <v>5729</v>
      </c>
      <c r="M195" s="26">
        <v>219900</v>
      </c>
      <c r="N195" s="22" t="s">
        <v>2569</v>
      </c>
      <c r="O195" s="34" t="s">
        <v>2586</v>
      </c>
      <c r="P195" s="22" t="s">
        <v>2569</v>
      </c>
    </row>
    <row r="196" spans="1:16" s="2" customFormat="1" x14ac:dyDescent="0.35">
      <c r="A196" s="34" t="s">
        <v>6514</v>
      </c>
      <c r="B196" s="35">
        <f t="shared" si="5"/>
        <v>46086</v>
      </c>
      <c r="C196" s="35">
        <f t="shared" si="6"/>
        <v>46092</v>
      </c>
      <c r="D196" s="34">
        <v>3287</v>
      </c>
      <c r="E196" s="34">
        <v>338</v>
      </c>
      <c r="F196" s="34">
        <v>4</v>
      </c>
      <c r="G196" s="25">
        <v>4</v>
      </c>
      <c r="H196" s="25">
        <v>81462</v>
      </c>
      <c r="I196" s="34" t="s">
        <v>17</v>
      </c>
      <c r="J196" s="25">
        <v>53160711</v>
      </c>
      <c r="K196" s="25" t="s">
        <v>5724</v>
      </c>
      <c r="L196" s="50" t="s">
        <v>5726</v>
      </c>
      <c r="M196" s="26">
        <v>219900</v>
      </c>
      <c r="N196" s="22" t="s">
        <v>2569</v>
      </c>
      <c r="O196" s="34" t="s">
        <v>2586</v>
      </c>
      <c r="P196" s="22" t="s">
        <v>2569</v>
      </c>
    </row>
    <row r="197" spans="1:16" s="2" customFormat="1" x14ac:dyDescent="0.35">
      <c r="A197" s="34" t="s">
        <v>6514</v>
      </c>
      <c r="B197" s="35">
        <f t="shared" si="5"/>
        <v>46086</v>
      </c>
      <c r="C197" s="35">
        <f t="shared" si="6"/>
        <v>46092</v>
      </c>
      <c r="D197" s="34">
        <v>3287</v>
      </c>
      <c r="E197" s="34">
        <v>338</v>
      </c>
      <c r="F197" s="34">
        <v>4</v>
      </c>
      <c r="G197" s="25">
        <v>4</v>
      </c>
      <c r="H197" s="25">
        <v>81462</v>
      </c>
      <c r="I197" s="34" t="s">
        <v>17</v>
      </c>
      <c r="J197" s="25">
        <v>53160720</v>
      </c>
      <c r="K197" s="25" t="s">
        <v>5724</v>
      </c>
      <c r="L197" s="50" t="s">
        <v>5725</v>
      </c>
      <c r="M197" s="26">
        <v>219900</v>
      </c>
      <c r="N197" s="22" t="s">
        <v>2569</v>
      </c>
      <c r="O197" s="34" t="s">
        <v>2586</v>
      </c>
      <c r="P197" s="22" t="s">
        <v>2569</v>
      </c>
    </row>
    <row r="198" spans="1:16" s="2" customFormat="1" x14ac:dyDescent="0.35">
      <c r="A198" s="34" t="s">
        <v>6514</v>
      </c>
      <c r="B198" s="35">
        <f t="shared" si="5"/>
        <v>46086</v>
      </c>
      <c r="C198" s="35">
        <f t="shared" si="6"/>
        <v>46092</v>
      </c>
      <c r="D198" s="34">
        <v>3287</v>
      </c>
      <c r="E198" s="34">
        <v>338</v>
      </c>
      <c r="F198" s="34">
        <v>4</v>
      </c>
      <c r="G198" s="25">
        <v>4</v>
      </c>
      <c r="H198" s="25">
        <v>81462</v>
      </c>
      <c r="I198" s="34" t="s">
        <v>17</v>
      </c>
      <c r="J198" s="25">
        <v>53160739</v>
      </c>
      <c r="K198" s="25" t="s">
        <v>5724</v>
      </c>
      <c r="L198" s="50" t="s">
        <v>5730</v>
      </c>
      <c r="M198" s="26">
        <v>219900</v>
      </c>
      <c r="N198" s="22" t="s">
        <v>2569</v>
      </c>
      <c r="O198" s="34" t="s">
        <v>2586</v>
      </c>
      <c r="P198" s="22" t="s">
        <v>2569</v>
      </c>
    </row>
    <row r="199" spans="1:16" s="2" customFormat="1" x14ac:dyDescent="0.35">
      <c r="A199" s="34" t="s">
        <v>6514</v>
      </c>
      <c r="B199" s="35">
        <f t="shared" si="5"/>
        <v>46086</v>
      </c>
      <c r="C199" s="35">
        <f t="shared" si="6"/>
        <v>46092</v>
      </c>
      <c r="D199" s="34">
        <v>3287</v>
      </c>
      <c r="E199" s="34">
        <v>338</v>
      </c>
      <c r="F199" s="34">
        <v>4</v>
      </c>
      <c r="G199" s="25">
        <v>4</v>
      </c>
      <c r="H199" s="25">
        <v>81462</v>
      </c>
      <c r="I199" s="34" t="s">
        <v>17</v>
      </c>
      <c r="J199" s="25">
        <v>53160748</v>
      </c>
      <c r="K199" s="25" t="s">
        <v>5724</v>
      </c>
      <c r="L199" s="50" t="s">
        <v>5728</v>
      </c>
      <c r="M199" s="26">
        <v>219900</v>
      </c>
      <c r="N199" s="22" t="s">
        <v>2569</v>
      </c>
      <c r="O199" s="34" t="s">
        <v>2586</v>
      </c>
      <c r="P199" s="22" t="s">
        <v>2569</v>
      </c>
    </row>
    <row r="200" spans="1:16" s="2" customFormat="1" x14ac:dyDescent="0.35">
      <c r="A200" s="34" t="s">
        <v>6514</v>
      </c>
      <c r="B200" s="35">
        <f t="shared" si="5"/>
        <v>46086</v>
      </c>
      <c r="C200" s="35">
        <f t="shared" si="6"/>
        <v>46092</v>
      </c>
      <c r="D200" s="34">
        <v>3287</v>
      </c>
      <c r="E200" s="34">
        <v>338</v>
      </c>
      <c r="F200" s="34">
        <v>4</v>
      </c>
      <c r="G200" s="25">
        <v>4</v>
      </c>
      <c r="H200" s="25">
        <v>81462</v>
      </c>
      <c r="I200" s="34" t="s">
        <v>17</v>
      </c>
      <c r="J200" s="25">
        <v>53160757</v>
      </c>
      <c r="K200" s="25" t="s">
        <v>5724</v>
      </c>
      <c r="L200" s="50" t="s">
        <v>5731</v>
      </c>
      <c r="M200" s="26">
        <v>219900</v>
      </c>
      <c r="N200" s="22" t="s">
        <v>2569</v>
      </c>
      <c r="O200" s="34" t="s">
        <v>2586</v>
      </c>
      <c r="P200" s="22" t="s">
        <v>2569</v>
      </c>
    </row>
    <row r="201" spans="1:16" s="2" customFormat="1" x14ac:dyDescent="0.35">
      <c r="A201" s="34" t="s">
        <v>6514</v>
      </c>
      <c r="B201" s="35">
        <f t="shared" si="5"/>
        <v>46086</v>
      </c>
      <c r="C201" s="35">
        <f t="shared" si="6"/>
        <v>46092</v>
      </c>
      <c r="D201" s="34">
        <v>3287</v>
      </c>
      <c r="E201" s="34">
        <v>338</v>
      </c>
      <c r="F201" s="34">
        <v>4</v>
      </c>
      <c r="G201" s="25">
        <v>4</v>
      </c>
      <c r="H201" s="25">
        <v>81462</v>
      </c>
      <c r="I201" s="34" t="s">
        <v>17</v>
      </c>
      <c r="J201" s="25">
        <v>53160766</v>
      </c>
      <c r="K201" s="25" t="s">
        <v>5724</v>
      </c>
      <c r="L201" s="50" t="s">
        <v>5727</v>
      </c>
      <c r="M201" s="26">
        <v>219900</v>
      </c>
      <c r="N201" s="22" t="s">
        <v>2569</v>
      </c>
      <c r="O201" s="34" t="s">
        <v>2586</v>
      </c>
      <c r="P201" s="22" t="s">
        <v>2569</v>
      </c>
    </row>
    <row r="202" spans="1:16" s="2" customFormat="1" x14ac:dyDescent="0.35">
      <c r="A202" s="34" t="s">
        <v>6514</v>
      </c>
      <c r="B202" s="35">
        <f t="shared" si="5"/>
        <v>46086</v>
      </c>
      <c r="C202" s="35">
        <f t="shared" si="6"/>
        <v>46092</v>
      </c>
      <c r="D202" s="34">
        <v>3287</v>
      </c>
      <c r="E202" s="34">
        <v>338</v>
      </c>
      <c r="F202" s="34">
        <v>4</v>
      </c>
      <c r="G202" s="25">
        <v>7</v>
      </c>
      <c r="H202" s="25">
        <v>81827</v>
      </c>
      <c r="I202" s="34" t="s">
        <v>17</v>
      </c>
      <c r="J202" s="25">
        <v>53160775</v>
      </c>
      <c r="K202" s="25" t="s">
        <v>5742</v>
      </c>
      <c r="L202" s="50" t="s">
        <v>5744</v>
      </c>
      <c r="M202" s="26">
        <v>35900</v>
      </c>
      <c r="N202" s="22" t="s">
        <v>2569</v>
      </c>
      <c r="O202" s="34" t="s">
        <v>2586</v>
      </c>
      <c r="P202" s="22" t="s">
        <v>2569</v>
      </c>
    </row>
    <row r="203" spans="1:16" s="2" customFormat="1" x14ac:dyDescent="0.35">
      <c r="A203" s="34" t="s">
        <v>6514</v>
      </c>
      <c r="B203" s="35">
        <f t="shared" si="5"/>
        <v>46086</v>
      </c>
      <c r="C203" s="35">
        <f t="shared" si="6"/>
        <v>46092</v>
      </c>
      <c r="D203" s="34">
        <v>3287</v>
      </c>
      <c r="E203" s="34">
        <v>338</v>
      </c>
      <c r="F203" s="34">
        <v>4</v>
      </c>
      <c r="G203" s="25">
        <v>7</v>
      </c>
      <c r="H203" s="25">
        <v>81827</v>
      </c>
      <c r="I203" s="34" t="s">
        <v>17</v>
      </c>
      <c r="J203" s="25">
        <v>53160784</v>
      </c>
      <c r="K203" s="25" t="s">
        <v>5742</v>
      </c>
      <c r="L203" s="50" t="s">
        <v>5743</v>
      </c>
      <c r="M203" s="26">
        <v>35900</v>
      </c>
      <c r="N203" s="22" t="s">
        <v>2569</v>
      </c>
      <c r="O203" s="34" t="s">
        <v>2586</v>
      </c>
      <c r="P203" s="22" t="s">
        <v>2569</v>
      </c>
    </row>
    <row r="204" spans="1:16" s="2" customFormat="1" x14ac:dyDescent="0.35">
      <c r="A204" s="34" t="s">
        <v>6514</v>
      </c>
      <c r="B204" s="35">
        <f t="shared" si="5"/>
        <v>46086</v>
      </c>
      <c r="C204" s="35">
        <f t="shared" si="6"/>
        <v>46092</v>
      </c>
      <c r="D204" s="34">
        <v>3287</v>
      </c>
      <c r="E204" s="34">
        <v>338</v>
      </c>
      <c r="F204" s="34">
        <v>4</v>
      </c>
      <c r="G204" s="25">
        <v>7</v>
      </c>
      <c r="H204" s="25">
        <v>81827</v>
      </c>
      <c r="I204" s="34" t="s">
        <v>17</v>
      </c>
      <c r="J204" s="25">
        <v>53160793</v>
      </c>
      <c r="K204" s="25" t="s">
        <v>5745</v>
      </c>
      <c r="L204" s="50" t="s">
        <v>5747</v>
      </c>
      <c r="M204" s="26">
        <v>35900</v>
      </c>
      <c r="N204" s="22" t="s">
        <v>2569</v>
      </c>
      <c r="O204" s="34" t="s">
        <v>2586</v>
      </c>
      <c r="P204" s="22" t="s">
        <v>2569</v>
      </c>
    </row>
    <row r="205" spans="1:16" s="2" customFormat="1" x14ac:dyDescent="0.35">
      <c r="A205" s="34" t="s">
        <v>6514</v>
      </c>
      <c r="B205" s="35">
        <f t="shared" si="5"/>
        <v>46086</v>
      </c>
      <c r="C205" s="35">
        <f t="shared" si="6"/>
        <v>46092</v>
      </c>
      <c r="D205" s="34">
        <v>3287</v>
      </c>
      <c r="E205" s="34">
        <v>338</v>
      </c>
      <c r="F205" s="34">
        <v>4</v>
      </c>
      <c r="G205" s="25">
        <v>7</v>
      </c>
      <c r="H205" s="25">
        <v>81827</v>
      </c>
      <c r="I205" s="34" t="s">
        <v>17</v>
      </c>
      <c r="J205" s="25">
        <v>53160800</v>
      </c>
      <c r="K205" s="25" t="s">
        <v>5745</v>
      </c>
      <c r="L205" s="50" t="s">
        <v>5746</v>
      </c>
      <c r="M205" s="26">
        <v>35900</v>
      </c>
      <c r="N205" s="22" t="s">
        <v>2569</v>
      </c>
      <c r="O205" s="34" t="s">
        <v>2586</v>
      </c>
      <c r="P205" s="22" t="s">
        <v>2569</v>
      </c>
    </row>
    <row r="206" spans="1:16" s="2" customFormat="1" x14ac:dyDescent="0.35">
      <c r="A206" s="34" t="s">
        <v>6514</v>
      </c>
      <c r="B206" s="35">
        <f t="shared" si="5"/>
        <v>46086</v>
      </c>
      <c r="C206" s="35">
        <f t="shared" si="6"/>
        <v>46092</v>
      </c>
      <c r="D206" s="34">
        <v>3287</v>
      </c>
      <c r="E206" s="34">
        <v>338</v>
      </c>
      <c r="F206" s="34">
        <v>4</v>
      </c>
      <c r="G206" s="25">
        <v>7</v>
      </c>
      <c r="H206" s="25">
        <v>81827</v>
      </c>
      <c r="I206" s="34" t="s">
        <v>17</v>
      </c>
      <c r="J206" s="25">
        <v>51630663</v>
      </c>
      <c r="K206" s="25" t="s">
        <v>5748</v>
      </c>
      <c r="L206" s="50" t="s">
        <v>5749</v>
      </c>
      <c r="M206" s="26">
        <v>35900</v>
      </c>
      <c r="N206" s="22" t="s">
        <v>2569</v>
      </c>
      <c r="O206" s="34" t="s">
        <v>2586</v>
      </c>
      <c r="P206" s="22" t="s">
        <v>2569</v>
      </c>
    </row>
    <row r="207" spans="1:16" s="2" customFormat="1" x14ac:dyDescent="0.35">
      <c r="A207" s="34" t="s">
        <v>6514</v>
      </c>
      <c r="B207" s="35">
        <f t="shared" si="5"/>
        <v>46086</v>
      </c>
      <c r="C207" s="35">
        <f t="shared" si="6"/>
        <v>46092</v>
      </c>
      <c r="D207" s="34">
        <v>3287</v>
      </c>
      <c r="E207" s="34">
        <v>338</v>
      </c>
      <c r="F207" s="34">
        <v>4</v>
      </c>
      <c r="G207" s="25">
        <v>7</v>
      </c>
      <c r="H207" s="25">
        <v>81827</v>
      </c>
      <c r="I207" s="34" t="s">
        <v>17</v>
      </c>
      <c r="J207" s="25">
        <v>51630672</v>
      </c>
      <c r="K207" s="25" t="s">
        <v>5748</v>
      </c>
      <c r="L207" s="50" t="s">
        <v>5750</v>
      </c>
      <c r="M207" s="26">
        <v>35900</v>
      </c>
      <c r="N207" s="22" t="s">
        <v>2569</v>
      </c>
      <c r="O207" s="34" t="s">
        <v>2586</v>
      </c>
      <c r="P207" s="22" t="s">
        <v>2569</v>
      </c>
    </row>
    <row r="208" spans="1:16" s="2" customFormat="1" x14ac:dyDescent="0.35">
      <c r="A208" s="34" t="s">
        <v>6514</v>
      </c>
      <c r="B208" s="35">
        <f t="shared" si="5"/>
        <v>46086</v>
      </c>
      <c r="C208" s="35">
        <f t="shared" si="6"/>
        <v>46092</v>
      </c>
      <c r="D208" s="34">
        <v>3287</v>
      </c>
      <c r="E208" s="34">
        <v>338</v>
      </c>
      <c r="F208" s="34">
        <v>4</v>
      </c>
      <c r="G208" s="25">
        <v>9</v>
      </c>
      <c r="H208" s="25">
        <v>81462</v>
      </c>
      <c r="I208" s="34" t="s">
        <v>17</v>
      </c>
      <c r="J208" s="25">
        <v>53174751</v>
      </c>
      <c r="K208" s="25" t="s">
        <v>5733</v>
      </c>
      <c r="L208" s="50" t="s">
        <v>5739</v>
      </c>
      <c r="M208" s="26">
        <v>239900</v>
      </c>
      <c r="N208" s="22" t="s">
        <v>2569</v>
      </c>
      <c r="O208" s="34" t="s">
        <v>2586</v>
      </c>
      <c r="P208" s="22" t="s">
        <v>2569</v>
      </c>
    </row>
    <row r="209" spans="1:16" s="2" customFormat="1" x14ac:dyDescent="0.35">
      <c r="A209" s="34" t="s">
        <v>6514</v>
      </c>
      <c r="B209" s="35">
        <f t="shared" si="5"/>
        <v>46086</v>
      </c>
      <c r="C209" s="35">
        <f t="shared" si="6"/>
        <v>46092</v>
      </c>
      <c r="D209" s="34">
        <v>3287</v>
      </c>
      <c r="E209" s="34">
        <v>338</v>
      </c>
      <c r="F209" s="34">
        <v>4</v>
      </c>
      <c r="G209" s="25">
        <v>9</v>
      </c>
      <c r="H209" s="25">
        <v>81462</v>
      </c>
      <c r="I209" s="34" t="s">
        <v>17</v>
      </c>
      <c r="J209" s="25">
        <v>53174760</v>
      </c>
      <c r="K209" s="25" t="s">
        <v>5733</v>
      </c>
      <c r="L209" s="50" t="s">
        <v>5738</v>
      </c>
      <c r="M209" s="26">
        <v>239900</v>
      </c>
      <c r="N209" s="22" t="s">
        <v>2569</v>
      </c>
      <c r="O209" s="34" t="s">
        <v>2586</v>
      </c>
      <c r="P209" s="22" t="s">
        <v>2569</v>
      </c>
    </row>
    <row r="210" spans="1:16" s="2" customFormat="1" x14ac:dyDescent="0.35">
      <c r="A210" s="34" t="s">
        <v>6514</v>
      </c>
      <c r="B210" s="35">
        <f t="shared" si="5"/>
        <v>46086</v>
      </c>
      <c r="C210" s="35">
        <f t="shared" si="6"/>
        <v>46092</v>
      </c>
      <c r="D210" s="34">
        <v>3287</v>
      </c>
      <c r="E210" s="34">
        <v>338</v>
      </c>
      <c r="F210" s="34">
        <v>4</v>
      </c>
      <c r="G210" s="25">
        <v>9</v>
      </c>
      <c r="H210" s="25">
        <v>81462</v>
      </c>
      <c r="I210" s="34" t="s">
        <v>17</v>
      </c>
      <c r="J210" s="25">
        <v>53174779</v>
      </c>
      <c r="K210" s="25" t="s">
        <v>5733</v>
      </c>
      <c r="L210" s="50" t="s">
        <v>5734</v>
      </c>
      <c r="M210" s="26">
        <v>239900</v>
      </c>
      <c r="N210" s="22" t="s">
        <v>2569</v>
      </c>
      <c r="O210" s="34" t="s">
        <v>2586</v>
      </c>
      <c r="P210" s="22" t="s">
        <v>2569</v>
      </c>
    </row>
    <row r="211" spans="1:16" s="2" customFormat="1" x14ac:dyDescent="0.35">
      <c r="A211" s="34" t="s">
        <v>6514</v>
      </c>
      <c r="B211" s="35">
        <f t="shared" si="5"/>
        <v>46086</v>
      </c>
      <c r="C211" s="35">
        <f t="shared" si="6"/>
        <v>46092</v>
      </c>
      <c r="D211" s="34">
        <v>3287</v>
      </c>
      <c r="E211" s="34">
        <v>338</v>
      </c>
      <c r="F211" s="34">
        <v>4</v>
      </c>
      <c r="G211" s="25">
        <v>9</v>
      </c>
      <c r="H211" s="25">
        <v>81462</v>
      </c>
      <c r="I211" s="34" t="s">
        <v>17</v>
      </c>
      <c r="J211" s="25">
        <v>53174788</v>
      </c>
      <c r="K211" s="25" t="s">
        <v>5733</v>
      </c>
      <c r="L211" s="50" t="s">
        <v>5736</v>
      </c>
      <c r="M211" s="26">
        <v>239900</v>
      </c>
      <c r="N211" s="22" t="s">
        <v>2569</v>
      </c>
      <c r="O211" s="34" t="s">
        <v>2586</v>
      </c>
      <c r="P211" s="22" t="s">
        <v>2569</v>
      </c>
    </row>
    <row r="212" spans="1:16" s="2" customFormat="1" x14ac:dyDescent="0.35">
      <c r="A212" s="34" t="s">
        <v>6514</v>
      </c>
      <c r="B212" s="35">
        <f t="shared" ref="B212:B223" si="7">B211</f>
        <v>46086</v>
      </c>
      <c r="C212" s="35">
        <f t="shared" ref="C212:C223" si="8">C211</f>
        <v>46092</v>
      </c>
      <c r="D212" s="34">
        <v>3287</v>
      </c>
      <c r="E212" s="34">
        <v>338</v>
      </c>
      <c r="F212" s="34">
        <v>4</v>
      </c>
      <c r="G212" s="25">
        <v>9</v>
      </c>
      <c r="H212" s="25">
        <v>81462</v>
      </c>
      <c r="I212" s="34" t="s">
        <v>17</v>
      </c>
      <c r="J212" s="25">
        <v>53174797</v>
      </c>
      <c r="K212" s="25" t="s">
        <v>5733</v>
      </c>
      <c r="L212" s="50" t="s">
        <v>5741</v>
      </c>
      <c r="M212" s="26">
        <v>239900</v>
      </c>
      <c r="N212" s="22" t="s">
        <v>2569</v>
      </c>
      <c r="O212" s="34" t="s">
        <v>2586</v>
      </c>
      <c r="P212" s="22" t="s">
        <v>2569</v>
      </c>
    </row>
    <row r="213" spans="1:16" s="2" customFormat="1" x14ac:dyDescent="0.35">
      <c r="A213" s="34" t="s">
        <v>6514</v>
      </c>
      <c r="B213" s="35">
        <f t="shared" si="7"/>
        <v>46086</v>
      </c>
      <c r="C213" s="35">
        <f t="shared" si="8"/>
        <v>46092</v>
      </c>
      <c r="D213" s="34">
        <v>3287</v>
      </c>
      <c r="E213" s="34">
        <v>338</v>
      </c>
      <c r="F213" s="34">
        <v>4</v>
      </c>
      <c r="G213" s="25">
        <v>9</v>
      </c>
      <c r="H213" s="25">
        <v>81462</v>
      </c>
      <c r="I213" s="34" t="s">
        <v>17</v>
      </c>
      <c r="J213" s="25">
        <v>53174804</v>
      </c>
      <c r="K213" s="25" t="s">
        <v>5733</v>
      </c>
      <c r="L213" s="50" t="s">
        <v>5735</v>
      </c>
      <c r="M213" s="26">
        <v>239900</v>
      </c>
      <c r="N213" s="22" t="s">
        <v>2569</v>
      </c>
      <c r="O213" s="34" t="s">
        <v>2586</v>
      </c>
      <c r="P213" s="22" t="s">
        <v>2569</v>
      </c>
    </row>
    <row r="214" spans="1:16" s="2" customFormat="1" x14ac:dyDescent="0.35">
      <c r="A214" s="34" t="s">
        <v>6514</v>
      </c>
      <c r="B214" s="35">
        <f t="shared" si="7"/>
        <v>46086</v>
      </c>
      <c r="C214" s="35">
        <f t="shared" si="8"/>
        <v>46092</v>
      </c>
      <c r="D214" s="34">
        <v>3287</v>
      </c>
      <c r="E214" s="34">
        <v>338</v>
      </c>
      <c r="F214" s="34">
        <v>4</v>
      </c>
      <c r="G214" s="25">
        <v>9</v>
      </c>
      <c r="H214" s="25">
        <v>81462</v>
      </c>
      <c r="I214" s="34" t="s">
        <v>17</v>
      </c>
      <c r="J214" s="25">
        <v>53174813</v>
      </c>
      <c r="K214" s="25" t="s">
        <v>5733</v>
      </c>
      <c r="L214" s="50" t="s">
        <v>5740</v>
      </c>
      <c r="M214" s="26">
        <v>239900</v>
      </c>
      <c r="N214" s="22" t="s">
        <v>2569</v>
      </c>
      <c r="O214" s="34" t="s">
        <v>2586</v>
      </c>
      <c r="P214" s="22" t="s">
        <v>2569</v>
      </c>
    </row>
    <row r="215" spans="1:16" s="2" customFormat="1" x14ac:dyDescent="0.35">
      <c r="A215" s="34" t="s">
        <v>6514</v>
      </c>
      <c r="B215" s="35">
        <f t="shared" si="7"/>
        <v>46086</v>
      </c>
      <c r="C215" s="35">
        <f t="shared" si="8"/>
        <v>46092</v>
      </c>
      <c r="D215" s="34">
        <v>3287</v>
      </c>
      <c r="E215" s="34">
        <v>338</v>
      </c>
      <c r="F215" s="34">
        <v>4</v>
      </c>
      <c r="G215" s="25">
        <v>9</v>
      </c>
      <c r="H215" s="25">
        <v>81462</v>
      </c>
      <c r="I215" s="34" t="s">
        <v>17</v>
      </c>
      <c r="J215" s="25">
        <v>53174822</v>
      </c>
      <c r="K215" s="25" t="s">
        <v>5733</v>
      </c>
      <c r="L215" s="50" t="s">
        <v>5737</v>
      </c>
      <c r="M215" s="26">
        <v>239900</v>
      </c>
      <c r="N215" s="22" t="s">
        <v>2569</v>
      </c>
      <c r="O215" s="34" t="s">
        <v>2586</v>
      </c>
      <c r="P215" s="22" t="s">
        <v>2569</v>
      </c>
    </row>
    <row r="216" spans="1:16" s="2" customFormat="1" x14ac:dyDescent="0.35">
      <c r="A216" s="34" t="s">
        <v>6514</v>
      </c>
      <c r="B216" s="35">
        <f t="shared" si="7"/>
        <v>46086</v>
      </c>
      <c r="C216" s="35">
        <f t="shared" si="8"/>
        <v>46092</v>
      </c>
      <c r="D216" s="34">
        <v>3287</v>
      </c>
      <c r="E216" s="34">
        <v>338</v>
      </c>
      <c r="F216" s="34">
        <v>4</v>
      </c>
      <c r="G216" s="25">
        <v>10</v>
      </c>
      <c r="H216" s="25">
        <v>81827</v>
      </c>
      <c r="I216" s="34" t="s">
        <v>17</v>
      </c>
      <c r="J216" s="25">
        <v>52659551</v>
      </c>
      <c r="K216" s="25" t="s">
        <v>5756</v>
      </c>
      <c r="L216" s="50" t="s">
        <v>5758</v>
      </c>
      <c r="M216" s="26">
        <v>35900</v>
      </c>
      <c r="N216" s="22" t="s">
        <v>2569</v>
      </c>
      <c r="O216" s="34" t="s">
        <v>2586</v>
      </c>
      <c r="P216" s="22" t="s">
        <v>2569</v>
      </c>
    </row>
    <row r="217" spans="1:16" s="2" customFormat="1" x14ac:dyDescent="0.35">
      <c r="A217" s="34" t="s">
        <v>6514</v>
      </c>
      <c r="B217" s="35">
        <f t="shared" si="7"/>
        <v>46086</v>
      </c>
      <c r="C217" s="35">
        <f t="shared" si="8"/>
        <v>46092</v>
      </c>
      <c r="D217" s="34">
        <v>3287</v>
      </c>
      <c r="E217" s="34">
        <v>338</v>
      </c>
      <c r="F217" s="34">
        <v>4</v>
      </c>
      <c r="G217" s="25">
        <v>10</v>
      </c>
      <c r="H217" s="25">
        <v>81827</v>
      </c>
      <c r="I217" s="34" t="s">
        <v>17</v>
      </c>
      <c r="J217" s="25">
        <v>52659560</v>
      </c>
      <c r="K217" s="25" t="s">
        <v>5756</v>
      </c>
      <c r="L217" s="50" t="s">
        <v>5757</v>
      </c>
      <c r="M217" s="26">
        <v>35900</v>
      </c>
      <c r="N217" s="22" t="s">
        <v>2569</v>
      </c>
      <c r="O217" s="34" t="s">
        <v>2586</v>
      </c>
      <c r="P217" s="22" t="s">
        <v>2569</v>
      </c>
    </row>
    <row r="218" spans="1:16" s="2" customFormat="1" x14ac:dyDescent="0.35">
      <c r="A218" s="34" t="s">
        <v>6514</v>
      </c>
      <c r="B218" s="35">
        <f t="shared" si="7"/>
        <v>46086</v>
      </c>
      <c r="C218" s="35">
        <f t="shared" si="8"/>
        <v>46092</v>
      </c>
      <c r="D218" s="34">
        <v>3287</v>
      </c>
      <c r="E218" s="34">
        <v>338</v>
      </c>
      <c r="F218" s="34">
        <v>4</v>
      </c>
      <c r="G218" s="25">
        <v>10</v>
      </c>
      <c r="H218" s="25">
        <v>81827</v>
      </c>
      <c r="I218" s="34" t="s">
        <v>17</v>
      </c>
      <c r="J218" s="25">
        <v>52659533</v>
      </c>
      <c r="K218" s="25" t="s">
        <v>5759</v>
      </c>
      <c r="L218" s="50" t="s">
        <v>5760</v>
      </c>
      <c r="M218" s="26">
        <v>35900</v>
      </c>
      <c r="N218" s="22" t="s">
        <v>2569</v>
      </c>
      <c r="O218" s="34" t="s">
        <v>2586</v>
      </c>
      <c r="P218" s="22" t="s">
        <v>2569</v>
      </c>
    </row>
    <row r="219" spans="1:16" s="2" customFormat="1" x14ac:dyDescent="0.35">
      <c r="A219" s="34" t="s">
        <v>6514</v>
      </c>
      <c r="B219" s="35">
        <f t="shared" si="7"/>
        <v>46086</v>
      </c>
      <c r="C219" s="35">
        <f t="shared" si="8"/>
        <v>46092</v>
      </c>
      <c r="D219" s="34">
        <v>3287</v>
      </c>
      <c r="E219" s="34">
        <v>338</v>
      </c>
      <c r="F219" s="34">
        <v>4</v>
      </c>
      <c r="G219" s="25">
        <v>10</v>
      </c>
      <c r="H219" s="25">
        <v>81827</v>
      </c>
      <c r="I219" s="34" t="s">
        <v>17</v>
      </c>
      <c r="J219" s="25">
        <v>52659542</v>
      </c>
      <c r="K219" s="25" t="s">
        <v>5759</v>
      </c>
      <c r="L219" s="50" t="s">
        <v>5761</v>
      </c>
      <c r="M219" s="26">
        <v>35900</v>
      </c>
      <c r="N219" s="22" t="s">
        <v>2569</v>
      </c>
      <c r="O219" s="34" t="s">
        <v>2586</v>
      </c>
      <c r="P219" s="22" t="s">
        <v>2569</v>
      </c>
    </row>
    <row r="220" spans="1:16" s="2" customFormat="1" x14ac:dyDescent="0.35">
      <c r="A220" s="34" t="s">
        <v>6514</v>
      </c>
      <c r="B220" s="35">
        <f t="shared" si="7"/>
        <v>46086</v>
      </c>
      <c r="C220" s="35">
        <f t="shared" si="8"/>
        <v>46092</v>
      </c>
      <c r="D220" s="34">
        <v>3287</v>
      </c>
      <c r="E220" s="34">
        <v>338</v>
      </c>
      <c r="F220" s="34">
        <v>4</v>
      </c>
      <c r="G220" s="25">
        <v>8</v>
      </c>
      <c r="H220" s="25">
        <v>81462</v>
      </c>
      <c r="I220" s="34" t="s">
        <v>17</v>
      </c>
      <c r="J220" s="25">
        <v>53220281</v>
      </c>
      <c r="K220" s="25" t="s">
        <v>5751</v>
      </c>
      <c r="L220" s="50" t="s">
        <v>5754</v>
      </c>
      <c r="M220" s="26">
        <v>119900</v>
      </c>
      <c r="N220" s="22" t="s">
        <v>2569</v>
      </c>
      <c r="O220" s="34" t="s">
        <v>2586</v>
      </c>
      <c r="P220" s="22" t="s">
        <v>2569</v>
      </c>
    </row>
    <row r="221" spans="1:16" s="2" customFormat="1" x14ac:dyDescent="0.35">
      <c r="A221" s="34" t="s">
        <v>6514</v>
      </c>
      <c r="B221" s="35">
        <f t="shared" si="7"/>
        <v>46086</v>
      </c>
      <c r="C221" s="35">
        <f t="shared" si="8"/>
        <v>46092</v>
      </c>
      <c r="D221" s="34">
        <v>3287</v>
      </c>
      <c r="E221" s="34">
        <v>338</v>
      </c>
      <c r="F221" s="34">
        <v>4</v>
      </c>
      <c r="G221" s="25">
        <v>8</v>
      </c>
      <c r="H221" s="25">
        <v>81462</v>
      </c>
      <c r="I221" s="34" t="s">
        <v>17</v>
      </c>
      <c r="J221" s="25">
        <v>53220290</v>
      </c>
      <c r="K221" s="25" t="s">
        <v>5751</v>
      </c>
      <c r="L221" s="50" t="s">
        <v>5753</v>
      </c>
      <c r="M221" s="26">
        <v>119900</v>
      </c>
      <c r="N221" s="22" t="s">
        <v>2569</v>
      </c>
      <c r="O221" s="34" t="s">
        <v>2586</v>
      </c>
      <c r="P221" s="22" t="s">
        <v>2569</v>
      </c>
    </row>
    <row r="222" spans="1:16" s="2" customFormat="1" x14ac:dyDescent="0.35">
      <c r="A222" s="34" t="s">
        <v>6514</v>
      </c>
      <c r="B222" s="35">
        <f t="shared" si="7"/>
        <v>46086</v>
      </c>
      <c r="C222" s="35">
        <f t="shared" si="8"/>
        <v>46092</v>
      </c>
      <c r="D222" s="34">
        <v>3287</v>
      </c>
      <c r="E222" s="34">
        <v>338</v>
      </c>
      <c r="F222" s="34">
        <v>4</v>
      </c>
      <c r="G222" s="25">
        <v>8</v>
      </c>
      <c r="H222" s="25">
        <v>81462</v>
      </c>
      <c r="I222" s="34" t="s">
        <v>17</v>
      </c>
      <c r="J222" s="25">
        <v>53220307</v>
      </c>
      <c r="K222" s="25" t="s">
        <v>5751</v>
      </c>
      <c r="L222" s="50" t="s">
        <v>5752</v>
      </c>
      <c r="M222" s="26">
        <v>119900</v>
      </c>
      <c r="N222" s="22" t="s">
        <v>2569</v>
      </c>
      <c r="O222" s="34" t="s">
        <v>2586</v>
      </c>
      <c r="P222" s="22" t="s">
        <v>2569</v>
      </c>
    </row>
    <row r="223" spans="1:16" s="2" customFormat="1" x14ac:dyDescent="0.35">
      <c r="A223" s="34" t="s">
        <v>6514</v>
      </c>
      <c r="B223" s="35">
        <f t="shared" si="7"/>
        <v>46086</v>
      </c>
      <c r="C223" s="35">
        <f t="shared" si="8"/>
        <v>46092</v>
      </c>
      <c r="D223" s="34">
        <v>3287</v>
      </c>
      <c r="E223" s="34">
        <v>338</v>
      </c>
      <c r="F223" s="34">
        <v>4</v>
      </c>
      <c r="G223" s="25">
        <v>8</v>
      </c>
      <c r="H223" s="25">
        <v>81462</v>
      </c>
      <c r="I223" s="34" t="s">
        <v>17</v>
      </c>
      <c r="J223" s="25">
        <v>53220316</v>
      </c>
      <c r="K223" s="25" t="s">
        <v>5751</v>
      </c>
      <c r="L223" s="50" t="s">
        <v>5755</v>
      </c>
      <c r="M223" s="26">
        <v>119900</v>
      </c>
      <c r="N223" s="22" t="s">
        <v>2569</v>
      </c>
      <c r="O223" s="34" t="s">
        <v>2586</v>
      </c>
      <c r="P223" s="22" t="s">
        <v>2569</v>
      </c>
    </row>
  </sheetData>
  <phoneticPr fontId="8" type="noConversion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1BC-A0EF-45DD-925D-06AD56458D42}">
  <dimension ref="A1:P81"/>
  <sheetViews>
    <sheetView zoomScale="79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33" customWidth="1"/>
    <col min="2" max="2" width="16.08984375" style="38" bestFit="1" customWidth="1"/>
    <col min="3" max="3" width="13.36328125" style="33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54.54296875" style="33" customWidth="1"/>
    <col min="13" max="13" width="20.90625" style="33" bestFit="1" customWidth="1"/>
    <col min="14" max="14" width="18.08984375" style="33" customWidth="1"/>
    <col min="15" max="16" width="19.90625" style="33" bestFit="1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6515</v>
      </c>
      <c r="B2" s="35">
        <f>'2025 HILITE D80 - 3321'!B2</f>
        <v>46086</v>
      </c>
      <c r="C2" s="35">
        <f>'2025 HILITE D80 - 3321'!C2</f>
        <v>46092</v>
      </c>
      <c r="D2" s="34">
        <v>3287</v>
      </c>
      <c r="E2" s="34">
        <v>338</v>
      </c>
      <c r="F2" s="34">
        <v>4</v>
      </c>
      <c r="G2" s="34">
        <v>2</v>
      </c>
      <c r="H2" s="34">
        <v>81462</v>
      </c>
      <c r="I2" s="34" t="s">
        <v>17</v>
      </c>
      <c r="J2" s="34">
        <v>53160837</v>
      </c>
      <c r="K2" s="34" t="s">
        <v>5806</v>
      </c>
      <c r="L2" s="40" t="s">
        <v>5808</v>
      </c>
      <c r="M2" s="36">
        <v>239900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">
        <v>6515</v>
      </c>
      <c r="B3" s="35">
        <f>B2</f>
        <v>46086</v>
      </c>
      <c r="C3" s="35">
        <f>C2</f>
        <v>46092</v>
      </c>
      <c r="D3" s="34">
        <v>3287</v>
      </c>
      <c r="E3" s="34">
        <v>338</v>
      </c>
      <c r="F3" s="34">
        <v>4</v>
      </c>
      <c r="G3" s="34">
        <v>2</v>
      </c>
      <c r="H3" s="34">
        <v>81462</v>
      </c>
      <c r="I3" s="34" t="s">
        <v>17</v>
      </c>
      <c r="J3" s="34">
        <v>53160846</v>
      </c>
      <c r="K3" s="34" t="s">
        <v>5806</v>
      </c>
      <c r="L3" s="40" t="s">
        <v>5814</v>
      </c>
      <c r="M3" s="36">
        <v>239900</v>
      </c>
      <c r="N3" s="22" t="s">
        <v>2569</v>
      </c>
      <c r="O3" s="34" t="s">
        <v>2577</v>
      </c>
      <c r="P3" s="22" t="s">
        <v>2569</v>
      </c>
    </row>
    <row r="4" spans="1:16" x14ac:dyDescent="0.35">
      <c r="A4" s="34" t="s">
        <v>6515</v>
      </c>
      <c r="B4" s="35">
        <f>B3</f>
        <v>46086</v>
      </c>
      <c r="C4" s="35">
        <f>C3</f>
        <v>46092</v>
      </c>
      <c r="D4" s="34">
        <v>3287</v>
      </c>
      <c r="E4" s="34">
        <v>338</v>
      </c>
      <c r="F4" s="34">
        <v>4</v>
      </c>
      <c r="G4" s="34">
        <v>2</v>
      </c>
      <c r="H4" s="34">
        <v>81462</v>
      </c>
      <c r="I4" s="34" t="s">
        <v>17</v>
      </c>
      <c r="J4" s="34">
        <v>53160855</v>
      </c>
      <c r="K4" s="34" t="s">
        <v>5806</v>
      </c>
      <c r="L4" s="40" t="s">
        <v>5812</v>
      </c>
      <c r="M4" s="36">
        <v>239900</v>
      </c>
      <c r="N4" s="22" t="s">
        <v>2569</v>
      </c>
      <c r="O4" s="34" t="s">
        <v>2577</v>
      </c>
      <c r="P4" s="22" t="s">
        <v>2569</v>
      </c>
    </row>
    <row r="5" spans="1:16" x14ac:dyDescent="0.35">
      <c r="A5" s="34" t="s">
        <v>6515</v>
      </c>
      <c r="B5" s="35">
        <f t="shared" ref="B5:B36" si="0">B4</f>
        <v>46086</v>
      </c>
      <c r="C5" s="35">
        <f t="shared" ref="C5:C36" si="1">C4</f>
        <v>46092</v>
      </c>
      <c r="D5" s="34">
        <v>3287</v>
      </c>
      <c r="E5" s="34">
        <v>338</v>
      </c>
      <c r="F5" s="34">
        <v>4</v>
      </c>
      <c r="G5" s="34">
        <v>2</v>
      </c>
      <c r="H5" s="34">
        <v>81462</v>
      </c>
      <c r="I5" s="34" t="s">
        <v>17</v>
      </c>
      <c r="J5" s="34">
        <v>53160864</v>
      </c>
      <c r="K5" s="34" t="s">
        <v>5806</v>
      </c>
      <c r="L5" s="40" t="s">
        <v>5810</v>
      </c>
      <c r="M5" s="36">
        <v>239900</v>
      </c>
      <c r="N5" s="22" t="s">
        <v>2569</v>
      </c>
      <c r="O5" s="34" t="s">
        <v>2577</v>
      </c>
      <c r="P5" s="22" t="s">
        <v>2569</v>
      </c>
    </row>
    <row r="6" spans="1:16" x14ac:dyDescent="0.35">
      <c r="A6" s="34" t="s">
        <v>6515</v>
      </c>
      <c r="B6" s="35">
        <f t="shared" si="0"/>
        <v>46086</v>
      </c>
      <c r="C6" s="35">
        <f t="shared" si="1"/>
        <v>46092</v>
      </c>
      <c r="D6" s="34">
        <v>3287</v>
      </c>
      <c r="E6" s="34">
        <v>338</v>
      </c>
      <c r="F6" s="34">
        <v>4</v>
      </c>
      <c r="G6" s="34">
        <v>2</v>
      </c>
      <c r="H6" s="34">
        <v>81462</v>
      </c>
      <c r="I6" s="34" t="s">
        <v>17</v>
      </c>
      <c r="J6" s="34">
        <v>53160873</v>
      </c>
      <c r="K6" s="34" t="s">
        <v>5806</v>
      </c>
      <c r="L6" s="40" t="s">
        <v>5811</v>
      </c>
      <c r="M6" s="36">
        <v>239900</v>
      </c>
      <c r="N6" s="22" t="s">
        <v>2569</v>
      </c>
      <c r="O6" s="34" t="s">
        <v>2577</v>
      </c>
      <c r="P6" s="22" t="s">
        <v>2569</v>
      </c>
    </row>
    <row r="7" spans="1:16" x14ac:dyDescent="0.35">
      <c r="A7" s="34" t="s">
        <v>6515</v>
      </c>
      <c r="B7" s="35">
        <f t="shared" si="0"/>
        <v>46086</v>
      </c>
      <c r="C7" s="35">
        <f t="shared" si="1"/>
        <v>46092</v>
      </c>
      <c r="D7" s="34">
        <v>3287</v>
      </c>
      <c r="E7" s="34">
        <v>338</v>
      </c>
      <c r="F7" s="34">
        <v>4</v>
      </c>
      <c r="G7" s="34">
        <v>2</v>
      </c>
      <c r="H7" s="34">
        <v>81462</v>
      </c>
      <c r="I7" s="34" t="s">
        <v>17</v>
      </c>
      <c r="J7" s="34">
        <v>53160882</v>
      </c>
      <c r="K7" s="34" t="s">
        <v>5806</v>
      </c>
      <c r="L7" s="40" t="s">
        <v>5807</v>
      </c>
      <c r="M7" s="36">
        <v>239900</v>
      </c>
      <c r="N7" s="22" t="s">
        <v>2569</v>
      </c>
      <c r="O7" s="34" t="s">
        <v>2577</v>
      </c>
      <c r="P7" s="22" t="s">
        <v>2569</v>
      </c>
    </row>
    <row r="8" spans="1:16" x14ac:dyDescent="0.35">
      <c r="A8" s="34" t="s">
        <v>6515</v>
      </c>
      <c r="B8" s="35">
        <f t="shared" si="0"/>
        <v>46086</v>
      </c>
      <c r="C8" s="35">
        <f t="shared" si="1"/>
        <v>46092</v>
      </c>
      <c r="D8" s="34">
        <v>3287</v>
      </c>
      <c r="E8" s="34">
        <v>338</v>
      </c>
      <c r="F8" s="34">
        <v>4</v>
      </c>
      <c r="G8" s="34">
        <v>2</v>
      </c>
      <c r="H8" s="34">
        <v>81462</v>
      </c>
      <c r="I8" s="34" t="s">
        <v>17</v>
      </c>
      <c r="J8" s="34">
        <v>53160891</v>
      </c>
      <c r="K8" s="34" t="s">
        <v>5806</v>
      </c>
      <c r="L8" s="40" t="s">
        <v>5809</v>
      </c>
      <c r="M8" s="36">
        <v>239900</v>
      </c>
      <c r="N8" s="22" t="s">
        <v>2569</v>
      </c>
      <c r="O8" s="34" t="s">
        <v>2577</v>
      </c>
      <c r="P8" s="22" t="s">
        <v>2569</v>
      </c>
    </row>
    <row r="9" spans="1:16" x14ac:dyDescent="0.35">
      <c r="A9" s="34" t="s">
        <v>6515</v>
      </c>
      <c r="B9" s="35">
        <f t="shared" si="0"/>
        <v>46086</v>
      </c>
      <c r="C9" s="35">
        <f t="shared" si="1"/>
        <v>46092</v>
      </c>
      <c r="D9" s="34">
        <v>3287</v>
      </c>
      <c r="E9" s="34">
        <v>338</v>
      </c>
      <c r="F9" s="34">
        <v>4</v>
      </c>
      <c r="G9" s="34">
        <v>2</v>
      </c>
      <c r="H9" s="34">
        <v>81462</v>
      </c>
      <c r="I9" s="34" t="s">
        <v>17</v>
      </c>
      <c r="J9" s="34">
        <v>53160908</v>
      </c>
      <c r="K9" s="34" t="s">
        <v>5806</v>
      </c>
      <c r="L9" s="40" t="s">
        <v>5813</v>
      </c>
      <c r="M9" s="36">
        <v>239900</v>
      </c>
      <c r="N9" s="22" t="s">
        <v>2569</v>
      </c>
      <c r="O9" s="34" t="s">
        <v>2577</v>
      </c>
      <c r="P9" s="22" t="s">
        <v>2569</v>
      </c>
    </row>
    <row r="10" spans="1:16" x14ac:dyDescent="0.35">
      <c r="A10" s="34" t="s">
        <v>6515</v>
      </c>
      <c r="B10" s="35">
        <f t="shared" si="0"/>
        <v>46086</v>
      </c>
      <c r="C10" s="35">
        <f t="shared" si="1"/>
        <v>46092</v>
      </c>
      <c r="D10" s="34">
        <v>3287</v>
      </c>
      <c r="E10" s="34">
        <v>338</v>
      </c>
      <c r="F10" s="34">
        <v>4</v>
      </c>
      <c r="G10" s="34">
        <v>7</v>
      </c>
      <c r="H10" s="34">
        <v>81827</v>
      </c>
      <c r="I10" s="34" t="s">
        <v>17</v>
      </c>
      <c r="J10" s="34">
        <v>53582168</v>
      </c>
      <c r="K10" s="34" t="s">
        <v>5828</v>
      </c>
      <c r="L10" s="40" t="s">
        <v>5830</v>
      </c>
      <c r="M10" s="36">
        <v>35900</v>
      </c>
      <c r="N10" s="22" t="s">
        <v>2569</v>
      </c>
      <c r="O10" s="34" t="s">
        <v>2577</v>
      </c>
      <c r="P10" s="22" t="s">
        <v>2569</v>
      </c>
    </row>
    <row r="11" spans="1:16" x14ac:dyDescent="0.35">
      <c r="A11" s="34" t="s">
        <v>6515</v>
      </c>
      <c r="B11" s="35">
        <f t="shared" si="0"/>
        <v>46086</v>
      </c>
      <c r="C11" s="35">
        <f t="shared" si="1"/>
        <v>46092</v>
      </c>
      <c r="D11" s="34">
        <v>3287</v>
      </c>
      <c r="E11" s="34">
        <v>338</v>
      </c>
      <c r="F11" s="34">
        <v>4</v>
      </c>
      <c r="G11" s="34">
        <v>7</v>
      </c>
      <c r="H11" s="34">
        <v>81827</v>
      </c>
      <c r="I11" s="34" t="s">
        <v>17</v>
      </c>
      <c r="J11" s="34">
        <v>53582177</v>
      </c>
      <c r="K11" s="34" t="s">
        <v>5828</v>
      </c>
      <c r="L11" s="40" t="s">
        <v>5829</v>
      </c>
      <c r="M11" s="36">
        <v>35900</v>
      </c>
      <c r="N11" s="22" t="s">
        <v>2569</v>
      </c>
      <c r="O11" s="34" t="s">
        <v>2577</v>
      </c>
      <c r="P11" s="22" t="s">
        <v>2569</v>
      </c>
    </row>
    <row r="12" spans="1:16" x14ac:dyDescent="0.35">
      <c r="A12" s="34" t="s">
        <v>6515</v>
      </c>
      <c r="B12" s="35">
        <f t="shared" si="0"/>
        <v>46086</v>
      </c>
      <c r="C12" s="35">
        <f t="shared" si="1"/>
        <v>46092</v>
      </c>
      <c r="D12" s="34">
        <v>3287</v>
      </c>
      <c r="E12" s="34">
        <v>338</v>
      </c>
      <c r="F12" s="34">
        <v>4</v>
      </c>
      <c r="G12" s="34">
        <v>7</v>
      </c>
      <c r="H12" s="34">
        <v>81827</v>
      </c>
      <c r="I12" s="34" t="s">
        <v>17</v>
      </c>
      <c r="J12" s="34">
        <v>53582186</v>
      </c>
      <c r="K12" s="34" t="s">
        <v>5823</v>
      </c>
      <c r="L12" s="40" t="s">
        <v>5825</v>
      </c>
      <c r="M12" s="36">
        <v>35900</v>
      </c>
      <c r="N12" s="22" t="s">
        <v>2569</v>
      </c>
      <c r="O12" s="34" t="s">
        <v>2577</v>
      </c>
      <c r="P12" s="22" t="s">
        <v>2569</v>
      </c>
    </row>
    <row r="13" spans="1:16" x14ac:dyDescent="0.35">
      <c r="A13" s="34" t="s">
        <v>6515</v>
      </c>
      <c r="B13" s="35">
        <f t="shared" si="0"/>
        <v>46086</v>
      </c>
      <c r="C13" s="35">
        <f t="shared" si="1"/>
        <v>46092</v>
      </c>
      <c r="D13" s="34">
        <v>3287</v>
      </c>
      <c r="E13" s="34">
        <v>338</v>
      </c>
      <c r="F13" s="34">
        <v>4</v>
      </c>
      <c r="G13" s="34">
        <v>7</v>
      </c>
      <c r="H13" s="34">
        <v>81827</v>
      </c>
      <c r="I13" s="34" t="s">
        <v>17</v>
      </c>
      <c r="J13" s="34">
        <v>53582195</v>
      </c>
      <c r="K13" s="34" t="s">
        <v>5823</v>
      </c>
      <c r="L13" s="40" t="s">
        <v>5824</v>
      </c>
      <c r="M13" s="36">
        <v>35900</v>
      </c>
      <c r="N13" s="22" t="s">
        <v>2569</v>
      </c>
      <c r="O13" s="34" t="s">
        <v>2577</v>
      </c>
      <c r="P13" s="22" t="s">
        <v>2569</v>
      </c>
    </row>
    <row r="14" spans="1:16" x14ac:dyDescent="0.35">
      <c r="A14" s="34" t="s">
        <v>6515</v>
      </c>
      <c r="B14" s="35">
        <f t="shared" si="0"/>
        <v>46086</v>
      </c>
      <c r="C14" s="35">
        <f t="shared" si="1"/>
        <v>46092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53582202</v>
      </c>
      <c r="K14" s="34" t="s">
        <v>5826</v>
      </c>
      <c r="L14" s="40" t="s">
        <v>5827</v>
      </c>
      <c r="M14" s="36">
        <v>35900</v>
      </c>
      <c r="N14" s="22" t="s">
        <v>2569</v>
      </c>
      <c r="O14" s="34" t="s">
        <v>2577</v>
      </c>
      <c r="P14" s="22" t="s">
        <v>2569</v>
      </c>
    </row>
    <row r="15" spans="1:16" x14ac:dyDescent="0.35">
      <c r="A15" s="34" t="s">
        <v>6515</v>
      </c>
      <c r="B15" s="35">
        <f t="shared" si="0"/>
        <v>46086</v>
      </c>
      <c r="C15" s="35">
        <f t="shared" si="1"/>
        <v>46092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53582211</v>
      </c>
      <c r="K15" s="34" t="s">
        <v>5826</v>
      </c>
      <c r="L15" s="40" t="s">
        <v>5831</v>
      </c>
      <c r="M15" s="36">
        <v>35900</v>
      </c>
      <c r="N15" s="22" t="s">
        <v>2569</v>
      </c>
      <c r="O15" s="34" t="s">
        <v>2577</v>
      </c>
      <c r="P15" s="22" t="s">
        <v>2569</v>
      </c>
    </row>
    <row r="16" spans="1:16" x14ac:dyDescent="0.35">
      <c r="A16" s="34" t="s">
        <v>6515</v>
      </c>
      <c r="B16" s="35">
        <f t="shared" si="0"/>
        <v>46086</v>
      </c>
      <c r="C16" s="35">
        <f t="shared" si="1"/>
        <v>46092</v>
      </c>
      <c r="D16" s="34">
        <v>3287</v>
      </c>
      <c r="E16" s="34">
        <v>338</v>
      </c>
      <c r="F16" s="34">
        <v>4</v>
      </c>
      <c r="G16" s="34">
        <v>1</v>
      </c>
      <c r="H16" s="34">
        <v>850</v>
      </c>
      <c r="I16" s="34" t="s">
        <v>17</v>
      </c>
      <c r="J16" s="34">
        <v>53582220</v>
      </c>
      <c r="K16" s="34" t="s">
        <v>5801</v>
      </c>
      <c r="L16" s="40" t="s">
        <v>5804</v>
      </c>
      <c r="M16" s="36">
        <v>119900</v>
      </c>
      <c r="N16" s="22" t="s">
        <v>2569</v>
      </c>
      <c r="O16" s="34" t="s">
        <v>2577</v>
      </c>
      <c r="P16" s="22" t="s">
        <v>2569</v>
      </c>
    </row>
    <row r="17" spans="1:16" x14ac:dyDescent="0.35">
      <c r="A17" s="34" t="s">
        <v>6515</v>
      </c>
      <c r="B17" s="35">
        <f t="shared" si="0"/>
        <v>46086</v>
      </c>
      <c r="C17" s="35">
        <f t="shared" si="1"/>
        <v>46092</v>
      </c>
      <c r="D17" s="34">
        <v>3287</v>
      </c>
      <c r="E17" s="34">
        <v>338</v>
      </c>
      <c r="F17" s="34">
        <v>4</v>
      </c>
      <c r="G17" s="34">
        <v>1</v>
      </c>
      <c r="H17" s="34">
        <v>850</v>
      </c>
      <c r="I17" s="34" t="s">
        <v>17</v>
      </c>
      <c r="J17" s="34">
        <v>53582239</v>
      </c>
      <c r="K17" s="34" t="s">
        <v>5801</v>
      </c>
      <c r="L17" s="40" t="s">
        <v>5805</v>
      </c>
      <c r="M17" s="36">
        <v>119900</v>
      </c>
      <c r="N17" s="22" t="s">
        <v>2569</v>
      </c>
      <c r="O17" s="34" t="s">
        <v>2577</v>
      </c>
      <c r="P17" s="22" t="s">
        <v>2569</v>
      </c>
    </row>
    <row r="18" spans="1:16" x14ac:dyDescent="0.35">
      <c r="A18" s="34" t="s">
        <v>6515</v>
      </c>
      <c r="B18" s="35">
        <f t="shared" si="0"/>
        <v>46086</v>
      </c>
      <c r="C18" s="35">
        <f t="shared" si="1"/>
        <v>46092</v>
      </c>
      <c r="D18" s="34">
        <v>3287</v>
      </c>
      <c r="E18" s="34">
        <v>338</v>
      </c>
      <c r="F18" s="34">
        <v>4</v>
      </c>
      <c r="G18" s="34">
        <v>1</v>
      </c>
      <c r="H18" s="34">
        <v>850</v>
      </c>
      <c r="I18" s="34" t="s">
        <v>17</v>
      </c>
      <c r="J18" s="34">
        <v>53582248</v>
      </c>
      <c r="K18" s="34" t="s">
        <v>5801</v>
      </c>
      <c r="L18" s="40" t="s">
        <v>5803</v>
      </c>
      <c r="M18" s="36">
        <v>119900</v>
      </c>
      <c r="N18" s="22" t="s">
        <v>2569</v>
      </c>
      <c r="O18" s="34" t="s">
        <v>2577</v>
      </c>
      <c r="P18" s="22" t="s">
        <v>2569</v>
      </c>
    </row>
    <row r="19" spans="1:16" x14ac:dyDescent="0.35">
      <c r="A19" s="34" t="s">
        <v>6515</v>
      </c>
      <c r="B19" s="35">
        <f t="shared" si="0"/>
        <v>46086</v>
      </c>
      <c r="C19" s="35">
        <f t="shared" si="1"/>
        <v>46092</v>
      </c>
      <c r="D19" s="34">
        <v>3287</v>
      </c>
      <c r="E19" s="34">
        <v>338</v>
      </c>
      <c r="F19" s="34">
        <v>4</v>
      </c>
      <c r="G19" s="34">
        <v>1</v>
      </c>
      <c r="H19" s="34">
        <v>850</v>
      </c>
      <c r="I19" s="34" t="s">
        <v>17</v>
      </c>
      <c r="J19" s="34">
        <v>53582257</v>
      </c>
      <c r="K19" s="34" t="s">
        <v>5801</v>
      </c>
      <c r="L19" s="40" t="s">
        <v>5802</v>
      </c>
      <c r="M19" s="36">
        <v>119900</v>
      </c>
      <c r="N19" s="22" t="s">
        <v>2569</v>
      </c>
      <c r="O19" s="34" t="s">
        <v>2577</v>
      </c>
      <c r="P19" s="22" t="s">
        <v>2569</v>
      </c>
    </row>
    <row r="20" spans="1:16" x14ac:dyDescent="0.35">
      <c r="A20" s="34" t="s">
        <v>6515</v>
      </c>
      <c r="B20" s="35">
        <f t="shared" si="0"/>
        <v>46086</v>
      </c>
      <c r="C20" s="35">
        <f t="shared" si="1"/>
        <v>46092</v>
      </c>
      <c r="D20" s="34">
        <v>3287</v>
      </c>
      <c r="E20" s="34">
        <v>338</v>
      </c>
      <c r="F20" s="34">
        <v>4</v>
      </c>
      <c r="G20" s="34">
        <v>2</v>
      </c>
      <c r="H20" s="34">
        <v>81676</v>
      </c>
      <c r="I20" s="34" t="s">
        <v>17</v>
      </c>
      <c r="J20" s="34">
        <v>53582300</v>
      </c>
      <c r="K20" s="34" t="s">
        <v>5800</v>
      </c>
      <c r="L20" s="40" t="s">
        <v>5817</v>
      </c>
      <c r="M20" s="36">
        <v>199900</v>
      </c>
      <c r="N20" s="23" t="s">
        <v>2569</v>
      </c>
      <c r="O20" s="34" t="s">
        <v>2577</v>
      </c>
      <c r="P20" s="22" t="s">
        <v>2569</v>
      </c>
    </row>
    <row r="21" spans="1:16" x14ac:dyDescent="0.35">
      <c r="A21" s="34" t="s">
        <v>6515</v>
      </c>
      <c r="B21" s="35">
        <f t="shared" si="0"/>
        <v>46086</v>
      </c>
      <c r="C21" s="35">
        <f t="shared" si="1"/>
        <v>46092</v>
      </c>
      <c r="D21" s="34">
        <v>3287</v>
      </c>
      <c r="E21" s="34">
        <v>338</v>
      </c>
      <c r="F21" s="34">
        <v>4</v>
      </c>
      <c r="G21" s="34">
        <v>2</v>
      </c>
      <c r="H21" s="34">
        <v>81676</v>
      </c>
      <c r="I21" s="34" t="s">
        <v>17</v>
      </c>
      <c r="J21" s="34">
        <v>53582319</v>
      </c>
      <c r="K21" s="34" t="s">
        <v>5800</v>
      </c>
      <c r="L21" s="40" t="s">
        <v>5822</v>
      </c>
      <c r="M21" s="36">
        <v>199900</v>
      </c>
      <c r="N21" s="23" t="s">
        <v>2569</v>
      </c>
      <c r="O21" s="34" t="s">
        <v>2577</v>
      </c>
      <c r="P21" s="22" t="s">
        <v>2569</v>
      </c>
    </row>
    <row r="22" spans="1:16" x14ac:dyDescent="0.35">
      <c r="A22" s="34" t="s">
        <v>6515</v>
      </c>
      <c r="B22" s="35">
        <f t="shared" si="0"/>
        <v>46086</v>
      </c>
      <c r="C22" s="35">
        <f t="shared" si="1"/>
        <v>46092</v>
      </c>
      <c r="D22" s="34">
        <v>3287</v>
      </c>
      <c r="E22" s="34">
        <v>338</v>
      </c>
      <c r="F22" s="34">
        <v>4</v>
      </c>
      <c r="G22" s="34">
        <v>2</v>
      </c>
      <c r="H22" s="34">
        <v>81676</v>
      </c>
      <c r="I22" s="34" t="s">
        <v>17</v>
      </c>
      <c r="J22" s="34">
        <v>53582328</v>
      </c>
      <c r="K22" s="34" t="s">
        <v>5800</v>
      </c>
      <c r="L22" s="40" t="s">
        <v>5819</v>
      </c>
      <c r="M22" s="36">
        <v>199900</v>
      </c>
      <c r="N22" s="23" t="s">
        <v>2569</v>
      </c>
      <c r="O22" s="34" t="s">
        <v>2577</v>
      </c>
      <c r="P22" s="22" t="s">
        <v>2569</v>
      </c>
    </row>
    <row r="23" spans="1:16" x14ac:dyDescent="0.35">
      <c r="A23" s="34" t="s">
        <v>6515</v>
      </c>
      <c r="B23" s="35">
        <f t="shared" si="0"/>
        <v>46086</v>
      </c>
      <c r="C23" s="35">
        <f t="shared" si="1"/>
        <v>46092</v>
      </c>
      <c r="D23" s="34">
        <v>3287</v>
      </c>
      <c r="E23" s="34">
        <v>338</v>
      </c>
      <c r="F23" s="34">
        <v>4</v>
      </c>
      <c r="G23" s="34">
        <v>2</v>
      </c>
      <c r="H23" s="34">
        <v>81676</v>
      </c>
      <c r="I23" s="34" t="s">
        <v>17</v>
      </c>
      <c r="J23" s="34">
        <v>53582337</v>
      </c>
      <c r="K23" s="34" t="s">
        <v>5800</v>
      </c>
      <c r="L23" s="40" t="s">
        <v>5821</v>
      </c>
      <c r="M23" s="36">
        <v>199900</v>
      </c>
      <c r="N23" s="23" t="s">
        <v>2569</v>
      </c>
      <c r="O23" s="34" t="s">
        <v>2577</v>
      </c>
      <c r="P23" s="22" t="s">
        <v>2569</v>
      </c>
    </row>
    <row r="24" spans="1:16" x14ac:dyDescent="0.35">
      <c r="A24" s="34" t="s">
        <v>6515</v>
      </c>
      <c r="B24" s="35">
        <f t="shared" si="0"/>
        <v>46086</v>
      </c>
      <c r="C24" s="35">
        <f t="shared" si="1"/>
        <v>46092</v>
      </c>
      <c r="D24" s="34">
        <v>3287</v>
      </c>
      <c r="E24" s="34">
        <v>338</v>
      </c>
      <c r="F24" s="34">
        <v>4</v>
      </c>
      <c r="G24" s="34">
        <v>2</v>
      </c>
      <c r="H24" s="34">
        <v>81676</v>
      </c>
      <c r="I24" s="34" t="s">
        <v>17</v>
      </c>
      <c r="J24" s="34">
        <v>53582346</v>
      </c>
      <c r="K24" s="34" t="s">
        <v>5800</v>
      </c>
      <c r="L24" s="40" t="s">
        <v>5820</v>
      </c>
      <c r="M24" s="36">
        <v>199900</v>
      </c>
      <c r="N24" s="23" t="s">
        <v>2569</v>
      </c>
      <c r="O24" s="34" t="s">
        <v>2577</v>
      </c>
      <c r="P24" s="22" t="s">
        <v>2569</v>
      </c>
    </row>
    <row r="25" spans="1:16" x14ac:dyDescent="0.35">
      <c r="A25" s="34" t="s">
        <v>6515</v>
      </c>
      <c r="B25" s="35">
        <f t="shared" si="0"/>
        <v>46086</v>
      </c>
      <c r="C25" s="35">
        <f t="shared" si="1"/>
        <v>46092</v>
      </c>
      <c r="D25" s="34">
        <v>3287</v>
      </c>
      <c r="E25" s="34">
        <v>338</v>
      </c>
      <c r="F25" s="34">
        <v>4</v>
      </c>
      <c r="G25" s="34">
        <v>2</v>
      </c>
      <c r="H25" s="34">
        <v>81676</v>
      </c>
      <c r="I25" s="34" t="s">
        <v>17</v>
      </c>
      <c r="J25" s="34">
        <v>53582355</v>
      </c>
      <c r="K25" s="34" t="s">
        <v>5800</v>
      </c>
      <c r="L25" s="40" t="s">
        <v>5815</v>
      </c>
      <c r="M25" s="36">
        <v>199900</v>
      </c>
      <c r="N25" s="23" t="s">
        <v>2569</v>
      </c>
      <c r="O25" s="34" t="s">
        <v>2577</v>
      </c>
      <c r="P25" s="22" t="s">
        <v>2569</v>
      </c>
    </row>
    <row r="26" spans="1:16" x14ac:dyDescent="0.35">
      <c r="A26" s="34" t="s">
        <v>6515</v>
      </c>
      <c r="B26" s="35">
        <f t="shared" si="0"/>
        <v>46086</v>
      </c>
      <c r="C26" s="35">
        <f t="shared" si="1"/>
        <v>46092</v>
      </c>
      <c r="D26" s="34">
        <v>3287</v>
      </c>
      <c r="E26" s="34">
        <v>338</v>
      </c>
      <c r="F26" s="34">
        <v>4</v>
      </c>
      <c r="G26" s="34">
        <v>2</v>
      </c>
      <c r="H26" s="34">
        <v>81676</v>
      </c>
      <c r="I26" s="34" t="s">
        <v>17</v>
      </c>
      <c r="J26" s="34">
        <v>53582364</v>
      </c>
      <c r="K26" s="34" t="s">
        <v>5800</v>
      </c>
      <c r="L26" s="40" t="s">
        <v>5816</v>
      </c>
      <c r="M26" s="36">
        <v>199900</v>
      </c>
      <c r="N26" s="23" t="s">
        <v>2569</v>
      </c>
      <c r="O26" s="34" t="s">
        <v>2577</v>
      </c>
      <c r="P26" s="22" t="s">
        <v>2569</v>
      </c>
    </row>
    <row r="27" spans="1:16" x14ac:dyDescent="0.35">
      <c r="A27" s="34" t="s">
        <v>6515</v>
      </c>
      <c r="B27" s="35">
        <f t="shared" si="0"/>
        <v>46086</v>
      </c>
      <c r="C27" s="35">
        <f t="shared" si="1"/>
        <v>46092</v>
      </c>
      <c r="D27" s="34">
        <v>3287</v>
      </c>
      <c r="E27" s="34">
        <v>338</v>
      </c>
      <c r="F27" s="34">
        <v>4</v>
      </c>
      <c r="G27" s="34">
        <v>2</v>
      </c>
      <c r="H27" s="34">
        <v>81676</v>
      </c>
      <c r="I27" s="34" t="s">
        <v>17</v>
      </c>
      <c r="J27" s="34">
        <v>53582373</v>
      </c>
      <c r="K27" s="34" t="s">
        <v>5800</v>
      </c>
      <c r="L27" s="40" t="s">
        <v>5818</v>
      </c>
      <c r="M27" s="36">
        <v>199900</v>
      </c>
      <c r="N27" s="23" t="s">
        <v>2569</v>
      </c>
      <c r="O27" s="34" t="s">
        <v>2577</v>
      </c>
      <c r="P27" s="22" t="s">
        <v>2569</v>
      </c>
    </row>
    <row r="28" spans="1:16" x14ac:dyDescent="0.35">
      <c r="A28" s="34" t="s">
        <v>6515</v>
      </c>
      <c r="B28" s="35">
        <f t="shared" si="0"/>
        <v>46086</v>
      </c>
      <c r="C28" s="35">
        <f t="shared" si="1"/>
        <v>46092</v>
      </c>
      <c r="D28" s="34">
        <v>3287</v>
      </c>
      <c r="E28" s="34">
        <v>338</v>
      </c>
      <c r="F28" s="34">
        <v>4</v>
      </c>
      <c r="G28" s="34">
        <v>7</v>
      </c>
      <c r="H28" s="34">
        <v>81827</v>
      </c>
      <c r="I28" s="34" t="s">
        <v>17</v>
      </c>
      <c r="J28" s="34">
        <v>52659515</v>
      </c>
      <c r="K28" s="34" t="s">
        <v>5838</v>
      </c>
      <c r="L28" s="40" t="s">
        <v>5839</v>
      </c>
      <c r="M28" s="36">
        <v>35900</v>
      </c>
      <c r="N28" s="23" t="s">
        <v>2569</v>
      </c>
      <c r="O28" s="34" t="s">
        <v>2577</v>
      </c>
      <c r="P28" s="22" t="s">
        <v>2569</v>
      </c>
    </row>
    <row r="29" spans="1:16" x14ac:dyDescent="0.35">
      <c r="A29" s="34" t="s">
        <v>6515</v>
      </c>
      <c r="B29" s="35">
        <f t="shared" si="0"/>
        <v>46086</v>
      </c>
      <c r="C29" s="35">
        <f t="shared" si="1"/>
        <v>46092</v>
      </c>
      <c r="D29" s="34">
        <v>3287</v>
      </c>
      <c r="E29" s="34">
        <v>338</v>
      </c>
      <c r="F29" s="34">
        <v>4</v>
      </c>
      <c r="G29" s="34">
        <v>7</v>
      </c>
      <c r="H29" s="34">
        <v>81827</v>
      </c>
      <c r="I29" s="34" t="s">
        <v>17</v>
      </c>
      <c r="J29" s="34">
        <v>52659524</v>
      </c>
      <c r="K29" s="34" t="s">
        <v>5838</v>
      </c>
      <c r="L29" s="40" t="s">
        <v>5840</v>
      </c>
      <c r="M29" s="36">
        <v>35900</v>
      </c>
      <c r="N29" s="23" t="s">
        <v>2569</v>
      </c>
      <c r="O29" s="34" t="s">
        <v>2577</v>
      </c>
      <c r="P29" s="22" t="s">
        <v>2569</v>
      </c>
    </row>
    <row r="30" spans="1:16" x14ac:dyDescent="0.35">
      <c r="A30" s="34" t="s">
        <v>6515</v>
      </c>
      <c r="B30" s="35">
        <f t="shared" si="0"/>
        <v>46086</v>
      </c>
      <c r="C30" s="35">
        <f t="shared" si="1"/>
        <v>46092</v>
      </c>
      <c r="D30" s="34">
        <v>3287</v>
      </c>
      <c r="E30" s="34">
        <v>338</v>
      </c>
      <c r="F30" s="34">
        <v>4</v>
      </c>
      <c r="G30" s="34">
        <v>10</v>
      </c>
      <c r="H30" s="34">
        <v>81827</v>
      </c>
      <c r="I30" s="34" t="s">
        <v>17</v>
      </c>
      <c r="J30" s="34">
        <v>52659579</v>
      </c>
      <c r="K30" s="34" t="s">
        <v>5841</v>
      </c>
      <c r="L30" s="40" t="s">
        <v>5842</v>
      </c>
      <c r="M30" s="36">
        <v>35900</v>
      </c>
      <c r="N30" s="23" t="s">
        <v>2569</v>
      </c>
      <c r="O30" s="34" t="s">
        <v>2577</v>
      </c>
      <c r="P30" s="22" t="s">
        <v>2569</v>
      </c>
    </row>
    <row r="31" spans="1:16" x14ac:dyDescent="0.35">
      <c r="A31" s="34" t="s">
        <v>6515</v>
      </c>
      <c r="B31" s="35">
        <f t="shared" si="0"/>
        <v>46086</v>
      </c>
      <c r="C31" s="35">
        <f t="shared" si="1"/>
        <v>46092</v>
      </c>
      <c r="D31" s="34">
        <v>3287</v>
      </c>
      <c r="E31" s="34">
        <v>338</v>
      </c>
      <c r="F31" s="34">
        <v>4</v>
      </c>
      <c r="G31" s="34">
        <v>10</v>
      </c>
      <c r="H31" s="34">
        <v>81827</v>
      </c>
      <c r="I31" s="34" t="s">
        <v>17</v>
      </c>
      <c r="J31" s="34">
        <v>52659588</v>
      </c>
      <c r="K31" s="34" t="s">
        <v>5841</v>
      </c>
      <c r="L31" s="40" t="s">
        <v>5843</v>
      </c>
      <c r="M31" s="36">
        <v>35900</v>
      </c>
      <c r="N31" s="23" t="s">
        <v>2569</v>
      </c>
      <c r="O31" s="34" t="s">
        <v>2577</v>
      </c>
      <c r="P31" s="22" t="s">
        <v>2569</v>
      </c>
    </row>
    <row r="32" spans="1:16" x14ac:dyDescent="0.35">
      <c r="A32" s="34" t="s">
        <v>6515</v>
      </c>
      <c r="B32" s="35">
        <f t="shared" si="0"/>
        <v>46086</v>
      </c>
      <c r="C32" s="35">
        <f t="shared" si="1"/>
        <v>46092</v>
      </c>
      <c r="D32" s="34">
        <v>3287</v>
      </c>
      <c r="E32" s="34">
        <v>338</v>
      </c>
      <c r="F32" s="34">
        <v>4</v>
      </c>
      <c r="G32" s="34">
        <v>7</v>
      </c>
      <c r="H32" s="34">
        <v>81827</v>
      </c>
      <c r="I32" s="34" t="s">
        <v>17</v>
      </c>
      <c r="J32" s="34">
        <v>53160819</v>
      </c>
      <c r="K32" s="34" t="s">
        <v>5832</v>
      </c>
      <c r="L32" s="40" t="s">
        <v>5833</v>
      </c>
      <c r="M32" s="36">
        <v>35900</v>
      </c>
      <c r="N32" s="23" t="s">
        <v>2569</v>
      </c>
      <c r="O32" s="34" t="s">
        <v>2577</v>
      </c>
      <c r="P32" s="22" t="s">
        <v>2569</v>
      </c>
    </row>
    <row r="33" spans="1:16" x14ac:dyDescent="0.35">
      <c r="A33" s="34" t="s">
        <v>6515</v>
      </c>
      <c r="B33" s="35">
        <f t="shared" si="0"/>
        <v>46086</v>
      </c>
      <c r="C33" s="35">
        <f t="shared" si="1"/>
        <v>46092</v>
      </c>
      <c r="D33" s="34">
        <v>3287</v>
      </c>
      <c r="E33" s="34">
        <v>338</v>
      </c>
      <c r="F33" s="34">
        <v>4</v>
      </c>
      <c r="G33" s="34">
        <v>7</v>
      </c>
      <c r="H33" s="34">
        <v>81827</v>
      </c>
      <c r="I33" s="34" t="s">
        <v>17</v>
      </c>
      <c r="J33" s="34">
        <v>53160828</v>
      </c>
      <c r="K33" s="34" t="s">
        <v>5832</v>
      </c>
      <c r="L33" s="40" t="s">
        <v>5837</v>
      </c>
      <c r="M33" s="36">
        <v>35900</v>
      </c>
      <c r="N33" s="23" t="s">
        <v>2569</v>
      </c>
      <c r="O33" s="34" t="s">
        <v>2577</v>
      </c>
      <c r="P33" s="22" t="s">
        <v>2569</v>
      </c>
    </row>
    <row r="34" spans="1:16" x14ac:dyDescent="0.35">
      <c r="A34" s="34" t="s">
        <v>6515</v>
      </c>
      <c r="B34" s="35">
        <f t="shared" si="0"/>
        <v>46086</v>
      </c>
      <c r="C34" s="35">
        <f t="shared" si="1"/>
        <v>46092</v>
      </c>
      <c r="D34" s="34">
        <v>3287</v>
      </c>
      <c r="E34" s="34">
        <v>338</v>
      </c>
      <c r="F34" s="34">
        <v>4</v>
      </c>
      <c r="G34" s="34">
        <v>7</v>
      </c>
      <c r="H34" s="34">
        <v>81827</v>
      </c>
      <c r="I34" s="34" t="s">
        <v>17</v>
      </c>
      <c r="J34" s="34">
        <v>53582266</v>
      </c>
      <c r="K34" s="34" t="s">
        <v>5834</v>
      </c>
      <c r="L34" s="40" t="s">
        <v>5835</v>
      </c>
      <c r="M34" s="36">
        <v>35900</v>
      </c>
      <c r="N34" s="23" t="s">
        <v>2569</v>
      </c>
      <c r="O34" s="34" t="s">
        <v>2577</v>
      </c>
      <c r="P34" s="22" t="s">
        <v>2569</v>
      </c>
    </row>
    <row r="35" spans="1:16" x14ac:dyDescent="0.35">
      <c r="A35" s="34" t="s">
        <v>6515</v>
      </c>
      <c r="B35" s="35">
        <f t="shared" si="0"/>
        <v>46086</v>
      </c>
      <c r="C35" s="35">
        <f t="shared" si="1"/>
        <v>46092</v>
      </c>
      <c r="D35" s="34">
        <v>3287</v>
      </c>
      <c r="E35" s="34">
        <v>338</v>
      </c>
      <c r="F35" s="34">
        <v>4</v>
      </c>
      <c r="G35" s="34">
        <v>7</v>
      </c>
      <c r="H35" s="34">
        <v>81827</v>
      </c>
      <c r="I35" s="34" t="s">
        <v>17</v>
      </c>
      <c r="J35" s="34">
        <v>53582275</v>
      </c>
      <c r="K35" s="34" t="s">
        <v>5834</v>
      </c>
      <c r="L35" s="40" t="s">
        <v>5836</v>
      </c>
      <c r="M35" s="36">
        <v>35900</v>
      </c>
      <c r="N35" s="23" t="s">
        <v>2569</v>
      </c>
      <c r="O35" s="34" t="s">
        <v>2577</v>
      </c>
      <c r="P35" s="22" t="s">
        <v>2569</v>
      </c>
    </row>
    <row r="36" spans="1:16" x14ac:dyDescent="0.35">
      <c r="A36" s="34" t="s">
        <v>6515</v>
      </c>
      <c r="B36" s="35">
        <f t="shared" si="0"/>
        <v>46086</v>
      </c>
      <c r="C36" s="35">
        <f t="shared" si="1"/>
        <v>46092</v>
      </c>
      <c r="D36" s="34">
        <v>3287</v>
      </c>
      <c r="E36" s="34">
        <v>338</v>
      </c>
      <c r="F36" s="34">
        <v>4</v>
      </c>
      <c r="G36" s="34">
        <v>7</v>
      </c>
      <c r="H36" s="34">
        <v>81827</v>
      </c>
      <c r="I36" s="34" t="s">
        <v>17</v>
      </c>
      <c r="J36" s="34">
        <v>53582284</v>
      </c>
      <c r="K36" s="34" t="s">
        <v>5846</v>
      </c>
      <c r="L36" s="40" t="s">
        <v>5847</v>
      </c>
      <c r="M36" s="36">
        <v>35900</v>
      </c>
      <c r="N36" s="23" t="s">
        <v>2569</v>
      </c>
      <c r="O36" s="34" t="s">
        <v>2577</v>
      </c>
      <c r="P36" s="22" t="s">
        <v>2569</v>
      </c>
    </row>
    <row r="37" spans="1:16" x14ac:dyDescent="0.35">
      <c r="A37" s="34" t="s">
        <v>6515</v>
      </c>
      <c r="B37" s="35">
        <f t="shared" ref="B37:B68" si="2">B36</f>
        <v>46086</v>
      </c>
      <c r="C37" s="35">
        <f t="shared" ref="C37:C68" si="3">C36</f>
        <v>46092</v>
      </c>
      <c r="D37" s="34">
        <v>3287</v>
      </c>
      <c r="E37" s="34">
        <v>338</v>
      </c>
      <c r="F37" s="34">
        <v>4</v>
      </c>
      <c r="G37" s="34">
        <v>7</v>
      </c>
      <c r="H37" s="34">
        <v>81827</v>
      </c>
      <c r="I37" s="34" t="s">
        <v>17</v>
      </c>
      <c r="J37" s="34">
        <v>53582293</v>
      </c>
      <c r="K37" s="34" t="s">
        <v>5846</v>
      </c>
      <c r="L37" s="40" t="s">
        <v>5849</v>
      </c>
      <c r="M37" s="36">
        <v>35900</v>
      </c>
      <c r="N37" s="23" t="s">
        <v>2569</v>
      </c>
      <c r="O37" s="34" t="s">
        <v>2577</v>
      </c>
      <c r="P37" s="22" t="s">
        <v>2569</v>
      </c>
    </row>
    <row r="38" spans="1:16" x14ac:dyDescent="0.35">
      <c r="A38" s="34" t="s">
        <v>6515</v>
      </c>
      <c r="B38" s="35">
        <f t="shared" si="2"/>
        <v>46086</v>
      </c>
      <c r="C38" s="35">
        <f t="shared" si="3"/>
        <v>46092</v>
      </c>
      <c r="D38" s="34">
        <v>3287</v>
      </c>
      <c r="E38" s="34">
        <v>338</v>
      </c>
      <c r="F38" s="34">
        <v>4</v>
      </c>
      <c r="G38" s="34">
        <v>10</v>
      </c>
      <c r="H38" s="34">
        <v>81533</v>
      </c>
      <c r="I38" s="34" t="s">
        <v>17</v>
      </c>
      <c r="J38" s="34">
        <v>54413428</v>
      </c>
      <c r="K38" s="34" t="s">
        <v>5853</v>
      </c>
      <c r="L38" s="40" t="s">
        <v>5854</v>
      </c>
      <c r="M38" s="36">
        <v>35900</v>
      </c>
      <c r="N38" s="23" t="s">
        <v>2569</v>
      </c>
      <c r="O38" s="34" t="s">
        <v>2577</v>
      </c>
      <c r="P38" s="22" t="s">
        <v>2569</v>
      </c>
    </row>
    <row r="39" spans="1:16" x14ac:dyDescent="0.35">
      <c r="A39" s="34" t="s">
        <v>6515</v>
      </c>
      <c r="B39" s="35">
        <f t="shared" si="2"/>
        <v>46086</v>
      </c>
      <c r="C39" s="35">
        <f t="shared" si="3"/>
        <v>46092</v>
      </c>
      <c r="D39" s="34">
        <v>3287</v>
      </c>
      <c r="E39" s="34">
        <v>338</v>
      </c>
      <c r="F39" s="34">
        <v>4</v>
      </c>
      <c r="G39" s="34">
        <v>10</v>
      </c>
      <c r="H39" s="34">
        <v>81533</v>
      </c>
      <c r="I39" s="34" t="s">
        <v>17</v>
      </c>
      <c r="J39" s="34">
        <v>54413437</v>
      </c>
      <c r="K39" s="34" t="s">
        <v>5853</v>
      </c>
      <c r="L39" s="40" t="s">
        <v>5862</v>
      </c>
      <c r="M39" s="36">
        <v>35900</v>
      </c>
      <c r="N39" s="23" t="s">
        <v>2569</v>
      </c>
      <c r="O39" s="34" t="s">
        <v>2577</v>
      </c>
      <c r="P39" s="22" t="s">
        <v>2569</v>
      </c>
    </row>
    <row r="40" spans="1:16" x14ac:dyDescent="0.35">
      <c r="A40" s="34" t="s">
        <v>6515</v>
      </c>
      <c r="B40" s="35">
        <f t="shared" si="2"/>
        <v>46086</v>
      </c>
      <c r="C40" s="35">
        <f t="shared" si="3"/>
        <v>46092</v>
      </c>
      <c r="D40" s="34">
        <v>3287</v>
      </c>
      <c r="E40" s="34">
        <v>338</v>
      </c>
      <c r="F40" s="34">
        <v>4</v>
      </c>
      <c r="G40" s="34">
        <v>10</v>
      </c>
      <c r="H40" s="34">
        <v>81533</v>
      </c>
      <c r="I40" s="34" t="s">
        <v>17</v>
      </c>
      <c r="J40" s="34">
        <v>54413446</v>
      </c>
      <c r="K40" s="34" t="s">
        <v>5859</v>
      </c>
      <c r="L40" s="40" t="s">
        <v>5860</v>
      </c>
      <c r="M40" s="36">
        <v>35900</v>
      </c>
      <c r="N40" s="23" t="s">
        <v>2569</v>
      </c>
      <c r="O40" s="34" t="s">
        <v>2577</v>
      </c>
      <c r="P40" s="22" t="s">
        <v>2569</v>
      </c>
    </row>
    <row r="41" spans="1:16" x14ac:dyDescent="0.35">
      <c r="A41" s="34" t="s">
        <v>6515</v>
      </c>
      <c r="B41" s="35">
        <f t="shared" si="2"/>
        <v>46086</v>
      </c>
      <c r="C41" s="35">
        <f t="shared" si="3"/>
        <v>46092</v>
      </c>
      <c r="D41" s="34">
        <v>3287</v>
      </c>
      <c r="E41" s="34">
        <v>338</v>
      </c>
      <c r="F41" s="34">
        <v>4</v>
      </c>
      <c r="G41" s="34">
        <v>10</v>
      </c>
      <c r="H41" s="34">
        <v>81533</v>
      </c>
      <c r="I41" s="34" t="s">
        <v>17</v>
      </c>
      <c r="J41" s="34">
        <v>54413455</v>
      </c>
      <c r="K41" s="34" t="s">
        <v>5859</v>
      </c>
      <c r="L41" s="40" t="s">
        <v>5863</v>
      </c>
      <c r="M41" s="36">
        <v>35900</v>
      </c>
      <c r="N41" s="23" t="s">
        <v>2569</v>
      </c>
      <c r="O41" s="34" t="s">
        <v>2577</v>
      </c>
      <c r="P41" s="22" t="s">
        <v>2569</v>
      </c>
    </row>
    <row r="42" spans="1:16" x14ac:dyDescent="0.35">
      <c r="A42" s="34" t="s">
        <v>6515</v>
      </c>
      <c r="B42" s="35">
        <f t="shared" si="2"/>
        <v>46086</v>
      </c>
      <c r="C42" s="35">
        <f t="shared" si="3"/>
        <v>46092</v>
      </c>
      <c r="D42" s="34">
        <v>3287</v>
      </c>
      <c r="E42" s="34">
        <v>338</v>
      </c>
      <c r="F42" s="34">
        <v>4</v>
      </c>
      <c r="G42" s="34">
        <v>10</v>
      </c>
      <c r="H42" s="34">
        <v>81533</v>
      </c>
      <c r="I42" s="34" t="s">
        <v>17</v>
      </c>
      <c r="J42" s="34">
        <v>54413464</v>
      </c>
      <c r="K42" s="34" t="s">
        <v>5855</v>
      </c>
      <c r="L42" s="40" t="s">
        <v>5864</v>
      </c>
      <c r="M42" s="36">
        <v>35900</v>
      </c>
      <c r="N42" s="23" t="s">
        <v>2569</v>
      </c>
      <c r="O42" s="34" t="s">
        <v>2577</v>
      </c>
      <c r="P42" s="22" t="s">
        <v>2569</v>
      </c>
    </row>
    <row r="43" spans="1:16" x14ac:dyDescent="0.35">
      <c r="A43" s="34" t="s">
        <v>6515</v>
      </c>
      <c r="B43" s="35">
        <f t="shared" si="2"/>
        <v>46086</v>
      </c>
      <c r="C43" s="35">
        <f t="shared" si="3"/>
        <v>46092</v>
      </c>
      <c r="D43" s="34">
        <v>3287</v>
      </c>
      <c r="E43" s="34">
        <v>338</v>
      </c>
      <c r="F43" s="34">
        <v>4</v>
      </c>
      <c r="G43" s="34">
        <v>10</v>
      </c>
      <c r="H43" s="34">
        <v>81533</v>
      </c>
      <c r="I43" s="34" t="s">
        <v>17</v>
      </c>
      <c r="J43" s="34">
        <v>54413473</v>
      </c>
      <c r="K43" s="34" t="s">
        <v>5855</v>
      </c>
      <c r="L43" s="40" t="s">
        <v>5856</v>
      </c>
      <c r="M43" s="36">
        <v>35900</v>
      </c>
      <c r="N43" s="23" t="s">
        <v>2569</v>
      </c>
      <c r="O43" s="34" t="s">
        <v>2577</v>
      </c>
      <c r="P43" s="22" t="s">
        <v>2569</v>
      </c>
    </row>
    <row r="44" spans="1:16" x14ac:dyDescent="0.35">
      <c r="A44" s="34" t="s">
        <v>6515</v>
      </c>
      <c r="B44" s="35">
        <f t="shared" si="2"/>
        <v>46086</v>
      </c>
      <c r="C44" s="35">
        <f t="shared" si="3"/>
        <v>46092</v>
      </c>
      <c r="D44" s="34">
        <v>3287</v>
      </c>
      <c r="E44" s="34">
        <v>338</v>
      </c>
      <c r="F44" s="34">
        <v>4</v>
      </c>
      <c r="G44" s="34">
        <v>10</v>
      </c>
      <c r="H44" s="34">
        <v>81533</v>
      </c>
      <c r="I44" s="34" t="s">
        <v>17</v>
      </c>
      <c r="J44" s="34">
        <v>54413482</v>
      </c>
      <c r="K44" s="34" t="s">
        <v>5857</v>
      </c>
      <c r="L44" s="40" t="s">
        <v>5858</v>
      </c>
      <c r="M44" s="36">
        <v>35900</v>
      </c>
      <c r="N44" s="23" t="s">
        <v>2569</v>
      </c>
      <c r="O44" s="34" t="s">
        <v>2577</v>
      </c>
      <c r="P44" s="22" t="s">
        <v>2569</v>
      </c>
    </row>
    <row r="45" spans="1:16" x14ac:dyDescent="0.35">
      <c r="A45" s="34" t="s">
        <v>6515</v>
      </c>
      <c r="B45" s="35">
        <f t="shared" si="2"/>
        <v>46086</v>
      </c>
      <c r="C45" s="35">
        <f t="shared" si="3"/>
        <v>46092</v>
      </c>
      <c r="D45" s="34">
        <v>3287</v>
      </c>
      <c r="E45" s="34">
        <v>338</v>
      </c>
      <c r="F45" s="34">
        <v>4</v>
      </c>
      <c r="G45" s="34">
        <v>10</v>
      </c>
      <c r="H45" s="34">
        <v>81533</v>
      </c>
      <c r="I45" s="34" t="s">
        <v>17</v>
      </c>
      <c r="J45" s="34">
        <v>54413491</v>
      </c>
      <c r="K45" s="34" t="s">
        <v>5857</v>
      </c>
      <c r="L45" s="40" t="s">
        <v>5861</v>
      </c>
      <c r="M45" s="36">
        <v>35900</v>
      </c>
      <c r="N45" s="23" t="s">
        <v>2569</v>
      </c>
      <c r="O45" s="34" t="s">
        <v>2577</v>
      </c>
      <c r="P45" s="22" t="s">
        <v>2569</v>
      </c>
    </row>
    <row r="46" spans="1:16" x14ac:dyDescent="0.35">
      <c r="A46" s="34" t="s">
        <v>6515</v>
      </c>
      <c r="B46" s="35">
        <f t="shared" si="2"/>
        <v>46086</v>
      </c>
      <c r="C46" s="35">
        <f t="shared" si="3"/>
        <v>46092</v>
      </c>
      <c r="D46" s="34">
        <v>3287</v>
      </c>
      <c r="E46" s="34">
        <v>338</v>
      </c>
      <c r="F46" s="34">
        <v>4</v>
      </c>
      <c r="G46" s="34">
        <v>1</v>
      </c>
      <c r="H46" s="34">
        <v>81462</v>
      </c>
      <c r="I46" s="34" t="s">
        <v>17</v>
      </c>
      <c r="J46" s="34">
        <v>54413544</v>
      </c>
      <c r="K46" s="34" t="s">
        <v>5943</v>
      </c>
      <c r="L46" s="40" t="s">
        <v>5945</v>
      </c>
      <c r="M46" s="36">
        <v>119900</v>
      </c>
      <c r="N46" s="22" t="s">
        <v>2569</v>
      </c>
      <c r="O46" s="34" t="s">
        <v>2577</v>
      </c>
      <c r="P46" s="22" t="s">
        <v>2569</v>
      </c>
    </row>
    <row r="47" spans="1:16" x14ac:dyDescent="0.35">
      <c r="A47" s="34" t="s">
        <v>6515</v>
      </c>
      <c r="B47" s="35">
        <f t="shared" si="2"/>
        <v>46086</v>
      </c>
      <c r="C47" s="35">
        <f t="shared" si="3"/>
        <v>46092</v>
      </c>
      <c r="D47" s="34">
        <v>3287</v>
      </c>
      <c r="E47" s="34">
        <v>338</v>
      </c>
      <c r="F47" s="34">
        <v>4</v>
      </c>
      <c r="G47" s="34">
        <v>1</v>
      </c>
      <c r="H47" s="34">
        <v>81462</v>
      </c>
      <c r="I47" s="34" t="s">
        <v>17</v>
      </c>
      <c r="J47" s="34">
        <v>54413553</v>
      </c>
      <c r="K47" s="34" t="s">
        <v>5943</v>
      </c>
      <c r="L47" s="40" t="s">
        <v>5946</v>
      </c>
      <c r="M47" s="36">
        <v>119900</v>
      </c>
      <c r="N47" s="22" t="s">
        <v>2569</v>
      </c>
      <c r="O47" s="34" t="s">
        <v>2577</v>
      </c>
      <c r="P47" s="22" t="s">
        <v>2569</v>
      </c>
    </row>
    <row r="48" spans="1:16" x14ac:dyDescent="0.35">
      <c r="A48" s="34" t="s">
        <v>6515</v>
      </c>
      <c r="B48" s="35">
        <f t="shared" si="2"/>
        <v>46086</v>
      </c>
      <c r="C48" s="35">
        <f t="shared" si="3"/>
        <v>46092</v>
      </c>
      <c r="D48" s="34">
        <v>3287</v>
      </c>
      <c r="E48" s="34">
        <v>338</v>
      </c>
      <c r="F48" s="34">
        <v>4</v>
      </c>
      <c r="G48" s="34">
        <v>1</v>
      </c>
      <c r="H48" s="34">
        <v>81462</v>
      </c>
      <c r="I48" s="34" t="s">
        <v>17</v>
      </c>
      <c r="J48" s="34">
        <v>54413562</v>
      </c>
      <c r="K48" s="34" t="s">
        <v>5943</v>
      </c>
      <c r="L48" s="40" t="s">
        <v>5944</v>
      </c>
      <c r="M48" s="36">
        <v>119900</v>
      </c>
      <c r="N48" s="22" t="s">
        <v>2569</v>
      </c>
      <c r="O48" s="34" t="s">
        <v>2577</v>
      </c>
      <c r="P48" s="22" t="s">
        <v>2569</v>
      </c>
    </row>
    <row r="49" spans="1:16" x14ac:dyDescent="0.35">
      <c r="A49" s="34" t="s">
        <v>6515</v>
      </c>
      <c r="B49" s="35">
        <f t="shared" si="2"/>
        <v>46086</v>
      </c>
      <c r="C49" s="35">
        <f t="shared" si="3"/>
        <v>46092</v>
      </c>
      <c r="D49" s="34">
        <v>3287</v>
      </c>
      <c r="E49" s="34">
        <v>338</v>
      </c>
      <c r="F49" s="34">
        <v>4</v>
      </c>
      <c r="G49" s="34">
        <v>1</v>
      </c>
      <c r="H49" s="34">
        <v>81462</v>
      </c>
      <c r="I49" s="34" t="s">
        <v>17</v>
      </c>
      <c r="J49" s="34">
        <v>54413571</v>
      </c>
      <c r="K49" s="34" t="s">
        <v>5943</v>
      </c>
      <c r="L49" s="40" t="s">
        <v>5947</v>
      </c>
      <c r="M49" s="36">
        <v>119900</v>
      </c>
      <c r="N49" s="22" t="s">
        <v>2569</v>
      </c>
      <c r="O49" s="34" t="s">
        <v>2577</v>
      </c>
      <c r="P49" s="22" t="s">
        <v>2569</v>
      </c>
    </row>
    <row r="50" spans="1:16" x14ac:dyDescent="0.35">
      <c r="A50" s="34" t="s">
        <v>6515</v>
      </c>
      <c r="B50" s="35">
        <f t="shared" si="2"/>
        <v>46086</v>
      </c>
      <c r="C50" s="35">
        <f t="shared" si="3"/>
        <v>46092</v>
      </c>
      <c r="D50" s="34">
        <v>3287</v>
      </c>
      <c r="E50" s="34">
        <v>338</v>
      </c>
      <c r="F50" s="34">
        <v>4</v>
      </c>
      <c r="G50" s="34">
        <v>7</v>
      </c>
      <c r="H50" s="34">
        <v>81827</v>
      </c>
      <c r="I50" s="34" t="s">
        <v>17</v>
      </c>
      <c r="J50" s="34">
        <v>54413580</v>
      </c>
      <c r="K50" s="34" t="s">
        <v>5850</v>
      </c>
      <c r="L50" s="40" t="s">
        <v>5852</v>
      </c>
      <c r="M50" s="36">
        <v>35900</v>
      </c>
      <c r="N50" s="22" t="s">
        <v>2569</v>
      </c>
      <c r="O50" s="34" t="s">
        <v>2577</v>
      </c>
      <c r="P50" s="22" t="s">
        <v>2569</v>
      </c>
    </row>
    <row r="51" spans="1:16" x14ac:dyDescent="0.35">
      <c r="A51" s="34" t="s">
        <v>6515</v>
      </c>
      <c r="B51" s="35">
        <f t="shared" si="2"/>
        <v>46086</v>
      </c>
      <c r="C51" s="35">
        <f t="shared" si="3"/>
        <v>46092</v>
      </c>
      <c r="D51" s="34">
        <v>3287</v>
      </c>
      <c r="E51" s="34">
        <v>338</v>
      </c>
      <c r="F51" s="34">
        <v>4</v>
      </c>
      <c r="G51" s="34">
        <v>7</v>
      </c>
      <c r="H51" s="34">
        <v>81827</v>
      </c>
      <c r="I51" s="34" t="s">
        <v>17</v>
      </c>
      <c r="J51" s="34">
        <v>54413599</v>
      </c>
      <c r="K51" s="34" t="s">
        <v>5850</v>
      </c>
      <c r="L51" s="40" t="s">
        <v>5851</v>
      </c>
      <c r="M51" s="36">
        <v>35900</v>
      </c>
      <c r="N51" s="22" t="s">
        <v>2569</v>
      </c>
      <c r="O51" s="34" t="s">
        <v>2577</v>
      </c>
      <c r="P51" s="22" t="s">
        <v>2569</v>
      </c>
    </row>
    <row r="52" spans="1:16" x14ac:dyDescent="0.35">
      <c r="A52" s="34" t="s">
        <v>6515</v>
      </c>
      <c r="B52" s="35">
        <f t="shared" si="2"/>
        <v>46086</v>
      </c>
      <c r="C52" s="35">
        <f t="shared" si="3"/>
        <v>46092</v>
      </c>
      <c r="D52" s="34">
        <v>3287</v>
      </c>
      <c r="E52" s="34">
        <v>338</v>
      </c>
      <c r="F52" s="34">
        <v>4</v>
      </c>
      <c r="G52" s="34">
        <v>7</v>
      </c>
      <c r="H52" s="34">
        <v>81827</v>
      </c>
      <c r="I52" s="34" t="s">
        <v>17</v>
      </c>
      <c r="J52" s="34">
        <v>54413606</v>
      </c>
      <c r="K52" s="34" t="s">
        <v>5844</v>
      </c>
      <c r="L52" s="40" t="s">
        <v>5845</v>
      </c>
      <c r="M52" s="36">
        <v>35900</v>
      </c>
      <c r="N52" s="22" t="s">
        <v>2569</v>
      </c>
      <c r="O52" s="34" t="s">
        <v>2577</v>
      </c>
      <c r="P52" s="22" t="s">
        <v>2569</v>
      </c>
    </row>
    <row r="53" spans="1:16" x14ac:dyDescent="0.35">
      <c r="A53" s="34" t="s">
        <v>6515</v>
      </c>
      <c r="B53" s="35">
        <f t="shared" si="2"/>
        <v>46086</v>
      </c>
      <c r="C53" s="35">
        <f t="shared" si="3"/>
        <v>46092</v>
      </c>
      <c r="D53" s="34">
        <v>3287</v>
      </c>
      <c r="E53" s="34">
        <v>338</v>
      </c>
      <c r="F53" s="34">
        <v>4</v>
      </c>
      <c r="G53" s="34">
        <v>7</v>
      </c>
      <c r="H53" s="34">
        <v>81827</v>
      </c>
      <c r="I53" s="34" t="s">
        <v>17</v>
      </c>
      <c r="J53" s="34">
        <v>54413615</v>
      </c>
      <c r="K53" s="34" t="s">
        <v>5844</v>
      </c>
      <c r="L53" s="40" t="s">
        <v>5848</v>
      </c>
      <c r="M53" s="36">
        <v>35900</v>
      </c>
      <c r="N53" s="22" t="s">
        <v>2569</v>
      </c>
      <c r="O53" s="34" t="s">
        <v>2577</v>
      </c>
      <c r="P53" s="22" t="s">
        <v>2569</v>
      </c>
    </row>
    <row r="54" spans="1:16" x14ac:dyDescent="0.35">
      <c r="A54" s="34" t="s">
        <v>6515</v>
      </c>
      <c r="B54" s="35">
        <f t="shared" si="2"/>
        <v>46086</v>
      </c>
      <c r="C54" s="35">
        <f t="shared" si="3"/>
        <v>46092</v>
      </c>
      <c r="D54" s="34">
        <v>3287</v>
      </c>
      <c r="E54" s="34">
        <v>338</v>
      </c>
      <c r="F54" s="34">
        <v>4</v>
      </c>
      <c r="G54" s="34">
        <v>9</v>
      </c>
      <c r="H54" s="34">
        <v>81462</v>
      </c>
      <c r="I54" s="34" t="s">
        <v>17</v>
      </c>
      <c r="J54" s="34">
        <v>54413624</v>
      </c>
      <c r="K54" s="34" t="s">
        <v>5966</v>
      </c>
      <c r="L54" s="40" t="s">
        <v>5973</v>
      </c>
      <c r="M54" s="36">
        <v>219900</v>
      </c>
      <c r="N54" s="22" t="s">
        <v>2569</v>
      </c>
      <c r="O54" s="34" t="s">
        <v>2577</v>
      </c>
      <c r="P54" s="22" t="s">
        <v>2569</v>
      </c>
    </row>
    <row r="55" spans="1:16" x14ac:dyDescent="0.35">
      <c r="A55" s="34" t="s">
        <v>6515</v>
      </c>
      <c r="B55" s="35">
        <f t="shared" si="2"/>
        <v>46086</v>
      </c>
      <c r="C55" s="35">
        <f t="shared" si="3"/>
        <v>46092</v>
      </c>
      <c r="D55" s="34">
        <v>3287</v>
      </c>
      <c r="E55" s="34">
        <v>338</v>
      </c>
      <c r="F55" s="34">
        <v>4</v>
      </c>
      <c r="G55" s="34">
        <v>9</v>
      </c>
      <c r="H55" s="34">
        <v>81462</v>
      </c>
      <c r="I55" s="34" t="s">
        <v>17</v>
      </c>
      <c r="J55" s="34">
        <v>54413633</v>
      </c>
      <c r="K55" s="34" t="s">
        <v>5966</v>
      </c>
      <c r="L55" s="40" t="s">
        <v>5970</v>
      </c>
      <c r="M55" s="36">
        <v>219900</v>
      </c>
      <c r="N55" s="22" t="s">
        <v>2569</v>
      </c>
      <c r="O55" s="34" t="s">
        <v>2577</v>
      </c>
      <c r="P55" s="22" t="s">
        <v>2569</v>
      </c>
    </row>
    <row r="56" spans="1:16" x14ac:dyDescent="0.35">
      <c r="A56" s="34" t="s">
        <v>6515</v>
      </c>
      <c r="B56" s="35">
        <f t="shared" si="2"/>
        <v>46086</v>
      </c>
      <c r="C56" s="35">
        <f t="shared" si="3"/>
        <v>46092</v>
      </c>
      <c r="D56" s="34">
        <v>3287</v>
      </c>
      <c r="E56" s="34">
        <v>338</v>
      </c>
      <c r="F56" s="34">
        <v>4</v>
      </c>
      <c r="G56" s="34">
        <v>9</v>
      </c>
      <c r="H56" s="34">
        <v>81462</v>
      </c>
      <c r="I56" s="34" t="s">
        <v>17</v>
      </c>
      <c r="J56" s="34">
        <v>54413642</v>
      </c>
      <c r="K56" s="34" t="s">
        <v>5966</v>
      </c>
      <c r="L56" s="40" t="s">
        <v>5968</v>
      </c>
      <c r="M56" s="36">
        <v>219900</v>
      </c>
      <c r="N56" s="22" t="s">
        <v>2569</v>
      </c>
      <c r="O56" s="34" t="s">
        <v>2577</v>
      </c>
      <c r="P56" s="22" t="s">
        <v>2569</v>
      </c>
    </row>
    <row r="57" spans="1:16" x14ac:dyDescent="0.35">
      <c r="A57" s="34" t="s">
        <v>6515</v>
      </c>
      <c r="B57" s="35">
        <f t="shared" si="2"/>
        <v>46086</v>
      </c>
      <c r="C57" s="35">
        <f t="shared" si="3"/>
        <v>46092</v>
      </c>
      <c r="D57" s="34">
        <v>3287</v>
      </c>
      <c r="E57" s="34">
        <v>338</v>
      </c>
      <c r="F57" s="34">
        <v>4</v>
      </c>
      <c r="G57" s="34">
        <v>9</v>
      </c>
      <c r="H57" s="34">
        <v>81462</v>
      </c>
      <c r="I57" s="34" t="s">
        <v>17</v>
      </c>
      <c r="J57" s="34">
        <v>54413651</v>
      </c>
      <c r="K57" s="34" t="s">
        <v>5966</v>
      </c>
      <c r="L57" s="40" t="s">
        <v>5969</v>
      </c>
      <c r="M57" s="36">
        <v>219900</v>
      </c>
      <c r="N57" s="22" t="s">
        <v>2569</v>
      </c>
      <c r="O57" s="34" t="s">
        <v>2577</v>
      </c>
      <c r="P57" s="22" t="s">
        <v>2569</v>
      </c>
    </row>
    <row r="58" spans="1:16" s="16" customFormat="1" x14ac:dyDescent="0.35">
      <c r="A58" s="34" t="s">
        <v>6515</v>
      </c>
      <c r="B58" s="35">
        <f t="shared" si="2"/>
        <v>46086</v>
      </c>
      <c r="C58" s="35">
        <f t="shared" si="3"/>
        <v>46092</v>
      </c>
      <c r="D58" s="34">
        <v>3287</v>
      </c>
      <c r="E58" s="34">
        <v>338</v>
      </c>
      <c r="F58" s="34">
        <v>4</v>
      </c>
      <c r="G58" s="34">
        <v>9</v>
      </c>
      <c r="H58" s="34">
        <v>81462</v>
      </c>
      <c r="I58" s="34" t="s">
        <v>17</v>
      </c>
      <c r="J58" s="34">
        <v>54413660</v>
      </c>
      <c r="K58" s="34" t="s">
        <v>5966</v>
      </c>
      <c r="L58" s="40" t="s">
        <v>5971</v>
      </c>
      <c r="M58" s="36">
        <v>219900</v>
      </c>
      <c r="N58" s="22" t="s">
        <v>2569</v>
      </c>
      <c r="O58" s="34" t="s">
        <v>2577</v>
      </c>
      <c r="P58" s="22" t="s">
        <v>2569</v>
      </c>
    </row>
    <row r="59" spans="1:16" x14ac:dyDescent="0.35">
      <c r="A59" s="34" t="s">
        <v>6515</v>
      </c>
      <c r="B59" s="35">
        <f t="shared" si="2"/>
        <v>46086</v>
      </c>
      <c r="C59" s="35">
        <f t="shared" si="3"/>
        <v>46092</v>
      </c>
      <c r="D59" s="34">
        <v>3287</v>
      </c>
      <c r="E59" s="34">
        <v>338</v>
      </c>
      <c r="F59" s="34">
        <v>4</v>
      </c>
      <c r="G59" s="34">
        <v>9</v>
      </c>
      <c r="H59" s="34">
        <v>81462</v>
      </c>
      <c r="I59" s="34" t="s">
        <v>17</v>
      </c>
      <c r="J59" s="34">
        <v>54413679</v>
      </c>
      <c r="K59" s="34" t="s">
        <v>5966</v>
      </c>
      <c r="L59" s="40" t="s">
        <v>5967</v>
      </c>
      <c r="M59" s="36">
        <v>219900</v>
      </c>
      <c r="N59" s="22" t="s">
        <v>2569</v>
      </c>
      <c r="O59" s="34" t="s">
        <v>2577</v>
      </c>
      <c r="P59" s="22" t="s">
        <v>2569</v>
      </c>
    </row>
    <row r="60" spans="1:16" x14ac:dyDescent="0.35">
      <c r="A60" s="34" t="s">
        <v>6515</v>
      </c>
      <c r="B60" s="35">
        <f t="shared" si="2"/>
        <v>46086</v>
      </c>
      <c r="C60" s="35">
        <f t="shared" si="3"/>
        <v>46092</v>
      </c>
      <c r="D60" s="34">
        <v>3287</v>
      </c>
      <c r="E60" s="34">
        <v>338</v>
      </c>
      <c r="F60" s="34">
        <v>4</v>
      </c>
      <c r="G60" s="34">
        <v>9</v>
      </c>
      <c r="H60" s="34">
        <v>81462</v>
      </c>
      <c r="I60" s="34" t="s">
        <v>17</v>
      </c>
      <c r="J60" s="34">
        <v>54413688</v>
      </c>
      <c r="K60" s="34" t="s">
        <v>5966</v>
      </c>
      <c r="L60" s="40" t="s">
        <v>5974</v>
      </c>
      <c r="M60" s="36">
        <v>219900</v>
      </c>
      <c r="N60" s="22" t="s">
        <v>2569</v>
      </c>
      <c r="O60" s="34" t="s">
        <v>2577</v>
      </c>
      <c r="P60" s="22" t="s">
        <v>2569</v>
      </c>
    </row>
    <row r="61" spans="1:16" x14ac:dyDescent="0.35">
      <c r="A61" s="34" t="s">
        <v>6515</v>
      </c>
      <c r="B61" s="35">
        <f t="shared" si="2"/>
        <v>46086</v>
      </c>
      <c r="C61" s="35">
        <f t="shared" si="3"/>
        <v>46092</v>
      </c>
      <c r="D61" s="34">
        <v>3287</v>
      </c>
      <c r="E61" s="34">
        <v>338</v>
      </c>
      <c r="F61" s="34">
        <v>4</v>
      </c>
      <c r="G61" s="34">
        <v>9</v>
      </c>
      <c r="H61" s="34">
        <v>81462</v>
      </c>
      <c r="I61" s="34" t="s">
        <v>17</v>
      </c>
      <c r="J61" s="34">
        <v>54413697</v>
      </c>
      <c r="K61" s="34" t="s">
        <v>5966</v>
      </c>
      <c r="L61" s="40" t="s">
        <v>5972</v>
      </c>
      <c r="M61" s="36">
        <v>219900</v>
      </c>
      <c r="N61" s="22" t="s">
        <v>2569</v>
      </c>
      <c r="O61" s="34" t="s">
        <v>2577</v>
      </c>
      <c r="P61" s="22" t="s">
        <v>2569</v>
      </c>
    </row>
    <row r="62" spans="1:16" x14ac:dyDescent="0.35">
      <c r="A62" s="34" t="s">
        <v>6515</v>
      </c>
      <c r="B62" s="35">
        <f t="shared" si="2"/>
        <v>46086</v>
      </c>
      <c r="C62" s="35">
        <f t="shared" si="3"/>
        <v>46092</v>
      </c>
      <c r="D62" s="34">
        <v>3287</v>
      </c>
      <c r="E62" s="34">
        <v>338</v>
      </c>
      <c r="F62" s="34">
        <v>4</v>
      </c>
      <c r="G62" s="34">
        <v>9</v>
      </c>
      <c r="H62" s="34">
        <v>81462</v>
      </c>
      <c r="I62" s="34" t="s">
        <v>17</v>
      </c>
      <c r="J62" s="34">
        <v>54505114</v>
      </c>
      <c r="K62" s="34" t="s">
        <v>5957</v>
      </c>
      <c r="L62" s="40" t="s">
        <v>5960</v>
      </c>
      <c r="M62" s="36">
        <v>219900</v>
      </c>
      <c r="N62" s="22" t="s">
        <v>2569</v>
      </c>
      <c r="O62" s="34" t="s">
        <v>2577</v>
      </c>
      <c r="P62" s="22" t="s">
        <v>2569</v>
      </c>
    </row>
    <row r="63" spans="1:16" x14ac:dyDescent="0.35">
      <c r="A63" s="34" t="s">
        <v>6515</v>
      </c>
      <c r="B63" s="35">
        <f t="shared" si="2"/>
        <v>46086</v>
      </c>
      <c r="C63" s="35">
        <f t="shared" si="3"/>
        <v>46092</v>
      </c>
      <c r="D63" s="34">
        <v>3287</v>
      </c>
      <c r="E63" s="34">
        <v>338</v>
      </c>
      <c r="F63" s="34">
        <v>4</v>
      </c>
      <c r="G63" s="34">
        <v>9</v>
      </c>
      <c r="H63" s="34">
        <v>81462</v>
      </c>
      <c r="I63" s="34" t="s">
        <v>17</v>
      </c>
      <c r="J63" s="34">
        <v>54505123</v>
      </c>
      <c r="K63" s="34" t="s">
        <v>5957</v>
      </c>
      <c r="L63" s="40" t="s">
        <v>5958</v>
      </c>
      <c r="M63" s="36">
        <v>219900</v>
      </c>
      <c r="N63" s="22" t="s">
        <v>2569</v>
      </c>
      <c r="O63" s="34" t="s">
        <v>2577</v>
      </c>
      <c r="P63" s="22" t="s">
        <v>2569</v>
      </c>
    </row>
    <row r="64" spans="1:16" x14ac:dyDescent="0.35">
      <c r="A64" s="34" t="s">
        <v>6515</v>
      </c>
      <c r="B64" s="35">
        <f t="shared" si="2"/>
        <v>46086</v>
      </c>
      <c r="C64" s="35">
        <f t="shared" si="3"/>
        <v>46092</v>
      </c>
      <c r="D64" s="34">
        <v>3287</v>
      </c>
      <c r="E64" s="34">
        <v>338</v>
      </c>
      <c r="F64" s="34">
        <v>4</v>
      </c>
      <c r="G64" s="34">
        <v>9</v>
      </c>
      <c r="H64" s="34">
        <v>81462</v>
      </c>
      <c r="I64" s="34" t="s">
        <v>17</v>
      </c>
      <c r="J64" s="34">
        <v>54505132</v>
      </c>
      <c r="K64" s="34" t="s">
        <v>5957</v>
      </c>
      <c r="L64" s="40" t="s">
        <v>5961</v>
      </c>
      <c r="M64" s="36">
        <v>219900</v>
      </c>
      <c r="N64" s="22" t="s">
        <v>2569</v>
      </c>
      <c r="O64" s="34" t="s">
        <v>2577</v>
      </c>
      <c r="P64" s="22" t="s">
        <v>2569</v>
      </c>
    </row>
    <row r="65" spans="1:16" x14ac:dyDescent="0.35">
      <c r="A65" s="34" t="s">
        <v>6515</v>
      </c>
      <c r="B65" s="35">
        <f t="shared" si="2"/>
        <v>46086</v>
      </c>
      <c r="C65" s="35">
        <f t="shared" si="3"/>
        <v>46092</v>
      </c>
      <c r="D65" s="34">
        <v>3287</v>
      </c>
      <c r="E65" s="34">
        <v>338</v>
      </c>
      <c r="F65" s="34">
        <v>4</v>
      </c>
      <c r="G65" s="34">
        <v>9</v>
      </c>
      <c r="H65" s="34">
        <v>81462</v>
      </c>
      <c r="I65" s="34" t="s">
        <v>17</v>
      </c>
      <c r="J65" s="34">
        <v>54505141</v>
      </c>
      <c r="K65" s="34" t="s">
        <v>5957</v>
      </c>
      <c r="L65" s="40" t="s">
        <v>5959</v>
      </c>
      <c r="M65" s="36">
        <v>219900</v>
      </c>
      <c r="N65" s="22" t="s">
        <v>2569</v>
      </c>
      <c r="O65" s="34" t="s">
        <v>2577</v>
      </c>
      <c r="P65" s="22" t="s">
        <v>2569</v>
      </c>
    </row>
    <row r="66" spans="1:16" x14ac:dyDescent="0.35">
      <c r="A66" s="34" t="s">
        <v>6515</v>
      </c>
      <c r="B66" s="35">
        <f t="shared" si="2"/>
        <v>46086</v>
      </c>
      <c r="C66" s="35">
        <f t="shared" si="3"/>
        <v>46092</v>
      </c>
      <c r="D66" s="34">
        <v>3287</v>
      </c>
      <c r="E66" s="34">
        <v>338</v>
      </c>
      <c r="F66" s="34">
        <v>4</v>
      </c>
      <c r="G66" s="34">
        <v>9</v>
      </c>
      <c r="H66" s="34">
        <v>81462</v>
      </c>
      <c r="I66" s="34" t="s">
        <v>17</v>
      </c>
      <c r="J66" s="34">
        <v>54505150</v>
      </c>
      <c r="K66" s="34" t="s">
        <v>5957</v>
      </c>
      <c r="L66" s="40" t="s">
        <v>5965</v>
      </c>
      <c r="M66" s="36">
        <v>219900</v>
      </c>
      <c r="N66" s="22" t="s">
        <v>2569</v>
      </c>
      <c r="O66" s="34" t="s">
        <v>2577</v>
      </c>
      <c r="P66" s="22" t="s">
        <v>2569</v>
      </c>
    </row>
    <row r="67" spans="1:16" x14ac:dyDescent="0.35">
      <c r="A67" s="34" t="s">
        <v>6515</v>
      </c>
      <c r="B67" s="35">
        <f t="shared" si="2"/>
        <v>46086</v>
      </c>
      <c r="C67" s="35">
        <f t="shared" si="3"/>
        <v>46092</v>
      </c>
      <c r="D67" s="34">
        <v>3287</v>
      </c>
      <c r="E67" s="34">
        <v>338</v>
      </c>
      <c r="F67" s="34">
        <v>4</v>
      </c>
      <c r="G67" s="34">
        <v>9</v>
      </c>
      <c r="H67" s="34">
        <v>81462</v>
      </c>
      <c r="I67" s="34" t="s">
        <v>17</v>
      </c>
      <c r="J67" s="34">
        <v>54505169</v>
      </c>
      <c r="K67" s="34" t="s">
        <v>5957</v>
      </c>
      <c r="L67" s="40" t="s">
        <v>5962</v>
      </c>
      <c r="M67" s="36">
        <v>219900</v>
      </c>
      <c r="N67" s="22" t="s">
        <v>2569</v>
      </c>
      <c r="O67" s="34" t="s">
        <v>2577</v>
      </c>
      <c r="P67" s="22" t="s">
        <v>2569</v>
      </c>
    </row>
    <row r="68" spans="1:16" x14ac:dyDescent="0.35">
      <c r="A68" s="34" t="s">
        <v>6515</v>
      </c>
      <c r="B68" s="35">
        <f t="shared" si="2"/>
        <v>46086</v>
      </c>
      <c r="C68" s="35">
        <f t="shared" si="3"/>
        <v>46092</v>
      </c>
      <c r="D68" s="34">
        <v>3287</v>
      </c>
      <c r="E68" s="34">
        <v>338</v>
      </c>
      <c r="F68" s="34">
        <v>4</v>
      </c>
      <c r="G68" s="34">
        <v>9</v>
      </c>
      <c r="H68" s="34">
        <v>81462</v>
      </c>
      <c r="I68" s="34" t="s">
        <v>17</v>
      </c>
      <c r="J68" s="34">
        <v>54505178</v>
      </c>
      <c r="K68" s="34" t="s">
        <v>5957</v>
      </c>
      <c r="L68" s="40" t="s">
        <v>5964</v>
      </c>
      <c r="M68" s="36">
        <v>219900</v>
      </c>
      <c r="N68" s="22" t="s">
        <v>2569</v>
      </c>
      <c r="O68" s="34" t="s">
        <v>2577</v>
      </c>
      <c r="P68" s="22" t="s">
        <v>2569</v>
      </c>
    </row>
    <row r="69" spans="1:16" x14ac:dyDescent="0.35">
      <c r="A69" s="34" t="s">
        <v>6515</v>
      </c>
      <c r="B69" s="35">
        <f t="shared" ref="B69:B81" si="4">B68</f>
        <v>46086</v>
      </c>
      <c r="C69" s="35">
        <f t="shared" ref="C69:C81" si="5">C68</f>
        <v>46092</v>
      </c>
      <c r="D69" s="34">
        <v>3287</v>
      </c>
      <c r="E69" s="34">
        <v>338</v>
      </c>
      <c r="F69" s="34">
        <v>4</v>
      </c>
      <c r="G69" s="34">
        <v>9</v>
      </c>
      <c r="H69" s="34">
        <v>81462</v>
      </c>
      <c r="I69" s="34" t="s">
        <v>17</v>
      </c>
      <c r="J69" s="34">
        <v>54505187</v>
      </c>
      <c r="K69" s="34" t="s">
        <v>5957</v>
      </c>
      <c r="L69" s="40" t="s">
        <v>5963</v>
      </c>
      <c r="M69" s="36">
        <v>219900</v>
      </c>
      <c r="N69" s="22" t="s">
        <v>2569</v>
      </c>
      <c r="O69" s="34" t="s">
        <v>2577</v>
      </c>
      <c r="P69" s="22" t="s">
        <v>2569</v>
      </c>
    </row>
    <row r="70" spans="1:16" x14ac:dyDescent="0.35">
      <c r="A70" s="34" t="s">
        <v>6515</v>
      </c>
      <c r="B70" s="35">
        <f t="shared" si="4"/>
        <v>46086</v>
      </c>
      <c r="C70" s="35">
        <f t="shared" si="5"/>
        <v>46092</v>
      </c>
      <c r="D70" s="34">
        <v>3287</v>
      </c>
      <c r="E70" s="34">
        <v>338</v>
      </c>
      <c r="F70" s="34">
        <v>4</v>
      </c>
      <c r="G70" s="34">
        <v>4</v>
      </c>
      <c r="H70" s="34">
        <v>81676</v>
      </c>
      <c r="I70" s="34" t="s">
        <v>17</v>
      </c>
      <c r="J70" s="34">
        <v>54509165</v>
      </c>
      <c r="K70" s="34" t="s">
        <v>5948</v>
      </c>
      <c r="L70" s="40" t="s">
        <v>5955</v>
      </c>
      <c r="M70" s="36">
        <v>219900</v>
      </c>
      <c r="N70" s="22" t="s">
        <v>2569</v>
      </c>
      <c r="O70" s="34" t="s">
        <v>2577</v>
      </c>
      <c r="P70" s="22" t="s">
        <v>2569</v>
      </c>
    </row>
    <row r="71" spans="1:16" x14ac:dyDescent="0.35">
      <c r="A71" s="34" t="s">
        <v>6515</v>
      </c>
      <c r="B71" s="35">
        <f t="shared" si="4"/>
        <v>46086</v>
      </c>
      <c r="C71" s="35">
        <f t="shared" si="5"/>
        <v>46092</v>
      </c>
      <c r="D71" s="34">
        <v>3287</v>
      </c>
      <c r="E71" s="34">
        <v>338</v>
      </c>
      <c r="F71" s="34">
        <v>4</v>
      </c>
      <c r="G71" s="34">
        <v>4</v>
      </c>
      <c r="H71" s="34">
        <v>81676</v>
      </c>
      <c r="I71" s="34" t="s">
        <v>17</v>
      </c>
      <c r="J71" s="34">
        <v>54509174</v>
      </c>
      <c r="K71" s="34" t="s">
        <v>5948</v>
      </c>
      <c r="L71" s="40" t="s">
        <v>5956</v>
      </c>
      <c r="M71" s="36">
        <v>219900</v>
      </c>
      <c r="N71" s="22" t="s">
        <v>2569</v>
      </c>
      <c r="O71" s="34" t="s">
        <v>2577</v>
      </c>
      <c r="P71" s="22" t="s">
        <v>2569</v>
      </c>
    </row>
    <row r="72" spans="1:16" x14ac:dyDescent="0.35">
      <c r="A72" s="34" t="s">
        <v>6515</v>
      </c>
      <c r="B72" s="35">
        <f t="shared" si="4"/>
        <v>46086</v>
      </c>
      <c r="C72" s="35">
        <f t="shared" si="5"/>
        <v>46092</v>
      </c>
      <c r="D72" s="34">
        <v>3287</v>
      </c>
      <c r="E72" s="34">
        <v>338</v>
      </c>
      <c r="F72" s="34">
        <v>4</v>
      </c>
      <c r="G72" s="34">
        <v>4</v>
      </c>
      <c r="H72" s="34">
        <v>81676</v>
      </c>
      <c r="I72" s="34" t="s">
        <v>17</v>
      </c>
      <c r="J72" s="34">
        <v>54509183</v>
      </c>
      <c r="K72" s="34" t="s">
        <v>5948</v>
      </c>
      <c r="L72" s="40" t="s">
        <v>5950</v>
      </c>
      <c r="M72" s="36">
        <v>219900</v>
      </c>
      <c r="N72" s="22" t="s">
        <v>2569</v>
      </c>
      <c r="O72" s="34" t="s">
        <v>2577</v>
      </c>
      <c r="P72" s="22" t="s">
        <v>2569</v>
      </c>
    </row>
    <row r="73" spans="1:16" x14ac:dyDescent="0.35">
      <c r="A73" s="34" t="s">
        <v>6515</v>
      </c>
      <c r="B73" s="35">
        <f t="shared" si="4"/>
        <v>46086</v>
      </c>
      <c r="C73" s="35">
        <f t="shared" si="5"/>
        <v>46092</v>
      </c>
      <c r="D73" s="34">
        <v>3287</v>
      </c>
      <c r="E73" s="34">
        <v>338</v>
      </c>
      <c r="F73" s="34">
        <v>4</v>
      </c>
      <c r="G73" s="34">
        <v>4</v>
      </c>
      <c r="H73" s="34">
        <v>81676</v>
      </c>
      <c r="I73" s="34" t="s">
        <v>17</v>
      </c>
      <c r="J73" s="34">
        <v>54509192</v>
      </c>
      <c r="K73" s="34" t="s">
        <v>5948</v>
      </c>
      <c r="L73" s="40" t="s">
        <v>5952</v>
      </c>
      <c r="M73" s="36">
        <v>219900</v>
      </c>
      <c r="N73" s="22" t="s">
        <v>2569</v>
      </c>
      <c r="O73" s="34" t="s">
        <v>2577</v>
      </c>
      <c r="P73" s="22" t="s">
        <v>2569</v>
      </c>
    </row>
    <row r="74" spans="1:16" x14ac:dyDescent="0.35">
      <c r="A74" s="34" t="s">
        <v>6515</v>
      </c>
      <c r="B74" s="35">
        <f t="shared" si="4"/>
        <v>46086</v>
      </c>
      <c r="C74" s="35">
        <f t="shared" si="5"/>
        <v>46092</v>
      </c>
      <c r="D74" s="34">
        <v>3287</v>
      </c>
      <c r="E74" s="34">
        <v>338</v>
      </c>
      <c r="F74" s="34">
        <v>4</v>
      </c>
      <c r="G74" s="34">
        <v>4</v>
      </c>
      <c r="H74" s="34">
        <v>81676</v>
      </c>
      <c r="I74" s="34" t="s">
        <v>17</v>
      </c>
      <c r="J74" s="34">
        <v>54509209</v>
      </c>
      <c r="K74" s="34" t="s">
        <v>5948</v>
      </c>
      <c r="L74" s="40" t="s">
        <v>5949</v>
      </c>
      <c r="M74" s="36">
        <v>219900</v>
      </c>
      <c r="N74" s="22" t="s">
        <v>2569</v>
      </c>
      <c r="O74" s="34" t="s">
        <v>2577</v>
      </c>
      <c r="P74" s="22" t="s">
        <v>2569</v>
      </c>
    </row>
    <row r="75" spans="1:16" x14ac:dyDescent="0.35">
      <c r="A75" s="34" t="s">
        <v>6515</v>
      </c>
      <c r="B75" s="35">
        <f t="shared" si="4"/>
        <v>46086</v>
      </c>
      <c r="C75" s="35">
        <f t="shared" si="5"/>
        <v>46092</v>
      </c>
      <c r="D75" s="34">
        <v>3287</v>
      </c>
      <c r="E75" s="34">
        <v>338</v>
      </c>
      <c r="F75" s="34">
        <v>4</v>
      </c>
      <c r="G75" s="34">
        <v>4</v>
      </c>
      <c r="H75" s="34">
        <v>81676</v>
      </c>
      <c r="I75" s="34" t="s">
        <v>17</v>
      </c>
      <c r="J75" s="34">
        <v>54509218</v>
      </c>
      <c r="K75" s="34" t="s">
        <v>5948</v>
      </c>
      <c r="L75" s="40" t="s">
        <v>5953</v>
      </c>
      <c r="M75" s="36">
        <v>219900</v>
      </c>
      <c r="N75" s="22" t="s">
        <v>2569</v>
      </c>
      <c r="O75" s="34" t="s">
        <v>2577</v>
      </c>
      <c r="P75" s="22" t="s">
        <v>2569</v>
      </c>
    </row>
    <row r="76" spans="1:16" x14ac:dyDescent="0.35">
      <c r="A76" s="34" t="s">
        <v>6515</v>
      </c>
      <c r="B76" s="35">
        <f t="shared" si="4"/>
        <v>46086</v>
      </c>
      <c r="C76" s="35">
        <f t="shared" si="5"/>
        <v>46092</v>
      </c>
      <c r="D76" s="34">
        <v>3287</v>
      </c>
      <c r="E76" s="34">
        <v>338</v>
      </c>
      <c r="F76" s="34">
        <v>4</v>
      </c>
      <c r="G76" s="34">
        <v>4</v>
      </c>
      <c r="H76" s="34">
        <v>81676</v>
      </c>
      <c r="I76" s="34" t="s">
        <v>17</v>
      </c>
      <c r="J76" s="34">
        <v>54509227</v>
      </c>
      <c r="K76" s="34" t="s">
        <v>5948</v>
      </c>
      <c r="L76" s="40" t="s">
        <v>5951</v>
      </c>
      <c r="M76" s="36">
        <v>219900</v>
      </c>
      <c r="N76" s="22" t="s">
        <v>2569</v>
      </c>
      <c r="O76" s="34" t="s">
        <v>2577</v>
      </c>
      <c r="P76" s="22" t="s">
        <v>2569</v>
      </c>
    </row>
    <row r="77" spans="1:16" x14ac:dyDescent="0.35">
      <c r="A77" s="34" t="s">
        <v>6515</v>
      </c>
      <c r="B77" s="35">
        <f t="shared" si="4"/>
        <v>46086</v>
      </c>
      <c r="C77" s="35">
        <f t="shared" si="5"/>
        <v>46092</v>
      </c>
      <c r="D77" s="34">
        <v>3287</v>
      </c>
      <c r="E77" s="34">
        <v>338</v>
      </c>
      <c r="F77" s="34">
        <v>4</v>
      </c>
      <c r="G77" s="34">
        <v>4</v>
      </c>
      <c r="H77" s="34">
        <v>81676</v>
      </c>
      <c r="I77" s="34" t="s">
        <v>17</v>
      </c>
      <c r="J77" s="34">
        <v>54509236</v>
      </c>
      <c r="K77" s="34" t="s">
        <v>5948</v>
      </c>
      <c r="L77" s="40" t="s">
        <v>5954</v>
      </c>
      <c r="M77" s="36">
        <v>219900</v>
      </c>
      <c r="N77" s="22" t="s">
        <v>2569</v>
      </c>
      <c r="O77" s="34" t="s">
        <v>2577</v>
      </c>
      <c r="P77" s="22" t="s">
        <v>2569</v>
      </c>
    </row>
    <row r="78" spans="1:16" x14ac:dyDescent="0.35">
      <c r="A78" s="34" t="s">
        <v>6515</v>
      </c>
      <c r="B78" s="35">
        <f t="shared" si="4"/>
        <v>46086</v>
      </c>
      <c r="C78" s="35">
        <f t="shared" si="5"/>
        <v>46092</v>
      </c>
      <c r="D78" s="34">
        <v>3287</v>
      </c>
      <c r="E78" s="34">
        <v>338</v>
      </c>
      <c r="F78" s="34">
        <v>4</v>
      </c>
      <c r="G78" s="34">
        <v>10</v>
      </c>
      <c r="H78" s="34">
        <v>81533</v>
      </c>
      <c r="I78" s="34" t="s">
        <v>17</v>
      </c>
      <c r="J78" s="34">
        <v>54413508</v>
      </c>
      <c r="K78" s="34" t="s">
        <v>5975</v>
      </c>
      <c r="L78" s="40" t="s">
        <v>5979</v>
      </c>
      <c r="M78" s="36">
        <v>35900</v>
      </c>
      <c r="N78" s="22" t="s">
        <v>2569</v>
      </c>
      <c r="O78" s="34" t="s">
        <v>2577</v>
      </c>
      <c r="P78" s="22" t="s">
        <v>2569</v>
      </c>
    </row>
    <row r="79" spans="1:16" x14ac:dyDescent="0.35">
      <c r="A79" s="34" t="s">
        <v>6515</v>
      </c>
      <c r="B79" s="35">
        <f t="shared" si="4"/>
        <v>46086</v>
      </c>
      <c r="C79" s="35">
        <f t="shared" si="5"/>
        <v>46092</v>
      </c>
      <c r="D79" s="34">
        <v>3287</v>
      </c>
      <c r="E79" s="34">
        <v>338</v>
      </c>
      <c r="F79" s="34">
        <v>4</v>
      </c>
      <c r="G79" s="34">
        <v>10</v>
      </c>
      <c r="H79" s="34">
        <v>81533</v>
      </c>
      <c r="I79" s="34" t="s">
        <v>17</v>
      </c>
      <c r="J79" s="34">
        <v>54413517</v>
      </c>
      <c r="K79" s="34" t="s">
        <v>5975</v>
      </c>
      <c r="L79" s="40" t="s">
        <v>5976</v>
      </c>
      <c r="M79" s="36">
        <v>35900</v>
      </c>
      <c r="N79" s="22" t="s">
        <v>2569</v>
      </c>
      <c r="O79" s="34" t="s">
        <v>2577</v>
      </c>
      <c r="P79" s="22" t="s">
        <v>2569</v>
      </c>
    </row>
    <row r="80" spans="1:16" x14ac:dyDescent="0.35">
      <c r="A80" s="34" t="s">
        <v>6515</v>
      </c>
      <c r="B80" s="35">
        <f t="shared" si="4"/>
        <v>46086</v>
      </c>
      <c r="C80" s="35">
        <f t="shared" si="5"/>
        <v>46092</v>
      </c>
      <c r="D80" s="34">
        <v>3287</v>
      </c>
      <c r="E80" s="34">
        <v>338</v>
      </c>
      <c r="F80" s="34">
        <v>4</v>
      </c>
      <c r="G80" s="34">
        <v>10</v>
      </c>
      <c r="H80" s="34">
        <v>81533</v>
      </c>
      <c r="I80" s="34" t="s">
        <v>17</v>
      </c>
      <c r="J80" s="34">
        <v>54413526</v>
      </c>
      <c r="K80" s="34" t="s">
        <v>5977</v>
      </c>
      <c r="L80" s="40" t="s">
        <v>5978</v>
      </c>
      <c r="M80" s="36">
        <v>35900</v>
      </c>
      <c r="N80" s="22" t="s">
        <v>2569</v>
      </c>
      <c r="O80" s="34" t="s">
        <v>2577</v>
      </c>
      <c r="P80" s="22" t="s">
        <v>2569</v>
      </c>
    </row>
    <row r="81" spans="1:16" x14ac:dyDescent="0.35">
      <c r="A81" s="34" t="s">
        <v>6515</v>
      </c>
      <c r="B81" s="35">
        <f t="shared" si="4"/>
        <v>46086</v>
      </c>
      <c r="C81" s="35">
        <f t="shared" si="5"/>
        <v>46092</v>
      </c>
      <c r="D81" s="34">
        <v>3287</v>
      </c>
      <c r="E81" s="34">
        <v>338</v>
      </c>
      <c r="F81" s="34">
        <v>4</v>
      </c>
      <c r="G81" s="34">
        <v>10</v>
      </c>
      <c r="H81" s="34">
        <v>81533</v>
      </c>
      <c r="I81" s="34" t="s">
        <v>17</v>
      </c>
      <c r="J81" s="34">
        <v>54413535</v>
      </c>
      <c r="K81" s="34" t="s">
        <v>5977</v>
      </c>
      <c r="L81" s="40" t="s">
        <v>5980</v>
      </c>
      <c r="M81" s="36">
        <v>35900</v>
      </c>
      <c r="N81" s="22" t="s">
        <v>2569</v>
      </c>
      <c r="O81" s="34" t="s">
        <v>2577</v>
      </c>
      <c r="P81" s="22" t="s">
        <v>2569</v>
      </c>
    </row>
  </sheetData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1BA-8A87-4180-B8E2-B542244E3F63}">
  <dimension ref="A1:P22"/>
  <sheetViews>
    <sheetView zoomScale="80" zoomScaleNormal="8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81640625" defaultRowHeight="14.5" x14ac:dyDescent="0.35"/>
  <cols>
    <col min="1" max="1" width="27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64.08984375" style="19" customWidth="1"/>
    <col min="13" max="13" width="14.3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6648</v>
      </c>
      <c r="B2" s="35">
        <f>'2025 HILITE D80 - 3321'!B2</f>
        <v>46086</v>
      </c>
      <c r="C2" s="35">
        <f>'2025 HILITE D80 - 3321'!C2</f>
        <v>46092</v>
      </c>
      <c r="D2" s="6">
        <v>3287</v>
      </c>
      <c r="E2" s="6">
        <v>338</v>
      </c>
      <c r="F2" s="6">
        <v>4</v>
      </c>
      <c r="G2" s="34">
        <v>9</v>
      </c>
      <c r="H2" s="6">
        <v>4953</v>
      </c>
      <c r="I2" s="6" t="s">
        <v>17</v>
      </c>
      <c r="J2" s="6">
        <v>54921281</v>
      </c>
      <c r="K2" s="40" t="s">
        <v>6045</v>
      </c>
      <c r="L2" s="17" t="s">
        <v>6049</v>
      </c>
      <c r="M2" s="8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6648</v>
      </c>
      <c r="B3" s="35">
        <f>B2</f>
        <v>46086</v>
      </c>
      <c r="C3" s="35">
        <f>C2</f>
        <v>46092</v>
      </c>
      <c r="D3" s="6">
        <v>3287</v>
      </c>
      <c r="E3" s="6">
        <v>338</v>
      </c>
      <c r="F3" s="6">
        <v>4</v>
      </c>
      <c r="G3" s="34">
        <v>9</v>
      </c>
      <c r="H3" s="6">
        <v>4953</v>
      </c>
      <c r="I3" s="6" t="s">
        <v>17</v>
      </c>
      <c r="J3" s="6">
        <v>54921290</v>
      </c>
      <c r="K3" s="40" t="s">
        <v>6045</v>
      </c>
      <c r="L3" s="17" t="s">
        <v>6050</v>
      </c>
      <c r="M3" s="8">
        <v>129900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6648</v>
      </c>
      <c r="B4" s="35">
        <f t="shared" ref="B4:B22" si="0">B3</f>
        <v>46086</v>
      </c>
      <c r="C4" s="35">
        <f t="shared" ref="C4:C22" si="1">C3</f>
        <v>46092</v>
      </c>
      <c r="D4" s="6">
        <v>3287</v>
      </c>
      <c r="E4" s="6">
        <v>338</v>
      </c>
      <c r="F4" s="6">
        <v>4</v>
      </c>
      <c r="G4" s="34">
        <v>9</v>
      </c>
      <c r="H4" s="6">
        <v>4953</v>
      </c>
      <c r="I4" s="6" t="s">
        <v>17</v>
      </c>
      <c r="J4" s="6">
        <v>54921307</v>
      </c>
      <c r="K4" s="40" t="s">
        <v>6045</v>
      </c>
      <c r="L4" s="17" t="s">
        <v>6053</v>
      </c>
      <c r="M4" s="8">
        <v>129900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6648</v>
      </c>
      <c r="B5" s="35">
        <f t="shared" si="0"/>
        <v>46086</v>
      </c>
      <c r="C5" s="35">
        <f t="shared" si="1"/>
        <v>46092</v>
      </c>
      <c r="D5" s="6">
        <v>3287</v>
      </c>
      <c r="E5" s="6">
        <v>338</v>
      </c>
      <c r="F5" s="6">
        <v>4</v>
      </c>
      <c r="G5" s="34">
        <v>9</v>
      </c>
      <c r="H5" s="6">
        <v>4953</v>
      </c>
      <c r="I5" s="6" t="s">
        <v>17</v>
      </c>
      <c r="J5" s="6">
        <v>54921316</v>
      </c>
      <c r="K5" s="40" t="s">
        <v>6045</v>
      </c>
      <c r="L5" s="17" t="s">
        <v>6052</v>
      </c>
      <c r="M5" s="8">
        <v>129900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6648</v>
      </c>
      <c r="B6" s="35">
        <f t="shared" si="0"/>
        <v>46086</v>
      </c>
      <c r="C6" s="35">
        <f t="shared" si="1"/>
        <v>46092</v>
      </c>
      <c r="D6" s="6">
        <v>3287</v>
      </c>
      <c r="E6" s="6">
        <v>338</v>
      </c>
      <c r="F6" s="6">
        <v>4</v>
      </c>
      <c r="G6" s="34">
        <v>9</v>
      </c>
      <c r="H6" s="6">
        <v>4953</v>
      </c>
      <c r="I6" s="6" t="s">
        <v>17</v>
      </c>
      <c r="J6" s="6">
        <v>54921325</v>
      </c>
      <c r="K6" s="40" t="s">
        <v>6045</v>
      </c>
      <c r="L6" s="17" t="s">
        <v>6051</v>
      </c>
      <c r="M6" s="8">
        <v>129900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6648</v>
      </c>
      <c r="B7" s="35">
        <f t="shared" si="0"/>
        <v>46086</v>
      </c>
      <c r="C7" s="35">
        <f t="shared" si="1"/>
        <v>46092</v>
      </c>
      <c r="D7" s="6">
        <v>3287</v>
      </c>
      <c r="E7" s="6">
        <v>338</v>
      </c>
      <c r="F7" s="6">
        <v>4</v>
      </c>
      <c r="G7" s="34">
        <v>9</v>
      </c>
      <c r="H7" s="6">
        <v>4953</v>
      </c>
      <c r="I7" s="6" t="s">
        <v>17</v>
      </c>
      <c r="J7" s="6">
        <v>54921334</v>
      </c>
      <c r="K7" s="40" t="s">
        <v>6045</v>
      </c>
      <c r="L7" s="17" t="s">
        <v>6046</v>
      </c>
      <c r="M7" s="8">
        <v>129900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6648</v>
      </c>
      <c r="B8" s="35">
        <f t="shared" si="0"/>
        <v>46086</v>
      </c>
      <c r="C8" s="35">
        <f t="shared" si="1"/>
        <v>46092</v>
      </c>
      <c r="D8" s="6">
        <v>3287</v>
      </c>
      <c r="E8" s="6">
        <v>338</v>
      </c>
      <c r="F8" s="6">
        <v>4</v>
      </c>
      <c r="G8" s="34">
        <v>9</v>
      </c>
      <c r="H8" s="6">
        <v>4953</v>
      </c>
      <c r="I8" s="6" t="s">
        <v>17</v>
      </c>
      <c r="J8" s="6">
        <v>54921343</v>
      </c>
      <c r="K8" s="40" t="s">
        <v>6045</v>
      </c>
      <c r="L8" s="17" t="s">
        <v>6048</v>
      </c>
      <c r="M8" s="8">
        <v>129900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6648</v>
      </c>
      <c r="B9" s="35">
        <f t="shared" si="0"/>
        <v>46086</v>
      </c>
      <c r="C9" s="35">
        <f t="shared" si="1"/>
        <v>46092</v>
      </c>
      <c r="D9" s="6">
        <v>3287</v>
      </c>
      <c r="E9" s="6">
        <v>338</v>
      </c>
      <c r="F9" s="6">
        <v>4</v>
      </c>
      <c r="G9" s="34">
        <v>9</v>
      </c>
      <c r="H9" s="6">
        <v>4953</v>
      </c>
      <c r="I9" s="6" t="s">
        <v>17</v>
      </c>
      <c r="J9" s="6">
        <v>54921352</v>
      </c>
      <c r="K9" s="40" t="s">
        <v>6045</v>
      </c>
      <c r="L9" s="17" t="s">
        <v>6047</v>
      </c>
      <c r="M9" s="8">
        <v>129900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6648</v>
      </c>
      <c r="B10" s="35">
        <f t="shared" si="0"/>
        <v>46086</v>
      </c>
      <c r="C10" s="35">
        <f t="shared" si="1"/>
        <v>46092</v>
      </c>
      <c r="D10" s="34">
        <v>3287</v>
      </c>
      <c r="E10" s="34">
        <v>338</v>
      </c>
      <c r="F10" s="34">
        <v>4</v>
      </c>
      <c r="G10" s="34">
        <v>3</v>
      </c>
      <c r="H10" s="34">
        <v>81462</v>
      </c>
      <c r="I10" s="34" t="s">
        <v>17</v>
      </c>
      <c r="J10" s="34">
        <v>54921183</v>
      </c>
      <c r="K10" s="40" t="s">
        <v>6040</v>
      </c>
      <c r="L10" s="40" t="s">
        <v>6043</v>
      </c>
      <c r="M10" s="36">
        <v>89900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6648</v>
      </c>
      <c r="B11" s="35">
        <f t="shared" si="0"/>
        <v>46086</v>
      </c>
      <c r="C11" s="35">
        <f t="shared" si="1"/>
        <v>46092</v>
      </c>
      <c r="D11" s="34">
        <v>3287</v>
      </c>
      <c r="E11" s="34">
        <v>338</v>
      </c>
      <c r="F11" s="34">
        <v>4</v>
      </c>
      <c r="G11" s="34">
        <v>3</v>
      </c>
      <c r="H11" s="34">
        <v>81462</v>
      </c>
      <c r="I11" s="34" t="s">
        <v>17</v>
      </c>
      <c r="J11" s="34">
        <v>54921192</v>
      </c>
      <c r="K11" s="40" t="s">
        <v>6040</v>
      </c>
      <c r="L11" s="40" t="s">
        <v>6042</v>
      </c>
      <c r="M11" s="36">
        <v>89900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6648</v>
      </c>
      <c r="B12" s="35">
        <f t="shared" si="0"/>
        <v>46086</v>
      </c>
      <c r="C12" s="35">
        <f t="shared" si="1"/>
        <v>46092</v>
      </c>
      <c r="D12" s="34">
        <v>3287</v>
      </c>
      <c r="E12" s="34">
        <v>338</v>
      </c>
      <c r="F12" s="34">
        <v>4</v>
      </c>
      <c r="G12" s="34">
        <v>3</v>
      </c>
      <c r="H12" s="34">
        <v>81462</v>
      </c>
      <c r="I12" s="34" t="s">
        <v>17</v>
      </c>
      <c r="J12" s="34">
        <v>54921209</v>
      </c>
      <c r="K12" s="40" t="s">
        <v>6040</v>
      </c>
      <c r="L12" s="40" t="s">
        <v>6044</v>
      </c>
      <c r="M12" s="36">
        <v>89900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6648</v>
      </c>
      <c r="B13" s="35">
        <f t="shared" si="0"/>
        <v>46086</v>
      </c>
      <c r="C13" s="35">
        <f t="shared" si="1"/>
        <v>46092</v>
      </c>
      <c r="D13" s="34">
        <v>3287</v>
      </c>
      <c r="E13" s="34">
        <v>338</v>
      </c>
      <c r="F13" s="34">
        <v>4</v>
      </c>
      <c r="G13" s="34">
        <v>3</v>
      </c>
      <c r="H13" s="34">
        <v>81462</v>
      </c>
      <c r="I13" s="34" t="s">
        <v>17</v>
      </c>
      <c r="J13" s="34">
        <v>54921218</v>
      </c>
      <c r="K13" s="40" t="s">
        <v>6040</v>
      </c>
      <c r="L13" s="40" t="s">
        <v>6041</v>
      </c>
      <c r="M13" s="36">
        <v>89900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6648</v>
      </c>
      <c r="B14" s="35">
        <f t="shared" si="0"/>
        <v>46086</v>
      </c>
      <c r="C14" s="35">
        <f t="shared" si="1"/>
        <v>46092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54921227</v>
      </c>
      <c r="K14" s="40" t="s">
        <v>6057</v>
      </c>
      <c r="L14" s="40" t="s">
        <v>6065</v>
      </c>
      <c r="M14" s="36">
        <v>29900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6648</v>
      </c>
      <c r="B15" s="35">
        <f t="shared" si="0"/>
        <v>46086</v>
      </c>
      <c r="C15" s="35">
        <f t="shared" si="1"/>
        <v>46092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54921236</v>
      </c>
      <c r="K15" s="40" t="s">
        <v>6057</v>
      </c>
      <c r="L15" s="40" t="s">
        <v>6062</v>
      </c>
      <c r="M15" s="36">
        <v>29900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6648</v>
      </c>
      <c r="B16" s="35">
        <f t="shared" si="0"/>
        <v>46086</v>
      </c>
      <c r="C16" s="35">
        <f t="shared" si="1"/>
        <v>46092</v>
      </c>
      <c r="D16" s="34">
        <v>3287</v>
      </c>
      <c r="E16" s="34">
        <v>338</v>
      </c>
      <c r="F16" s="34">
        <v>4</v>
      </c>
      <c r="G16" s="34">
        <v>7</v>
      </c>
      <c r="H16" s="34">
        <v>81827</v>
      </c>
      <c r="I16" s="34" t="s">
        <v>17</v>
      </c>
      <c r="J16" s="34">
        <v>54921245</v>
      </c>
      <c r="K16" s="40" t="s">
        <v>6059</v>
      </c>
      <c r="L16" s="40" t="s">
        <v>6064</v>
      </c>
      <c r="M16" s="36">
        <v>29900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6648</v>
      </c>
      <c r="B17" s="35">
        <f t="shared" si="0"/>
        <v>46086</v>
      </c>
      <c r="C17" s="35">
        <f t="shared" si="1"/>
        <v>46092</v>
      </c>
      <c r="D17" s="34">
        <v>3287</v>
      </c>
      <c r="E17" s="34">
        <v>338</v>
      </c>
      <c r="F17" s="34">
        <v>4</v>
      </c>
      <c r="G17" s="34">
        <v>7</v>
      </c>
      <c r="H17" s="34">
        <v>81827</v>
      </c>
      <c r="I17" s="34" t="s">
        <v>17</v>
      </c>
      <c r="J17" s="34">
        <v>54921254</v>
      </c>
      <c r="K17" s="40" t="s">
        <v>6059</v>
      </c>
      <c r="L17" s="40" t="s">
        <v>6060</v>
      </c>
      <c r="M17" s="36">
        <v>29900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6648</v>
      </c>
      <c r="B18" s="35">
        <f t="shared" si="0"/>
        <v>46086</v>
      </c>
      <c r="C18" s="35">
        <f t="shared" si="1"/>
        <v>46092</v>
      </c>
      <c r="D18" s="34">
        <v>3287</v>
      </c>
      <c r="E18" s="34">
        <v>338</v>
      </c>
      <c r="F18" s="34">
        <v>4</v>
      </c>
      <c r="G18" s="34">
        <v>7</v>
      </c>
      <c r="H18" s="34">
        <v>81827</v>
      </c>
      <c r="I18" s="34" t="s">
        <v>17</v>
      </c>
      <c r="J18" s="34">
        <v>54921263</v>
      </c>
      <c r="K18" s="40" t="s">
        <v>6054</v>
      </c>
      <c r="L18" s="40" t="s">
        <v>6056</v>
      </c>
      <c r="M18" s="36">
        <v>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6648</v>
      </c>
      <c r="B19" s="35">
        <f t="shared" si="0"/>
        <v>46086</v>
      </c>
      <c r="C19" s="35">
        <f t="shared" si="1"/>
        <v>46092</v>
      </c>
      <c r="D19" s="34">
        <v>3287</v>
      </c>
      <c r="E19" s="34">
        <v>338</v>
      </c>
      <c r="F19" s="34">
        <v>4</v>
      </c>
      <c r="G19" s="34">
        <v>7</v>
      </c>
      <c r="H19" s="34">
        <v>81827</v>
      </c>
      <c r="I19" s="34" t="s">
        <v>17</v>
      </c>
      <c r="J19" s="34">
        <v>54921272</v>
      </c>
      <c r="K19" s="40" t="s">
        <v>6054</v>
      </c>
      <c r="L19" s="40" t="s">
        <v>6063</v>
      </c>
      <c r="M19" s="36">
        <v>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6648</v>
      </c>
      <c r="B20" s="35">
        <f t="shared" si="0"/>
        <v>46086</v>
      </c>
      <c r="C20" s="35">
        <f t="shared" si="1"/>
        <v>46092</v>
      </c>
      <c r="D20" s="34">
        <v>3287</v>
      </c>
      <c r="E20" s="34">
        <v>338</v>
      </c>
      <c r="F20" s="34">
        <v>4</v>
      </c>
      <c r="G20" s="34">
        <v>7</v>
      </c>
      <c r="H20" s="34">
        <v>81827</v>
      </c>
      <c r="I20" s="34" t="s">
        <v>17</v>
      </c>
      <c r="J20" s="34">
        <v>54949163</v>
      </c>
      <c r="K20" s="40" t="s">
        <v>6057</v>
      </c>
      <c r="L20" s="40" t="s">
        <v>6058</v>
      </c>
      <c r="M20" s="36">
        <v>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6648</v>
      </c>
      <c r="B21" s="35">
        <f t="shared" si="0"/>
        <v>46086</v>
      </c>
      <c r="C21" s="35">
        <f t="shared" si="1"/>
        <v>46092</v>
      </c>
      <c r="D21" s="34">
        <v>3287</v>
      </c>
      <c r="E21" s="34">
        <v>338</v>
      </c>
      <c r="F21" s="34">
        <v>4</v>
      </c>
      <c r="G21" s="34">
        <v>7</v>
      </c>
      <c r="H21" s="34">
        <v>81827</v>
      </c>
      <c r="I21" s="34" t="s">
        <v>17</v>
      </c>
      <c r="J21" s="34">
        <v>54949172</v>
      </c>
      <c r="K21" s="40" t="s">
        <v>6059</v>
      </c>
      <c r="L21" s="40" t="s">
        <v>6061</v>
      </c>
      <c r="M21" s="36">
        <v>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6648</v>
      </c>
      <c r="B22" s="35">
        <f t="shared" si="0"/>
        <v>46086</v>
      </c>
      <c r="C22" s="35">
        <f t="shared" si="1"/>
        <v>46092</v>
      </c>
      <c r="D22" s="34">
        <v>3287</v>
      </c>
      <c r="E22" s="34">
        <v>338</v>
      </c>
      <c r="F22" s="34">
        <v>4</v>
      </c>
      <c r="G22" s="34">
        <v>7</v>
      </c>
      <c r="H22" s="34">
        <v>81827</v>
      </c>
      <c r="I22" s="34" t="s">
        <v>17</v>
      </c>
      <c r="J22" s="34">
        <v>54949181</v>
      </c>
      <c r="K22" s="40" t="s">
        <v>6054</v>
      </c>
      <c r="L22" s="40" t="s">
        <v>6055</v>
      </c>
      <c r="M22" s="36">
        <v>29900</v>
      </c>
      <c r="N22" s="63" t="s">
        <v>2569</v>
      </c>
      <c r="O22" s="15" t="s">
        <v>2577</v>
      </c>
      <c r="P22" s="63" t="s">
        <v>2569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D894-C48B-4169-BD9A-67F03E68CF30}">
  <dimension ref="A1:P209"/>
  <sheetViews>
    <sheetView zoomScale="93" zoomScaleNormal="100" workbookViewId="0">
      <pane ySplit="1" topLeftCell="A2" activePane="bottomLeft" state="frozen"/>
      <selection activeCell="A34" sqref="A34"/>
      <selection pane="bottomLeft" activeCell="A34" sqref="A34"/>
    </sheetView>
  </sheetViews>
  <sheetFormatPr defaultColWidth="8.6328125" defaultRowHeight="14.5" x14ac:dyDescent="0.35"/>
  <cols>
    <col min="1" max="1" width="30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6328125" style="2" customWidth="1"/>
    <col min="12" max="12" width="76.6328125" style="2" customWidth="1"/>
    <col min="13" max="13" width="16.6328125" style="4" customWidth="1"/>
    <col min="14" max="14" width="10" style="5" customWidth="1"/>
    <col min="15" max="15" width="17.453125" style="4" customWidth="1"/>
    <col min="16" max="16" width="17.45312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6784</v>
      </c>
      <c r="B2" s="35">
        <f>'2025 HILITE D80 - 3321'!B2</f>
        <v>46086</v>
      </c>
      <c r="C2" s="35">
        <f>'2025 HILITE D80 - 3321'!C2</f>
        <v>46092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19483848</v>
      </c>
      <c r="K2" s="6" t="s">
        <v>3701</v>
      </c>
      <c r="L2" s="17" t="s">
        <v>3702</v>
      </c>
      <c r="M2" s="8">
        <v>229900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>2024 JUL-DEC B1G2 LICENSE ESS</v>
      </c>
      <c r="B3" s="7">
        <f t="shared" ref="B3:B8" si="0">B2</f>
        <v>46086</v>
      </c>
      <c r="C3" s="7">
        <f t="shared" ref="C3:C8" si="1">C2</f>
        <v>46092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19483857</v>
      </c>
      <c r="K3" s="6" t="s">
        <v>3701</v>
      </c>
      <c r="L3" s="17" t="s">
        <v>3703</v>
      </c>
      <c r="M3" s="8">
        <v>229900</v>
      </c>
      <c r="N3" s="37" t="str">
        <f t="shared" ref="N3:N9" si="2">N2</f>
        <v>BXGY</v>
      </c>
      <c r="O3" s="36" t="str">
        <f t="shared" ref="O3:O9" si="3">O2</f>
        <v>B1G2</v>
      </c>
      <c r="P3" s="34" t="str">
        <f t="shared" ref="P3:P9" si="4">P2</f>
        <v>BXGY</v>
      </c>
    </row>
    <row r="4" spans="1:16" x14ac:dyDescent="0.35">
      <c r="A4" s="14" t="str">
        <f t="shared" ref="A4:A67" si="5">A3</f>
        <v>2024 JUL-DEC B1G2 LICENSE ESS</v>
      </c>
      <c r="B4" s="7">
        <f t="shared" si="0"/>
        <v>46086</v>
      </c>
      <c r="C4" s="7">
        <f t="shared" si="1"/>
        <v>46092</v>
      </c>
      <c r="D4" s="6">
        <v>3287</v>
      </c>
      <c r="E4" s="6">
        <v>338</v>
      </c>
      <c r="F4" s="6">
        <v>4</v>
      </c>
      <c r="G4" s="6">
        <v>2</v>
      </c>
      <c r="H4" s="6">
        <v>850</v>
      </c>
      <c r="I4" s="6" t="s">
        <v>17</v>
      </c>
      <c r="J4" s="6">
        <v>19483866</v>
      </c>
      <c r="K4" s="6" t="s">
        <v>3701</v>
      </c>
      <c r="L4" s="17" t="s">
        <v>3704</v>
      </c>
      <c r="M4" s="8">
        <v>229900</v>
      </c>
      <c r="N4" s="37" t="str">
        <f t="shared" si="2"/>
        <v>BXGY</v>
      </c>
      <c r="O4" s="36" t="str">
        <f t="shared" si="3"/>
        <v>B1G2</v>
      </c>
      <c r="P4" s="34" t="str">
        <f t="shared" si="4"/>
        <v>BXGY</v>
      </c>
    </row>
    <row r="5" spans="1:16" x14ac:dyDescent="0.35">
      <c r="A5" s="14" t="str">
        <f t="shared" si="5"/>
        <v>2024 JUL-DEC B1G2 LICENSE ESS</v>
      </c>
      <c r="B5" s="7">
        <f t="shared" si="0"/>
        <v>46086</v>
      </c>
      <c r="C5" s="7">
        <f t="shared" si="1"/>
        <v>46092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19483875</v>
      </c>
      <c r="K5" s="6" t="s">
        <v>3701</v>
      </c>
      <c r="L5" s="17" t="s">
        <v>3705</v>
      </c>
      <c r="M5" s="8">
        <v>229900</v>
      </c>
      <c r="N5" s="37" t="str">
        <f t="shared" si="2"/>
        <v>BXGY</v>
      </c>
      <c r="O5" s="36" t="str">
        <f t="shared" si="3"/>
        <v>B1G2</v>
      </c>
      <c r="P5" s="34" t="str">
        <f t="shared" si="4"/>
        <v>BXGY</v>
      </c>
    </row>
    <row r="6" spans="1:16" x14ac:dyDescent="0.35">
      <c r="A6" s="14" t="str">
        <f t="shared" si="5"/>
        <v>2024 JUL-DEC B1G2 LICENSE ESS</v>
      </c>
      <c r="B6" s="7">
        <f t="shared" si="0"/>
        <v>46086</v>
      </c>
      <c r="C6" s="7">
        <f t="shared" si="1"/>
        <v>46092</v>
      </c>
      <c r="D6" s="6">
        <v>3287</v>
      </c>
      <c r="E6" s="6">
        <v>338</v>
      </c>
      <c r="F6" s="6">
        <v>4</v>
      </c>
      <c r="G6" s="6">
        <v>2</v>
      </c>
      <c r="H6" s="6">
        <v>81676</v>
      </c>
      <c r="I6" s="6" t="s">
        <v>17</v>
      </c>
      <c r="J6" s="6">
        <v>19453602</v>
      </c>
      <c r="K6" s="6" t="s">
        <v>3595</v>
      </c>
      <c r="L6" s="17" t="s">
        <v>3710</v>
      </c>
      <c r="M6" s="8">
        <v>229900</v>
      </c>
      <c r="N6" s="37" t="str">
        <f t="shared" si="2"/>
        <v>BXGY</v>
      </c>
      <c r="O6" s="36" t="str">
        <f t="shared" si="3"/>
        <v>B1G2</v>
      </c>
      <c r="P6" s="34" t="str">
        <f t="shared" si="4"/>
        <v>BXGY</v>
      </c>
    </row>
    <row r="7" spans="1:16" x14ac:dyDescent="0.35">
      <c r="A7" s="14" t="str">
        <f t="shared" si="5"/>
        <v>2024 JUL-DEC B1G2 LICENSE ESS</v>
      </c>
      <c r="B7" s="7">
        <f t="shared" si="0"/>
        <v>46086</v>
      </c>
      <c r="C7" s="7">
        <f t="shared" si="1"/>
        <v>46092</v>
      </c>
      <c r="D7" s="6">
        <v>3287</v>
      </c>
      <c r="E7" s="6">
        <v>338</v>
      </c>
      <c r="F7" s="6">
        <v>4</v>
      </c>
      <c r="G7" s="6">
        <v>2</v>
      </c>
      <c r="H7" s="6">
        <v>81676</v>
      </c>
      <c r="I7" s="6" t="s">
        <v>17</v>
      </c>
      <c r="J7" s="6">
        <v>19453620</v>
      </c>
      <c r="K7" s="6" t="s">
        <v>3595</v>
      </c>
      <c r="L7" s="17" t="s">
        <v>3711</v>
      </c>
      <c r="M7" s="8">
        <v>229900</v>
      </c>
      <c r="N7" s="37" t="str">
        <f t="shared" si="2"/>
        <v>BXGY</v>
      </c>
      <c r="O7" s="36" t="str">
        <f t="shared" si="3"/>
        <v>B1G2</v>
      </c>
      <c r="P7" s="34" t="str">
        <f t="shared" si="4"/>
        <v>BXGY</v>
      </c>
    </row>
    <row r="8" spans="1:16" x14ac:dyDescent="0.35">
      <c r="A8" s="14" t="str">
        <f t="shared" si="5"/>
        <v>2024 JUL-DEC B1G2 LICENSE ESS</v>
      </c>
      <c r="B8" s="7">
        <f t="shared" si="0"/>
        <v>46086</v>
      </c>
      <c r="C8" s="7">
        <f t="shared" si="1"/>
        <v>46092</v>
      </c>
      <c r="D8" s="6">
        <v>3287</v>
      </c>
      <c r="E8" s="6">
        <v>338</v>
      </c>
      <c r="F8" s="6">
        <v>4</v>
      </c>
      <c r="G8" s="6">
        <v>2</v>
      </c>
      <c r="H8" s="6">
        <v>81676</v>
      </c>
      <c r="I8" s="6" t="s">
        <v>17</v>
      </c>
      <c r="J8" s="6">
        <v>19453666</v>
      </c>
      <c r="K8" s="6" t="s">
        <v>3595</v>
      </c>
      <c r="L8" s="17" t="s">
        <v>3712</v>
      </c>
      <c r="M8" s="8">
        <v>229900</v>
      </c>
      <c r="N8" s="37" t="str">
        <f t="shared" si="2"/>
        <v>BXGY</v>
      </c>
      <c r="O8" s="36" t="str">
        <f t="shared" si="3"/>
        <v>B1G2</v>
      </c>
      <c r="P8" s="34" t="str">
        <f t="shared" si="4"/>
        <v>BXGY</v>
      </c>
    </row>
    <row r="9" spans="1:16" x14ac:dyDescent="0.35">
      <c r="A9" s="14" t="str">
        <f t="shared" si="5"/>
        <v>2024 JUL-DEC B1G2 LICENSE ESS</v>
      </c>
      <c r="B9" s="7">
        <f t="shared" ref="B9:B72" si="6">B8</f>
        <v>46086</v>
      </c>
      <c r="C9" s="7">
        <f t="shared" ref="C9:C72" si="7">C8</f>
        <v>46092</v>
      </c>
      <c r="D9" s="6">
        <v>3287</v>
      </c>
      <c r="E9" s="6">
        <v>338</v>
      </c>
      <c r="F9" s="6">
        <v>4</v>
      </c>
      <c r="G9" s="6">
        <v>2</v>
      </c>
      <c r="H9" s="6">
        <v>81676</v>
      </c>
      <c r="I9" s="6" t="s">
        <v>17</v>
      </c>
      <c r="J9" s="6">
        <v>19453675</v>
      </c>
      <c r="K9" s="6" t="s">
        <v>3595</v>
      </c>
      <c r="L9" s="17" t="s">
        <v>3713</v>
      </c>
      <c r="M9" s="8">
        <v>229900</v>
      </c>
      <c r="N9" s="37" t="str">
        <f t="shared" si="2"/>
        <v>BXGY</v>
      </c>
      <c r="O9" s="36" t="str">
        <f t="shared" si="3"/>
        <v>B1G2</v>
      </c>
      <c r="P9" s="34" t="str">
        <f t="shared" si="4"/>
        <v>BXGY</v>
      </c>
    </row>
    <row r="10" spans="1:16" x14ac:dyDescent="0.35">
      <c r="A10" s="14" t="str">
        <f t="shared" si="5"/>
        <v>2024 JUL-DEC B1G2 LICENSE ESS</v>
      </c>
      <c r="B10" s="7">
        <f t="shared" si="6"/>
        <v>46086</v>
      </c>
      <c r="C10" s="7">
        <f t="shared" si="7"/>
        <v>46092</v>
      </c>
      <c r="D10" s="6">
        <v>3287</v>
      </c>
      <c r="E10" s="6">
        <v>338</v>
      </c>
      <c r="F10" s="6">
        <v>4</v>
      </c>
      <c r="G10" s="6">
        <v>2</v>
      </c>
      <c r="H10" s="6">
        <v>81676</v>
      </c>
      <c r="I10" s="6" t="s">
        <v>17</v>
      </c>
      <c r="J10" s="6">
        <v>19483731</v>
      </c>
      <c r="K10" s="6" t="s">
        <v>3714</v>
      </c>
      <c r="L10" s="17" t="s">
        <v>3715</v>
      </c>
      <c r="M10" s="8">
        <v>229900</v>
      </c>
      <c r="N10" s="37" t="str">
        <f t="shared" ref="N10:N16" si="8">N9</f>
        <v>BXGY</v>
      </c>
      <c r="O10" s="36" t="str">
        <f t="shared" ref="O10:O16" si="9">O9</f>
        <v>B1G2</v>
      </c>
      <c r="P10" s="34" t="str">
        <f t="shared" ref="P10:P16" si="10">P9</f>
        <v>BXGY</v>
      </c>
    </row>
    <row r="11" spans="1:16" x14ac:dyDescent="0.35">
      <c r="A11" s="14" t="str">
        <f t="shared" si="5"/>
        <v>2024 JUL-DEC B1G2 LICENSE ESS</v>
      </c>
      <c r="B11" s="7">
        <f t="shared" si="6"/>
        <v>46086</v>
      </c>
      <c r="C11" s="7">
        <f t="shared" si="7"/>
        <v>46092</v>
      </c>
      <c r="D11" s="6">
        <v>3287</v>
      </c>
      <c r="E11" s="6">
        <v>338</v>
      </c>
      <c r="F11" s="6">
        <v>4</v>
      </c>
      <c r="G11" s="6">
        <v>2</v>
      </c>
      <c r="H11" s="6">
        <v>81676</v>
      </c>
      <c r="I11" s="6" t="s">
        <v>17</v>
      </c>
      <c r="J11" s="6">
        <v>19483777</v>
      </c>
      <c r="K11" s="6" t="s">
        <v>3714</v>
      </c>
      <c r="L11" s="17" t="s">
        <v>3716</v>
      </c>
      <c r="M11" s="8">
        <v>229900</v>
      </c>
      <c r="N11" s="37" t="str">
        <f t="shared" si="8"/>
        <v>BXGY</v>
      </c>
      <c r="O11" s="36" t="str">
        <f t="shared" si="9"/>
        <v>B1G2</v>
      </c>
      <c r="P11" s="34" t="str">
        <f t="shared" si="10"/>
        <v>BXGY</v>
      </c>
    </row>
    <row r="12" spans="1:16" x14ac:dyDescent="0.35">
      <c r="A12" s="14" t="str">
        <f t="shared" si="5"/>
        <v>2024 JUL-DEC B1G2 LICENSE ESS</v>
      </c>
      <c r="B12" s="7">
        <f t="shared" si="6"/>
        <v>46086</v>
      </c>
      <c r="C12" s="7">
        <f t="shared" si="7"/>
        <v>46092</v>
      </c>
      <c r="D12" s="6">
        <v>3287</v>
      </c>
      <c r="E12" s="6">
        <v>338</v>
      </c>
      <c r="F12" s="6">
        <v>4</v>
      </c>
      <c r="G12" s="6">
        <v>2</v>
      </c>
      <c r="H12" s="6">
        <v>81676</v>
      </c>
      <c r="I12" s="6" t="s">
        <v>17</v>
      </c>
      <c r="J12" s="6">
        <v>19483820</v>
      </c>
      <c r="K12" s="6" t="s">
        <v>3714</v>
      </c>
      <c r="L12" s="17" t="s">
        <v>3717</v>
      </c>
      <c r="M12" s="8">
        <v>229900</v>
      </c>
      <c r="N12" s="37" t="str">
        <f t="shared" si="8"/>
        <v>BXGY</v>
      </c>
      <c r="O12" s="36" t="str">
        <f t="shared" si="9"/>
        <v>B1G2</v>
      </c>
      <c r="P12" s="34" t="str">
        <f t="shared" si="10"/>
        <v>BXGY</v>
      </c>
    </row>
    <row r="13" spans="1:16" x14ac:dyDescent="0.35">
      <c r="A13" s="14" t="str">
        <f t="shared" si="5"/>
        <v>2024 JUL-DEC B1G2 LICENSE ESS</v>
      </c>
      <c r="B13" s="7">
        <f t="shared" si="6"/>
        <v>46086</v>
      </c>
      <c r="C13" s="7">
        <f t="shared" si="7"/>
        <v>46092</v>
      </c>
      <c r="D13" s="6">
        <v>3287</v>
      </c>
      <c r="E13" s="6">
        <v>338</v>
      </c>
      <c r="F13" s="6">
        <v>4</v>
      </c>
      <c r="G13" s="6">
        <v>2</v>
      </c>
      <c r="H13" s="6">
        <v>81676</v>
      </c>
      <c r="I13" s="6" t="s">
        <v>17</v>
      </c>
      <c r="J13" s="6">
        <v>19483839</v>
      </c>
      <c r="K13" s="6" t="s">
        <v>3714</v>
      </c>
      <c r="L13" s="17" t="s">
        <v>3718</v>
      </c>
      <c r="M13" s="8">
        <v>229900</v>
      </c>
      <c r="N13" s="37" t="str">
        <f t="shared" si="8"/>
        <v>BXGY</v>
      </c>
      <c r="O13" s="36" t="str">
        <f t="shared" si="9"/>
        <v>B1G2</v>
      </c>
      <c r="P13" s="34" t="str">
        <f t="shared" si="10"/>
        <v>BXGY</v>
      </c>
    </row>
    <row r="14" spans="1:16" x14ac:dyDescent="0.35">
      <c r="A14" s="14" t="str">
        <f t="shared" si="5"/>
        <v>2024 JUL-DEC B1G2 LICENSE ESS</v>
      </c>
      <c r="B14" s="7">
        <f t="shared" si="6"/>
        <v>46086</v>
      </c>
      <c r="C14" s="7">
        <f t="shared" si="7"/>
        <v>46092</v>
      </c>
      <c r="D14" s="6">
        <v>3287</v>
      </c>
      <c r="E14" s="6">
        <v>338</v>
      </c>
      <c r="F14" s="6">
        <v>4</v>
      </c>
      <c r="G14" s="6">
        <v>2</v>
      </c>
      <c r="H14" s="6">
        <v>81676</v>
      </c>
      <c r="I14" s="6" t="s">
        <v>17</v>
      </c>
      <c r="J14" s="6">
        <v>22211983</v>
      </c>
      <c r="K14" s="6" t="s">
        <v>3835</v>
      </c>
      <c r="L14" s="17" t="s">
        <v>3836</v>
      </c>
      <c r="M14" s="8">
        <v>229900</v>
      </c>
      <c r="N14" s="37" t="str">
        <f t="shared" si="8"/>
        <v>BXGY</v>
      </c>
      <c r="O14" s="36" t="str">
        <f t="shared" si="9"/>
        <v>B1G2</v>
      </c>
      <c r="P14" s="34" t="str">
        <f t="shared" si="10"/>
        <v>BXGY</v>
      </c>
    </row>
    <row r="15" spans="1:16" x14ac:dyDescent="0.35">
      <c r="A15" s="14" t="str">
        <f t="shared" si="5"/>
        <v>2024 JUL-DEC B1G2 LICENSE ESS</v>
      </c>
      <c r="B15" s="7">
        <f t="shared" si="6"/>
        <v>46086</v>
      </c>
      <c r="C15" s="7">
        <f t="shared" si="7"/>
        <v>46092</v>
      </c>
      <c r="D15" s="6">
        <v>3287</v>
      </c>
      <c r="E15" s="6">
        <v>338</v>
      </c>
      <c r="F15" s="6">
        <v>4</v>
      </c>
      <c r="G15" s="6">
        <v>2</v>
      </c>
      <c r="H15" s="6">
        <v>81676</v>
      </c>
      <c r="I15" s="6" t="s">
        <v>17</v>
      </c>
      <c r="J15" s="6">
        <v>22212580</v>
      </c>
      <c r="K15" s="6" t="s">
        <v>3835</v>
      </c>
      <c r="L15" s="17" t="s">
        <v>3838</v>
      </c>
      <c r="M15" s="8">
        <v>229900</v>
      </c>
      <c r="N15" s="37" t="str">
        <f t="shared" si="8"/>
        <v>BXGY</v>
      </c>
      <c r="O15" s="36" t="str">
        <f t="shared" si="9"/>
        <v>B1G2</v>
      </c>
      <c r="P15" s="34" t="str">
        <f t="shared" si="10"/>
        <v>BXGY</v>
      </c>
    </row>
    <row r="16" spans="1:16" x14ac:dyDescent="0.35">
      <c r="A16" s="14" t="str">
        <f t="shared" si="5"/>
        <v>2024 JUL-DEC B1G2 LICENSE ESS</v>
      </c>
      <c r="B16" s="7">
        <f t="shared" si="6"/>
        <v>46086</v>
      </c>
      <c r="C16" s="7">
        <f t="shared" si="7"/>
        <v>46092</v>
      </c>
      <c r="D16" s="6">
        <v>3287</v>
      </c>
      <c r="E16" s="6">
        <v>338</v>
      </c>
      <c r="F16" s="6">
        <v>4</v>
      </c>
      <c r="G16" s="6">
        <v>2</v>
      </c>
      <c r="H16" s="6">
        <v>81676</v>
      </c>
      <c r="I16" s="6" t="s">
        <v>17</v>
      </c>
      <c r="J16" s="6">
        <v>22212599</v>
      </c>
      <c r="K16" s="6" t="s">
        <v>3835</v>
      </c>
      <c r="L16" s="17" t="s">
        <v>3839</v>
      </c>
      <c r="M16" s="8">
        <v>229900</v>
      </c>
      <c r="N16" s="37" t="str">
        <f t="shared" si="8"/>
        <v>BXGY</v>
      </c>
      <c r="O16" s="36" t="str">
        <f t="shared" si="9"/>
        <v>B1G2</v>
      </c>
      <c r="P16" s="34" t="str">
        <f t="shared" si="10"/>
        <v>BXGY</v>
      </c>
    </row>
    <row r="17" spans="1:16" x14ac:dyDescent="0.35">
      <c r="A17" s="14" t="str">
        <f t="shared" si="5"/>
        <v>2024 JUL-DEC B1G2 LICENSE ESS</v>
      </c>
      <c r="B17" s="35">
        <f t="shared" si="6"/>
        <v>46086</v>
      </c>
      <c r="C17" s="35">
        <f t="shared" si="7"/>
        <v>46092</v>
      </c>
      <c r="D17" s="6">
        <v>3287</v>
      </c>
      <c r="E17" s="6">
        <v>338</v>
      </c>
      <c r="F17" s="6">
        <v>4</v>
      </c>
      <c r="G17" s="6">
        <v>3</v>
      </c>
      <c r="H17" s="6">
        <v>81574</v>
      </c>
      <c r="I17" s="6" t="s">
        <v>17</v>
      </c>
      <c r="J17" s="6">
        <v>19447511</v>
      </c>
      <c r="K17" s="6" t="s">
        <v>3746</v>
      </c>
      <c r="L17" s="17" t="s">
        <v>3747</v>
      </c>
      <c r="M17" s="8">
        <v>119900</v>
      </c>
      <c r="N17" s="37" t="str">
        <f t="shared" ref="N17:N80" si="11">N16</f>
        <v>BXGY</v>
      </c>
      <c r="O17" s="36" t="str">
        <f t="shared" ref="O17:O80" si="12">O16</f>
        <v>B1G2</v>
      </c>
      <c r="P17" s="34" t="str">
        <f t="shared" ref="P17:P80" si="13">P16</f>
        <v>BXGY</v>
      </c>
    </row>
    <row r="18" spans="1:16" x14ac:dyDescent="0.35">
      <c r="A18" s="14" t="str">
        <f t="shared" si="5"/>
        <v>2024 JUL-DEC B1G2 LICENSE ESS</v>
      </c>
      <c r="B18" s="35">
        <f t="shared" si="6"/>
        <v>46086</v>
      </c>
      <c r="C18" s="35">
        <f t="shared" si="7"/>
        <v>46092</v>
      </c>
      <c r="D18" s="6">
        <v>3287</v>
      </c>
      <c r="E18" s="6">
        <v>338</v>
      </c>
      <c r="F18" s="6">
        <v>4</v>
      </c>
      <c r="G18" s="6">
        <v>3</v>
      </c>
      <c r="H18" s="6">
        <v>81574</v>
      </c>
      <c r="I18" s="6" t="s">
        <v>17</v>
      </c>
      <c r="J18" s="6">
        <v>19447520</v>
      </c>
      <c r="K18" s="6" t="s">
        <v>3746</v>
      </c>
      <c r="L18" s="17" t="s">
        <v>3748</v>
      </c>
      <c r="M18" s="8">
        <v>119900</v>
      </c>
      <c r="N18" s="37" t="str">
        <f t="shared" si="11"/>
        <v>BXGY</v>
      </c>
      <c r="O18" s="36" t="str">
        <f t="shared" si="12"/>
        <v>B1G2</v>
      </c>
      <c r="P18" s="34" t="str">
        <f t="shared" si="13"/>
        <v>BXGY</v>
      </c>
    </row>
    <row r="19" spans="1:16" x14ac:dyDescent="0.35">
      <c r="A19" s="14" t="str">
        <f t="shared" si="5"/>
        <v>2024 JUL-DEC B1G2 LICENSE ESS</v>
      </c>
      <c r="B19" s="35">
        <f t="shared" si="6"/>
        <v>46086</v>
      </c>
      <c r="C19" s="35">
        <f t="shared" si="7"/>
        <v>46092</v>
      </c>
      <c r="D19" s="6">
        <v>3287</v>
      </c>
      <c r="E19" s="6">
        <v>338</v>
      </c>
      <c r="F19" s="6">
        <v>4</v>
      </c>
      <c r="G19" s="6">
        <v>3</v>
      </c>
      <c r="H19" s="6">
        <v>81574</v>
      </c>
      <c r="I19" s="6" t="s">
        <v>17</v>
      </c>
      <c r="J19" s="6">
        <v>19447539</v>
      </c>
      <c r="K19" s="6" t="s">
        <v>3746</v>
      </c>
      <c r="L19" s="17" t="s">
        <v>3749</v>
      </c>
      <c r="M19" s="8">
        <v>119900</v>
      </c>
      <c r="N19" s="37" t="str">
        <f t="shared" si="11"/>
        <v>BXGY</v>
      </c>
      <c r="O19" s="36" t="str">
        <f t="shared" si="12"/>
        <v>B1G2</v>
      </c>
      <c r="P19" s="34" t="str">
        <f t="shared" si="13"/>
        <v>BXGY</v>
      </c>
    </row>
    <row r="20" spans="1:16" x14ac:dyDescent="0.35">
      <c r="A20" s="14" t="str">
        <f t="shared" si="5"/>
        <v>2024 JUL-DEC B1G2 LICENSE ESS</v>
      </c>
      <c r="B20" s="35">
        <f t="shared" si="6"/>
        <v>46086</v>
      </c>
      <c r="C20" s="35">
        <f t="shared" si="7"/>
        <v>46092</v>
      </c>
      <c r="D20" s="6">
        <v>3287</v>
      </c>
      <c r="E20" s="6">
        <v>338</v>
      </c>
      <c r="F20" s="6">
        <v>4</v>
      </c>
      <c r="G20" s="6">
        <v>3</v>
      </c>
      <c r="H20" s="6">
        <v>81574</v>
      </c>
      <c r="I20" s="6" t="s">
        <v>17</v>
      </c>
      <c r="J20" s="6">
        <v>19447548</v>
      </c>
      <c r="K20" s="6" t="s">
        <v>3746</v>
      </c>
      <c r="L20" s="17" t="s">
        <v>3750</v>
      </c>
      <c r="M20" s="8">
        <v>119900</v>
      </c>
      <c r="N20" s="37" t="str">
        <f t="shared" si="11"/>
        <v>BXGY</v>
      </c>
      <c r="O20" s="36" t="str">
        <f t="shared" si="12"/>
        <v>B1G2</v>
      </c>
      <c r="P20" s="34" t="str">
        <f t="shared" si="13"/>
        <v>BXGY</v>
      </c>
    </row>
    <row r="21" spans="1:16" x14ac:dyDescent="0.35">
      <c r="A21" s="14" t="str">
        <f t="shared" si="5"/>
        <v>2024 JUL-DEC B1G2 LICENSE ESS</v>
      </c>
      <c r="B21" s="35">
        <f t="shared" si="6"/>
        <v>46086</v>
      </c>
      <c r="C21" s="35">
        <f t="shared" si="7"/>
        <v>46092</v>
      </c>
      <c r="D21" s="6">
        <v>3287</v>
      </c>
      <c r="E21" s="6">
        <v>338</v>
      </c>
      <c r="F21" s="6">
        <v>4</v>
      </c>
      <c r="G21" s="6">
        <v>3</v>
      </c>
      <c r="H21" s="6">
        <v>81574</v>
      </c>
      <c r="I21" s="6" t="s">
        <v>17</v>
      </c>
      <c r="J21" s="6">
        <v>21615923</v>
      </c>
      <c r="K21" s="6" t="s">
        <v>3840</v>
      </c>
      <c r="L21" s="17" t="s">
        <v>3841</v>
      </c>
      <c r="M21" s="8">
        <v>119900</v>
      </c>
      <c r="N21" s="37" t="str">
        <f t="shared" si="11"/>
        <v>BXGY</v>
      </c>
      <c r="O21" s="36" t="str">
        <f t="shared" si="12"/>
        <v>B1G2</v>
      </c>
      <c r="P21" s="34" t="str">
        <f t="shared" si="13"/>
        <v>BXGY</v>
      </c>
    </row>
    <row r="22" spans="1:16" x14ac:dyDescent="0.35">
      <c r="A22" s="14" t="str">
        <f t="shared" si="5"/>
        <v>2024 JUL-DEC B1G2 LICENSE ESS</v>
      </c>
      <c r="B22" s="35">
        <f t="shared" si="6"/>
        <v>46086</v>
      </c>
      <c r="C22" s="35">
        <f t="shared" si="7"/>
        <v>46092</v>
      </c>
      <c r="D22" s="6">
        <v>3287</v>
      </c>
      <c r="E22" s="6">
        <v>338</v>
      </c>
      <c r="F22" s="6">
        <v>4</v>
      </c>
      <c r="G22" s="6">
        <v>3</v>
      </c>
      <c r="H22" s="6">
        <v>81574</v>
      </c>
      <c r="I22" s="6" t="s">
        <v>17</v>
      </c>
      <c r="J22" s="6">
        <v>21615932</v>
      </c>
      <c r="K22" s="6" t="s">
        <v>3840</v>
      </c>
      <c r="L22" s="17" t="s">
        <v>3842</v>
      </c>
      <c r="M22" s="8">
        <v>119900</v>
      </c>
      <c r="N22" s="37" t="str">
        <f t="shared" si="11"/>
        <v>BXGY</v>
      </c>
      <c r="O22" s="36" t="str">
        <f t="shared" si="12"/>
        <v>B1G2</v>
      </c>
      <c r="P22" s="34" t="str">
        <f t="shared" si="13"/>
        <v>BXGY</v>
      </c>
    </row>
    <row r="23" spans="1:16" x14ac:dyDescent="0.35">
      <c r="A23" s="14" t="str">
        <f t="shared" si="5"/>
        <v>2024 JUL-DEC B1G2 LICENSE ESS</v>
      </c>
      <c r="B23" s="35">
        <f t="shared" si="6"/>
        <v>46086</v>
      </c>
      <c r="C23" s="35">
        <f t="shared" si="7"/>
        <v>46092</v>
      </c>
      <c r="D23" s="6">
        <v>3287</v>
      </c>
      <c r="E23" s="6">
        <v>338</v>
      </c>
      <c r="F23" s="6">
        <v>4</v>
      </c>
      <c r="G23" s="6">
        <v>3</v>
      </c>
      <c r="H23" s="6">
        <v>81574</v>
      </c>
      <c r="I23" s="6" t="s">
        <v>17</v>
      </c>
      <c r="J23" s="6">
        <v>21615941</v>
      </c>
      <c r="K23" s="6" t="s">
        <v>3840</v>
      </c>
      <c r="L23" s="17" t="s">
        <v>3843</v>
      </c>
      <c r="M23" s="8">
        <v>119900</v>
      </c>
      <c r="N23" s="37" t="str">
        <f t="shared" si="11"/>
        <v>BXGY</v>
      </c>
      <c r="O23" s="36" t="str">
        <f t="shared" si="12"/>
        <v>B1G2</v>
      </c>
      <c r="P23" s="34" t="str">
        <f t="shared" si="13"/>
        <v>BXGY</v>
      </c>
    </row>
    <row r="24" spans="1:16" x14ac:dyDescent="0.35">
      <c r="A24" s="14" t="str">
        <f t="shared" si="5"/>
        <v>2024 JUL-DEC B1G2 LICENSE ESS</v>
      </c>
      <c r="B24" s="35">
        <f t="shared" si="6"/>
        <v>46086</v>
      </c>
      <c r="C24" s="35">
        <f t="shared" si="7"/>
        <v>46092</v>
      </c>
      <c r="D24" s="6">
        <v>3287</v>
      </c>
      <c r="E24" s="6">
        <v>338</v>
      </c>
      <c r="F24" s="6">
        <v>4</v>
      </c>
      <c r="G24" s="6">
        <v>7</v>
      </c>
      <c r="H24" s="6">
        <v>81595</v>
      </c>
      <c r="I24" s="6" t="s">
        <v>17</v>
      </c>
      <c r="J24" s="6">
        <v>19447477</v>
      </c>
      <c r="K24" s="6" t="s">
        <v>3733</v>
      </c>
      <c r="L24" s="17" t="s">
        <v>3734</v>
      </c>
      <c r="M24" s="8">
        <v>35900</v>
      </c>
      <c r="N24" s="37" t="str">
        <f t="shared" si="11"/>
        <v>BXGY</v>
      </c>
      <c r="O24" s="36" t="str">
        <f t="shared" si="12"/>
        <v>B1G2</v>
      </c>
      <c r="P24" s="34" t="str">
        <f t="shared" si="13"/>
        <v>BXGY</v>
      </c>
    </row>
    <row r="25" spans="1:16" x14ac:dyDescent="0.35">
      <c r="A25" s="14" t="str">
        <f t="shared" si="5"/>
        <v>2024 JUL-DEC B1G2 LICENSE ESS</v>
      </c>
      <c r="B25" s="35">
        <f t="shared" si="6"/>
        <v>46086</v>
      </c>
      <c r="C25" s="35">
        <f t="shared" si="7"/>
        <v>46092</v>
      </c>
      <c r="D25" s="6">
        <v>3287</v>
      </c>
      <c r="E25" s="6">
        <v>338</v>
      </c>
      <c r="F25" s="6">
        <v>4</v>
      </c>
      <c r="G25" s="6">
        <v>7</v>
      </c>
      <c r="H25" s="6">
        <v>81595</v>
      </c>
      <c r="I25" s="6" t="s">
        <v>17</v>
      </c>
      <c r="J25" s="6">
        <v>19447486</v>
      </c>
      <c r="K25" s="6" t="s">
        <v>3733</v>
      </c>
      <c r="L25" s="17" t="s">
        <v>3735</v>
      </c>
      <c r="M25" s="8">
        <v>35900</v>
      </c>
      <c r="N25" s="37" t="str">
        <f t="shared" si="11"/>
        <v>BXGY</v>
      </c>
      <c r="O25" s="36" t="str">
        <f t="shared" si="12"/>
        <v>B1G2</v>
      </c>
      <c r="P25" s="34" t="str">
        <f t="shared" si="13"/>
        <v>BXGY</v>
      </c>
    </row>
    <row r="26" spans="1:16" x14ac:dyDescent="0.35">
      <c r="A26" s="14" t="str">
        <f t="shared" si="5"/>
        <v>2024 JUL-DEC B1G2 LICENSE ESS</v>
      </c>
      <c r="B26" s="35">
        <f t="shared" si="6"/>
        <v>46086</v>
      </c>
      <c r="C26" s="35">
        <f t="shared" si="7"/>
        <v>46092</v>
      </c>
      <c r="D26" s="6">
        <v>3287</v>
      </c>
      <c r="E26" s="6">
        <v>338</v>
      </c>
      <c r="F26" s="6">
        <v>4</v>
      </c>
      <c r="G26" s="6">
        <v>7</v>
      </c>
      <c r="H26" s="6">
        <v>81595</v>
      </c>
      <c r="I26" s="6" t="s">
        <v>17</v>
      </c>
      <c r="J26" s="6">
        <v>19447495</v>
      </c>
      <c r="K26" s="6" t="s">
        <v>3736</v>
      </c>
      <c r="L26" s="17" t="s">
        <v>3737</v>
      </c>
      <c r="M26" s="8">
        <v>35900</v>
      </c>
      <c r="N26" s="37" t="str">
        <f t="shared" si="11"/>
        <v>BXGY</v>
      </c>
      <c r="O26" s="36" t="str">
        <f t="shared" si="12"/>
        <v>B1G2</v>
      </c>
      <c r="P26" s="34" t="str">
        <f t="shared" si="13"/>
        <v>BXGY</v>
      </c>
    </row>
    <row r="27" spans="1:16" x14ac:dyDescent="0.35">
      <c r="A27" s="14" t="str">
        <f t="shared" si="5"/>
        <v>2024 JUL-DEC B1G2 LICENSE ESS</v>
      </c>
      <c r="B27" s="35">
        <f t="shared" si="6"/>
        <v>46086</v>
      </c>
      <c r="C27" s="35">
        <f t="shared" si="7"/>
        <v>46092</v>
      </c>
      <c r="D27" s="6">
        <v>3287</v>
      </c>
      <c r="E27" s="6">
        <v>338</v>
      </c>
      <c r="F27" s="6">
        <v>4</v>
      </c>
      <c r="G27" s="6">
        <v>7</v>
      </c>
      <c r="H27" s="6">
        <v>81595</v>
      </c>
      <c r="I27" s="6" t="s">
        <v>17</v>
      </c>
      <c r="J27" s="6">
        <v>19447502</v>
      </c>
      <c r="K27" s="6" t="s">
        <v>3736</v>
      </c>
      <c r="L27" s="17" t="s">
        <v>3738</v>
      </c>
      <c r="M27" s="8">
        <v>35900</v>
      </c>
      <c r="N27" s="37" t="str">
        <f t="shared" si="11"/>
        <v>BXGY</v>
      </c>
      <c r="O27" s="36" t="str">
        <f t="shared" si="12"/>
        <v>B1G2</v>
      </c>
      <c r="P27" s="34" t="str">
        <f t="shared" si="13"/>
        <v>BXGY</v>
      </c>
    </row>
    <row r="28" spans="1:16" x14ac:dyDescent="0.35">
      <c r="A28" s="14" t="str">
        <f t="shared" si="5"/>
        <v>2024 JUL-DEC B1G2 LICENSE ESS</v>
      </c>
      <c r="B28" s="35">
        <f t="shared" si="6"/>
        <v>46086</v>
      </c>
      <c r="C28" s="35">
        <f t="shared" si="7"/>
        <v>46092</v>
      </c>
      <c r="D28" s="6">
        <v>3287</v>
      </c>
      <c r="E28" s="6">
        <v>338</v>
      </c>
      <c r="F28" s="6">
        <v>4</v>
      </c>
      <c r="G28" s="6">
        <v>7</v>
      </c>
      <c r="H28" s="6">
        <v>81595</v>
      </c>
      <c r="I28" s="6" t="s">
        <v>17</v>
      </c>
      <c r="J28" s="6">
        <v>19453540</v>
      </c>
      <c r="K28" s="6" t="s">
        <v>3695</v>
      </c>
      <c r="L28" s="17" t="s">
        <v>3696</v>
      </c>
      <c r="M28" s="8">
        <v>35900</v>
      </c>
      <c r="N28" s="37" t="str">
        <f t="shared" si="11"/>
        <v>BXGY</v>
      </c>
      <c r="O28" s="36" t="str">
        <f t="shared" si="12"/>
        <v>B1G2</v>
      </c>
      <c r="P28" s="34" t="str">
        <f t="shared" si="13"/>
        <v>BXGY</v>
      </c>
    </row>
    <row r="29" spans="1:16" x14ac:dyDescent="0.35">
      <c r="A29" s="14" t="str">
        <f t="shared" si="5"/>
        <v>2024 JUL-DEC B1G2 LICENSE ESS</v>
      </c>
      <c r="B29" s="35">
        <f t="shared" si="6"/>
        <v>46086</v>
      </c>
      <c r="C29" s="35">
        <f t="shared" si="7"/>
        <v>46092</v>
      </c>
      <c r="D29" s="6">
        <v>3287</v>
      </c>
      <c r="E29" s="6">
        <v>338</v>
      </c>
      <c r="F29" s="6">
        <v>4</v>
      </c>
      <c r="G29" s="6">
        <v>7</v>
      </c>
      <c r="H29" s="6">
        <v>81595</v>
      </c>
      <c r="I29" s="6" t="s">
        <v>17</v>
      </c>
      <c r="J29" s="6">
        <v>19453577</v>
      </c>
      <c r="K29" s="6" t="s">
        <v>3695</v>
      </c>
      <c r="L29" s="17" t="s">
        <v>3697</v>
      </c>
      <c r="M29" s="8">
        <v>35900</v>
      </c>
      <c r="N29" s="37" t="str">
        <f t="shared" si="11"/>
        <v>BXGY</v>
      </c>
      <c r="O29" s="36" t="str">
        <f t="shared" si="12"/>
        <v>B1G2</v>
      </c>
      <c r="P29" s="34" t="str">
        <f t="shared" si="13"/>
        <v>BXGY</v>
      </c>
    </row>
    <row r="30" spans="1:16" x14ac:dyDescent="0.35">
      <c r="A30" s="14" t="str">
        <f t="shared" si="5"/>
        <v>2024 JUL-DEC B1G2 LICENSE ESS</v>
      </c>
      <c r="B30" s="35">
        <f t="shared" si="6"/>
        <v>46086</v>
      </c>
      <c r="C30" s="35">
        <f t="shared" si="7"/>
        <v>46092</v>
      </c>
      <c r="D30" s="6">
        <v>3287</v>
      </c>
      <c r="E30" s="6">
        <v>338</v>
      </c>
      <c r="F30" s="6">
        <v>4</v>
      </c>
      <c r="G30" s="6">
        <v>7</v>
      </c>
      <c r="H30" s="6">
        <v>81595</v>
      </c>
      <c r="I30" s="6" t="s">
        <v>17</v>
      </c>
      <c r="J30" s="6">
        <v>19453586</v>
      </c>
      <c r="K30" s="6" t="s">
        <v>3698</v>
      </c>
      <c r="L30" s="17" t="s">
        <v>3699</v>
      </c>
      <c r="M30" s="8">
        <v>35900</v>
      </c>
      <c r="N30" s="37" t="str">
        <f t="shared" si="11"/>
        <v>BXGY</v>
      </c>
      <c r="O30" s="36" t="str">
        <f t="shared" si="12"/>
        <v>B1G2</v>
      </c>
      <c r="P30" s="34" t="str">
        <f t="shared" si="13"/>
        <v>BXGY</v>
      </c>
    </row>
    <row r="31" spans="1:16" x14ac:dyDescent="0.35">
      <c r="A31" s="14" t="str">
        <f t="shared" si="5"/>
        <v>2024 JUL-DEC B1G2 LICENSE ESS</v>
      </c>
      <c r="B31" s="35">
        <f t="shared" si="6"/>
        <v>46086</v>
      </c>
      <c r="C31" s="35">
        <f t="shared" si="7"/>
        <v>46092</v>
      </c>
      <c r="D31" s="6">
        <v>3287</v>
      </c>
      <c r="E31" s="6">
        <v>338</v>
      </c>
      <c r="F31" s="6">
        <v>4</v>
      </c>
      <c r="G31" s="6">
        <v>7</v>
      </c>
      <c r="H31" s="6">
        <v>81595</v>
      </c>
      <c r="I31" s="6" t="s">
        <v>17</v>
      </c>
      <c r="J31" s="6">
        <v>19453595</v>
      </c>
      <c r="K31" s="6" t="s">
        <v>3698</v>
      </c>
      <c r="L31" s="17" t="s">
        <v>3700</v>
      </c>
      <c r="M31" s="8">
        <v>35900</v>
      </c>
      <c r="N31" s="37" t="str">
        <f t="shared" si="11"/>
        <v>BXGY</v>
      </c>
      <c r="O31" s="36" t="str">
        <f t="shared" si="12"/>
        <v>B1G2</v>
      </c>
      <c r="P31" s="34" t="str">
        <f t="shared" si="13"/>
        <v>BXGY</v>
      </c>
    </row>
    <row r="32" spans="1:16" x14ac:dyDescent="0.35">
      <c r="A32" s="14" t="str">
        <f t="shared" si="5"/>
        <v>2024 JUL-DEC B1G2 LICENSE ESS</v>
      </c>
      <c r="B32" s="35">
        <f t="shared" si="6"/>
        <v>46086</v>
      </c>
      <c r="C32" s="35">
        <f t="shared" si="7"/>
        <v>46092</v>
      </c>
      <c r="D32" s="6">
        <v>3287</v>
      </c>
      <c r="E32" s="6">
        <v>338</v>
      </c>
      <c r="F32" s="6">
        <v>4</v>
      </c>
      <c r="G32" s="6">
        <v>7</v>
      </c>
      <c r="H32" s="6">
        <v>81595</v>
      </c>
      <c r="I32" s="6" t="s">
        <v>17</v>
      </c>
      <c r="J32" s="6">
        <v>21615889</v>
      </c>
      <c r="K32" s="6" t="s">
        <v>3845</v>
      </c>
      <c r="L32" s="17" t="s">
        <v>3846</v>
      </c>
      <c r="M32" s="8">
        <v>35900</v>
      </c>
      <c r="N32" s="37" t="str">
        <f t="shared" si="11"/>
        <v>BXGY</v>
      </c>
      <c r="O32" s="36" t="str">
        <f t="shared" si="12"/>
        <v>B1G2</v>
      </c>
      <c r="P32" s="34" t="str">
        <f t="shared" si="13"/>
        <v>BXGY</v>
      </c>
    </row>
    <row r="33" spans="1:16" x14ac:dyDescent="0.35">
      <c r="A33" s="14" t="str">
        <f t="shared" si="5"/>
        <v>2024 JUL-DEC B1G2 LICENSE ESS</v>
      </c>
      <c r="B33" s="35">
        <f t="shared" si="6"/>
        <v>46086</v>
      </c>
      <c r="C33" s="35">
        <f t="shared" si="7"/>
        <v>46092</v>
      </c>
      <c r="D33" s="6">
        <v>3287</v>
      </c>
      <c r="E33" s="6">
        <v>338</v>
      </c>
      <c r="F33" s="6">
        <v>4</v>
      </c>
      <c r="G33" s="6">
        <v>7</v>
      </c>
      <c r="H33" s="6">
        <v>81595</v>
      </c>
      <c r="I33" s="6" t="s">
        <v>17</v>
      </c>
      <c r="J33" s="6">
        <v>21615905</v>
      </c>
      <c r="K33" s="6" t="s">
        <v>3848</v>
      </c>
      <c r="L33" s="17" t="s">
        <v>3849</v>
      </c>
      <c r="M33" s="8">
        <v>35900</v>
      </c>
      <c r="N33" s="37" t="str">
        <f t="shared" si="11"/>
        <v>BXGY</v>
      </c>
      <c r="O33" s="36" t="str">
        <f t="shared" si="12"/>
        <v>B1G2</v>
      </c>
      <c r="P33" s="34" t="str">
        <f t="shared" si="13"/>
        <v>BXGY</v>
      </c>
    </row>
    <row r="34" spans="1:16" x14ac:dyDescent="0.35">
      <c r="A34" s="14" t="str">
        <f t="shared" si="5"/>
        <v>2024 JUL-DEC B1G2 LICENSE ESS</v>
      </c>
      <c r="B34" s="35">
        <f t="shared" si="6"/>
        <v>46086</v>
      </c>
      <c r="C34" s="35">
        <f t="shared" si="7"/>
        <v>46092</v>
      </c>
      <c r="D34" s="6">
        <v>3287</v>
      </c>
      <c r="E34" s="6">
        <v>338</v>
      </c>
      <c r="F34" s="6">
        <v>4</v>
      </c>
      <c r="G34" s="6">
        <v>7</v>
      </c>
      <c r="H34" s="6">
        <v>81595</v>
      </c>
      <c r="I34" s="6" t="s">
        <v>17</v>
      </c>
      <c r="J34" s="6">
        <v>22212606</v>
      </c>
      <c r="K34" s="6" t="s">
        <v>3832</v>
      </c>
      <c r="L34" s="17" t="s">
        <v>3833</v>
      </c>
      <c r="M34" s="8">
        <v>35900</v>
      </c>
      <c r="N34" s="37" t="str">
        <f t="shared" si="11"/>
        <v>BXGY</v>
      </c>
      <c r="O34" s="36" t="str">
        <f t="shared" si="12"/>
        <v>B1G2</v>
      </c>
      <c r="P34" s="34" t="str">
        <f t="shared" si="13"/>
        <v>BXGY</v>
      </c>
    </row>
    <row r="35" spans="1:16" x14ac:dyDescent="0.35">
      <c r="A35" s="14" t="str">
        <f t="shared" si="5"/>
        <v>2024 JUL-DEC B1G2 LICENSE ESS</v>
      </c>
      <c r="B35" s="35">
        <f t="shared" si="6"/>
        <v>46086</v>
      </c>
      <c r="C35" s="35">
        <f t="shared" si="7"/>
        <v>46092</v>
      </c>
      <c r="D35" s="6">
        <v>3287</v>
      </c>
      <c r="E35" s="6">
        <v>338</v>
      </c>
      <c r="F35" s="6">
        <v>4</v>
      </c>
      <c r="G35" s="6">
        <v>8</v>
      </c>
      <c r="H35" s="6">
        <v>81462</v>
      </c>
      <c r="I35" s="6" t="s">
        <v>17</v>
      </c>
      <c r="J35" s="6">
        <v>22250333</v>
      </c>
      <c r="K35" s="6" t="s">
        <v>5070</v>
      </c>
      <c r="L35" s="17" t="s">
        <v>5071</v>
      </c>
      <c r="M35" s="8">
        <v>119900</v>
      </c>
      <c r="N35" s="37" t="str">
        <f t="shared" si="11"/>
        <v>BXGY</v>
      </c>
      <c r="O35" s="36" t="str">
        <f t="shared" si="12"/>
        <v>B1G2</v>
      </c>
      <c r="P35" s="34" t="str">
        <f t="shared" si="13"/>
        <v>BXGY</v>
      </c>
    </row>
    <row r="36" spans="1:16" x14ac:dyDescent="0.35">
      <c r="A36" s="14" t="str">
        <f t="shared" si="5"/>
        <v>2024 JUL-DEC B1G2 LICENSE ESS</v>
      </c>
      <c r="B36" s="35">
        <f t="shared" si="6"/>
        <v>46086</v>
      </c>
      <c r="C36" s="35">
        <f t="shared" si="7"/>
        <v>46092</v>
      </c>
      <c r="D36" s="6">
        <v>3287</v>
      </c>
      <c r="E36" s="6">
        <v>338</v>
      </c>
      <c r="F36" s="6">
        <v>4</v>
      </c>
      <c r="G36" s="6">
        <v>8</v>
      </c>
      <c r="H36" s="6">
        <v>81462</v>
      </c>
      <c r="I36" s="6" t="s">
        <v>17</v>
      </c>
      <c r="J36" s="6">
        <v>22250388</v>
      </c>
      <c r="K36" s="6" t="s">
        <v>5070</v>
      </c>
      <c r="L36" s="17" t="s">
        <v>5072</v>
      </c>
      <c r="M36" s="8">
        <v>119900</v>
      </c>
      <c r="N36" s="37" t="str">
        <f t="shared" si="11"/>
        <v>BXGY</v>
      </c>
      <c r="O36" s="36" t="str">
        <f t="shared" si="12"/>
        <v>B1G2</v>
      </c>
      <c r="P36" s="34" t="str">
        <f t="shared" si="13"/>
        <v>BXGY</v>
      </c>
    </row>
    <row r="37" spans="1:16" x14ac:dyDescent="0.35">
      <c r="A37" s="14" t="str">
        <f t="shared" si="5"/>
        <v>2024 JUL-DEC B1G2 LICENSE ESS</v>
      </c>
      <c r="B37" s="35">
        <f t="shared" si="6"/>
        <v>46086</v>
      </c>
      <c r="C37" s="35">
        <f t="shared" si="7"/>
        <v>46092</v>
      </c>
      <c r="D37" s="6">
        <v>3287</v>
      </c>
      <c r="E37" s="6">
        <v>338</v>
      </c>
      <c r="F37" s="6">
        <v>4</v>
      </c>
      <c r="G37" s="6">
        <v>8</v>
      </c>
      <c r="H37" s="6">
        <v>81462</v>
      </c>
      <c r="I37" s="6" t="s">
        <v>17</v>
      </c>
      <c r="J37" s="6">
        <v>22250397</v>
      </c>
      <c r="K37" s="6" t="s">
        <v>5070</v>
      </c>
      <c r="L37" s="17" t="s">
        <v>5073</v>
      </c>
      <c r="M37" s="8">
        <v>119900</v>
      </c>
      <c r="N37" s="37" t="str">
        <f t="shared" si="11"/>
        <v>BXGY</v>
      </c>
      <c r="O37" s="36" t="str">
        <f t="shared" si="12"/>
        <v>B1G2</v>
      </c>
      <c r="P37" s="34" t="str">
        <f t="shared" si="13"/>
        <v>BXGY</v>
      </c>
    </row>
    <row r="38" spans="1:16" x14ac:dyDescent="0.35">
      <c r="A38" s="14" t="str">
        <f t="shared" si="5"/>
        <v>2024 JUL-DEC B1G2 LICENSE ESS</v>
      </c>
      <c r="B38" s="35">
        <f t="shared" si="6"/>
        <v>46086</v>
      </c>
      <c r="C38" s="35">
        <f t="shared" si="7"/>
        <v>46092</v>
      </c>
      <c r="D38" s="6">
        <v>3287</v>
      </c>
      <c r="E38" s="6">
        <v>338</v>
      </c>
      <c r="F38" s="6">
        <v>4</v>
      </c>
      <c r="G38" s="6">
        <v>8</v>
      </c>
      <c r="H38" s="6">
        <v>81462</v>
      </c>
      <c r="I38" s="6" t="s">
        <v>17</v>
      </c>
      <c r="J38" s="6">
        <v>22250413</v>
      </c>
      <c r="K38" s="6" t="s">
        <v>5070</v>
      </c>
      <c r="L38" s="17" t="s">
        <v>5074</v>
      </c>
      <c r="M38" s="8">
        <v>119900</v>
      </c>
      <c r="N38" s="37" t="str">
        <f t="shared" si="11"/>
        <v>BXGY</v>
      </c>
      <c r="O38" s="36" t="str">
        <f t="shared" si="12"/>
        <v>B1G2</v>
      </c>
      <c r="P38" s="34" t="str">
        <f t="shared" si="13"/>
        <v>BXGY</v>
      </c>
    </row>
    <row r="39" spans="1:16" x14ac:dyDescent="0.35">
      <c r="A39" s="14" t="str">
        <f t="shared" si="5"/>
        <v>2024 JUL-DEC B1G2 LICENSE ESS</v>
      </c>
      <c r="B39" s="35">
        <f t="shared" si="6"/>
        <v>46086</v>
      </c>
      <c r="C39" s="35">
        <f t="shared" si="7"/>
        <v>46092</v>
      </c>
      <c r="D39" s="6">
        <v>3287</v>
      </c>
      <c r="E39" s="6">
        <v>338</v>
      </c>
      <c r="F39" s="6">
        <v>4</v>
      </c>
      <c r="G39" s="6">
        <v>2</v>
      </c>
      <c r="H39" s="6">
        <v>81676</v>
      </c>
      <c r="I39" s="6" t="s">
        <v>17</v>
      </c>
      <c r="J39" s="6">
        <v>22212571</v>
      </c>
      <c r="K39" s="6" t="s">
        <v>3835</v>
      </c>
      <c r="L39" s="17" t="s">
        <v>3837</v>
      </c>
      <c r="M39" s="8">
        <v>229900</v>
      </c>
      <c r="N39" s="37" t="str">
        <f t="shared" si="11"/>
        <v>BXGY</v>
      </c>
      <c r="O39" s="36" t="str">
        <f t="shared" si="12"/>
        <v>B1G2</v>
      </c>
      <c r="P39" s="34" t="str">
        <f t="shared" si="13"/>
        <v>BXGY</v>
      </c>
    </row>
    <row r="40" spans="1:16" x14ac:dyDescent="0.35">
      <c r="A40" s="14" t="str">
        <f t="shared" si="5"/>
        <v>2024 JUL-DEC B1G2 LICENSE ESS</v>
      </c>
      <c r="B40" s="35">
        <f t="shared" si="6"/>
        <v>46086</v>
      </c>
      <c r="C40" s="35">
        <f t="shared" si="7"/>
        <v>46092</v>
      </c>
      <c r="D40" s="6">
        <v>3287</v>
      </c>
      <c r="E40" s="6">
        <v>338</v>
      </c>
      <c r="F40" s="6">
        <v>4</v>
      </c>
      <c r="G40" s="6">
        <v>7</v>
      </c>
      <c r="H40" s="6">
        <v>81595</v>
      </c>
      <c r="I40" s="6" t="s">
        <v>17</v>
      </c>
      <c r="J40" s="6">
        <v>21615898</v>
      </c>
      <c r="K40" s="6" t="s">
        <v>3845</v>
      </c>
      <c r="L40" s="17" t="s">
        <v>3847</v>
      </c>
      <c r="M40" s="8">
        <v>35900</v>
      </c>
      <c r="N40" s="37" t="str">
        <f t="shared" si="11"/>
        <v>BXGY</v>
      </c>
      <c r="O40" s="36" t="str">
        <f t="shared" si="12"/>
        <v>B1G2</v>
      </c>
      <c r="P40" s="34" t="str">
        <f t="shared" si="13"/>
        <v>BXGY</v>
      </c>
    </row>
    <row r="41" spans="1:16" x14ac:dyDescent="0.35">
      <c r="A41" s="14" t="str">
        <f t="shared" si="5"/>
        <v>2024 JUL-DEC B1G2 LICENSE ESS</v>
      </c>
      <c r="B41" s="35">
        <f t="shared" si="6"/>
        <v>46086</v>
      </c>
      <c r="C41" s="35">
        <f t="shared" si="7"/>
        <v>46092</v>
      </c>
      <c r="D41" s="6">
        <v>3287</v>
      </c>
      <c r="E41" s="6">
        <v>338</v>
      </c>
      <c r="F41" s="6">
        <v>4</v>
      </c>
      <c r="G41" s="6">
        <v>7</v>
      </c>
      <c r="H41" s="6">
        <v>81595</v>
      </c>
      <c r="I41" s="6" t="s">
        <v>17</v>
      </c>
      <c r="J41" s="6">
        <v>21615914</v>
      </c>
      <c r="K41" s="6" t="s">
        <v>3848</v>
      </c>
      <c r="L41" s="17" t="s">
        <v>3850</v>
      </c>
      <c r="M41" s="8">
        <v>35900</v>
      </c>
      <c r="N41" s="37" t="str">
        <f t="shared" si="11"/>
        <v>BXGY</v>
      </c>
      <c r="O41" s="36" t="str">
        <f t="shared" si="12"/>
        <v>B1G2</v>
      </c>
      <c r="P41" s="34" t="str">
        <f t="shared" si="13"/>
        <v>BXGY</v>
      </c>
    </row>
    <row r="42" spans="1:16" x14ac:dyDescent="0.35">
      <c r="A42" s="14" t="str">
        <f t="shared" si="5"/>
        <v>2024 JUL-DEC B1G2 LICENSE ESS</v>
      </c>
      <c r="B42" s="35">
        <f t="shared" si="6"/>
        <v>46086</v>
      </c>
      <c r="C42" s="35">
        <f t="shared" si="7"/>
        <v>46092</v>
      </c>
      <c r="D42" s="6">
        <v>3287</v>
      </c>
      <c r="E42" s="6">
        <v>338</v>
      </c>
      <c r="F42" s="6">
        <v>4</v>
      </c>
      <c r="G42" s="6">
        <v>7</v>
      </c>
      <c r="H42" s="6">
        <v>81595</v>
      </c>
      <c r="I42" s="6" t="s">
        <v>17</v>
      </c>
      <c r="J42" s="6">
        <v>22212679</v>
      </c>
      <c r="K42" s="6" t="s">
        <v>3832</v>
      </c>
      <c r="L42" s="17" t="s">
        <v>3834</v>
      </c>
      <c r="M42" s="8">
        <v>35900</v>
      </c>
      <c r="N42" s="37" t="str">
        <f t="shared" si="11"/>
        <v>BXGY</v>
      </c>
      <c r="O42" s="36" t="str">
        <f t="shared" si="12"/>
        <v>B1G2</v>
      </c>
      <c r="P42" s="34" t="str">
        <f t="shared" si="13"/>
        <v>BXGY</v>
      </c>
    </row>
    <row r="43" spans="1:16" x14ac:dyDescent="0.35">
      <c r="A43" s="14" t="str">
        <f t="shared" si="5"/>
        <v>2024 JUL-DEC B1G2 LICENSE ESS</v>
      </c>
      <c r="B43" s="35">
        <f t="shared" si="6"/>
        <v>46086</v>
      </c>
      <c r="C43" s="35">
        <f t="shared" si="7"/>
        <v>46092</v>
      </c>
      <c r="D43" s="6">
        <v>3287</v>
      </c>
      <c r="E43" s="6">
        <v>338</v>
      </c>
      <c r="F43" s="6">
        <v>4</v>
      </c>
      <c r="G43" s="6">
        <v>7</v>
      </c>
      <c r="H43" s="6">
        <v>81595</v>
      </c>
      <c r="I43" s="6" t="s">
        <v>17</v>
      </c>
      <c r="J43" s="6">
        <v>18549298</v>
      </c>
      <c r="K43" s="6" t="s">
        <v>3955</v>
      </c>
      <c r="L43" s="17" t="s">
        <v>3956</v>
      </c>
      <c r="M43" s="8">
        <v>35900</v>
      </c>
      <c r="N43" s="37" t="str">
        <f t="shared" si="11"/>
        <v>BXGY</v>
      </c>
      <c r="O43" s="36" t="str">
        <f t="shared" si="12"/>
        <v>B1G2</v>
      </c>
      <c r="P43" s="34" t="str">
        <f t="shared" si="13"/>
        <v>BXGY</v>
      </c>
    </row>
    <row r="44" spans="1:16" x14ac:dyDescent="0.35">
      <c r="A44" s="14" t="str">
        <f t="shared" si="5"/>
        <v>2024 JUL-DEC B1G2 LICENSE ESS</v>
      </c>
      <c r="B44" s="35">
        <f t="shared" si="6"/>
        <v>46086</v>
      </c>
      <c r="C44" s="35">
        <f t="shared" si="7"/>
        <v>46092</v>
      </c>
      <c r="D44" s="6">
        <v>3287</v>
      </c>
      <c r="E44" s="6">
        <v>338</v>
      </c>
      <c r="F44" s="6">
        <v>4</v>
      </c>
      <c r="G44" s="6">
        <v>7</v>
      </c>
      <c r="H44" s="6">
        <v>81595</v>
      </c>
      <c r="I44" s="6" t="s">
        <v>17</v>
      </c>
      <c r="J44" s="6">
        <v>18549314</v>
      </c>
      <c r="K44" s="6" t="s">
        <v>3955</v>
      </c>
      <c r="L44" s="17" t="s">
        <v>3957</v>
      </c>
      <c r="M44" s="8">
        <v>35900</v>
      </c>
      <c r="N44" s="37" t="str">
        <f t="shared" si="11"/>
        <v>BXGY</v>
      </c>
      <c r="O44" s="36" t="str">
        <f t="shared" si="12"/>
        <v>B1G2</v>
      </c>
      <c r="P44" s="34" t="str">
        <f t="shared" si="13"/>
        <v>BXGY</v>
      </c>
    </row>
    <row r="45" spans="1:16" x14ac:dyDescent="0.35">
      <c r="A45" s="14" t="str">
        <f t="shared" si="5"/>
        <v>2024 JUL-DEC B1G2 LICENSE ESS</v>
      </c>
      <c r="B45" s="35">
        <f t="shared" si="6"/>
        <v>46086</v>
      </c>
      <c r="C45" s="35">
        <f t="shared" si="7"/>
        <v>46092</v>
      </c>
      <c r="D45" s="6">
        <v>3287</v>
      </c>
      <c r="E45" s="6">
        <v>338</v>
      </c>
      <c r="F45" s="6">
        <v>4</v>
      </c>
      <c r="G45" s="6">
        <v>7</v>
      </c>
      <c r="H45" s="6">
        <v>81595</v>
      </c>
      <c r="I45" s="6" t="s">
        <v>17</v>
      </c>
      <c r="J45" s="6">
        <v>23107577</v>
      </c>
      <c r="K45" s="6" t="s">
        <v>3952</v>
      </c>
      <c r="L45" s="17" t="s">
        <v>3953</v>
      </c>
      <c r="M45" s="8">
        <v>35900</v>
      </c>
      <c r="N45" s="37" t="str">
        <f t="shared" si="11"/>
        <v>BXGY</v>
      </c>
      <c r="O45" s="36" t="str">
        <f t="shared" si="12"/>
        <v>B1G2</v>
      </c>
      <c r="P45" s="34" t="str">
        <f t="shared" si="13"/>
        <v>BXGY</v>
      </c>
    </row>
    <row r="46" spans="1:16" x14ac:dyDescent="0.35">
      <c r="A46" s="14" t="str">
        <f t="shared" si="5"/>
        <v>2024 JUL-DEC B1G2 LICENSE ESS</v>
      </c>
      <c r="B46" s="35">
        <f t="shared" si="6"/>
        <v>46086</v>
      </c>
      <c r="C46" s="35">
        <f t="shared" si="7"/>
        <v>46092</v>
      </c>
      <c r="D46" s="6">
        <v>3287</v>
      </c>
      <c r="E46" s="6">
        <v>338</v>
      </c>
      <c r="F46" s="6">
        <v>4</v>
      </c>
      <c r="G46" s="6">
        <v>7</v>
      </c>
      <c r="H46" s="6">
        <v>81595</v>
      </c>
      <c r="I46" s="6" t="s">
        <v>17</v>
      </c>
      <c r="J46" s="6">
        <v>23107586</v>
      </c>
      <c r="K46" s="6" t="s">
        <v>3952</v>
      </c>
      <c r="L46" s="17" t="s">
        <v>3954</v>
      </c>
      <c r="M46" s="8">
        <v>35900</v>
      </c>
      <c r="N46" s="37" t="str">
        <f t="shared" si="11"/>
        <v>BXGY</v>
      </c>
      <c r="O46" s="36" t="str">
        <f t="shared" si="12"/>
        <v>B1G2</v>
      </c>
      <c r="P46" s="34" t="str">
        <f t="shared" si="13"/>
        <v>BXGY</v>
      </c>
    </row>
    <row r="47" spans="1:16" x14ac:dyDescent="0.35">
      <c r="A47" s="14" t="str">
        <f t="shared" si="5"/>
        <v>2024 JUL-DEC B1G2 LICENSE ESS</v>
      </c>
      <c r="B47" s="35">
        <f t="shared" si="6"/>
        <v>46086</v>
      </c>
      <c r="C47" s="35">
        <f t="shared" si="7"/>
        <v>46092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23107415</v>
      </c>
      <c r="K47" s="6" t="s">
        <v>3942</v>
      </c>
      <c r="L47" s="17" t="s">
        <v>3943</v>
      </c>
      <c r="M47" s="8">
        <v>119900</v>
      </c>
      <c r="N47" s="37" t="str">
        <f t="shared" si="11"/>
        <v>BXGY</v>
      </c>
      <c r="O47" s="36" t="str">
        <f t="shared" si="12"/>
        <v>B1G2</v>
      </c>
      <c r="P47" s="34" t="str">
        <f t="shared" si="13"/>
        <v>BXGY</v>
      </c>
    </row>
    <row r="48" spans="1:16" x14ac:dyDescent="0.35">
      <c r="A48" s="14" t="str">
        <f t="shared" si="5"/>
        <v>2024 JUL-DEC B1G2 LICENSE ESS</v>
      </c>
      <c r="B48" s="35">
        <f t="shared" si="6"/>
        <v>46086</v>
      </c>
      <c r="C48" s="35">
        <f t="shared" si="7"/>
        <v>46092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23107424</v>
      </c>
      <c r="K48" s="6" t="s">
        <v>3942</v>
      </c>
      <c r="L48" s="17" t="s">
        <v>3944</v>
      </c>
      <c r="M48" s="8">
        <v>119900</v>
      </c>
      <c r="N48" s="37" t="str">
        <f t="shared" si="11"/>
        <v>BXGY</v>
      </c>
      <c r="O48" s="36" t="str">
        <f t="shared" si="12"/>
        <v>B1G2</v>
      </c>
      <c r="P48" s="34" t="str">
        <f t="shared" si="13"/>
        <v>BXGY</v>
      </c>
    </row>
    <row r="49" spans="1:16" x14ac:dyDescent="0.35">
      <c r="A49" s="14" t="str">
        <f t="shared" si="5"/>
        <v>2024 JUL-DEC B1G2 LICENSE ESS</v>
      </c>
      <c r="B49" s="35">
        <f t="shared" si="6"/>
        <v>46086</v>
      </c>
      <c r="C49" s="35">
        <f t="shared" si="7"/>
        <v>46092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23107433</v>
      </c>
      <c r="K49" s="6" t="s">
        <v>3942</v>
      </c>
      <c r="L49" s="17" t="s">
        <v>3945</v>
      </c>
      <c r="M49" s="8">
        <v>119900</v>
      </c>
      <c r="N49" s="37" t="str">
        <f t="shared" si="11"/>
        <v>BXGY</v>
      </c>
      <c r="O49" s="36" t="str">
        <f t="shared" si="12"/>
        <v>B1G2</v>
      </c>
      <c r="P49" s="34" t="str">
        <f t="shared" si="13"/>
        <v>BXGY</v>
      </c>
    </row>
    <row r="50" spans="1:16" x14ac:dyDescent="0.35">
      <c r="A50" s="14" t="str">
        <f t="shared" si="5"/>
        <v>2024 JUL-DEC B1G2 LICENSE ESS</v>
      </c>
      <c r="B50" s="35">
        <f t="shared" si="6"/>
        <v>46086</v>
      </c>
      <c r="C50" s="35">
        <f t="shared" si="7"/>
        <v>46092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23107442</v>
      </c>
      <c r="K50" s="6" t="s">
        <v>3942</v>
      </c>
      <c r="L50" s="17" t="s">
        <v>3946</v>
      </c>
      <c r="M50" s="8">
        <v>119900</v>
      </c>
      <c r="N50" s="37" t="str">
        <f t="shared" si="11"/>
        <v>BXGY</v>
      </c>
      <c r="O50" s="36" t="str">
        <f t="shared" si="12"/>
        <v>B1G2</v>
      </c>
      <c r="P50" s="34" t="str">
        <f t="shared" si="13"/>
        <v>BXGY</v>
      </c>
    </row>
    <row r="51" spans="1:16" x14ac:dyDescent="0.35">
      <c r="A51" s="14" t="str">
        <f t="shared" si="5"/>
        <v>2024 JUL-DEC B1G2 LICENSE ESS</v>
      </c>
      <c r="B51" s="35">
        <f t="shared" si="6"/>
        <v>46086</v>
      </c>
      <c r="C51" s="35">
        <f t="shared" si="7"/>
        <v>46092</v>
      </c>
      <c r="D51" s="6">
        <v>3287</v>
      </c>
      <c r="E51" s="6">
        <v>338</v>
      </c>
      <c r="F51" s="6">
        <v>4</v>
      </c>
      <c r="G51" s="6">
        <v>3</v>
      </c>
      <c r="H51" s="6">
        <v>81574</v>
      </c>
      <c r="I51" s="6" t="s">
        <v>17</v>
      </c>
      <c r="J51" s="6">
        <v>21615950</v>
      </c>
      <c r="K51" s="6" t="s">
        <v>3840</v>
      </c>
      <c r="L51" s="17" t="s">
        <v>3844</v>
      </c>
      <c r="M51" s="8">
        <v>119900</v>
      </c>
      <c r="N51" s="37" t="str">
        <f t="shared" si="11"/>
        <v>BXGY</v>
      </c>
      <c r="O51" s="36" t="str">
        <f t="shared" si="12"/>
        <v>B1G2</v>
      </c>
      <c r="P51" s="34" t="str">
        <f t="shared" si="13"/>
        <v>BXGY</v>
      </c>
    </row>
    <row r="52" spans="1:16" x14ac:dyDescent="0.35">
      <c r="A52" s="14" t="str">
        <f t="shared" si="5"/>
        <v>2024 JUL-DEC B1G2 LICENSE ESS</v>
      </c>
      <c r="B52" s="35">
        <f t="shared" si="6"/>
        <v>46086</v>
      </c>
      <c r="C52" s="35">
        <f t="shared" si="7"/>
        <v>46092</v>
      </c>
      <c r="D52" s="6">
        <v>3287</v>
      </c>
      <c r="E52" s="6">
        <v>338</v>
      </c>
      <c r="F52" s="6">
        <v>4</v>
      </c>
      <c r="G52" s="6">
        <v>1</v>
      </c>
      <c r="H52" s="6">
        <v>850</v>
      </c>
      <c r="I52" s="6" t="s">
        <v>17</v>
      </c>
      <c r="J52" s="6">
        <v>31272221</v>
      </c>
      <c r="K52" s="6" t="s">
        <v>4023</v>
      </c>
      <c r="L52" s="17" t="s">
        <v>4024</v>
      </c>
      <c r="M52" s="8">
        <v>119900</v>
      </c>
      <c r="N52" s="37" t="str">
        <f t="shared" si="11"/>
        <v>BXGY</v>
      </c>
      <c r="O52" s="36" t="str">
        <f t="shared" si="12"/>
        <v>B1G2</v>
      </c>
      <c r="P52" s="34" t="str">
        <f t="shared" si="13"/>
        <v>BXGY</v>
      </c>
    </row>
    <row r="53" spans="1:16" x14ac:dyDescent="0.35">
      <c r="A53" s="14" t="str">
        <f t="shared" si="5"/>
        <v>2024 JUL-DEC B1G2 LICENSE ESS</v>
      </c>
      <c r="B53" s="35">
        <f t="shared" si="6"/>
        <v>46086</v>
      </c>
      <c r="C53" s="35">
        <f t="shared" si="7"/>
        <v>46092</v>
      </c>
      <c r="D53" s="6">
        <v>3287</v>
      </c>
      <c r="E53" s="6">
        <v>338</v>
      </c>
      <c r="F53" s="6">
        <v>4</v>
      </c>
      <c r="G53" s="6">
        <v>1</v>
      </c>
      <c r="H53" s="6">
        <v>850</v>
      </c>
      <c r="I53" s="6" t="s">
        <v>17</v>
      </c>
      <c r="J53" s="6">
        <v>31272230</v>
      </c>
      <c r="K53" s="6" t="s">
        <v>4023</v>
      </c>
      <c r="L53" s="17" t="s">
        <v>4025</v>
      </c>
      <c r="M53" s="8">
        <v>119900</v>
      </c>
      <c r="N53" s="37" t="str">
        <f t="shared" si="11"/>
        <v>BXGY</v>
      </c>
      <c r="O53" s="36" t="str">
        <f t="shared" si="12"/>
        <v>B1G2</v>
      </c>
      <c r="P53" s="34" t="str">
        <f t="shared" si="13"/>
        <v>BXGY</v>
      </c>
    </row>
    <row r="54" spans="1:16" x14ac:dyDescent="0.35">
      <c r="A54" s="14" t="str">
        <f t="shared" si="5"/>
        <v>2024 JUL-DEC B1G2 LICENSE ESS</v>
      </c>
      <c r="B54" s="35">
        <f t="shared" si="6"/>
        <v>46086</v>
      </c>
      <c r="C54" s="35">
        <f t="shared" si="7"/>
        <v>46092</v>
      </c>
      <c r="D54" s="6">
        <v>3287</v>
      </c>
      <c r="E54" s="6">
        <v>338</v>
      </c>
      <c r="F54" s="6">
        <v>4</v>
      </c>
      <c r="G54" s="6">
        <v>1</v>
      </c>
      <c r="H54" s="6">
        <v>850</v>
      </c>
      <c r="I54" s="6" t="s">
        <v>17</v>
      </c>
      <c r="J54" s="6">
        <v>31272249</v>
      </c>
      <c r="K54" s="6" t="s">
        <v>4023</v>
      </c>
      <c r="L54" s="17" t="s">
        <v>4026</v>
      </c>
      <c r="M54" s="8">
        <v>119900</v>
      </c>
      <c r="N54" s="37" t="str">
        <f t="shared" si="11"/>
        <v>BXGY</v>
      </c>
      <c r="O54" s="36" t="str">
        <f t="shared" si="12"/>
        <v>B1G2</v>
      </c>
      <c r="P54" s="34" t="str">
        <f t="shared" si="13"/>
        <v>BXGY</v>
      </c>
    </row>
    <row r="55" spans="1:16" x14ac:dyDescent="0.35">
      <c r="A55" s="14" t="str">
        <f t="shared" si="5"/>
        <v>2024 JUL-DEC B1G2 LICENSE ESS</v>
      </c>
      <c r="B55" s="35">
        <f t="shared" si="6"/>
        <v>46086</v>
      </c>
      <c r="C55" s="35">
        <f t="shared" si="7"/>
        <v>46092</v>
      </c>
      <c r="D55" s="6">
        <v>3287</v>
      </c>
      <c r="E55" s="6">
        <v>338</v>
      </c>
      <c r="F55" s="6">
        <v>4</v>
      </c>
      <c r="G55" s="6">
        <v>1</v>
      </c>
      <c r="H55" s="6">
        <v>850</v>
      </c>
      <c r="I55" s="6" t="s">
        <v>17</v>
      </c>
      <c r="J55" s="6">
        <v>31272258</v>
      </c>
      <c r="K55" s="6" t="s">
        <v>4023</v>
      </c>
      <c r="L55" s="17" t="s">
        <v>4027</v>
      </c>
      <c r="M55" s="8">
        <v>119900</v>
      </c>
      <c r="N55" s="37" t="str">
        <f t="shared" si="11"/>
        <v>BXGY</v>
      </c>
      <c r="O55" s="36" t="str">
        <f t="shared" si="12"/>
        <v>B1G2</v>
      </c>
      <c r="P55" s="34" t="str">
        <f t="shared" si="13"/>
        <v>BXGY</v>
      </c>
    </row>
    <row r="56" spans="1:16" x14ac:dyDescent="0.35">
      <c r="A56" s="14" t="str">
        <f t="shared" si="5"/>
        <v>2024 JUL-DEC B1G2 LICENSE ESS</v>
      </c>
      <c r="B56" s="35">
        <f t="shared" si="6"/>
        <v>46086</v>
      </c>
      <c r="C56" s="35">
        <f t="shared" si="7"/>
        <v>46092</v>
      </c>
      <c r="D56" s="6">
        <v>3287</v>
      </c>
      <c r="E56" s="6">
        <v>338</v>
      </c>
      <c r="F56" s="6">
        <v>4</v>
      </c>
      <c r="G56" s="6">
        <v>1</v>
      </c>
      <c r="H56" s="6">
        <v>850</v>
      </c>
      <c r="I56" s="6" t="s">
        <v>17</v>
      </c>
      <c r="J56" s="6">
        <v>31272187</v>
      </c>
      <c r="K56" s="6" t="s">
        <v>4018</v>
      </c>
      <c r="L56" s="17" t="s">
        <v>4019</v>
      </c>
      <c r="M56" s="8">
        <v>119900</v>
      </c>
      <c r="N56" s="37" t="str">
        <f t="shared" si="11"/>
        <v>BXGY</v>
      </c>
      <c r="O56" s="36" t="str">
        <f t="shared" si="12"/>
        <v>B1G2</v>
      </c>
      <c r="P56" s="34" t="str">
        <f t="shared" si="13"/>
        <v>BXGY</v>
      </c>
    </row>
    <row r="57" spans="1:16" x14ac:dyDescent="0.35">
      <c r="A57" s="14" t="str">
        <f t="shared" si="5"/>
        <v>2024 JUL-DEC B1G2 LICENSE ESS</v>
      </c>
      <c r="B57" s="35">
        <f t="shared" si="6"/>
        <v>46086</v>
      </c>
      <c r="C57" s="35">
        <f t="shared" si="7"/>
        <v>46092</v>
      </c>
      <c r="D57" s="6">
        <v>3287</v>
      </c>
      <c r="E57" s="6">
        <v>338</v>
      </c>
      <c r="F57" s="6">
        <v>4</v>
      </c>
      <c r="G57" s="6">
        <v>1</v>
      </c>
      <c r="H57" s="6">
        <v>850</v>
      </c>
      <c r="I57" s="6" t="s">
        <v>17</v>
      </c>
      <c r="J57" s="6">
        <v>31272196</v>
      </c>
      <c r="K57" s="6" t="s">
        <v>4018</v>
      </c>
      <c r="L57" s="17" t="s">
        <v>4020</v>
      </c>
      <c r="M57" s="8">
        <v>119900</v>
      </c>
      <c r="N57" s="37" t="str">
        <f t="shared" si="11"/>
        <v>BXGY</v>
      </c>
      <c r="O57" s="36" t="str">
        <f t="shared" si="12"/>
        <v>B1G2</v>
      </c>
      <c r="P57" s="34" t="str">
        <f t="shared" si="13"/>
        <v>BXGY</v>
      </c>
    </row>
    <row r="58" spans="1:16" x14ac:dyDescent="0.35">
      <c r="A58" s="14" t="str">
        <f t="shared" si="5"/>
        <v>2024 JUL-DEC B1G2 LICENSE ESS</v>
      </c>
      <c r="B58" s="35">
        <f t="shared" si="6"/>
        <v>46086</v>
      </c>
      <c r="C58" s="35">
        <f t="shared" si="7"/>
        <v>46092</v>
      </c>
      <c r="D58" s="6">
        <v>3287</v>
      </c>
      <c r="E58" s="6">
        <v>338</v>
      </c>
      <c r="F58" s="6">
        <v>4</v>
      </c>
      <c r="G58" s="6">
        <v>1</v>
      </c>
      <c r="H58" s="6">
        <v>850</v>
      </c>
      <c r="I58" s="6" t="s">
        <v>17</v>
      </c>
      <c r="J58" s="6">
        <v>31272203</v>
      </c>
      <c r="K58" s="6" t="s">
        <v>4018</v>
      </c>
      <c r="L58" s="17" t="s">
        <v>4021</v>
      </c>
      <c r="M58" s="8">
        <v>119900</v>
      </c>
      <c r="N58" s="37" t="str">
        <f t="shared" si="11"/>
        <v>BXGY</v>
      </c>
      <c r="O58" s="36" t="str">
        <f t="shared" si="12"/>
        <v>B1G2</v>
      </c>
      <c r="P58" s="34" t="str">
        <f t="shared" si="13"/>
        <v>BXGY</v>
      </c>
    </row>
    <row r="59" spans="1:16" x14ac:dyDescent="0.35">
      <c r="A59" s="14" t="str">
        <f t="shared" si="5"/>
        <v>2024 JUL-DEC B1G2 LICENSE ESS</v>
      </c>
      <c r="B59" s="35">
        <f t="shared" si="6"/>
        <v>46086</v>
      </c>
      <c r="C59" s="35">
        <f t="shared" si="7"/>
        <v>46092</v>
      </c>
      <c r="D59" s="6">
        <v>3287</v>
      </c>
      <c r="E59" s="6">
        <v>338</v>
      </c>
      <c r="F59" s="6">
        <v>4</v>
      </c>
      <c r="G59" s="6">
        <v>1</v>
      </c>
      <c r="H59" s="6">
        <v>850</v>
      </c>
      <c r="I59" s="6" t="s">
        <v>17</v>
      </c>
      <c r="J59" s="6">
        <v>31272212</v>
      </c>
      <c r="K59" s="6" t="s">
        <v>4018</v>
      </c>
      <c r="L59" s="17" t="s">
        <v>4022</v>
      </c>
      <c r="M59" s="8">
        <v>119900</v>
      </c>
      <c r="N59" s="37" t="str">
        <f t="shared" si="11"/>
        <v>BXGY</v>
      </c>
      <c r="O59" s="36" t="str">
        <f t="shared" si="12"/>
        <v>B1G2</v>
      </c>
      <c r="P59" s="34" t="str">
        <f t="shared" si="13"/>
        <v>BXGY</v>
      </c>
    </row>
    <row r="60" spans="1:16" x14ac:dyDescent="0.35">
      <c r="A60" s="14" t="str">
        <f t="shared" si="5"/>
        <v>2024 JUL-DEC B1G2 LICENSE ESS</v>
      </c>
      <c r="B60" s="35">
        <f t="shared" si="6"/>
        <v>46086</v>
      </c>
      <c r="C60" s="35">
        <f t="shared" si="7"/>
        <v>46092</v>
      </c>
      <c r="D60" s="6">
        <v>3287</v>
      </c>
      <c r="E60" s="6">
        <v>338</v>
      </c>
      <c r="F60" s="6">
        <v>4</v>
      </c>
      <c r="G60" s="6">
        <v>3</v>
      </c>
      <c r="H60" s="6">
        <v>81574</v>
      </c>
      <c r="I60" s="6" t="s">
        <v>17</v>
      </c>
      <c r="J60" s="6">
        <v>23107451</v>
      </c>
      <c r="K60" s="6" t="s">
        <v>3947</v>
      </c>
      <c r="L60" s="17" t="s">
        <v>3948</v>
      </c>
      <c r="M60" s="8">
        <v>119900</v>
      </c>
      <c r="N60" s="37" t="str">
        <f t="shared" si="11"/>
        <v>BXGY</v>
      </c>
      <c r="O60" s="36" t="str">
        <f t="shared" si="12"/>
        <v>B1G2</v>
      </c>
      <c r="P60" s="34" t="str">
        <f t="shared" si="13"/>
        <v>BXGY</v>
      </c>
    </row>
    <row r="61" spans="1:16" x14ac:dyDescent="0.35">
      <c r="A61" s="14" t="str">
        <f t="shared" si="5"/>
        <v>2024 JUL-DEC B1G2 LICENSE ESS</v>
      </c>
      <c r="B61" s="35">
        <f t="shared" si="6"/>
        <v>46086</v>
      </c>
      <c r="C61" s="35">
        <f t="shared" si="7"/>
        <v>46092</v>
      </c>
      <c r="D61" s="6">
        <v>3287</v>
      </c>
      <c r="E61" s="6">
        <v>338</v>
      </c>
      <c r="F61" s="6">
        <v>4</v>
      </c>
      <c r="G61" s="6">
        <v>3</v>
      </c>
      <c r="H61" s="6">
        <v>81574</v>
      </c>
      <c r="I61" s="6" t="s">
        <v>17</v>
      </c>
      <c r="J61" s="6">
        <v>23107460</v>
      </c>
      <c r="K61" s="6" t="s">
        <v>3947</v>
      </c>
      <c r="L61" s="17" t="s">
        <v>3949</v>
      </c>
      <c r="M61" s="8">
        <v>119900</v>
      </c>
      <c r="N61" s="37" t="str">
        <f t="shared" si="11"/>
        <v>BXGY</v>
      </c>
      <c r="O61" s="36" t="str">
        <f t="shared" si="12"/>
        <v>B1G2</v>
      </c>
      <c r="P61" s="34" t="str">
        <f t="shared" si="13"/>
        <v>BXGY</v>
      </c>
    </row>
    <row r="62" spans="1:16" x14ac:dyDescent="0.35">
      <c r="A62" s="14" t="str">
        <f t="shared" si="5"/>
        <v>2024 JUL-DEC B1G2 LICENSE ESS</v>
      </c>
      <c r="B62" s="35">
        <f t="shared" si="6"/>
        <v>46086</v>
      </c>
      <c r="C62" s="35">
        <f t="shared" si="7"/>
        <v>46092</v>
      </c>
      <c r="D62" s="6">
        <v>3287</v>
      </c>
      <c r="E62" s="6">
        <v>338</v>
      </c>
      <c r="F62" s="6">
        <v>4</v>
      </c>
      <c r="G62" s="6">
        <v>3</v>
      </c>
      <c r="H62" s="6">
        <v>81574</v>
      </c>
      <c r="I62" s="6" t="s">
        <v>17</v>
      </c>
      <c r="J62" s="6">
        <v>23107479</v>
      </c>
      <c r="K62" s="6" t="s">
        <v>3947</v>
      </c>
      <c r="L62" s="17" t="s">
        <v>3950</v>
      </c>
      <c r="M62" s="8">
        <v>119900</v>
      </c>
      <c r="N62" s="37" t="str">
        <f t="shared" si="11"/>
        <v>BXGY</v>
      </c>
      <c r="O62" s="36" t="str">
        <f t="shared" si="12"/>
        <v>B1G2</v>
      </c>
      <c r="P62" s="34" t="str">
        <f t="shared" si="13"/>
        <v>BXGY</v>
      </c>
    </row>
    <row r="63" spans="1:16" x14ac:dyDescent="0.35">
      <c r="A63" s="14" t="str">
        <f t="shared" si="5"/>
        <v>2024 JUL-DEC B1G2 LICENSE ESS</v>
      </c>
      <c r="B63" s="35">
        <f t="shared" si="6"/>
        <v>46086</v>
      </c>
      <c r="C63" s="35">
        <f t="shared" si="7"/>
        <v>46092</v>
      </c>
      <c r="D63" s="6">
        <v>3287</v>
      </c>
      <c r="E63" s="6">
        <v>338</v>
      </c>
      <c r="F63" s="6">
        <v>4</v>
      </c>
      <c r="G63" s="6">
        <v>3</v>
      </c>
      <c r="H63" s="6">
        <v>81574</v>
      </c>
      <c r="I63" s="6" t="s">
        <v>17</v>
      </c>
      <c r="J63" s="6">
        <v>23107488</v>
      </c>
      <c r="K63" s="6" t="s">
        <v>3947</v>
      </c>
      <c r="L63" s="17" t="s">
        <v>3951</v>
      </c>
      <c r="M63" s="8">
        <v>119900</v>
      </c>
      <c r="N63" s="37" t="str">
        <f t="shared" si="11"/>
        <v>BXGY</v>
      </c>
      <c r="O63" s="36" t="str">
        <f t="shared" si="12"/>
        <v>B1G2</v>
      </c>
      <c r="P63" s="34" t="str">
        <f t="shared" si="13"/>
        <v>BXGY</v>
      </c>
    </row>
    <row r="64" spans="1:16" x14ac:dyDescent="0.35">
      <c r="A64" s="14" t="str">
        <f t="shared" si="5"/>
        <v>2024 JUL-DEC B1G2 LICENSE ESS</v>
      </c>
      <c r="B64" s="35">
        <f t="shared" si="6"/>
        <v>46086</v>
      </c>
      <c r="C64" s="35">
        <f t="shared" si="7"/>
        <v>46092</v>
      </c>
      <c r="D64" s="6">
        <v>3287</v>
      </c>
      <c r="E64" s="6">
        <v>338</v>
      </c>
      <c r="F64" s="6">
        <v>4</v>
      </c>
      <c r="G64" s="6">
        <v>4</v>
      </c>
      <c r="H64" s="6">
        <v>81676</v>
      </c>
      <c r="I64" s="6" t="s">
        <v>17</v>
      </c>
      <c r="J64" s="6">
        <v>23107497</v>
      </c>
      <c r="K64" s="6" t="s">
        <v>3958</v>
      </c>
      <c r="L64" s="17" t="s">
        <v>3959</v>
      </c>
      <c r="M64" s="8">
        <v>219900</v>
      </c>
      <c r="N64" s="37" t="str">
        <f t="shared" si="11"/>
        <v>BXGY</v>
      </c>
      <c r="O64" s="36" t="str">
        <f t="shared" si="12"/>
        <v>B1G2</v>
      </c>
      <c r="P64" s="34" t="str">
        <f t="shared" si="13"/>
        <v>BXGY</v>
      </c>
    </row>
    <row r="65" spans="1:16" x14ac:dyDescent="0.35">
      <c r="A65" s="14" t="str">
        <f t="shared" si="5"/>
        <v>2024 JUL-DEC B1G2 LICENSE ESS</v>
      </c>
      <c r="B65" s="35">
        <f t="shared" si="6"/>
        <v>46086</v>
      </c>
      <c r="C65" s="35">
        <f t="shared" si="7"/>
        <v>46092</v>
      </c>
      <c r="D65" s="6">
        <v>3287</v>
      </c>
      <c r="E65" s="6">
        <v>338</v>
      </c>
      <c r="F65" s="6">
        <v>4</v>
      </c>
      <c r="G65" s="6">
        <v>4</v>
      </c>
      <c r="H65" s="6">
        <v>81676</v>
      </c>
      <c r="I65" s="6" t="s">
        <v>17</v>
      </c>
      <c r="J65" s="6">
        <v>23107504</v>
      </c>
      <c r="K65" s="6" t="s">
        <v>3958</v>
      </c>
      <c r="L65" s="17" t="s">
        <v>3960</v>
      </c>
      <c r="M65" s="8">
        <v>219900</v>
      </c>
      <c r="N65" s="37" t="str">
        <f t="shared" si="11"/>
        <v>BXGY</v>
      </c>
      <c r="O65" s="36" t="str">
        <f t="shared" si="12"/>
        <v>B1G2</v>
      </c>
      <c r="P65" s="34" t="str">
        <f t="shared" si="13"/>
        <v>BXGY</v>
      </c>
    </row>
    <row r="66" spans="1:16" x14ac:dyDescent="0.35">
      <c r="A66" s="14" t="str">
        <f t="shared" si="5"/>
        <v>2024 JUL-DEC B1G2 LICENSE ESS</v>
      </c>
      <c r="B66" s="35">
        <f t="shared" si="6"/>
        <v>46086</v>
      </c>
      <c r="C66" s="35">
        <f t="shared" si="7"/>
        <v>46092</v>
      </c>
      <c r="D66" s="6">
        <v>3287</v>
      </c>
      <c r="E66" s="6">
        <v>338</v>
      </c>
      <c r="F66" s="6">
        <v>4</v>
      </c>
      <c r="G66" s="6">
        <v>4</v>
      </c>
      <c r="H66" s="6">
        <v>81676</v>
      </c>
      <c r="I66" s="6" t="s">
        <v>17</v>
      </c>
      <c r="J66" s="6">
        <v>23107513</v>
      </c>
      <c r="K66" s="6" t="s">
        <v>3958</v>
      </c>
      <c r="L66" s="17" t="s">
        <v>3961</v>
      </c>
      <c r="M66" s="8">
        <v>219900</v>
      </c>
      <c r="N66" s="37" t="str">
        <f t="shared" si="11"/>
        <v>BXGY</v>
      </c>
      <c r="O66" s="36" t="str">
        <f t="shared" si="12"/>
        <v>B1G2</v>
      </c>
      <c r="P66" s="34" t="str">
        <f t="shared" si="13"/>
        <v>BXGY</v>
      </c>
    </row>
    <row r="67" spans="1:16" x14ac:dyDescent="0.35">
      <c r="A67" s="14" t="str">
        <f t="shared" si="5"/>
        <v>2024 JUL-DEC B1G2 LICENSE ESS</v>
      </c>
      <c r="B67" s="35">
        <f t="shared" si="6"/>
        <v>46086</v>
      </c>
      <c r="C67" s="35">
        <f t="shared" si="7"/>
        <v>46092</v>
      </c>
      <c r="D67" s="6">
        <v>3287</v>
      </c>
      <c r="E67" s="6">
        <v>338</v>
      </c>
      <c r="F67" s="6">
        <v>4</v>
      </c>
      <c r="G67" s="6">
        <v>4</v>
      </c>
      <c r="H67" s="6">
        <v>81676</v>
      </c>
      <c r="I67" s="6" t="s">
        <v>17</v>
      </c>
      <c r="J67" s="6">
        <v>23107522</v>
      </c>
      <c r="K67" s="6" t="s">
        <v>3958</v>
      </c>
      <c r="L67" s="17" t="s">
        <v>3962</v>
      </c>
      <c r="M67" s="8">
        <v>219900</v>
      </c>
      <c r="N67" s="37" t="str">
        <f t="shared" si="11"/>
        <v>BXGY</v>
      </c>
      <c r="O67" s="36" t="str">
        <f t="shared" si="12"/>
        <v>B1G2</v>
      </c>
      <c r="P67" s="34" t="str">
        <f t="shared" si="13"/>
        <v>BXGY</v>
      </c>
    </row>
    <row r="68" spans="1:16" x14ac:dyDescent="0.35">
      <c r="A68" s="14" t="str">
        <f t="shared" ref="A68:C131" si="14">A67</f>
        <v>2024 JUL-DEC B1G2 LICENSE ESS</v>
      </c>
      <c r="B68" s="35">
        <f t="shared" si="6"/>
        <v>46086</v>
      </c>
      <c r="C68" s="35">
        <f t="shared" si="7"/>
        <v>46092</v>
      </c>
      <c r="D68" s="6">
        <v>3287</v>
      </c>
      <c r="E68" s="6">
        <v>338</v>
      </c>
      <c r="F68" s="6">
        <v>4</v>
      </c>
      <c r="G68" s="6">
        <v>4</v>
      </c>
      <c r="H68" s="6">
        <v>81676</v>
      </c>
      <c r="I68" s="6" t="s">
        <v>17</v>
      </c>
      <c r="J68" s="6">
        <v>23107531</v>
      </c>
      <c r="K68" s="6" t="s">
        <v>3958</v>
      </c>
      <c r="L68" s="17" t="s">
        <v>3963</v>
      </c>
      <c r="M68" s="8">
        <v>229900</v>
      </c>
      <c r="N68" s="37" t="str">
        <f t="shared" si="11"/>
        <v>BXGY</v>
      </c>
      <c r="O68" s="36" t="str">
        <f t="shared" si="12"/>
        <v>B1G2</v>
      </c>
      <c r="P68" s="34" t="str">
        <f t="shared" si="13"/>
        <v>BXGY</v>
      </c>
    </row>
    <row r="69" spans="1:16" x14ac:dyDescent="0.35">
      <c r="A69" s="14" t="str">
        <f t="shared" si="14"/>
        <v>2024 JUL-DEC B1G2 LICENSE ESS</v>
      </c>
      <c r="B69" s="35">
        <f t="shared" si="6"/>
        <v>46086</v>
      </c>
      <c r="C69" s="35">
        <f t="shared" si="7"/>
        <v>46092</v>
      </c>
      <c r="D69" s="6">
        <v>3287</v>
      </c>
      <c r="E69" s="6">
        <v>338</v>
      </c>
      <c r="F69" s="6">
        <v>4</v>
      </c>
      <c r="G69" s="6">
        <v>4</v>
      </c>
      <c r="H69" s="6">
        <v>81676</v>
      </c>
      <c r="I69" s="6" t="s">
        <v>17</v>
      </c>
      <c r="J69" s="6">
        <v>23107540</v>
      </c>
      <c r="K69" s="6" t="s">
        <v>3958</v>
      </c>
      <c r="L69" s="17" t="s">
        <v>3964</v>
      </c>
      <c r="M69" s="8">
        <v>229900</v>
      </c>
      <c r="N69" s="37" t="str">
        <f t="shared" si="11"/>
        <v>BXGY</v>
      </c>
      <c r="O69" s="36" t="str">
        <f t="shared" si="12"/>
        <v>B1G2</v>
      </c>
      <c r="P69" s="34" t="str">
        <f t="shared" si="13"/>
        <v>BXGY</v>
      </c>
    </row>
    <row r="70" spans="1:16" x14ac:dyDescent="0.35">
      <c r="A70" s="14" t="str">
        <f t="shared" si="14"/>
        <v>2024 JUL-DEC B1G2 LICENSE ESS</v>
      </c>
      <c r="B70" s="35">
        <f t="shared" si="6"/>
        <v>46086</v>
      </c>
      <c r="C70" s="35">
        <f t="shared" si="7"/>
        <v>46092</v>
      </c>
      <c r="D70" s="6">
        <v>3287</v>
      </c>
      <c r="E70" s="6">
        <v>338</v>
      </c>
      <c r="F70" s="6">
        <v>4</v>
      </c>
      <c r="G70" s="6">
        <v>4</v>
      </c>
      <c r="H70" s="6">
        <v>81676</v>
      </c>
      <c r="I70" s="6" t="s">
        <v>17</v>
      </c>
      <c r="J70" s="6">
        <v>23107559</v>
      </c>
      <c r="K70" s="6" t="s">
        <v>3958</v>
      </c>
      <c r="L70" s="17" t="s">
        <v>3965</v>
      </c>
      <c r="M70" s="8">
        <v>229900</v>
      </c>
      <c r="N70" s="37" t="str">
        <f t="shared" si="11"/>
        <v>BXGY</v>
      </c>
      <c r="O70" s="36" t="str">
        <f t="shared" si="12"/>
        <v>B1G2</v>
      </c>
      <c r="P70" s="34" t="str">
        <f t="shared" si="13"/>
        <v>BXGY</v>
      </c>
    </row>
    <row r="71" spans="1:16" x14ac:dyDescent="0.35">
      <c r="A71" s="14" t="str">
        <f t="shared" si="14"/>
        <v>2024 JUL-DEC B1G2 LICENSE ESS</v>
      </c>
      <c r="B71" s="35">
        <f t="shared" si="6"/>
        <v>46086</v>
      </c>
      <c r="C71" s="35">
        <f t="shared" si="7"/>
        <v>46092</v>
      </c>
      <c r="D71" s="6">
        <v>3287</v>
      </c>
      <c r="E71" s="6">
        <v>338</v>
      </c>
      <c r="F71" s="6">
        <v>4</v>
      </c>
      <c r="G71" s="6">
        <v>4</v>
      </c>
      <c r="H71" s="6">
        <v>81676</v>
      </c>
      <c r="I71" s="6" t="s">
        <v>17</v>
      </c>
      <c r="J71" s="6">
        <v>23107568</v>
      </c>
      <c r="K71" s="6" t="s">
        <v>3958</v>
      </c>
      <c r="L71" s="17" t="s">
        <v>3966</v>
      </c>
      <c r="M71" s="8">
        <v>229900</v>
      </c>
      <c r="N71" s="37" t="str">
        <f t="shared" si="11"/>
        <v>BXGY</v>
      </c>
      <c r="O71" s="36" t="str">
        <f t="shared" si="12"/>
        <v>B1G2</v>
      </c>
      <c r="P71" s="34" t="str">
        <f t="shared" si="13"/>
        <v>BXGY</v>
      </c>
    </row>
    <row r="72" spans="1:16" x14ac:dyDescent="0.35">
      <c r="A72" s="14" t="str">
        <f t="shared" si="14"/>
        <v>2024 JUL-DEC B1G2 LICENSE ESS</v>
      </c>
      <c r="B72" s="35">
        <f t="shared" si="6"/>
        <v>46086</v>
      </c>
      <c r="C72" s="35">
        <f t="shared" si="7"/>
        <v>46092</v>
      </c>
      <c r="D72" s="6">
        <v>3287</v>
      </c>
      <c r="E72" s="6">
        <v>338</v>
      </c>
      <c r="F72" s="6">
        <v>4</v>
      </c>
      <c r="G72" s="6">
        <v>10</v>
      </c>
      <c r="H72" s="6">
        <v>81595</v>
      </c>
      <c r="I72" s="6" t="s">
        <v>17</v>
      </c>
      <c r="J72" s="6">
        <v>25443567</v>
      </c>
      <c r="K72" s="6" t="s">
        <v>5122</v>
      </c>
      <c r="L72" s="17" t="s">
        <v>5123</v>
      </c>
      <c r="M72" s="8">
        <v>35900</v>
      </c>
      <c r="N72" s="37" t="str">
        <f t="shared" si="11"/>
        <v>BXGY</v>
      </c>
      <c r="O72" s="36" t="str">
        <f t="shared" si="12"/>
        <v>B1G2</v>
      </c>
      <c r="P72" s="34" t="str">
        <f t="shared" si="13"/>
        <v>BXGY</v>
      </c>
    </row>
    <row r="73" spans="1:16" x14ac:dyDescent="0.35">
      <c r="A73" s="14" t="str">
        <f t="shared" si="14"/>
        <v>2024 JUL-DEC B1G2 LICENSE ESS</v>
      </c>
      <c r="B73" s="35">
        <f t="shared" si="14"/>
        <v>46086</v>
      </c>
      <c r="C73" s="35">
        <f t="shared" si="14"/>
        <v>46092</v>
      </c>
      <c r="D73" s="6">
        <v>3287</v>
      </c>
      <c r="E73" s="6">
        <v>338</v>
      </c>
      <c r="F73" s="6">
        <v>4</v>
      </c>
      <c r="G73" s="6">
        <v>10</v>
      </c>
      <c r="H73" s="6">
        <v>81595</v>
      </c>
      <c r="I73" s="6" t="s">
        <v>17</v>
      </c>
      <c r="J73" s="6">
        <v>25443576</v>
      </c>
      <c r="K73" s="6" t="s">
        <v>5122</v>
      </c>
      <c r="L73" s="17" t="s">
        <v>5124</v>
      </c>
      <c r="M73" s="8">
        <v>35900</v>
      </c>
      <c r="N73" s="37" t="str">
        <f t="shared" si="11"/>
        <v>BXGY</v>
      </c>
      <c r="O73" s="36" t="str">
        <f t="shared" si="12"/>
        <v>B1G2</v>
      </c>
      <c r="P73" s="34" t="str">
        <f t="shared" si="13"/>
        <v>BXGY</v>
      </c>
    </row>
    <row r="74" spans="1:16" x14ac:dyDescent="0.35">
      <c r="A74" s="14" t="str">
        <f t="shared" si="14"/>
        <v>2024 JUL-DEC B1G2 LICENSE ESS</v>
      </c>
      <c r="B74" s="35">
        <f t="shared" si="14"/>
        <v>46086</v>
      </c>
      <c r="C74" s="35">
        <f t="shared" si="14"/>
        <v>46092</v>
      </c>
      <c r="D74" s="6">
        <v>3287</v>
      </c>
      <c r="E74" s="6">
        <v>338</v>
      </c>
      <c r="F74" s="6">
        <v>4</v>
      </c>
      <c r="G74" s="6">
        <v>10</v>
      </c>
      <c r="H74" s="6">
        <v>81595</v>
      </c>
      <c r="I74" s="6" t="s">
        <v>17</v>
      </c>
      <c r="J74" s="6">
        <v>25443549</v>
      </c>
      <c r="K74" s="6" t="s">
        <v>5119</v>
      </c>
      <c r="L74" s="17" t="s">
        <v>5120</v>
      </c>
      <c r="M74" s="8">
        <v>35900</v>
      </c>
      <c r="N74" s="37" t="str">
        <f t="shared" si="11"/>
        <v>BXGY</v>
      </c>
      <c r="O74" s="36" t="str">
        <f t="shared" si="12"/>
        <v>B1G2</v>
      </c>
      <c r="P74" s="34" t="str">
        <f t="shared" si="13"/>
        <v>BXGY</v>
      </c>
    </row>
    <row r="75" spans="1:16" x14ac:dyDescent="0.35">
      <c r="A75" s="14" t="str">
        <f t="shared" si="14"/>
        <v>2024 JUL-DEC B1G2 LICENSE ESS</v>
      </c>
      <c r="B75" s="35">
        <f t="shared" si="14"/>
        <v>46086</v>
      </c>
      <c r="C75" s="35">
        <f t="shared" si="14"/>
        <v>46092</v>
      </c>
      <c r="D75" s="6">
        <v>3287</v>
      </c>
      <c r="E75" s="6">
        <v>338</v>
      </c>
      <c r="F75" s="6">
        <v>4</v>
      </c>
      <c r="G75" s="6">
        <v>10</v>
      </c>
      <c r="H75" s="6">
        <v>81595</v>
      </c>
      <c r="I75" s="6" t="s">
        <v>17</v>
      </c>
      <c r="J75" s="6">
        <v>25443558</v>
      </c>
      <c r="K75" s="6" t="s">
        <v>5119</v>
      </c>
      <c r="L75" s="17" t="s">
        <v>5121</v>
      </c>
      <c r="M75" s="8">
        <v>35900</v>
      </c>
      <c r="N75" s="37" t="str">
        <f t="shared" si="11"/>
        <v>BXGY</v>
      </c>
      <c r="O75" s="36" t="str">
        <f t="shared" si="12"/>
        <v>B1G2</v>
      </c>
      <c r="P75" s="34" t="str">
        <f t="shared" si="13"/>
        <v>BXGY</v>
      </c>
    </row>
    <row r="76" spans="1:16" x14ac:dyDescent="0.35">
      <c r="A76" s="14" t="str">
        <f t="shared" si="14"/>
        <v>2024 JUL-DEC B1G2 LICENSE ESS</v>
      </c>
      <c r="B76" s="35">
        <f t="shared" si="14"/>
        <v>46086</v>
      </c>
      <c r="C76" s="35">
        <f t="shared" si="14"/>
        <v>46092</v>
      </c>
      <c r="D76" s="6">
        <v>3287</v>
      </c>
      <c r="E76" s="6">
        <v>338</v>
      </c>
      <c r="F76" s="6">
        <v>4</v>
      </c>
      <c r="G76" s="6">
        <v>2</v>
      </c>
      <c r="H76" s="6">
        <v>81676</v>
      </c>
      <c r="I76" s="6" t="s">
        <v>17</v>
      </c>
      <c r="J76" s="6">
        <v>27377948</v>
      </c>
      <c r="K76" s="6" t="s">
        <v>4043</v>
      </c>
      <c r="L76" s="17" t="s">
        <v>4044</v>
      </c>
      <c r="M76" s="8">
        <v>219900</v>
      </c>
      <c r="N76" s="37" t="str">
        <f t="shared" si="11"/>
        <v>BXGY</v>
      </c>
      <c r="O76" s="36" t="str">
        <f t="shared" si="12"/>
        <v>B1G2</v>
      </c>
      <c r="P76" s="34" t="str">
        <f t="shared" si="13"/>
        <v>BXGY</v>
      </c>
    </row>
    <row r="77" spans="1:16" x14ac:dyDescent="0.35">
      <c r="A77" s="14" t="str">
        <f t="shared" si="14"/>
        <v>2024 JUL-DEC B1G2 LICENSE ESS</v>
      </c>
      <c r="B77" s="35">
        <f t="shared" si="14"/>
        <v>46086</v>
      </c>
      <c r="C77" s="35">
        <f t="shared" si="14"/>
        <v>46092</v>
      </c>
      <c r="D77" s="6">
        <v>3287</v>
      </c>
      <c r="E77" s="6">
        <v>338</v>
      </c>
      <c r="F77" s="6">
        <v>4</v>
      </c>
      <c r="G77" s="6">
        <v>2</v>
      </c>
      <c r="H77" s="6">
        <v>81676</v>
      </c>
      <c r="I77" s="6" t="s">
        <v>17</v>
      </c>
      <c r="J77" s="6">
        <v>27377957</v>
      </c>
      <c r="K77" s="6" t="s">
        <v>4043</v>
      </c>
      <c r="L77" s="17" t="s">
        <v>4045</v>
      </c>
      <c r="M77" s="8">
        <v>219900</v>
      </c>
      <c r="N77" s="37" t="str">
        <f t="shared" si="11"/>
        <v>BXGY</v>
      </c>
      <c r="O77" s="36" t="str">
        <f t="shared" si="12"/>
        <v>B1G2</v>
      </c>
      <c r="P77" s="34" t="str">
        <f t="shared" si="13"/>
        <v>BXGY</v>
      </c>
    </row>
    <row r="78" spans="1:16" x14ac:dyDescent="0.35">
      <c r="A78" s="14" t="str">
        <f t="shared" si="14"/>
        <v>2024 JUL-DEC B1G2 LICENSE ESS</v>
      </c>
      <c r="B78" s="35">
        <f t="shared" si="14"/>
        <v>46086</v>
      </c>
      <c r="C78" s="35">
        <f t="shared" si="14"/>
        <v>46092</v>
      </c>
      <c r="D78" s="6">
        <v>3287</v>
      </c>
      <c r="E78" s="6">
        <v>338</v>
      </c>
      <c r="F78" s="6">
        <v>4</v>
      </c>
      <c r="G78" s="6">
        <v>2</v>
      </c>
      <c r="H78" s="6">
        <v>81676</v>
      </c>
      <c r="I78" s="6" t="s">
        <v>17</v>
      </c>
      <c r="J78" s="6">
        <v>27377966</v>
      </c>
      <c r="K78" s="6" t="s">
        <v>4043</v>
      </c>
      <c r="L78" s="17" t="s">
        <v>4046</v>
      </c>
      <c r="M78" s="8">
        <v>219900</v>
      </c>
      <c r="N78" s="37" t="str">
        <f t="shared" si="11"/>
        <v>BXGY</v>
      </c>
      <c r="O78" s="36" t="str">
        <f t="shared" si="12"/>
        <v>B1G2</v>
      </c>
      <c r="P78" s="34" t="str">
        <f t="shared" si="13"/>
        <v>BXGY</v>
      </c>
    </row>
    <row r="79" spans="1:16" x14ac:dyDescent="0.35">
      <c r="A79" s="14" t="str">
        <f t="shared" si="14"/>
        <v>2024 JUL-DEC B1G2 LICENSE ESS</v>
      </c>
      <c r="B79" s="35">
        <f t="shared" si="14"/>
        <v>46086</v>
      </c>
      <c r="C79" s="35">
        <f t="shared" si="14"/>
        <v>46092</v>
      </c>
      <c r="D79" s="6">
        <v>3287</v>
      </c>
      <c r="E79" s="6">
        <v>338</v>
      </c>
      <c r="F79" s="6">
        <v>4</v>
      </c>
      <c r="G79" s="6">
        <v>2</v>
      </c>
      <c r="H79" s="6">
        <v>81676</v>
      </c>
      <c r="I79" s="6" t="s">
        <v>17</v>
      </c>
      <c r="J79" s="6">
        <v>27377975</v>
      </c>
      <c r="K79" s="6" t="s">
        <v>4043</v>
      </c>
      <c r="L79" s="17" t="s">
        <v>4047</v>
      </c>
      <c r="M79" s="8">
        <v>219900</v>
      </c>
      <c r="N79" s="37" t="str">
        <f t="shared" si="11"/>
        <v>BXGY</v>
      </c>
      <c r="O79" s="36" t="str">
        <f t="shared" si="12"/>
        <v>B1G2</v>
      </c>
      <c r="P79" s="34" t="str">
        <f t="shared" si="13"/>
        <v>BXGY</v>
      </c>
    </row>
    <row r="80" spans="1:16" x14ac:dyDescent="0.35">
      <c r="A80" s="14" t="str">
        <f t="shared" si="14"/>
        <v>2024 JUL-DEC B1G2 LICENSE ESS</v>
      </c>
      <c r="B80" s="35">
        <f t="shared" si="14"/>
        <v>46086</v>
      </c>
      <c r="C80" s="35">
        <f t="shared" si="14"/>
        <v>46092</v>
      </c>
      <c r="D80" s="6">
        <v>3287</v>
      </c>
      <c r="E80" s="6">
        <v>338</v>
      </c>
      <c r="F80" s="6">
        <v>4</v>
      </c>
      <c r="G80" s="6">
        <v>2</v>
      </c>
      <c r="H80" s="6">
        <v>81676</v>
      </c>
      <c r="I80" s="6" t="s">
        <v>17</v>
      </c>
      <c r="J80" s="6">
        <v>27378812</v>
      </c>
      <c r="K80" s="6" t="s">
        <v>4043</v>
      </c>
      <c r="L80" s="17" t="s">
        <v>4048</v>
      </c>
      <c r="M80" s="8">
        <v>229900</v>
      </c>
      <c r="N80" s="37" t="str">
        <f t="shared" si="11"/>
        <v>BXGY</v>
      </c>
      <c r="O80" s="36" t="str">
        <f t="shared" si="12"/>
        <v>B1G2</v>
      </c>
      <c r="P80" s="34" t="str">
        <f t="shared" si="13"/>
        <v>BXGY</v>
      </c>
    </row>
    <row r="81" spans="1:16" x14ac:dyDescent="0.35">
      <c r="A81" s="14" t="str">
        <f t="shared" si="14"/>
        <v>2024 JUL-DEC B1G2 LICENSE ESS</v>
      </c>
      <c r="B81" s="35">
        <f t="shared" si="14"/>
        <v>46086</v>
      </c>
      <c r="C81" s="35">
        <f t="shared" si="14"/>
        <v>46092</v>
      </c>
      <c r="D81" s="6">
        <v>3287</v>
      </c>
      <c r="E81" s="6">
        <v>338</v>
      </c>
      <c r="F81" s="6">
        <v>4</v>
      </c>
      <c r="G81" s="6">
        <v>2</v>
      </c>
      <c r="H81" s="6">
        <v>81676</v>
      </c>
      <c r="I81" s="6" t="s">
        <v>17</v>
      </c>
      <c r="J81" s="6">
        <v>27378821</v>
      </c>
      <c r="K81" s="6" t="s">
        <v>4043</v>
      </c>
      <c r="L81" s="17" t="s">
        <v>4049</v>
      </c>
      <c r="M81" s="8">
        <v>229900</v>
      </c>
      <c r="N81" s="37" t="str">
        <f t="shared" ref="N81:N144" si="15">N80</f>
        <v>BXGY</v>
      </c>
      <c r="O81" s="36" t="str">
        <f t="shared" ref="O81:O144" si="16">O80</f>
        <v>B1G2</v>
      </c>
      <c r="P81" s="34" t="str">
        <f t="shared" ref="P81:P144" si="17">P80</f>
        <v>BXGY</v>
      </c>
    </row>
    <row r="82" spans="1:16" x14ac:dyDescent="0.35">
      <c r="A82" s="14" t="str">
        <f t="shared" si="14"/>
        <v>2024 JUL-DEC B1G2 LICENSE ESS</v>
      </c>
      <c r="B82" s="35">
        <f t="shared" si="14"/>
        <v>46086</v>
      </c>
      <c r="C82" s="35">
        <f t="shared" si="14"/>
        <v>46092</v>
      </c>
      <c r="D82" s="6">
        <v>3287</v>
      </c>
      <c r="E82" s="6">
        <v>338</v>
      </c>
      <c r="F82" s="6">
        <v>4</v>
      </c>
      <c r="G82" s="6">
        <v>2</v>
      </c>
      <c r="H82" s="6">
        <v>81676</v>
      </c>
      <c r="I82" s="6" t="s">
        <v>17</v>
      </c>
      <c r="J82" s="6">
        <v>27378830</v>
      </c>
      <c r="K82" s="6" t="s">
        <v>4043</v>
      </c>
      <c r="L82" s="17" t="s">
        <v>4050</v>
      </c>
      <c r="M82" s="8">
        <v>229900</v>
      </c>
      <c r="N82" s="37" t="str">
        <f t="shared" si="15"/>
        <v>BXGY</v>
      </c>
      <c r="O82" s="36" t="str">
        <f t="shared" si="16"/>
        <v>B1G2</v>
      </c>
      <c r="P82" s="34" t="str">
        <f t="shared" si="17"/>
        <v>BXGY</v>
      </c>
    </row>
    <row r="83" spans="1:16" x14ac:dyDescent="0.35">
      <c r="A83" s="14" t="str">
        <f t="shared" si="14"/>
        <v>2024 JUL-DEC B1G2 LICENSE ESS</v>
      </c>
      <c r="B83" s="35">
        <f t="shared" si="14"/>
        <v>46086</v>
      </c>
      <c r="C83" s="35">
        <f t="shared" si="14"/>
        <v>46092</v>
      </c>
      <c r="D83" s="6">
        <v>3287</v>
      </c>
      <c r="E83" s="6">
        <v>338</v>
      </c>
      <c r="F83" s="6">
        <v>4</v>
      </c>
      <c r="G83" s="6">
        <v>2</v>
      </c>
      <c r="H83" s="6">
        <v>81676</v>
      </c>
      <c r="I83" s="6" t="s">
        <v>17</v>
      </c>
      <c r="J83" s="6">
        <v>27378849</v>
      </c>
      <c r="K83" s="6" t="s">
        <v>4043</v>
      </c>
      <c r="L83" s="17" t="s">
        <v>4051</v>
      </c>
      <c r="M83" s="8">
        <v>229900</v>
      </c>
      <c r="N83" s="37" t="str">
        <f t="shared" si="15"/>
        <v>BXGY</v>
      </c>
      <c r="O83" s="36" t="str">
        <f t="shared" si="16"/>
        <v>B1G2</v>
      </c>
      <c r="P83" s="34" t="str">
        <f t="shared" si="17"/>
        <v>BXGY</v>
      </c>
    </row>
    <row r="84" spans="1:16" x14ac:dyDescent="0.35">
      <c r="A84" s="14" t="str">
        <f t="shared" si="14"/>
        <v>2024 JUL-DEC B1G2 LICENSE ESS</v>
      </c>
      <c r="B84" s="35">
        <f t="shared" si="14"/>
        <v>46086</v>
      </c>
      <c r="C84" s="35">
        <f t="shared" si="14"/>
        <v>46092</v>
      </c>
      <c r="D84" s="6">
        <v>3287</v>
      </c>
      <c r="E84" s="6">
        <v>338</v>
      </c>
      <c r="F84" s="6">
        <v>4</v>
      </c>
      <c r="G84" s="6">
        <v>4</v>
      </c>
      <c r="H84" s="6">
        <v>81676</v>
      </c>
      <c r="I84" s="6" t="s">
        <v>17</v>
      </c>
      <c r="J84" s="6">
        <v>27378938</v>
      </c>
      <c r="K84" s="6" t="s">
        <v>4052</v>
      </c>
      <c r="L84" s="17" t="s">
        <v>4053</v>
      </c>
      <c r="M84" s="8">
        <v>219900</v>
      </c>
      <c r="N84" s="37" t="str">
        <f t="shared" si="15"/>
        <v>BXGY</v>
      </c>
      <c r="O84" s="36" t="str">
        <f t="shared" si="16"/>
        <v>B1G2</v>
      </c>
      <c r="P84" s="34" t="str">
        <f t="shared" si="17"/>
        <v>BXGY</v>
      </c>
    </row>
    <row r="85" spans="1:16" x14ac:dyDescent="0.35">
      <c r="A85" s="14" t="str">
        <f t="shared" si="14"/>
        <v>2024 JUL-DEC B1G2 LICENSE ESS</v>
      </c>
      <c r="B85" s="35">
        <f t="shared" si="14"/>
        <v>46086</v>
      </c>
      <c r="C85" s="35">
        <f t="shared" si="14"/>
        <v>46092</v>
      </c>
      <c r="D85" s="6">
        <v>3287</v>
      </c>
      <c r="E85" s="6">
        <v>338</v>
      </c>
      <c r="F85" s="6">
        <v>4</v>
      </c>
      <c r="G85" s="6">
        <v>4</v>
      </c>
      <c r="H85" s="6">
        <v>81676</v>
      </c>
      <c r="I85" s="6" t="s">
        <v>17</v>
      </c>
      <c r="J85" s="6">
        <v>27378947</v>
      </c>
      <c r="K85" s="6" t="s">
        <v>4052</v>
      </c>
      <c r="L85" s="17" t="s">
        <v>4054</v>
      </c>
      <c r="M85" s="8">
        <v>219900</v>
      </c>
      <c r="N85" s="37" t="str">
        <f t="shared" si="15"/>
        <v>BXGY</v>
      </c>
      <c r="O85" s="36" t="str">
        <f t="shared" si="16"/>
        <v>B1G2</v>
      </c>
      <c r="P85" s="34" t="str">
        <f t="shared" si="17"/>
        <v>BXGY</v>
      </c>
    </row>
    <row r="86" spans="1:16" x14ac:dyDescent="0.35">
      <c r="A86" s="14" t="str">
        <f t="shared" si="14"/>
        <v>2024 JUL-DEC B1G2 LICENSE ESS</v>
      </c>
      <c r="B86" s="35">
        <f t="shared" si="14"/>
        <v>46086</v>
      </c>
      <c r="C86" s="35">
        <f t="shared" si="14"/>
        <v>46092</v>
      </c>
      <c r="D86" s="6">
        <v>3287</v>
      </c>
      <c r="E86" s="6">
        <v>338</v>
      </c>
      <c r="F86" s="6">
        <v>4</v>
      </c>
      <c r="G86" s="6">
        <v>4</v>
      </c>
      <c r="H86" s="6">
        <v>81676</v>
      </c>
      <c r="I86" s="6" t="s">
        <v>17</v>
      </c>
      <c r="J86" s="6">
        <v>27378956</v>
      </c>
      <c r="K86" s="6" t="s">
        <v>4052</v>
      </c>
      <c r="L86" s="17" t="s">
        <v>4055</v>
      </c>
      <c r="M86" s="8">
        <v>219900</v>
      </c>
      <c r="N86" s="37" t="str">
        <f t="shared" si="15"/>
        <v>BXGY</v>
      </c>
      <c r="O86" s="36" t="str">
        <f t="shared" si="16"/>
        <v>B1G2</v>
      </c>
      <c r="P86" s="34" t="str">
        <f t="shared" si="17"/>
        <v>BXGY</v>
      </c>
    </row>
    <row r="87" spans="1:16" x14ac:dyDescent="0.35">
      <c r="A87" s="14" t="str">
        <f t="shared" si="14"/>
        <v>2024 JUL-DEC B1G2 LICENSE ESS</v>
      </c>
      <c r="B87" s="35">
        <f t="shared" si="14"/>
        <v>46086</v>
      </c>
      <c r="C87" s="35">
        <f t="shared" si="14"/>
        <v>46092</v>
      </c>
      <c r="D87" s="6">
        <v>3287</v>
      </c>
      <c r="E87" s="6">
        <v>338</v>
      </c>
      <c r="F87" s="6">
        <v>4</v>
      </c>
      <c r="G87" s="6">
        <v>4</v>
      </c>
      <c r="H87" s="6">
        <v>81676</v>
      </c>
      <c r="I87" s="6" t="s">
        <v>17</v>
      </c>
      <c r="J87" s="6">
        <v>27378965</v>
      </c>
      <c r="K87" s="6" t="s">
        <v>4052</v>
      </c>
      <c r="L87" s="17" t="s">
        <v>4056</v>
      </c>
      <c r="M87" s="8">
        <v>219900</v>
      </c>
      <c r="N87" s="37" t="str">
        <f t="shared" si="15"/>
        <v>BXGY</v>
      </c>
      <c r="O87" s="36" t="str">
        <f t="shared" si="16"/>
        <v>B1G2</v>
      </c>
      <c r="P87" s="34" t="str">
        <f t="shared" si="17"/>
        <v>BXGY</v>
      </c>
    </row>
    <row r="88" spans="1:16" x14ac:dyDescent="0.35">
      <c r="A88" s="14" t="str">
        <f t="shared" si="14"/>
        <v>2024 JUL-DEC B1G2 LICENSE ESS</v>
      </c>
      <c r="B88" s="35">
        <f t="shared" si="14"/>
        <v>46086</v>
      </c>
      <c r="C88" s="35">
        <f t="shared" si="14"/>
        <v>46092</v>
      </c>
      <c r="D88" s="6">
        <v>3287</v>
      </c>
      <c r="E88" s="6">
        <v>338</v>
      </c>
      <c r="F88" s="6">
        <v>4</v>
      </c>
      <c r="G88" s="6">
        <v>4</v>
      </c>
      <c r="H88" s="6">
        <v>81676</v>
      </c>
      <c r="I88" s="6" t="s">
        <v>17</v>
      </c>
      <c r="J88" s="6">
        <v>27378974</v>
      </c>
      <c r="K88" s="6" t="s">
        <v>4052</v>
      </c>
      <c r="L88" s="17" t="s">
        <v>4057</v>
      </c>
      <c r="M88" s="8">
        <v>229900</v>
      </c>
      <c r="N88" s="37" t="str">
        <f t="shared" si="15"/>
        <v>BXGY</v>
      </c>
      <c r="O88" s="36" t="str">
        <f t="shared" si="16"/>
        <v>B1G2</v>
      </c>
      <c r="P88" s="34" t="str">
        <f t="shared" si="17"/>
        <v>BXGY</v>
      </c>
    </row>
    <row r="89" spans="1:16" x14ac:dyDescent="0.35">
      <c r="A89" s="14" t="str">
        <f t="shared" si="14"/>
        <v>2024 JUL-DEC B1G2 LICENSE ESS</v>
      </c>
      <c r="B89" s="35">
        <f t="shared" si="14"/>
        <v>46086</v>
      </c>
      <c r="C89" s="35">
        <f t="shared" si="14"/>
        <v>46092</v>
      </c>
      <c r="D89" s="6">
        <v>3287</v>
      </c>
      <c r="E89" s="6">
        <v>338</v>
      </c>
      <c r="F89" s="6">
        <v>4</v>
      </c>
      <c r="G89" s="6">
        <v>4</v>
      </c>
      <c r="H89" s="6">
        <v>81676</v>
      </c>
      <c r="I89" s="6" t="s">
        <v>17</v>
      </c>
      <c r="J89" s="6">
        <v>27378983</v>
      </c>
      <c r="K89" s="6" t="s">
        <v>4052</v>
      </c>
      <c r="L89" s="17" t="s">
        <v>4058</v>
      </c>
      <c r="M89" s="8">
        <v>229900</v>
      </c>
      <c r="N89" s="37" t="str">
        <f t="shared" si="15"/>
        <v>BXGY</v>
      </c>
      <c r="O89" s="36" t="str">
        <f t="shared" si="16"/>
        <v>B1G2</v>
      </c>
      <c r="P89" s="34" t="str">
        <f t="shared" si="17"/>
        <v>BXGY</v>
      </c>
    </row>
    <row r="90" spans="1:16" x14ac:dyDescent="0.35">
      <c r="A90" s="14" t="str">
        <f t="shared" si="14"/>
        <v>2024 JUL-DEC B1G2 LICENSE ESS</v>
      </c>
      <c r="B90" s="35">
        <f t="shared" si="14"/>
        <v>46086</v>
      </c>
      <c r="C90" s="35">
        <f t="shared" si="14"/>
        <v>46092</v>
      </c>
      <c r="D90" s="6">
        <v>3287</v>
      </c>
      <c r="E90" s="6">
        <v>338</v>
      </c>
      <c r="F90" s="6">
        <v>4</v>
      </c>
      <c r="G90" s="6">
        <v>4</v>
      </c>
      <c r="H90" s="6">
        <v>81676</v>
      </c>
      <c r="I90" s="6" t="s">
        <v>17</v>
      </c>
      <c r="J90" s="6">
        <v>27378992</v>
      </c>
      <c r="K90" s="6" t="s">
        <v>4052</v>
      </c>
      <c r="L90" s="17" t="s">
        <v>4059</v>
      </c>
      <c r="M90" s="8">
        <v>229900</v>
      </c>
      <c r="N90" s="37" t="str">
        <f t="shared" si="15"/>
        <v>BXGY</v>
      </c>
      <c r="O90" s="36" t="str">
        <f t="shared" si="16"/>
        <v>B1G2</v>
      </c>
      <c r="P90" s="34" t="str">
        <f t="shared" si="17"/>
        <v>BXGY</v>
      </c>
    </row>
    <row r="91" spans="1:16" x14ac:dyDescent="0.35">
      <c r="A91" s="14" t="str">
        <f t="shared" si="14"/>
        <v>2024 JUL-DEC B1G2 LICENSE ESS</v>
      </c>
      <c r="B91" s="35">
        <f t="shared" si="14"/>
        <v>46086</v>
      </c>
      <c r="C91" s="35">
        <f t="shared" si="14"/>
        <v>46092</v>
      </c>
      <c r="D91" s="6">
        <v>3287</v>
      </c>
      <c r="E91" s="6">
        <v>338</v>
      </c>
      <c r="F91" s="6">
        <v>4</v>
      </c>
      <c r="G91" s="6">
        <v>4</v>
      </c>
      <c r="H91" s="6">
        <v>81676</v>
      </c>
      <c r="I91" s="6" t="s">
        <v>17</v>
      </c>
      <c r="J91" s="6">
        <v>27379008</v>
      </c>
      <c r="K91" s="6" t="s">
        <v>4052</v>
      </c>
      <c r="L91" s="17" t="s">
        <v>4060</v>
      </c>
      <c r="M91" s="8">
        <v>229900</v>
      </c>
      <c r="N91" s="37" t="str">
        <f t="shared" si="15"/>
        <v>BXGY</v>
      </c>
      <c r="O91" s="36" t="str">
        <f t="shared" si="16"/>
        <v>B1G2</v>
      </c>
      <c r="P91" s="34" t="str">
        <f t="shared" si="17"/>
        <v>BXGY</v>
      </c>
    </row>
    <row r="92" spans="1:16" x14ac:dyDescent="0.35">
      <c r="A92" s="14" t="str">
        <f t="shared" si="14"/>
        <v>2024 JUL-DEC B1G2 LICENSE ESS</v>
      </c>
      <c r="B92" s="35">
        <f t="shared" si="14"/>
        <v>46086</v>
      </c>
      <c r="C92" s="35">
        <f t="shared" si="14"/>
        <v>46092</v>
      </c>
      <c r="D92" s="6">
        <v>3287</v>
      </c>
      <c r="E92" s="6">
        <v>338</v>
      </c>
      <c r="F92" s="6">
        <v>4</v>
      </c>
      <c r="G92" s="6">
        <v>4</v>
      </c>
      <c r="H92" s="6">
        <v>81676</v>
      </c>
      <c r="I92" s="6" t="s">
        <v>17</v>
      </c>
      <c r="J92" s="6">
        <v>27379017</v>
      </c>
      <c r="K92" s="6" t="s">
        <v>4061</v>
      </c>
      <c r="L92" s="17" t="s">
        <v>4062</v>
      </c>
      <c r="M92" s="8">
        <v>219900</v>
      </c>
      <c r="N92" s="37" t="str">
        <f t="shared" si="15"/>
        <v>BXGY</v>
      </c>
      <c r="O92" s="36" t="str">
        <f t="shared" si="16"/>
        <v>B1G2</v>
      </c>
      <c r="P92" s="34" t="str">
        <f t="shared" si="17"/>
        <v>BXGY</v>
      </c>
    </row>
    <row r="93" spans="1:16" x14ac:dyDescent="0.35">
      <c r="A93" s="14" t="str">
        <f t="shared" si="14"/>
        <v>2024 JUL-DEC B1G2 LICENSE ESS</v>
      </c>
      <c r="B93" s="35">
        <f t="shared" si="14"/>
        <v>46086</v>
      </c>
      <c r="C93" s="35">
        <f t="shared" si="14"/>
        <v>46092</v>
      </c>
      <c r="D93" s="6">
        <v>3287</v>
      </c>
      <c r="E93" s="6">
        <v>338</v>
      </c>
      <c r="F93" s="6">
        <v>4</v>
      </c>
      <c r="G93" s="6">
        <v>4</v>
      </c>
      <c r="H93" s="6">
        <v>81676</v>
      </c>
      <c r="I93" s="6" t="s">
        <v>17</v>
      </c>
      <c r="J93" s="6">
        <v>27379026</v>
      </c>
      <c r="K93" s="6" t="s">
        <v>4061</v>
      </c>
      <c r="L93" s="17" t="s">
        <v>4063</v>
      </c>
      <c r="M93" s="8">
        <v>219900</v>
      </c>
      <c r="N93" s="37" t="str">
        <f t="shared" si="15"/>
        <v>BXGY</v>
      </c>
      <c r="O93" s="36" t="str">
        <f t="shared" si="16"/>
        <v>B1G2</v>
      </c>
      <c r="P93" s="34" t="str">
        <f t="shared" si="17"/>
        <v>BXGY</v>
      </c>
    </row>
    <row r="94" spans="1:16" x14ac:dyDescent="0.35">
      <c r="A94" s="14" t="str">
        <f t="shared" si="14"/>
        <v>2024 JUL-DEC B1G2 LICENSE ESS</v>
      </c>
      <c r="B94" s="35">
        <f t="shared" si="14"/>
        <v>46086</v>
      </c>
      <c r="C94" s="35">
        <f t="shared" si="14"/>
        <v>46092</v>
      </c>
      <c r="D94" s="6">
        <v>3287</v>
      </c>
      <c r="E94" s="6">
        <v>338</v>
      </c>
      <c r="F94" s="6">
        <v>4</v>
      </c>
      <c r="G94" s="6">
        <v>4</v>
      </c>
      <c r="H94" s="6">
        <v>81676</v>
      </c>
      <c r="I94" s="6" t="s">
        <v>17</v>
      </c>
      <c r="J94" s="6">
        <v>27379035</v>
      </c>
      <c r="K94" s="6" t="s">
        <v>4061</v>
      </c>
      <c r="L94" s="17" t="s">
        <v>4064</v>
      </c>
      <c r="M94" s="8">
        <v>219900</v>
      </c>
      <c r="N94" s="37" t="str">
        <f t="shared" si="15"/>
        <v>BXGY</v>
      </c>
      <c r="O94" s="36" t="str">
        <f t="shared" si="16"/>
        <v>B1G2</v>
      </c>
      <c r="P94" s="34" t="str">
        <f t="shared" si="17"/>
        <v>BXGY</v>
      </c>
    </row>
    <row r="95" spans="1:16" x14ac:dyDescent="0.35">
      <c r="A95" s="14" t="str">
        <f t="shared" si="14"/>
        <v>2024 JUL-DEC B1G2 LICENSE ESS</v>
      </c>
      <c r="B95" s="35">
        <f t="shared" si="14"/>
        <v>46086</v>
      </c>
      <c r="C95" s="35">
        <f t="shared" si="14"/>
        <v>46092</v>
      </c>
      <c r="D95" s="6">
        <v>3287</v>
      </c>
      <c r="E95" s="6">
        <v>338</v>
      </c>
      <c r="F95" s="6">
        <v>4</v>
      </c>
      <c r="G95" s="6">
        <v>4</v>
      </c>
      <c r="H95" s="6">
        <v>81676</v>
      </c>
      <c r="I95" s="6" t="s">
        <v>17</v>
      </c>
      <c r="J95" s="6">
        <v>27379044</v>
      </c>
      <c r="K95" s="6" t="s">
        <v>4061</v>
      </c>
      <c r="L95" s="17" t="s">
        <v>4065</v>
      </c>
      <c r="M95" s="8">
        <v>219900</v>
      </c>
      <c r="N95" s="37" t="str">
        <f t="shared" si="15"/>
        <v>BXGY</v>
      </c>
      <c r="O95" s="36" t="str">
        <f t="shared" si="16"/>
        <v>B1G2</v>
      </c>
      <c r="P95" s="34" t="str">
        <f t="shared" si="17"/>
        <v>BXGY</v>
      </c>
    </row>
    <row r="96" spans="1:16" x14ac:dyDescent="0.35">
      <c r="A96" s="14" t="str">
        <f t="shared" si="14"/>
        <v>2024 JUL-DEC B1G2 LICENSE ESS</v>
      </c>
      <c r="B96" s="35">
        <f t="shared" si="14"/>
        <v>46086</v>
      </c>
      <c r="C96" s="35">
        <f t="shared" si="14"/>
        <v>46092</v>
      </c>
      <c r="D96" s="6">
        <v>3287</v>
      </c>
      <c r="E96" s="6">
        <v>338</v>
      </c>
      <c r="F96" s="6">
        <v>4</v>
      </c>
      <c r="G96" s="6">
        <v>4</v>
      </c>
      <c r="H96" s="6">
        <v>81676</v>
      </c>
      <c r="I96" s="6" t="s">
        <v>17</v>
      </c>
      <c r="J96" s="6">
        <v>27379053</v>
      </c>
      <c r="K96" s="6" t="s">
        <v>4061</v>
      </c>
      <c r="L96" s="17" t="s">
        <v>4066</v>
      </c>
      <c r="M96" s="8">
        <v>229900</v>
      </c>
      <c r="N96" s="37" t="str">
        <f t="shared" si="15"/>
        <v>BXGY</v>
      </c>
      <c r="O96" s="36" t="str">
        <f t="shared" si="16"/>
        <v>B1G2</v>
      </c>
      <c r="P96" s="34" t="str">
        <f t="shared" si="17"/>
        <v>BXGY</v>
      </c>
    </row>
    <row r="97" spans="1:16" x14ac:dyDescent="0.35">
      <c r="A97" s="14" t="str">
        <f t="shared" si="14"/>
        <v>2024 JUL-DEC B1G2 LICENSE ESS</v>
      </c>
      <c r="B97" s="35">
        <f t="shared" si="14"/>
        <v>46086</v>
      </c>
      <c r="C97" s="35">
        <f t="shared" si="14"/>
        <v>46092</v>
      </c>
      <c r="D97" s="6">
        <v>3287</v>
      </c>
      <c r="E97" s="6">
        <v>338</v>
      </c>
      <c r="F97" s="6">
        <v>4</v>
      </c>
      <c r="G97" s="6">
        <v>4</v>
      </c>
      <c r="H97" s="6">
        <v>81676</v>
      </c>
      <c r="I97" s="6" t="s">
        <v>17</v>
      </c>
      <c r="J97" s="6">
        <v>27379062</v>
      </c>
      <c r="K97" s="6" t="s">
        <v>4061</v>
      </c>
      <c r="L97" s="17" t="s">
        <v>4067</v>
      </c>
      <c r="M97" s="8">
        <v>229900</v>
      </c>
      <c r="N97" s="37" t="str">
        <f t="shared" si="15"/>
        <v>BXGY</v>
      </c>
      <c r="O97" s="36" t="str">
        <f t="shared" si="16"/>
        <v>B1G2</v>
      </c>
      <c r="P97" s="34" t="str">
        <f t="shared" si="17"/>
        <v>BXGY</v>
      </c>
    </row>
    <row r="98" spans="1:16" x14ac:dyDescent="0.35">
      <c r="A98" s="14" t="str">
        <f t="shared" si="14"/>
        <v>2024 JUL-DEC B1G2 LICENSE ESS</v>
      </c>
      <c r="B98" s="35">
        <f t="shared" si="14"/>
        <v>46086</v>
      </c>
      <c r="C98" s="35">
        <f t="shared" si="14"/>
        <v>46092</v>
      </c>
      <c r="D98" s="6">
        <v>3287</v>
      </c>
      <c r="E98" s="6">
        <v>338</v>
      </c>
      <c r="F98" s="6">
        <v>4</v>
      </c>
      <c r="G98" s="6">
        <v>4</v>
      </c>
      <c r="H98" s="6">
        <v>81676</v>
      </c>
      <c r="I98" s="6" t="s">
        <v>17</v>
      </c>
      <c r="J98" s="6">
        <v>27379071</v>
      </c>
      <c r="K98" s="6" t="s">
        <v>4061</v>
      </c>
      <c r="L98" s="17" t="s">
        <v>4068</v>
      </c>
      <c r="M98" s="8">
        <v>229900</v>
      </c>
      <c r="N98" s="37" t="str">
        <f t="shared" si="15"/>
        <v>BXGY</v>
      </c>
      <c r="O98" s="36" t="str">
        <f t="shared" si="16"/>
        <v>B1G2</v>
      </c>
      <c r="P98" s="34" t="str">
        <f t="shared" si="17"/>
        <v>BXGY</v>
      </c>
    </row>
    <row r="99" spans="1:16" x14ac:dyDescent="0.35">
      <c r="A99" s="14" t="str">
        <f t="shared" si="14"/>
        <v>2024 JUL-DEC B1G2 LICENSE ESS</v>
      </c>
      <c r="B99" s="35">
        <f t="shared" si="14"/>
        <v>46086</v>
      </c>
      <c r="C99" s="35">
        <f t="shared" si="14"/>
        <v>46092</v>
      </c>
      <c r="D99" s="6">
        <v>3287</v>
      </c>
      <c r="E99" s="6">
        <v>338</v>
      </c>
      <c r="F99" s="6">
        <v>4</v>
      </c>
      <c r="G99" s="6">
        <v>4</v>
      </c>
      <c r="H99" s="6">
        <v>81676</v>
      </c>
      <c r="I99" s="6" t="s">
        <v>17</v>
      </c>
      <c r="J99" s="6">
        <v>27379080</v>
      </c>
      <c r="K99" s="6" t="s">
        <v>4061</v>
      </c>
      <c r="L99" s="17" t="s">
        <v>4069</v>
      </c>
      <c r="M99" s="8">
        <v>229900</v>
      </c>
      <c r="N99" s="37" t="str">
        <f t="shared" si="15"/>
        <v>BXGY</v>
      </c>
      <c r="O99" s="36" t="str">
        <f t="shared" si="16"/>
        <v>B1G2</v>
      </c>
      <c r="P99" s="34" t="str">
        <f t="shared" si="17"/>
        <v>BXGY</v>
      </c>
    </row>
    <row r="100" spans="1:16" x14ac:dyDescent="0.35">
      <c r="A100" s="14" t="str">
        <f t="shared" si="14"/>
        <v>2024 JUL-DEC B1G2 LICENSE ESS</v>
      </c>
      <c r="B100" s="35">
        <f t="shared" si="14"/>
        <v>46086</v>
      </c>
      <c r="C100" s="35">
        <f t="shared" si="14"/>
        <v>46092</v>
      </c>
      <c r="D100" s="6">
        <v>3287</v>
      </c>
      <c r="E100" s="6">
        <v>338</v>
      </c>
      <c r="F100" s="6">
        <v>4</v>
      </c>
      <c r="G100" s="6">
        <v>4</v>
      </c>
      <c r="H100" s="6">
        <v>81676</v>
      </c>
      <c r="I100" s="6" t="s">
        <v>17</v>
      </c>
      <c r="J100" s="6">
        <v>45812997</v>
      </c>
      <c r="K100" s="6" t="s">
        <v>4393</v>
      </c>
      <c r="L100" s="17" t="s">
        <v>4394</v>
      </c>
      <c r="M100" s="8">
        <v>219900</v>
      </c>
      <c r="N100" s="37" t="str">
        <f t="shared" si="15"/>
        <v>BXGY</v>
      </c>
      <c r="O100" s="36" t="str">
        <f t="shared" si="16"/>
        <v>B1G2</v>
      </c>
      <c r="P100" s="34" t="str">
        <f t="shared" si="17"/>
        <v>BXGY</v>
      </c>
    </row>
    <row r="101" spans="1:16" x14ac:dyDescent="0.35">
      <c r="A101" s="14" t="str">
        <f t="shared" si="14"/>
        <v>2024 JUL-DEC B1G2 LICENSE ESS</v>
      </c>
      <c r="B101" s="35">
        <f t="shared" si="14"/>
        <v>46086</v>
      </c>
      <c r="C101" s="35">
        <f t="shared" si="14"/>
        <v>46092</v>
      </c>
      <c r="D101" s="6">
        <v>3287</v>
      </c>
      <c r="E101" s="6">
        <v>338</v>
      </c>
      <c r="F101" s="6">
        <v>4</v>
      </c>
      <c r="G101" s="6">
        <v>4</v>
      </c>
      <c r="H101" s="6">
        <v>81676</v>
      </c>
      <c r="I101" s="6" t="s">
        <v>17</v>
      </c>
      <c r="J101" s="6">
        <v>45813003</v>
      </c>
      <c r="K101" s="6" t="s">
        <v>4393</v>
      </c>
      <c r="L101" s="17" t="s">
        <v>4395</v>
      </c>
      <c r="M101" s="8">
        <v>219900</v>
      </c>
      <c r="N101" s="37" t="str">
        <f t="shared" si="15"/>
        <v>BXGY</v>
      </c>
      <c r="O101" s="36" t="str">
        <f t="shared" si="16"/>
        <v>B1G2</v>
      </c>
      <c r="P101" s="34" t="str">
        <f t="shared" si="17"/>
        <v>BXGY</v>
      </c>
    </row>
    <row r="102" spans="1:16" x14ac:dyDescent="0.35">
      <c r="A102" s="14" t="str">
        <f t="shared" si="14"/>
        <v>2024 JUL-DEC B1G2 LICENSE ESS</v>
      </c>
      <c r="B102" s="35">
        <f t="shared" si="14"/>
        <v>46086</v>
      </c>
      <c r="C102" s="35">
        <f t="shared" si="14"/>
        <v>46092</v>
      </c>
      <c r="D102" s="6">
        <v>3287</v>
      </c>
      <c r="E102" s="6">
        <v>338</v>
      </c>
      <c r="F102" s="6">
        <v>4</v>
      </c>
      <c r="G102" s="6">
        <v>4</v>
      </c>
      <c r="H102" s="6">
        <v>81676</v>
      </c>
      <c r="I102" s="6" t="s">
        <v>17</v>
      </c>
      <c r="J102" s="6">
        <v>45813012</v>
      </c>
      <c r="K102" s="6" t="s">
        <v>4393</v>
      </c>
      <c r="L102" s="17" t="s">
        <v>4396</v>
      </c>
      <c r="M102" s="8">
        <v>219900</v>
      </c>
      <c r="N102" s="37" t="str">
        <f t="shared" si="15"/>
        <v>BXGY</v>
      </c>
      <c r="O102" s="36" t="str">
        <f t="shared" si="16"/>
        <v>B1G2</v>
      </c>
      <c r="P102" s="34" t="str">
        <f t="shared" si="17"/>
        <v>BXGY</v>
      </c>
    </row>
    <row r="103" spans="1:16" x14ac:dyDescent="0.35">
      <c r="A103" s="14" t="str">
        <f t="shared" si="14"/>
        <v>2024 JUL-DEC B1G2 LICENSE ESS</v>
      </c>
      <c r="B103" s="35">
        <f t="shared" si="14"/>
        <v>46086</v>
      </c>
      <c r="C103" s="35">
        <f t="shared" si="14"/>
        <v>46092</v>
      </c>
      <c r="D103" s="6">
        <v>3287</v>
      </c>
      <c r="E103" s="6">
        <v>338</v>
      </c>
      <c r="F103" s="6">
        <v>4</v>
      </c>
      <c r="G103" s="6">
        <v>4</v>
      </c>
      <c r="H103" s="6">
        <v>81676</v>
      </c>
      <c r="I103" s="6" t="s">
        <v>17</v>
      </c>
      <c r="J103" s="6">
        <v>45813021</v>
      </c>
      <c r="K103" s="6" t="s">
        <v>4393</v>
      </c>
      <c r="L103" s="17" t="s">
        <v>4397</v>
      </c>
      <c r="M103" s="8">
        <v>219900</v>
      </c>
      <c r="N103" s="37" t="str">
        <f t="shared" si="15"/>
        <v>BXGY</v>
      </c>
      <c r="O103" s="36" t="str">
        <f t="shared" si="16"/>
        <v>B1G2</v>
      </c>
      <c r="P103" s="34" t="str">
        <f t="shared" si="17"/>
        <v>BXGY</v>
      </c>
    </row>
    <row r="104" spans="1:16" x14ac:dyDescent="0.35">
      <c r="A104" s="14" t="str">
        <f t="shared" si="14"/>
        <v>2024 JUL-DEC B1G2 LICENSE ESS</v>
      </c>
      <c r="B104" s="35">
        <f t="shared" si="14"/>
        <v>46086</v>
      </c>
      <c r="C104" s="35">
        <f t="shared" si="14"/>
        <v>46092</v>
      </c>
      <c r="D104" s="6">
        <v>3287</v>
      </c>
      <c r="E104" s="6">
        <v>338</v>
      </c>
      <c r="F104" s="6">
        <v>4</v>
      </c>
      <c r="G104" s="6">
        <v>4</v>
      </c>
      <c r="H104" s="6">
        <v>81676</v>
      </c>
      <c r="I104" s="6" t="s">
        <v>17</v>
      </c>
      <c r="J104" s="6">
        <v>45813030</v>
      </c>
      <c r="K104" s="6" t="s">
        <v>4393</v>
      </c>
      <c r="L104" s="17" t="s">
        <v>4398</v>
      </c>
      <c r="M104" s="8">
        <v>229900</v>
      </c>
      <c r="N104" s="37" t="str">
        <f t="shared" si="15"/>
        <v>BXGY</v>
      </c>
      <c r="O104" s="36" t="str">
        <f t="shared" si="16"/>
        <v>B1G2</v>
      </c>
      <c r="P104" s="34" t="str">
        <f t="shared" si="17"/>
        <v>BXGY</v>
      </c>
    </row>
    <row r="105" spans="1:16" x14ac:dyDescent="0.35">
      <c r="A105" s="14" t="str">
        <f t="shared" si="14"/>
        <v>2024 JUL-DEC B1G2 LICENSE ESS</v>
      </c>
      <c r="B105" s="35">
        <f t="shared" si="14"/>
        <v>46086</v>
      </c>
      <c r="C105" s="35">
        <f t="shared" si="14"/>
        <v>46092</v>
      </c>
      <c r="D105" s="6">
        <v>3287</v>
      </c>
      <c r="E105" s="6">
        <v>338</v>
      </c>
      <c r="F105" s="6">
        <v>4</v>
      </c>
      <c r="G105" s="6">
        <v>4</v>
      </c>
      <c r="H105" s="6">
        <v>81676</v>
      </c>
      <c r="I105" s="6" t="s">
        <v>17</v>
      </c>
      <c r="J105" s="6">
        <v>45813049</v>
      </c>
      <c r="K105" s="6" t="s">
        <v>4393</v>
      </c>
      <c r="L105" s="17" t="s">
        <v>4399</v>
      </c>
      <c r="M105" s="8">
        <v>229900</v>
      </c>
      <c r="N105" s="37" t="str">
        <f t="shared" si="15"/>
        <v>BXGY</v>
      </c>
      <c r="O105" s="36" t="str">
        <f t="shared" si="16"/>
        <v>B1G2</v>
      </c>
      <c r="P105" s="34" t="str">
        <f t="shared" si="17"/>
        <v>BXGY</v>
      </c>
    </row>
    <row r="106" spans="1:16" x14ac:dyDescent="0.35">
      <c r="A106" s="14" t="str">
        <f t="shared" si="14"/>
        <v>2024 JUL-DEC B1G2 LICENSE ESS</v>
      </c>
      <c r="B106" s="35">
        <f t="shared" si="14"/>
        <v>46086</v>
      </c>
      <c r="C106" s="35">
        <f t="shared" si="14"/>
        <v>46092</v>
      </c>
      <c r="D106" s="6">
        <v>3287</v>
      </c>
      <c r="E106" s="6">
        <v>338</v>
      </c>
      <c r="F106" s="6">
        <v>4</v>
      </c>
      <c r="G106" s="6">
        <v>4</v>
      </c>
      <c r="H106" s="6">
        <v>81676</v>
      </c>
      <c r="I106" s="6" t="s">
        <v>17</v>
      </c>
      <c r="J106" s="6">
        <v>45813058</v>
      </c>
      <c r="K106" s="6" t="s">
        <v>4393</v>
      </c>
      <c r="L106" s="17" t="s">
        <v>4400</v>
      </c>
      <c r="M106" s="8">
        <v>229900</v>
      </c>
      <c r="N106" s="37" t="str">
        <f t="shared" si="15"/>
        <v>BXGY</v>
      </c>
      <c r="O106" s="36" t="str">
        <f t="shared" si="16"/>
        <v>B1G2</v>
      </c>
      <c r="P106" s="34" t="str">
        <f t="shared" si="17"/>
        <v>BXGY</v>
      </c>
    </row>
    <row r="107" spans="1:16" x14ac:dyDescent="0.35">
      <c r="A107" s="14" t="str">
        <f t="shared" si="14"/>
        <v>2024 JUL-DEC B1G2 LICENSE ESS</v>
      </c>
      <c r="B107" s="35">
        <f t="shared" si="14"/>
        <v>46086</v>
      </c>
      <c r="C107" s="35">
        <f t="shared" si="14"/>
        <v>46092</v>
      </c>
      <c r="D107" s="6">
        <v>3287</v>
      </c>
      <c r="E107" s="6">
        <v>338</v>
      </c>
      <c r="F107" s="6">
        <v>4</v>
      </c>
      <c r="G107" s="6">
        <v>4</v>
      </c>
      <c r="H107" s="6">
        <v>81676</v>
      </c>
      <c r="I107" s="6" t="s">
        <v>17</v>
      </c>
      <c r="J107" s="6">
        <v>45813067</v>
      </c>
      <c r="K107" s="6" t="s">
        <v>4393</v>
      </c>
      <c r="L107" s="17" t="s">
        <v>4401</v>
      </c>
      <c r="M107" s="8">
        <v>229900</v>
      </c>
      <c r="N107" s="37" t="str">
        <f t="shared" si="15"/>
        <v>BXGY</v>
      </c>
      <c r="O107" s="36" t="str">
        <f t="shared" si="16"/>
        <v>B1G2</v>
      </c>
      <c r="P107" s="34" t="str">
        <f t="shared" si="17"/>
        <v>BXGY</v>
      </c>
    </row>
    <row r="108" spans="1:16" x14ac:dyDescent="0.35">
      <c r="A108" s="14" t="str">
        <f t="shared" si="14"/>
        <v>2024 JUL-DEC B1G2 LICENSE ESS</v>
      </c>
      <c r="B108" s="35">
        <f t="shared" si="14"/>
        <v>46086</v>
      </c>
      <c r="C108" s="35">
        <f t="shared" si="14"/>
        <v>46092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27377804</v>
      </c>
      <c r="K108" s="6" t="s">
        <v>4031</v>
      </c>
      <c r="L108" s="17" t="s">
        <v>4032</v>
      </c>
      <c r="M108" s="8">
        <v>35900</v>
      </c>
      <c r="N108" s="37" t="str">
        <f t="shared" si="15"/>
        <v>BXGY</v>
      </c>
      <c r="O108" s="36" t="str">
        <f t="shared" si="16"/>
        <v>B1G2</v>
      </c>
      <c r="P108" s="34" t="str">
        <f t="shared" si="17"/>
        <v>BXGY</v>
      </c>
    </row>
    <row r="109" spans="1:16" x14ac:dyDescent="0.35">
      <c r="A109" s="14" t="str">
        <f t="shared" si="14"/>
        <v>2024 JUL-DEC B1G2 LICENSE ESS</v>
      </c>
      <c r="B109" s="35">
        <f t="shared" si="14"/>
        <v>46086</v>
      </c>
      <c r="C109" s="35">
        <f t="shared" si="14"/>
        <v>46092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27377813</v>
      </c>
      <c r="K109" s="6" t="s">
        <v>4031</v>
      </c>
      <c r="L109" s="17" t="s">
        <v>4033</v>
      </c>
      <c r="M109" s="8">
        <v>35900</v>
      </c>
      <c r="N109" s="37" t="str">
        <f t="shared" si="15"/>
        <v>BXGY</v>
      </c>
      <c r="O109" s="36" t="str">
        <f t="shared" si="16"/>
        <v>B1G2</v>
      </c>
      <c r="P109" s="34" t="str">
        <f t="shared" si="17"/>
        <v>BXGY</v>
      </c>
    </row>
    <row r="110" spans="1:16" x14ac:dyDescent="0.35">
      <c r="A110" s="14" t="str">
        <f t="shared" si="14"/>
        <v>2024 JUL-DEC B1G2 LICENSE ESS</v>
      </c>
      <c r="B110" s="35">
        <f t="shared" si="14"/>
        <v>46086</v>
      </c>
      <c r="C110" s="35">
        <f t="shared" si="14"/>
        <v>46092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27377822</v>
      </c>
      <c r="K110" s="6" t="s">
        <v>4028</v>
      </c>
      <c r="L110" s="17" t="s">
        <v>4029</v>
      </c>
      <c r="M110" s="8">
        <v>35900</v>
      </c>
      <c r="N110" s="37" t="str">
        <f t="shared" si="15"/>
        <v>BXGY</v>
      </c>
      <c r="O110" s="36" t="str">
        <f t="shared" si="16"/>
        <v>B1G2</v>
      </c>
      <c r="P110" s="34" t="str">
        <f t="shared" si="17"/>
        <v>BXGY</v>
      </c>
    </row>
    <row r="111" spans="1:16" x14ac:dyDescent="0.35">
      <c r="A111" s="14" t="str">
        <f t="shared" si="14"/>
        <v>2024 JUL-DEC B1G2 LICENSE ESS</v>
      </c>
      <c r="B111" s="35">
        <f t="shared" si="14"/>
        <v>46086</v>
      </c>
      <c r="C111" s="35">
        <f t="shared" si="14"/>
        <v>46092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27377831</v>
      </c>
      <c r="K111" s="6" t="s">
        <v>4028</v>
      </c>
      <c r="L111" s="17" t="s">
        <v>4030</v>
      </c>
      <c r="M111" s="8">
        <v>35900</v>
      </c>
      <c r="N111" s="37" t="str">
        <f t="shared" si="15"/>
        <v>BXGY</v>
      </c>
      <c r="O111" s="36" t="str">
        <f t="shared" si="16"/>
        <v>B1G2</v>
      </c>
      <c r="P111" s="34" t="str">
        <f t="shared" si="17"/>
        <v>BXGY</v>
      </c>
    </row>
    <row r="112" spans="1:16" x14ac:dyDescent="0.35">
      <c r="A112" s="14" t="str">
        <f t="shared" si="14"/>
        <v>2024 JUL-DEC B1G2 LICENSE ESS</v>
      </c>
      <c r="B112" s="35">
        <f t="shared" si="14"/>
        <v>46086</v>
      </c>
      <c r="C112" s="35">
        <f t="shared" si="14"/>
        <v>46092</v>
      </c>
      <c r="D112" s="6">
        <v>3287</v>
      </c>
      <c r="E112" s="6">
        <v>338</v>
      </c>
      <c r="F112" s="6">
        <v>4</v>
      </c>
      <c r="G112" s="6">
        <v>7</v>
      </c>
      <c r="H112" s="6">
        <v>81595</v>
      </c>
      <c r="I112" s="6" t="s">
        <v>17</v>
      </c>
      <c r="J112" s="6">
        <v>27377840</v>
      </c>
      <c r="K112" s="6" t="s">
        <v>4037</v>
      </c>
      <c r="L112" s="17" t="s">
        <v>4038</v>
      </c>
      <c r="M112" s="8">
        <v>35900</v>
      </c>
      <c r="N112" s="37" t="str">
        <f t="shared" si="15"/>
        <v>BXGY</v>
      </c>
      <c r="O112" s="36" t="str">
        <f t="shared" si="16"/>
        <v>B1G2</v>
      </c>
      <c r="P112" s="34" t="str">
        <f t="shared" si="17"/>
        <v>BXGY</v>
      </c>
    </row>
    <row r="113" spans="1:16" x14ac:dyDescent="0.35">
      <c r="A113" s="14" t="str">
        <f t="shared" si="14"/>
        <v>2024 JUL-DEC B1G2 LICENSE ESS</v>
      </c>
      <c r="B113" s="35">
        <f t="shared" si="14"/>
        <v>46086</v>
      </c>
      <c r="C113" s="35">
        <f t="shared" si="14"/>
        <v>46092</v>
      </c>
      <c r="D113" s="6">
        <v>3287</v>
      </c>
      <c r="E113" s="6">
        <v>338</v>
      </c>
      <c r="F113" s="6">
        <v>4</v>
      </c>
      <c r="G113" s="6">
        <v>7</v>
      </c>
      <c r="H113" s="6">
        <v>81595</v>
      </c>
      <c r="I113" s="6" t="s">
        <v>17</v>
      </c>
      <c r="J113" s="6">
        <v>27377859</v>
      </c>
      <c r="K113" s="6" t="s">
        <v>4037</v>
      </c>
      <c r="L113" s="17" t="s">
        <v>4039</v>
      </c>
      <c r="M113" s="8">
        <v>35900</v>
      </c>
      <c r="N113" s="37" t="str">
        <f t="shared" si="15"/>
        <v>BXGY</v>
      </c>
      <c r="O113" s="36" t="str">
        <f t="shared" si="16"/>
        <v>B1G2</v>
      </c>
      <c r="P113" s="34" t="str">
        <f t="shared" si="17"/>
        <v>BXGY</v>
      </c>
    </row>
    <row r="114" spans="1:16" x14ac:dyDescent="0.35">
      <c r="A114" s="14" t="str">
        <f t="shared" si="14"/>
        <v>2024 JUL-DEC B1G2 LICENSE ESS</v>
      </c>
      <c r="B114" s="35">
        <f t="shared" si="14"/>
        <v>46086</v>
      </c>
      <c r="C114" s="35">
        <f t="shared" si="14"/>
        <v>46092</v>
      </c>
      <c r="D114" s="6">
        <v>3287</v>
      </c>
      <c r="E114" s="6">
        <v>338</v>
      </c>
      <c r="F114" s="6">
        <v>4</v>
      </c>
      <c r="G114" s="6">
        <v>7</v>
      </c>
      <c r="H114" s="6">
        <v>81595</v>
      </c>
      <c r="I114" s="6" t="s">
        <v>17</v>
      </c>
      <c r="J114" s="6">
        <v>27377868</v>
      </c>
      <c r="K114" s="6" t="s">
        <v>4040</v>
      </c>
      <c r="L114" s="17" t="s">
        <v>4041</v>
      </c>
      <c r="M114" s="8">
        <v>35900</v>
      </c>
      <c r="N114" s="37" t="str">
        <f t="shared" si="15"/>
        <v>BXGY</v>
      </c>
      <c r="O114" s="36" t="str">
        <f t="shared" si="16"/>
        <v>B1G2</v>
      </c>
      <c r="P114" s="34" t="str">
        <f t="shared" si="17"/>
        <v>BXGY</v>
      </c>
    </row>
    <row r="115" spans="1:16" x14ac:dyDescent="0.35">
      <c r="A115" s="14" t="str">
        <f t="shared" si="14"/>
        <v>2024 JUL-DEC B1G2 LICENSE ESS</v>
      </c>
      <c r="B115" s="35">
        <f t="shared" si="14"/>
        <v>46086</v>
      </c>
      <c r="C115" s="35">
        <f t="shared" si="14"/>
        <v>46092</v>
      </c>
      <c r="D115" s="6">
        <v>3287</v>
      </c>
      <c r="E115" s="6">
        <v>338</v>
      </c>
      <c r="F115" s="6">
        <v>4</v>
      </c>
      <c r="G115" s="6">
        <v>7</v>
      </c>
      <c r="H115" s="6">
        <v>81595</v>
      </c>
      <c r="I115" s="6" t="s">
        <v>17</v>
      </c>
      <c r="J115" s="6">
        <v>27377877</v>
      </c>
      <c r="K115" s="6" t="s">
        <v>4040</v>
      </c>
      <c r="L115" s="17" t="s">
        <v>4042</v>
      </c>
      <c r="M115" s="8">
        <v>35900</v>
      </c>
      <c r="N115" s="37" t="str">
        <f t="shared" si="15"/>
        <v>BXGY</v>
      </c>
      <c r="O115" s="36" t="str">
        <f t="shared" si="16"/>
        <v>B1G2</v>
      </c>
      <c r="P115" s="34" t="str">
        <f t="shared" si="17"/>
        <v>BXGY</v>
      </c>
    </row>
    <row r="116" spans="1:16" x14ac:dyDescent="0.35">
      <c r="A116" s="14" t="str">
        <f t="shared" si="14"/>
        <v>2024 JUL-DEC B1G2 LICENSE ESS</v>
      </c>
      <c r="B116" s="35">
        <f t="shared" si="14"/>
        <v>46086</v>
      </c>
      <c r="C116" s="35">
        <f t="shared" si="14"/>
        <v>46092</v>
      </c>
      <c r="D116" s="6">
        <v>3287</v>
      </c>
      <c r="E116" s="6">
        <v>338</v>
      </c>
      <c r="F116" s="6">
        <v>4</v>
      </c>
      <c r="G116" s="6">
        <v>7</v>
      </c>
      <c r="H116" s="6">
        <v>81595</v>
      </c>
      <c r="I116" s="6" t="s">
        <v>17</v>
      </c>
      <c r="J116" s="6">
        <v>27377886</v>
      </c>
      <c r="K116" s="6" t="s">
        <v>4034</v>
      </c>
      <c r="L116" s="17" t="s">
        <v>4035</v>
      </c>
      <c r="M116" s="8">
        <v>35900</v>
      </c>
      <c r="N116" s="37" t="str">
        <f t="shared" si="15"/>
        <v>BXGY</v>
      </c>
      <c r="O116" s="36" t="str">
        <f t="shared" si="16"/>
        <v>B1G2</v>
      </c>
      <c r="P116" s="34" t="str">
        <f t="shared" si="17"/>
        <v>BXGY</v>
      </c>
    </row>
    <row r="117" spans="1:16" x14ac:dyDescent="0.35">
      <c r="A117" s="14" t="str">
        <f t="shared" si="14"/>
        <v>2024 JUL-DEC B1G2 LICENSE ESS</v>
      </c>
      <c r="B117" s="35">
        <f t="shared" si="14"/>
        <v>46086</v>
      </c>
      <c r="C117" s="35">
        <f t="shared" si="14"/>
        <v>46092</v>
      </c>
      <c r="D117" s="6">
        <v>3287</v>
      </c>
      <c r="E117" s="6">
        <v>338</v>
      </c>
      <c r="F117" s="6">
        <v>4</v>
      </c>
      <c r="G117" s="6">
        <v>7</v>
      </c>
      <c r="H117" s="6">
        <v>81595</v>
      </c>
      <c r="I117" s="6" t="s">
        <v>17</v>
      </c>
      <c r="J117" s="6">
        <v>27377895</v>
      </c>
      <c r="K117" s="6" t="s">
        <v>4034</v>
      </c>
      <c r="L117" s="17" t="s">
        <v>4036</v>
      </c>
      <c r="M117" s="8">
        <v>35900</v>
      </c>
      <c r="N117" s="37" t="str">
        <f t="shared" si="15"/>
        <v>BXGY</v>
      </c>
      <c r="O117" s="36" t="str">
        <f t="shared" si="16"/>
        <v>B1G2</v>
      </c>
      <c r="P117" s="34" t="str">
        <f t="shared" si="17"/>
        <v>BXGY</v>
      </c>
    </row>
    <row r="118" spans="1:16" x14ac:dyDescent="0.35">
      <c r="A118" s="14" t="str">
        <f t="shared" si="14"/>
        <v>2024 JUL-DEC B1G2 LICENSE ESS</v>
      </c>
      <c r="B118" s="35">
        <f t="shared" si="14"/>
        <v>46086</v>
      </c>
      <c r="C118" s="35">
        <f t="shared" si="14"/>
        <v>46092</v>
      </c>
      <c r="D118" s="6">
        <v>3287</v>
      </c>
      <c r="E118" s="6">
        <v>338</v>
      </c>
      <c r="F118" s="6">
        <v>4</v>
      </c>
      <c r="G118" s="6">
        <v>7</v>
      </c>
      <c r="H118" s="6">
        <v>81595</v>
      </c>
      <c r="I118" s="6" t="s">
        <v>17</v>
      </c>
      <c r="J118" s="6">
        <v>31272169</v>
      </c>
      <c r="K118" s="6" t="s">
        <v>4085</v>
      </c>
      <c r="L118" s="17" t="s">
        <v>4086</v>
      </c>
      <c r="M118" s="8">
        <v>35900</v>
      </c>
      <c r="N118" s="37" t="str">
        <f t="shared" si="15"/>
        <v>BXGY</v>
      </c>
      <c r="O118" s="36" t="str">
        <f t="shared" si="16"/>
        <v>B1G2</v>
      </c>
      <c r="P118" s="34" t="str">
        <f t="shared" si="17"/>
        <v>BXGY</v>
      </c>
    </row>
    <row r="119" spans="1:16" x14ac:dyDescent="0.35">
      <c r="A119" s="14" t="str">
        <f t="shared" si="14"/>
        <v>2024 JUL-DEC B1G2 LICENSE ESS</v>
      </c>
      <c r="B119" s="35">
        <f t="shared" si="14"/>
        <v>46086</v>
      </c>
      <c r="C119" s="35">
        <f t="shared" si="14"/>
        <v>46092</v>
      </c>
      <c r="D119" s="6">
        <v>3287</v>
      </c>
      <c r="E119" s="6">
        <v>338</v>
      </c>
      <c r="F119" s="6">
        <v>4</v>
      </c>
      <c r="G119" s="6">
        <v>7</v>
      </c>
      <c r="H119" s="6">
        <v>81595</v>
      </c>
      <c r="I119" s="6" t="s">
        <v>17</v>
      </c>
      <c r="J119" s="6">
        <v>31272178</v>
      </c>
      <c r="K119" s="6" t="s">
        <v>4085</v>
      </c>
      <c r="L119" s="17" t="s">
        <v>4087</v>
      </c>
      <c r="M119" s="8">
        <v>35900</v>
      </c>
      <c r="N119" s="37" t="str">
        <f t="shared" si="15"/>
        <v>BXGY</v>
      </c>
      <c r="O119" s="36" t="str">
        <f t="shared" si="16"/>
        <v>B1G2</v>
      </c>
      <c r="P119" s="34" t="str">
        <f t="shared" si="17"/>
        <v>BXGY</v>
      </c>
    </row>
    <row r="120" spans="1:16" x14ac:dyDescent="0.35">
      <c r="A120" s="14" t="str">
        <f t="shared" si="14"/>
        <v>2024 JUL-DEC B1G2 LICENSE ESS</v>
      </c>
      <c r="B120" s="35">
        <f t="shared" si="14"/>
        <v>46086</v>
      </c>
      <c r="C120" s="35">
        <f t="shared" si="14"/>
        <v>46092</v>
      </c>
      <c r="D120" s="6">
        <v>3287</v>
      </c>
      <c r="E120" s="6">
        <v>338</v>
      </c>
      <c r="F120" s="6">
        <v>4</v>
      </c>
      <c r="G120" s="6">
        <v>7</v>
      </c>
      <c r="H120" s="6">
        <v>81595</v>
      </c>
      <c r="I120" s="6" t="s">
        <v>17</v>
      </c>
      <c r="J120" s="6">
        <v>45812871</v>
      </c>
      <c r="K120" s="6" t="s">
        <v>4390</v>
      </c>
      <c r="L120" s="17" t="s">
        <v>4392</v>
      </c>
      <c r="M120" s="8">
        <v>35900</v>
      </c>
      <c r="N120" s="37" t="str">
        <f t="shared" si="15"/>
        <v>BXGY</v>
      </c>
      <c r="O120" s="36" t="str">
        <f t="shared" si="16"/>
        <v>B1G2</v>
      </c>
      <c r="P120" s="34" t="str">
        <f t="shared" si="17"/>
        <v>BXGY</v>
      </c>
    </row>
    <row r="121" spans="1:16" x14ac:dyDescent="0.35">
      <c r="A121" s="14" t="str">
        <f t="shared" si="14"/>
        <v>2024 JUL-DEC B1G2 LICENSE ESS</v>
      </c>
      <c r="B121" s="35">
        <f t="shared" si="14"/>
        <v>46086</v>
      </c>
      <c r="C121" s="35">
        <f t="shared" si="14"/>
        <v>46092</v>
      </c>
      <c r="D121" s="6">
        <v>3287</v>
      </c>
      <c r="E121" s="6">
        <v>338</v>
      </c>
      <c r="F121" s="6">
        <v>4</v>
      </c>
      <c r="G121" s="6">
        <v>7</v>
      </c>
      <c r="H121" s="6">
        <v>81595</v>
      </c>
      <c r="I121" s="6" t="s">
        <v>17</v>
      </c>
      <c r="J121" s="6">
        <v>45812880</v>
      </c>
      <c r="K121" s="6" t="s">
        <v>4390</v>
      </c>
      <c r="L121" s="17" t="s">
        <v>4391</v>
      </c>
      <c r="M121" s="8">
        <v>35900</v>
      </c>
      <c r="N121" s="37" t="str">
        <f t="shared" si="15"/>
        <v>BXGY</v>
      </c>
      <c r="O121" s="36" t="str">
        <f t="shared" si="16"/>
        <v>B1G2</v>
      </c>
      <c r="P121" s="34" t="str">
        <f t="shared" si="17"/>
        <v>BXGY</v>
      </c>
    </row>
    <row r="122" spans="1:16" x14ac:dyDescent="0.35">
      <c r="A122" s="14" t="str">
        <f t="shared" si="14"/>
        <v>2024 JUL-DEC B1G2 LICENSE ESS</v>
      </c>
      <c r="B122" s="35">
        <f t="shared" si="14"/>
        <v>46086</v>
      </c>
      <c r="C122" s="35">
        <f t="shared" si="14"/>
        <v>46092</v>
      </c>
      <c r="D122" s="6">
        <v>3287</v>
      </c>
      <c r="E122" s="6">
        <v>338</v>
      </c>
      <c r="F122" s="6">
        <v>4</v>
      </c>
      <c r="G122" s="6">
        <v>7</v>
      </c>
      <c r="H122" s="6">
        <v>81595</v>
      </c>
      <c r="I122" s="6" t="s">
        <v>17</v>
      </c>
      <c r="J122" s="6">
        <v>45812915</v>
      </c>
      <c r="K122" s="6" t="s">
        <v>4384</v>
      </c>
      <c r="L122" s="17" t="s">
        <v>4385</v>
      </c>
      <c r="M122" s="8">
        <v>35900</v>
      </c>
      <c r="N122" s="37" t="str">
        <f t="shared" si="15"/>
        <v>BXGY</v>
      </c>
      <c r="O122" s="36" t="str">
        <f t="shared" si="16"/>
        <v>B1G2</v>
      </c>
      <c r="P122" s="34" t="str">
        <f t="shared" si="17"/>
        <v>BXGY</v>
      </c>
    </row>
    <row r="123" spans="1:16" x14ac:dyDescent="0.35">
      <c r="A123" s="14" t="str">
        <f t="shared" si="14"/>
        <v>2024 JUL-DEC B1G2 LICENSE ESS</v>
      </c>
      <c r="B123" s="35">
        <f t="shared" si="14"/>
        <v>46086</v>
      </c>
      <c r="C123" s="35">
        <f t="shared" si="14"/>
        <v>46092</v>
      </c>
      <c r="D123" s="6">
        <v>3287</v>
      </c>
      <c r="E123" s="6">
        <v>338</v>
      </c>
      <c r="F123" s="6">
        <v>4</v>
      </c>
      <c r="G123" s="6">
        <v>7</v>
      </c>
      <c r="H123" s="6">
        <v>81595</v>
      </c>
      <c r="I123" s="6" t="s">
        <v>17</v>
      </c>
      <c r="J123" s="6">
        <v>45812924</v>
      </c>
      <c r="K123" s="6" t="s">
        <v>4384</v>
      </c>
      <c r="L123" s="17" t="s">
        <v>4386</v>
      </c>
      <c r="M123" s="8">
        <v>35900</v>
      </c>
      <c r="N123" s="37" t="str">
        <f t="shared" si="15"/>
        <v>BXGY</v>
      </c>
      <c r="O123" s="36" t="str">
        <f t="shared" si="16"/>
        <v>B1G2</v>
      </c>
      <c r="P123" s="34" t="str">
        <f t="shared" si="17"/>
        <v>BXGY</v>
      </c>
    </row>
    <row r="124" spans="1:16" x14ac:dyDescent="0.35">
      <c r="A124" s="14" t="str">
        <f t="shared" si="14"/>
        <v>2024 JUL-DEC B1G2 LICENSE ESS</v>
      </c>
      <c r="B124" s="35">
        <f t="shared" si="14"/>
        <v>46086</v>
      </c>
      <c r="C124" s="35">
        <f t="shared" si="14"/>
        <v>46092</v>
      </c>
      <c r="D124" s="6">
        <v>3287</v>
      </c>
      <c r="E124" s="6">
        <v>338</v>
      </c>
      <c r="F124" s="6">
        <v>4</v>
      </c>
      <c r="G124" s="6">
        <v>7</v>
      </c>
      <c r="H124" s="6">
        <v>81595</v>
      </c>
      <c r="I124" s="6" t="s">
        <v>17</v>
      </c>
      <c r="J124" s="6">
        <v>45812933</v>
      </c>
      <c r="K124" s="6" t="s">
        <v>4387</v>
      </c>
      <c r="L124" s="17" t="s">
        <v>4388</v>
      </c>
      <c r="M124" s="8">
        <v>35900</v>
      </c>
      <c r="N124" s="37" t="str">
        <f t="shared" si="15"/>
        <v>BXGY</v>
      </c>
      <c r="O124" s="36" t="str">
        <f t="shared" si="16"/>
        <v>B1G2</v>
      </c>
      <c r="P124" s="34" t="str">
        <f t="shared" si="17"/>
        <v>BXGY</v>
      </c>
    </row>
    <row r="125" spans="1:16" x14ac:dyDescent="0.35">
      <c r="A125" s="14" t="str">
        <f t="shared" si="14"/>
        <v>2024 JUL-DEC B1G2 LICENSE ESS</v>
      </c>
      <c r="B125" s="35">
        <f t="shared" si="14"/>
        <v>46086</v>
      </c>
      <c r="C125" s="35">
        <f t="shared" si="14"/>
        <v>46092</v>
      </c>
      <c r="D125" s="6">
        <v>3287</v>
      </c>
      <c r="E125" s="6">
        <v>338</v>
      </c>
      <c r="F125" s="6">
        <v>4</v>
      </c>
      <c r="G125" s="6">
        <v>7</v>
      </c>
      <c r="H125" s="6">
        <v>81595</v>
      </c>
      <c r="I125" s="6" t="s">
        <v>17</v>
      </c>
      <c r="J125" s="6">
        <v>45812942</v>
      </c>
      <c r="K125" s="6" t="s">
        <v>4387</v>
      </c>
      <c r="L125" s="17" t="s">
        <v>4389</v>
      </c>
      <c r="M125" s="8">
        <v>35900</v>
      </c>
      <c r="N125" s="37" t="str">
        <f t="shared" si="15"/>
        <v>BXGY</v>
      </c>
      <c r="O125" s="36" t="str">
        <f t="shared" si="16"/>
        <v>B1G2</v>
      </c>
      <c r="P125" s="34" t="str">
        <f t="shared" si="17"/>
        <v>BXGY</v>
      </c>
    </row>
    <row r="126" spans="1:16" x14ac:dyDescent="0.35">
      <c r="A126" s="14" t="str">
        <f t="shared" si="14"/>
        <v>2024 JUL-DEC B1G2 LICENSE ESS</v>
      </c>
      <c r="B126" s="35">
        <f t="shared" si="14"/>
        <v>46086</v>
      </c>
      <c r="C126" s="35">
        <f t="shared" si="14"/>
        <v>46092</v>
      </c>
      <c r="D126" s="6">
        <v>3287</v>
      </c>
      <c r="E126" s="6">
        <v>338</v>
      </c>
      <c r="F126" s="6">
        <v>4</v>
      </c>
      <c r="G126" s="6">
        <v>7</v>
      </c>
      <c r="H126" s="6">
        <v>81595</v>
      </c>
      <c r="I126" s="6" t="s">
        <v>17</v>
      </c>
      <c r="J126" s="6">
        <v>45812899</v>
      </c>
      <c r="K126" s="6" t="s">
        <v>4381</v>
      </c>
      <c r="L126" s="17" t="s">
        <v>4382</v>
      </c>
      <c r="M126" s="8">
        <v>35900</v>
      </c>
      <c r="N126" s="37" t="str">
        <f t="shared" si="15"/>
        <v>BXGY</v>
      </c>
      <c r="O126" s="36" t="str">
        <f t="shared" si="16"/>
        <v>B1G2</v>
      </c>
      <c r="P126" s="34" t="str">
        <f t="shared" si="17"/>
        <v>BXGY</v>
      </c>
    </row>
    <row r="127" spans="1:16" x14ac:dyDescent="0.35">
      <c r="A127" s="14" t="str">
        <f t="shared" si="14"/>
        <v>2024 JUL-DEC B1G2 LICENSE ESS</v>
      </c>
      <c r="B127" s="35">
        <f t="shared" si="14"/>
        <v>46086</v>
      </c>
      <c r="C127" s="35">
        <f t="shared" si="14"/>
        <v>46092</v>
      </c>
      <c r="D127" s="6">
        <v>3287</v>
      </c>
      <c r="E127" s="6">
        <v>338</v>
      </c>
      <c r="F127" s="6">
        <v>4</v>
      </c>
      <c r="G127" s="6">
        <v>7</v>
      </c>
      <c r="H127" s="6">
        <v>81595</v>
      </c>
      <c r="I127" s="6" t="s">
        <v>17</v>
      </c>
      <c r="J127" s="6">
        <v>45812906</v>
      </c>
      <c r="K127" s="6" t="s">
        <v>4381</v>
      </c>
      <c r="L127" s="17" t="s">
        <v>4383</v>
      </c>
      <c r="M127" s="8">
        <v>35900</v>
      </c>
      <c r="N127" s="37" t="str">
        <f t="shared" si="15"/>
        <v>BXGY</v>
      </c>
      <c r="O127" s="36" t="str">
        <f t="shared" si="16"/>
        <v>B1G2</v>
      </c>
      <c r="P127" s="34" t="str">
        <f t="shared" si="17"/>
        <v>BXGY</v>
      </c>
    </row>
    <row r="128" spans="1:16" x14ac:dyDescent="0.35">
      <c r="A128" s="14" t="str">
        <f t="shared" si="14"/>
        <v>2024 JUL-DEC B1G2 LICENSE ESS</v>
      </c>
      <c r="B128" s="35">
        <f t="shared" si="14"/>
        <v>46086</v>
      </c>
      <c r="C128" s="35">
        <f t="shared" si="14"/>
        <v>46092</v>
      </c>
      <c r="D128" s="6">
        <v>3287</v>
      </c>
      <c r="E128" s="6">
        <v>338</v>
      </c>
      <c r="F128" s="6">
        <v>4</v>
      </c>
      <c r="G128" s="6">
        <v>9</v>
      </c>
      <c r="H128" s="6">
        <v>81462</v>
      </c>
      <c r="I128" s="6" t="s">
        <v>17</v>
      </c>
      <c r="J128" s="6">
        <v>48225214</v>
      </c>
      <c r="K128" s="6" t="s">
        <v>5099</v>
      </c>
      <c r="L128" s="17" t="s">
        <v>5100</v>
      </c>
      <c r="M128" s="8">
        <v>229900</v>
      </c>
      <c r="N128" s="37" t="str">
        <f t="shared" si="15"/>
        <v>BXGY</v>
      </c>
      <c r="O128" s="36" t="str">
        <f t="shared" si="16"/>
        <v>B1G2</v>
      </c>
      <c r="P128" s="34" t="str">
        <f t="shared" si="17"/>
        <v>BXGY</v>
      </c>
    </row>
    <row r="129" spans="1:16" x14ac:dyDescent="0.35">
      <c r="A129" s="14" t="str">
        <f t="shared" si="14"/>
        <v>2024 JUL-DEC B1G2 LICENSE ESS</v>
      </c>
      <c r="B129" s="35">
        <f t="shared" si="14"/>
        <v>46086</v>
      </c>
      <c r="C129" s="35">
        <f t="shared" si="14"/>
        <v>46092</v>
      </c>
      <c r="D129" s="6">
        <v>3287</v>
      </c>
      <c r="E129" s="6">
        <v>338</v>
      </c>
      <c r="F129" s="6">
        <v>4</v>
      </c>
      <c r="G129" s="6">
        <v>9</v>
      </c>
      <c r="H129" s="6">
        <v>81462</v>
      </c>
      <c r="I129" s="6" t="s">
        <v>17</v>
      </c>
      <c r="J129" s="6">
        <v>48225223</v>
      </c>
      <c r="K129" s="6" t="s">
        <v>5099</v>
      </c>
      <c r="L129" s="17" t="s">
        <v>5101</v>
      </c>
      <c r="M129" s="8">
        <v>229900</v>
      </c>
      <c r="N129" s="37" t="str">
        <f t="shared" si="15"/>
        <v>BXGY</v>
      </c>
      <c r="O129" s="36" t="str">
        <f t="shared" si="16"/>
        <v>B1G2</v>
      </c>
      <c r="P129" s="34" t="str">
        <f t="shared" si="17"/>
        <v>BXGY</v>
      </c>
    </row>
    <row r="130" spans="1:16" x14ac:dyDescent="0.35">
      <c r="A130" s="14" t="str">
        <f t="shared" si="14"/>
        <v>2024 JUL-DEC B1G2 LICENSE ESS</v>
      </c>
      <c r="B130" s="35">
        <f t="shared" si="14"/>
        <v>46086</v>
      </c>
      <c r="C130" s="35">
        <f t="shared" si="14"/>
        <v>46092</v>
      </c>
      <c r="D130" s="6">
        <v>3287</v>
      </c>
      <c r="E130" s="6">
        <v>338</v>
      </c>
      <c r="F130" s="6">
        <v>4</v>
      </c>
      <c r="G130" s="6">
        <v>9</v>
      </c>
      <c r="H130" s="6">
        <v>81462</v>
      </c>
      <c r="I130" s="6" t="s">
        <v>17</v>
      </c>
      <c r="J130" s="6">
        <v>48225232</v>
      </c>
      <c r="K130" s="6" t="s">
        <v>5099</v>
      </c>
      <c r="L130" s="17" t="s">
        <v>5102</v>
      </c>
      <c r="M130" s="8">
        <v>229900</v>
      </c>
      <c r="N130" s="37" t="str">
        <f t="shared" si="15"/>
        <v>BXGY</v>
      </c>
      <c r="O130" s="36" t="str">
        <f t="shared" si="16"/>
        <v>B1G2</v>
      </c>
      <c r="P130" s="34" t="str">
        <f t="shared" si="17"/>
        <v>BXGY</v>
      </c>
    </row>
    <row r="131" spans="1:16" x14ac:dyDescent="0.35">
      <c r="A131" s="14" t="str">
        <f t="shared" si="14"/>
        <v>2024 JUL-DEC B1G2 LICENSE ESS</v>
      </c>
      <c r="B131" s="35">
        <f t="shared" si="14"/>
        <v>46086</v>
      </c>
      <c r="C131" s="35">
        <f t="shared" si="14"/>
        <v>46092</v>
      </c>
      <c r="D131" s="6">
        <v>3287</v>
      </c>
      <c r="E131" s="6">
        <v>338</v>
      </c>
      <c r="F131" s="6">
        <v>4</v>
      </c>
      <c r="G131" s="6">
        <v>9</v>
      </c>
      <c r="H131" s="6">
        <v>81462</v>
      </c>
      <c r="I131" s="6" t="s">
        <v>17</v>
      </c>
      <c r="J131" s="6">
        <v>48225241</v>
      </c>
      <c r="K131" s="6" t="s">
        <v>5099</v>
      </c>
      <c r="L131" s="17" t="s">
        <v>5103</v>
      </c>
      <c r="M131" s="8">
        <v>229900</v>
      </c>
      <c r="N131" s="37" t="str">
        <f t="shared" si="15"/>
        <v>BXGY</v>
      </c>
      <c r="O131" s="36" t="str">
        <f t="shared" si="16"/>
        <v>B1G2</v>
      </c>
      <c r="P131" s="34" t="str">
        <f t="shared" si="17"/>
        <v>BXGY</v>
      </c>
    </row>
    <row r="132" spans="1:16" x14ac:dyDescent="0.35">
      <c r="A132" s="14" t="str">
        <f t="shared" ref="A132:C195" si="18">A131</f>
        <v>2024 JUL-DEC B1G2 LICENSE ESS</v>
      </c>
      <c r="B132" s="35">
        <f t="shared" si="18"/>
        <v>46086</v>
      </c>
      <c r="C132" s="35">
        <f t="shared" si="18"/>
        <v>46092</v>
      </c>
      <c r="D132" s="6">
        <v>3287</v>
      </c>
      <c r="E132" s="6">
        <v>338</v>
      </c>
      <c r="F132" s="6">
        <v>4</v>
      </c>
      <c r="G132" s="6">
        <v>10</v>
      </c>
      <c r="H132" s="6">
        <v>81595</v>
      </c>
      <c r="I132" s="6" t="s">
        <v>17</v>
      </c>
      <c r="J132" s="6">
        <v>45450342</v>
      </c>
      <c r="K132" s="6" t="s">
        <v>5125</v>
      </c>
      <c r="L132" s="17" t="s">
        <v>5126</v>
      </c>
      <c r="M132" s="8">
        <v>35900</v>
      </c>
      <c r="N132" s="37" t="str">
        <f t="shared" si="15"/>
        <v>BXGY</v>
      </c>
      <c r="O132" s="36" t="str">
        <f t="shared" si="16"/>
        <v>B1G2</v>
      </c>
      <c r="P132" s="34" t="str">
        <f t="shared" si="17"/>
        <v>BXGY</v>
      </c>
    </row>
    <row r="133" spans="1:16" x14ac:dyDescent="0.35">
      <c r="A133" s="14" t="str">
        <f t="shared" si="18"/>
        <v>2024 JUL-DEC B1G2 LICENSE ESS</v>
      </c>
      <c r="B133" s="35">
        <f t="shared" si="18"/>
        <v>46086</v>
      </c>
      <c r="C133" s="35">
        <f t="shared" si="18"/>
        <v>46092</v>
      </c>
      <c r="D133" s="6">
        <v>3287</v>
      </c>
      <c r="E133" s="6">
        <v>338</v>
      </c>
      <c r="F133" s="6">
        <v>4</v>
      </c>
      <c r="G133" s="6">
        <v>10</v>
      </c>
      <c r="H133" s="6">
        <v>81595</v>
      </c>
      <c r="I133" s="6" t="s">
        <v>17</v>
      </c>
      <c r="J133" s="6">
        <v>45450351</v>
      </c>
      <c r="K133" s="6" t="s">
        <v>5125</v>
      </c>
      <c r="L133" s="17" t="s">
        <v>5127</v>
      </c>
      <c r="M133" s="8">
        <v>35900</v>
      </c>
      <c r="N133" s="37" t="str">
        <f t="shared" si="15"/>
        <v>BXGY</v>
      </c>
      <c r="O133" s="36" t="str">
        <f t="shared" si="16"/>
        <v>B1G2</v>
      </c>
      <c r="P133" s="34" t="str">
        <f t="shared" si="17"/>
        <v>BXGY</v>
      </c>
    </row>
    <row r="134" spans="1:16" x14ac:dyDescent="0.35">
      <c r="A134" s="14" t="str">
        <f t="shared" si="18"/>
        <v>2024 JUL-DEC B1G2 LICENSE ESS</v>
      </c>
      <c r="B134" s="35">
        <f t="shared" si="18"/>
        <v>46086</v>
      </c>
      <c r="C134" s="35">
        <f t="shared" si="18"/>
        <v>46092</v>
      </c>
      <c r="D134" s="6">
        <v>3287</v>
      </c>
      <c r="E134" s="6">
        <v>338</v>
      </c>
      <c r="F134" s="6">
        <v>4</v>
      </c>
      <c r="G134" s="6">
        <v>10</v>
      </c>
      <c r="H134" s="6">
        <v>81595</v>
      </c>
      <c r="I134" s="6" t="s">
        <v>17</v>
      </c>
      <c r="J134" s="6">
        <v>45450360</v>
      </c>
      <c r="K134" s="6" t="s">
        <v>5128</v>
      </c>
      <c r="L134" s="17" t="s">
        <v>5129</v>
      </c>
      <c r="M134" s="8">
        <v>35900</v>
      </c>
      <c r="N134" s="37" t="str">
        <f t="shared" si="15"/>
        <v>BXGY</v>
      </c>
      <c r="O134" s="36" t="str">
        <f t="shared" si="16"/>
        <v>B1G2</v>
      </c>
      <c r="P134" s="34" t="str">
        <f t="shared" si="17"/>
        <v>BXGY</v>
      </c>
    </row>
    <row r="135" spans="1:16" x14ac:dyDescent="0.35">
      <c r="A135" s="14" t="str">
        <f t="shared" si="18"/>
        <v>2024 JUL-DEC B1G2 LICENSE ESS</v>
      </c>
      <c r="B135" s="35">
        <f t="shared" si="18"/>
        <v>46086</v>
      </c>
      <c r="C135" s="35">
        <f t="shared" si="18"/>
        <v>46092</v>
      </c>
      <c r="D135" s="6">
        <v>3287</v>
      </c>
      <c r="E135" s="6">
        <v>338</v>
      </c>
      <c r="F135" s="6">
        <v>4</v>
      </c>
      <c r="G135" s="6">
        <v>10</v>
      </c>
      <c r="H135" s="6">
        <v>81595</v>
      </c>
      <c r="I135" s="6" t="s">
        <v>17</v>
      </c>
      <c r="J135" s="6">
        <v>45450379</v>
      </c>
      <c r="K135" s="6" t="s">
        <v>5128</v>
      </c>
      <c r="L135" s="17" t="s">
        <v>5130</v>
      </c>
      <c r="M135" s="8">
        <v>35900</v>
      </c>
      <c r="N135" s="37" t="str">
        <f t="shared" si="15"/>
        <v>BXGY</v>
      </c>
      <c r="O135" s="36" t="str">
        <f t="shared" si="16"/>
        <v>B1G2</v>
      </c>
      <c r="P135" s="34" t="str">
        <f t="shared" si="17"/>
        <v>BXGY</v>
      </c>
    </row>
    <row r="136" spans="1:16" x14ac:dyDescent="0.35">
      <c r="A136" s="14" t="str">
        <f t="shared" si="18"/>
        <v>2024 JUL-DEC B1G2 LICENSE ESS</v>
      </c>
      <c r="B136" s="35">
        <f t="shared" si="18"/>
        <v>46086</v>
      </c>
      <c r="C136" s="35">
        <f t="shared" si="18"/>
        <v>46092</v>
      </c>
      <c r="D136" s="6">
        <v>3287</v>
      </c>
      <c r="E136" s="6">
        <v>338</v>
      </c>
      <c r="F136" s="6">
        <v>4</v>
      </c>
      <c r="G136" s="6">
        <v>10</v>
      </c>
      <c r="H136" s="6">
        <v>81595</v>
      </c>
      <c r="I136" s="6" t="s">
        <v>17</v>
      </c>
      <c r="J136" s="6">
        <v>45450388</v>
      </c>
      <c r="K136" s="6" t="s">
        <v>5131</v>
      </c>
      <c r="L136" s="17" t="s">
        <v>5132</v>
      </c>
      <c r="M136" s="8">
        <v>35900</v>
      </c>
      <c r="N136" s="37" t="str">
        <f t="shared" si="15"/>
        <v>BXGY</v>
      </c>
      <c r="O136" s="36" t="str">
        <f t="shared" si="16"/>
        <v>B1G2</v>
      </c>
      <c r="P136" s="34" t="str">
        <f t="shared" si="17"/>
        <v>BXGY</v>
      </c>
    </row>
    <row r="137" spans="1:16" x14ac:dyDescent="0.35">
      <c r="A137" s="14" t="str">
        <f t="shared" si="18"/>
        <v>2024 JUL-DEC B1G2 LICENSE ESS</v>
      </c>
      <c r="B137" s="35">
        <f t="shared" si="18"/>
        <v>46086</v>
      </c>
      <c r="C137" s="35">
        <f t="shared" si="18"/>
        <v>46092</v>
      </c>
      <c r="D137" s="6">
        <v>3287</v>
      </c>
      <c r="E137" s="6">
        <v>338</v>
      </c>
      <c r="F137" s="6">
        <v>4</v>
      </c>
      <c r="G137" s="6">
        <v>10</v>
      </c>
      <c r="H137" s="6">
        <v>81595</v>
      </c>
      <c r="I137" s="6" t="s">
        <v>17</v>
      </c>
      <c r="J137" s="6">
        <v>45450397</v>
      </c>
      <c r="K137" s="6" t="s">
        <v>5131</v>
      </c>
      <c r="L137" s="17" t="s">
        <v>5133</v>
      </c>
      <c r="M137" s="8">
        <v>35900</v>
      </c>
      <c r="N137" s="37" t="str">
        <f t="shared" si="15"/>
        <v>BXGY</v>
      </c>
      <c r="O137" s="36" t="str">
        <f t="shared" si="16"/>
        <v>B1G2</v>
      </c>
      <c r="P137" s="34" t="str">
        <f t="shared" si="17"/>
        <v>BXGY</v>
      </c>
    </row>
    <row r="138" spans="1:16" x14ac:dyDescent="0.35">
      <c r="A138" s="14" t="str">
        <f t="shared" si="18"/>
        <v>2024 JUL-DEC B1G2 LICENSE ESS</v>
      </c>
      <c r="B138" s="35">
        <f t="shared" si="18"/>
        <v>46086</v>
      </c>
      <c r="C138" s="35">
        <f t="shared" si="18"/>
        <v>46092</v>
      </c>
      <c r="D138" s="6">
        <v>3287</v>
      </c>
      <c r="E138" s="6">
        <v>338</v>
      </c>
      <c r="F138" s="6">
        <v>4</v>
      </c>
      <c r="G138" s="6">
        <v>10</v>
      </c>
      <c r="H138" s="6">
        <v>81595</v>
      </c>
      <c r="I138" s="6" t="s">
        <v>17</v>
      </c>
      <c r="J138" s="6">
        <v>45450404</v>
      </c>
      <c r="K138" s="6" t="s">
        <v>5134</v>
      </c>
      <c r="L138" s="17" t="s">
        <v>5135</v>
      </c>
      <c r="M138" s="8">
        <v>35900</v>
      </c>
      <c r="N138" s="37" t="str">
        <f t="shared" si="15"/>
        <v>BXGY</v>
      </c>
      <c r="O138" s="36" t="str">
        <f t="shared" si="16"/>
        <v>B1G2</v>
      </c>
      <c r="P138" s="34" t="str">
        <f t="shared" si="17"/>
        <v>BXGY</v>
      </c>
    </row>
    <row r="139" spans="1:16" x14ac:dyDescent="0.35">
      <c r="A139" s="14" t="str">
        <f t="shared" si="18"/>
        <v>2024 JUL-DEC B1G2 LICENSE ESS</v>
      </c>
      <c r="B139" s="35">
        <f t="shared" si="18"/>
        <v>46086</v>
      </c>
      <c r="C139" s="35">
        <f t="shared" si="18"/>
        <v>46092</v>
      </c>
      <c r="D139" s="6">
        <v>3287</v>
      </c>
      <c r="E139" s="6">
        <v>338</v>
      </c>
      <c r="F139" s="6">
        <v>4</v>
      </c>
      <c r="G139" s="6">
        <v>10</v>
      </c>
      <c r="H139" s="6">
        <v>81595</v>
      </c>
      <c r="I139" s="6" t="s">
        <v>17</v>
      </c>
      <c r="J139" s="6">
        <v>45450413</v>
      </c>
      <c r="K139" s="6" t="s">
        <v>5134</v>
      </c>
      <c r="L139" s="17" t="s">
        <v>5136</v>
      </c>
      <c r="M139" s="8">
        <v>35900</v>
      </c>
      <c r="N139" s="37" t="str">
        <f t="shared" si="15"/>
        <v>BXGY</v>
      </c>
      <c r="O139" s="36" t="str">
        <f t="shared" si="16"/>
        <v>B1G2</v>
      </c>
      <c r="P139" s="34" t="str">
        <f t="shared" si="17"/>
        <v>BXGY</v>
      </c>
    </row>
    <row r="140" spans="1:16" x14ac:dyDescent="0.35">
      <c r="A140" s="14" t="str">
        <f t="shared" si="18"/>
        <v>2024 JUL-DEC B1G2 LICENSE ESS</v>
      </c>
      <c r="B140" s="35">
        <f t="shared" si="18"/>
        <v>46086</v>
      </c>
      <c r="C140" s="35">
        <f t="shared" si="18"/>
        <v>46092</v>
      </c>
      <c r="D140" s="6">
        <v>3287</v>
      </c>
      <c r="E140" s="6">
        <v>338</v>
      </c>
      <c r="F140" s="6">
        <v>4</v>
      </c>
      <c r="G140" s="6">
        <v>1</v>
      </c>
      <c r="H140" s="6">
        <v>850</v>
      </c>
      <c r="I140" s="6" t="s">
        <v>17</v>
      </c>
      <c r="J140" s="6">
        <v>27377902</v>
      </c>
      <c r="K140" s="6" t="s">
        <v>4080</v>
      </c>
      <c r="L140" s="17" t="s">
        <v>4081</v>
      </c>
      <c r="M140" s="8">
        <v>119900</v>
      </c>
      <c r="N140" s="37" t="str">
        <f t="shared" si="15"/>
        <v>BXGY</v>
      </c>
      <c r="O140" s="36" t="str">
        <f t="shared" si="16"/>
        <v>B1G2</v>
      </c>
      <c r="P140" s="34" t="str">
        <f t="shared" si="17"/>
        <v>BXGY</v>
      </c>
    </row>
    <row r="141" spans="1:16" x14ac:dyDescent="0.35">
      <c r="A141" s="14" t="str">
        <f t="shared" si="18"/>
        <v>2024 JUL-DEC B1G2 LICENSE ESS</v>
      </c>
      <c r="B141" s="35">
        <f t="shared" si="18"/>
        <v>46086</v>
      </c>
      <c r="C141" s="35">
        <f t="shared" si="18"/>
        <v>46092</v>
      </c>
      <c r="D141" s="6">
        <v>3287</v>
      </c>
      <c r="E141" s="6">
        <v>338</v>
      </c>
      <c r="F141" s="6">
        <v>4</v>
      </c>
      <c r="G141" s="6">
        <v>1</v>
      </c>
      <c r="H141" s="6">
        <v>850</v>
      </c>
      <c r="I141" s="6" t="s">
        <v>17</v>
      </c>
      <c r="J141" s="6">
        <v>27377911</v>
      </c>
      <c r="K141" s="6" t="s">
        <v>4080</v>
      </c>
      <c r="L141" s="17" t="s">
        <v>4082</v>
      </c>
      <c r="M141" s="8">
        <v>119900</v>
      </c>
      <c r="N141" s="37" t="str">
        <f t="shared" si="15"/>
        <v>BXGY</v>
      </c>
      <c r="O141" s="36" t="str">
        <f t="shared" si="16"/>
        <v>B1G2</v>
      </c>
      <c r="P141" s="34" t="str">
        <f t="shared" si="17"/>
        <v>BXGY</v>
      </c>
    </row>
    <row r="142" spans="1:16" x14ac:dyDescent="0.35">
      <c r="A142" s="14" t="str">
        <f t="shared" si="18"/>
        <v>2024 JUL-DEC B1G2 LICENSE ESS</v>
      </c>
      <c r="B142" s="35">
        <f t="shared" si="18"/>
        <v>46086</v>
      </c>
      <c r="C142" s="35">
        <f t="shared" si="18"/>
        <v>46092</v>
      </c>
      <c r="D142" s="6">
        <v>3287</v>
      </c>
      <c r="E142" s="6">
        <v>338</v>
      </c>
      <c r="F142" s="6">
        <v>4</v>
      </c>
      <c r="G142" s="6">
        <v>1</v>
      </c>
      <c r="H142" s="6">
        <v>850</v>
      </c>
      <c r="I142" s="6" t="s">
        <v>17</v>
      </c>
      <c r="J142" s="6">
        <v>27377920</v>
      </c>
      <c r="K142" s="6" t="s">
        <v>4080</v>
      </c>
      <c r="L142" s="17" t="s">
        <v>4083</v>
      </c>
      <c r="M142" s="8">
        <v>119900</v>
      </c>
      <c r="N142" s="37" t="str">
        <f t="shared" si="15"/>
        <v>BXGY</v>
      </c>
      <c r="O142" s="36" t="str">
        <f t="shared" si="16"/>
        <v>B1G2</v>
      </c>
      <c r="P142" s="34" t="str">
        <f t="shared" si="17"/>
        <v>BXGY</v>
      </c>
    </row>
    <row r="143" spans="1:16" x14ac:dyDescent="0.35">
      <c r="A143" s="14" t="str">
        <f t="shared" si="18"/>
        <v>2024 JUL-DEC B1G2 LICENSE ESS</v>
      </c>
      <c r="B143" s="35">
        <f t="shared" si="18"/>
        <v>46086</v>
      </c>
      <c r="C143" s="35">
        <f t="shared" si="18"/>
        <v>46092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27377939</v>
      </c>
      <c r="K143" s="6" t="s">
        <v>4080</v>
      </c>
      <c r="L143" s="17" t="s">
        <v>4084</v>
      </c>
      <c r="M143" s="8">
        <v>119900</v>
      </c>
      <c r="N143" s="37" t="str">
        <f t="shared" si="15"/>
        <v>BXGY</v>
      </c>
      <c r="O143" s="36" t="str">
        <f t="shared" si="16"/>
        <v>B1G2</v>
      </c>
      <c r="P143" s="34" t="str">
        <f t="shared" si="17"/>
        <v>BXGY</v>
      </c>
    </row>
    <row r="144" spans="1:16" x14ac:dyDescent="0.35">
      <c r="A144" s="14" t="str">
        <f t="shared" si="18"/>
        <v>2024 JUL-DEC B1G2 LICENSE ESS</v>
      </c>
      <c r="B144" s="35">
        <f t="shared" si="18"/>
        <v>46086</v>
      </c>
      <c r="C144" s="35">
        <f t="shared" si="18"/>
        <v>46092</v>
      </c>
      <c r="D144" s="6">
        <v>3287</v>
      </c>
      <c r="E144" s="6">
        <v>338</v>
      </c>
      <c r="F144" s="6">
        <v>4</v>
      </c>
      <c r="G144" s="6">
        <v>3</v>
      </c>
      <c r="H144" s="6">
        <v>850</v>
      </c>
      <c r="I144" s="6" t="s">
        <v>17</v>
      </c>
      <c r="J144" s="6">
        <v>27378858</v>
      </c>
      <c r="K144" s="6" t="s">
        <v>4073</v>
      </c>
      <c r="L144" s="17" t="s">
        <v>4074</v>
      </c>
      <c r="M144" s="8">
        <v>119900</v>
      </c>
      <c r="N144" s="37" t="str">
        <f t="shared" si="15"/>
        <v>BXGY</v>
      </c>
      <c r="O144" s="36" t="str">
        <f t="shared" si="16"/>
        <v>B1G2</v>
      </c>
      <c r="P144" s="34" t="str">
        <f t="shared" si="17"/>
        <v>BXGY</v>
      </c>
    </row>
    <row r="145" spans="1:16" x14ac:dyDescent="0.35">
      <c r="A145" s="14" t="str">
        <f t="shared" si="18"/>
        <v>2024 JUL-DEC B1G2 LICENSE ESS</v>
      </c>
      <c r="B145" s="35">
        <f t="shared" si="18"/>
        <v>46086</v>
      </c>
      <c r="C145" s="35">
        <f t="shared" si="18"/>
        <v>46092</v>
      </c>
      <c r="D145" s="6">
        <v>3287</v>
      </c>
      <c r="E145" s="6">
        <v>338</v>
      </c>
      <c r="F145" s="6">
        <v>4</v>
      </c>
      <c r="G145" s="6">
        <v>3</v>
      </c>
      <c r="H145" s="6">
        <v>850</v>
      </c>
      <c r="I145" s="6" t="s">
        <v>17</v>
      </c>
      <c r="J145" s="6">
        <v>27378867</v>
      </c>
      <c r="K145" s="6" t="s">
        <v>4073</v>
      </c>
      <c r="L145" s="17" t="s">
        <v>4075</v>
      </c>
      <c r="M145" s="8">
        <v>119900</v>
      </c>
      <c r="N145" s="37" t="str">
        <f t="shared" ref="N145:N208" si="19">N144</f>
        <v>BXGY</v>
      </c>
      <c r="O145" s="36" t="str">
        <f t="shared" ref="O145:O208" si="20">O144</f>
        <v>B1G2</v>
      </c>
      <c r="P145" s="34" t="str">
        <f t="shared" ref="P145:P208" si="21">P144</f>
        <v>BXGY</v>
      </c>
    </row>
    <row r="146" spans="1:16" x14ac:dyDescent="0.35">
      <c r="A146" s="14" t="str">
        <f t="shared" si="18"/>
        <v>2024 JUL-DEC B1G2 LICENSE ESS</v>
      </c>
      <c r="B146" s="35">
        <f t="shared" si="18"/>
        <v>46086</v>
      </c>
      <c r="C146" s="35">
        <f t="shared" si="18"/>
        <v>46092</v>
      </c>
      <c r="D146" s="6">
        <v>3287</v>
      </c>
      <c r="E146" s="6">
        <v>338</v>
      </c>
      <c r="F146" s="6">
        <v>4</v>
      </c>
      <c r="G146" s="6">
        <v>3</v>
      </c>
      <c r="H146" s="6">
        <v>850</v>
      </c>
      <c r="I146" s="6" t="s">
        <v>17</v>
      </c>
      <c r="J146" s="6">
        <v>27378876</v>
      </c>
      <c r="K146" s="6" t="s">
        <v>4073</v>
      </c>
      <c r="L146" s="17" t="s">
        <v>4076</v>
      </c>
      <c r="M146" s="8">
        <v>119900</v>
      </c>
      <c r="N146" s="37" t="str">
        <f t="shared" si="19"/>
        <v>BXGY</v>
      </c>
      <c r="O146" s="36" t="str">
        <f t="shared" si="20"/>
        <v>B1G2</v>
      </c>
      <c r="P146" s="34" t="str">
        <f t="shared" si="21"/>
        <v>BXGY</v>
      </c>
    </row>
    <row r="147" spans="1:16" x14ac:dyDescent="0.35">
      <c r="A147" s="14" t="str">
        <f t="shared" si="18"/>
        <v>2024 JUL-DEC B1G2 LICENSE ESS</v>
      </c>
      <c r="B147" s="35">
        <f t="shared" si="18"/>
        <v>46086</v>
      </c>
      <c r="C147" s="35">
        <f t="shared" si="18"/>
        <v>46092</v>
      </c>
      <c r="D147" s="6">
        <v>3287</v>
      </c>
      <c r="E147" s="6">
        <v>338</v>
      </c>
      <c r="F147" s="6">
        <v>4</v>
      </c>
      <c r="G147" s="6">
        <v>3</v>
      </c>
      <c r="H147" s="6">
        <v>850</v>
      </c>
      <c r="I147" s="6" t="s">
        <v>17</v>
      </c>
      <c r="J147" s="6">
        <v>27378885</v>
      </c>
      <c r="K147" s="6" t="s">
        <v>4073</v>
      </c>
      <c r="L147" s="17" t="s">
        <v>4077</v>
      </c>
      <c r="M147" s="8">
        <v>119900</v>
      </c>
      <c r="N147" s="37" t="str">
        <f t="shared" si="19"/>
        <v>BXGY</v>
      </c>
      <c r="O147" s="36" t="str">
        <f t="shared" si="20"/>
        <v>B1G2</v>
      </c>
      <c r="P147" s="34" t="str">
        <f t="shared" si="21"/>
        <v>BXGY</v>
      </c>
    </row>
    <row r="148" spans="1:16" x14ac:dyDescent="0.35">
      <c r="A148" s="14" t="str">
        <f t="shared" si="18"/>
        <v>2024 JUL-DEC B1G2 LICENSE ESS</v>
      </c>
      <c r="B148" s="35">
        <f t="shared" si="18"/>
        <v>46086</v>
      </c>
      <c r="C148" s="35">
        <f t="shared" si="18"/>
        <v>46092</v>
      </c>
      <c r="D148" s="6">
        <v>3287</v>
      </c>
      <c r="E148" s="6">
        <v>338</v>
      </c>
      <c r="F148" s="6">
        <v>4</v>
      </c>
      <c r="G148" s="6">
        <v>3</v>
      </c>
      <c r="H148" s="6">
        <v>850</v>
      </c>
      <c r="I148" s="6" t="s">
        <v>17</v>
      </c>
      <c r="J148" s="6">
        <v>27378894</v>
      </c>
      <c r="K148" s="6" t="s">
        <v>4070</v>
      </c>
      <c r="L148" s="17" t="s">
        <v>4071</v>
      </c>
      <c r="M148" s="8">
        <v>119900</v>
      </c>
      <c r="N148" s="37" t="str">
        <f t="shared" si="19"/>
        <v>BXGY</v>
      </c>
      <c r="O148" s="36" t="str">
        <f t="shared" si="20"/>
        <v>B1G2</v>
      </c>
      <c r="P148" s="34" t="str">
        <f t="shared" si="21"/>
        <v>BXGY</v>
      </c>
    </row>
    <row r="149" spans="1:16" x14ac:dyDescent="0.35">
      <c r="A149" s="14" t="str">
        <f t="shared" si="18"/>
        <v>2024 JUL-DEC B1G2 LICENSE ESS</v>
      </c>
      <c r="B149" s="35">
        <f t="shared" si="18"/>
        <v>46086</v>
      </c>
      <c r="C149" s="35">
        <f t="shared" si="18"/>
        <v>46092</v>
      </c>
      <c r="D149" s="6">
        <v>3287</v>
      </c>
      <c r="E149" s="6">
        <v>338</v>
      </c>
      <c r="F149" s="6">
        <v>4</v>
      </c>
      <c r="G149" s="6">
        <v>3</v>
      </c>
      <c r="H149" s="6">
        <v>850</v>
      </c>
      <c r="I149" s="6" t="s">
        <v>17</v>
      </c>
      <c r="J149" s="6">
        <v>27378901</v>
      </c>
      <c r="K149" s="6" t="s">
        <v>4070</v>
      </c>
      <c r="L149" s="17" t="s">
        <v>4078</v>
      </c>
      <c r="M149" s="8">
        <v>119900</v>
      </c>
      <c r="N149" s="37" t="str">
        <f t="shared" si="19"/>
        <v>BXGY</v>
      </c>
      <c r="O149" s="36" t="str">
        <f t="shared" si="20"/>
        <v>B1G2</v>
      </c>
      <c r="P149" s="34" t="str">
        <f t="shared" si="21"/>
        <v>BXGY</v>
      </c>
    </row>
    <row r="150" spans="1:16" x14ac:dyDescent="0.35">
      <c r="A150" s="14" t="str">
        <f t="shared" si="18"/>
        <v>2024 JUL-DEC B1G2 LICENSE ESS</v>
      </c>
      <c r="B150" s="35">
        <f t="shared" si="18"/>
        <v>46086</v>
      </c>
      <c r="C150" s="35">
        <f t="shared" si="18"/>
        <v>46092</v>
      </c>
      <c r="D150" s="6">
        <v>3287</v>
      </c>
      <c r="E150" s="6">
        <v>338</v>
      </c>
      <c r="F150" s="6">
        <v>4</v>
      </c>
      <c r="G150" s="6">
        <v>3</v>
      </c>
      <c r="H150" s="6">
        <v>850</v>
      </c>
      <c r="I150" s="6" t="s">
        <v>17</v>
      </c>
      <c r="J150" s="6">
        <v>27378910</v>
      </c>
      <c r="K150" s="6" t="s">
        <v>4070</v>
      </c>
      <c r="L150" s="17" t="s">
        <v>4072</v>
      </c>
      <c r="M150" s="8">
        <v>119900</v>
      </c>
      <c r="N150" s="37" t="str">
        <f t="shared" si="19"/>
        <v>BXGY</v>
      </c>
      <c r="O150" s="36" t="str">
        <f t="shared" si="20"/>
        <v>B1G2</v>
      </c>
      <c r="P150" s="34" t="str">
        <f t="shared" si="21"/>
        <v>BXGY</v>
      </c>
    </row>
    <row r="151" spans="1:16" x14ac:dyDescent="0.35">
      <c r="A151" s="14" t="str">
        <f t="shared" si="18"/>
        <v>2024 JUL-DEC B1G2 LICENSE ESS</v>
      </c>
      <c r="B151" s="35">
        <f t="shared" si="18"/>
        <v>46086</v>
      </c>
      <c r="C151" s="35">
        <f t="shared" si="18"/>
        <v>46092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27378929</v>
      </c>
      <c r="K151" s="6" t="s">
        <v>4070</v>
      </c>
      <c r="L151" s="17" t="s">
        <v>4079</v>
      </c>
      <c r="M151" s="8">
        <v>119900</v>
      </c>
      <c r="N151" s="37" t="str">
        <f t="shared" si="19"/>
        <v>BXGY</v>
      </c>
      <c r="O151" s="36" t="str">
        <f t="shared" si="20"/>
        <v>B1G2</v>
      </c>
      <c r="P151" s="34" t="str">
        <f t="shared" si="21"/>
        <v>BXGY</v>
      </c>
    </row>
    <row r="152" spans="1:16" x14ac:dyDescent="0.35">
      <c r="A152" s="14" t="str">
        <f t="shared" si="18"/>
        <v>2024 JUL-DEC B1G2 LICENSE ESS</v>
      </c>
      <c r="B152" s="35">
        <f t="shared" si="18"/>
        <v>46086</v>
      </c>
      <c r="C152" s="35">
        <f t="shared" si="18"/>
        <v>46092</v>
      </c>
      <c r="D152" s="6">
        <v>3287</v>
      </c>
      <c r="E152" s="6">
        <v>338</v>
      </c>
      <c r="F152" s="6">
        <v>4</v>
      </c>
      <c r="G152" s="6">
        <v>3</v>
      </c>
      <c r="H152" s="6">
        <v>81574</v>
      </c>
      <c r="I152" s="6" t="s">
        <v>17</v>
      </c>
      <c r="J152" s="6">
        <v>45812951</v>
      </c>
      <c r="K152" s="6" t="s">
        <v>4376</v>
      </c>
      <c r="L152" s="17" t="s">
        <v>4377</v>
      </c>
      <c r="M152" s="8">
        <v>119900</v>
      </c>
      <c r="N152" s="37" t="str">
        <f t="shared" si="19"/>
        <v>BXGY</v>
      </c>
      <c r="O152" s="36" t="str">
        <f t="shared" si="20"/>
        <v>B1G2</v>
      </c>
      <c r="P152" s="34" t="str">
        <f t="shared" si="21"/>
        <v>BXGY</v>
      </c>
    </row>
    <row r="153" spans="1:16" x14ac:dyDescent="0.35">
      <c r="A153" s="14" t="str">
        <f t="shared" si="18"/>
        <v>2024 JUL-DEC B1G2 LICENSE ESS</v>
      </c>
      <c r="B153" s="35">
        <f t="shared" si="18"/>
        <v>46086</v>
      </c>
      <c r="C153" s="35">
        <f t="shared" si="18"/>
        <v>46092</v>
      </c>
      <c r="D153" s="6">
        <v>3287</v>
      </c>
      <c r="E153" s="6">
        <v>338</v>
      </c>
      <c r="F153" s="6">
        <v>4</v>
      </c>
      <c r="G153" s="6">
        <v>3</v>
      </c>
      <c r="H153" s="6">
        <v>81574</v>
      </c>
      <c r="I153" s="6" t="s">
        <v>17</v>
      </c>
      <c r="J153" s="6">
        <v>45812960</v>
      </c>
      <c r="K153" s="6" t="s">
        <v>4376</v>
      </c>
      <c r="L153" s="17" t="s">
        <v>4378</v>
      </c>
      <c r="M153" s="8">
        <v>119900</v>
      </c>
      <c r="N153" s="37" t="str">
        <f t="shared" si="19"/>
        <v>BXGY</v>
      </c>
      <c r="O153" s="36" t="str">
        <f t="shared" si="20"/>
        <v>B1G2</v>
      </c>
      <c r="P153" s="34" t="str">
        <f t="shared" si="21"/>
        <v>BXGY</v>
      </c>
    </row>
    <row r="154" spans="1:16" x14ac:dyDescent="0.35">
      <c r="A154" s="14" t="str">
        <f t="shared" si="18"/>
        <v>2024 JUL-DEC B1G2 LICENSE ESS</v>
      </c>
      <c r="B154" s="35">
        <f t="shared" si="18"/>
        <v>46086</v>
      </c>
      <c r="C154" s="35">
        <f t="shared" si="18"/>
        <v>46092</v>
      </c>
      <c r="D154" s="6">
        <v>3287</v>
      </c>
      <c r="E154" s="6">
        <v>338</v>
      </c>
      <c r="F154" s="6">
        <v>4</v>
      </c>
      <c r="G154" s="6">
        <v>3</v>
      </c>
      <c r="H154" s="6">
        <v>81574</v>
      </c>
      <c r="I154" s="6" t="s">
        <v>17</v>
      </c>
      <c r="J154" s="6">
        <v>45812979</v>
      </c>
      <c r="K154" s="6" t="s">
        <v>4376</v>
      </c>
      <c r="L154" s="17" t="s">
        <v>4379</v>
      </c>
      <c r="M154" s="8">
        <v>119900</v>
      </c>
      <c r="N154" s="37" t="str">
        <f t="shared" si="19"/>
        <v>BXGY</v>
      </c>
      <c r="O154" s="36" t="str">
        <f t="shared" si="20"/>
        <v>B1G2</v>
      </c>
      <c r="P154" s="34" t="str">
        <f t="shared" si="21"/>
        <v>BXGY</v>
      </c>
    </row>
    <row r="155" spans="1:16" x14ac:dyDescent="0.35">
      <c r="A155" s="14" t="str">
        <f t="shared" si="18"/>
        <v>2024 JUL-DEC B1G2 LICENSE ESS</v>
      </c>
      <c r="B155" s="35">
        <f t="shared" si="18"/>
        <v>46086</v>
      </c>
      <c r="C155" s="35">
        <f t="shared" si="18"/>
        <v>46092</v>
      </c>
      <c r="D155" s="6">
        <v>3287</v>
      </c>
      <c r="E155" s="6">
        <v>338</v>
      </c>
      <c r="F155" s="6">
        <v>4</v>
      </c>
      <c r="G155" s="6">
        <v>7</v>
      </c>
      <c r="H155" s="6">
        <v>81595</v>
      </c>
      <c r="I155" s="6" t="s">
        <v>17</v>
      </c>
      <c r="J155" s="6">
        <v>45812853</v>
      </c>
      <c r="K155" s="6" t="s">
        <v>4402</v>
      </c>
      <c r="L155" s="17" t="s">
        <v>4403</v>
      </c>
      <c r="M155" s="8">
        <v>35900</v>
      </c>
      <c r="N155" s="37" t="str">
        <f t="shared" si="19"/>
        <v>BXGY</v>
      </c>
      <c r="O155" s="36" t="str">
        <f t="shared" si="20"/>
        <v>B1G2</v>
      </c>
      <c r="P155" s="34" t="str">
        <f t="shared" si="21"/>
        <v>BXGY</v>
      </c>
    </row>
    <row r="156" spans="1:16" x14ac:dyDescent="0.35">
      <c r="A156" s="14" t="str">
        <f t="shared" si="18"/>
        <v>2024 JUL-DEC B1G2 LICENSE ESS</v>
      </c>
      <c r="B156" s="35">
        <f t="shared" si="18"/>
        <v>46086</v>
      </c>
      <c r="C156" s="35">
        <f t="shared" si="18"/>
        <v>46092</v>
      </c>
      <c r="D156" s="6">
        <v>3287</v>
      </c>
      <c r="E156" s="6">
        <v>338</v>
      </c>
      <c r="F156" s="6">
        <v>4</v>
      </c>
      <c r="G156" s="6">
        <v>7</v>
      </c>
      <c r="H156" s="6">
        <v>81595</v>
      </c>
      <c r="I156" s="6" t="s">
        <v>17</v>
      </c>
      <c r="J156" s="6">
        <v>45812862</v>
      </c>
      <c r="K156" s="6" t="s">
        <v>4402</v>
      </c>
      <c r="L156" s="17" t="s">
        <v>4404</v>
      </c>
      <c r="M156" s="8">
        <v>35900</v>
      </c>
      <c r="N156" s="37" t="str">
        <f t="shared" si="19"/>
        <v>BXGY</v>
      </c>
      <c r="O156" s="36" t="str">
        <f t="shared" si="20"/>
        <v>B1G2</v>
      </c>
      <c r="P156" s="34" t="str">
        <f t="shared" si="21"/>
        <v>BXGY</v>
      </c>
    </row>
    <row r="157" spans="1:16" x14ac:dyDescent="0.35">
      <c r="A157" s="14" t="str">
        <f t="shared" si="18"/>
        <v>2024 JUL-DEC B1G2 LICENSE ESS</v>
      </c>
      <c r="B157" s="35">
        <f t="shared" si="18"/>
        <v>46086</v>
      </c>
      <c r="C157" s="35">
        <f t="shared" si="18"/>
        <v>46092</v>
      </c>
      <c r="D157" s="6">
        <v>3287</v>
      </c>
      <c r="E157" s="6">
        <v>338</v>
      </c>
      <c r="F157" s="6">
        <v>4</v>
      </c>
      <c r="G157" s="6">
        <v>7</v>
      </c>
      <c r="H157" s="6">
        <v>81595</v>
      </c>
      <c r="I157" s="6" t="s">
        <v>17</v>
      </c>
      <c r="J157" s="6">
        <v>45812835</v>
      </c>
      <c r="K157" s="6" t="s">
        <v>4405</v>
      </c>
      <c r="L157" s="17" t="s">
        <v>4406</v>
      </c>
      <c r="M157" s="8">
        <v>35900</v>
      </c>
      <c r="N157" s="37" t="str">
        <f t="shared" si="19"/>
        <v>BXGY</v>
      </c>
      <c r="O157" s="36" t="str">
        <f t="shared" si="20"/>
        <v>B1G2</v>
      </c>
      <c r="P157" s="34" t="str">
        <f t="shared" si="21"/>
        <v>BXGY</v>
      </c>
    </row>
    <row r="158" spans="1:16" x14ac:dyDescent="0.35">
      <c r="A158" s="14" t="str">
        <f t="shared" si="18"/>
        <v>2024 JUL-DEC B1G2 LICENSE ESS</v>
      </c>
      <c r="B158" s="35">
        <f t="shared" si="18"/>
        <v>46086</v>
      </c>
      <c r="C158" s="35">
        <f t="shared" si="18"/>
        <v>46092</v>
      </c>
      <c r="D158" s="6">
        <v>3287</v>
      </c>
      <c r="E158" s="6">
        <v>338</v>
      </c>
      <c r="F158" s="6">
        <v>4</v>
      </c>
      <c r="G158" s="6">
        <v>7</v>
      </c>
      <c r="H158" s="6">
        <v>81595</v>
      </c>
      <c r="I158" s="6" t="s">
        <v>17</v>
      </c>
      <c r="J158" s="6">
        <v>45812844</v>
      </c>
      <c r="K158" s="6" t="s">
        <v>4405</v>
      </c>
      <c r="L158" s="17" t="s">
        <v>4407</v>
      </c>
      <c r="M158" s="8">
        <v>35900</v>
      </c>
      <c r="N158" s="37" t="str">
        <f t="shared" si="19"/>
        <v>BXGY</v>
      </c>
      <c r="O158" s="36" t="str">
        <f t="shared" si="20"/>
        <v>B1G2</v>
      </c>
      <c r="P158" s="34" t="str">
        <f t="shared" si="21"/>
        <v>BXGY</v>
      </c>
    </row>
    <row r="159" spans="1:16" x14ac:dyDescent="0.35">
      <c r="A159" s="14" t="str">
        <f t="shared" si="18"/>
        <v>2024 JUL-DEC B1G2 LICENSE ESS</v>
      </c>
      <c r="B159" s="35">
        <f t="shared" si="18"/>
        <v>46086</v>
      </c>
      <c r="C159" s="35">
        <f t="shared" si="18"/>
        <v>46092</v>
      </c>
      <c r="D159" s="6">
        <v>3287</v>
      </c>
      <c r="E159" s="6">
        <v>338</v>
      </c>
      <c r="F159" s="6">
        <v>4</v>
      </c>
      <c r="G159" s="6">
        <v>7</v>
      </c>
      <c r="H159" s="6">
        <v>81595</v>
      </c>
      <c r="I159" s="6" t="s">
        <v>17</v>
      </c>
      <c r="J159" s="6">
        <v>45812817</v>
      </c>
      <c r="K159" s="6" t="s">
        <v>4408</v>
      </c>
      <c r="L159" s="17" t="s">
        <v>4410</v>
      </c>
      <c r="M159" s="8">
        <v>35900</v>
      </c>
      <c r="N159" s="37" t="str">
        <f t="shared" si="19"/>
        <v>BXGY</v>
      </c>
      <c r="O159" s="36" t="str">
        <f t="shared" si="20"/>
        <v>B1G2</v>
      </c>
      <c r="P159" s="34" t="str">
        <f t="shared" si="21"/>
        <v>BXGY</v>
      </c>
    </row>
    <row r="160" spans="1:16" x14ac:dyDescent="0.35">
      <c r="A160" s="14" t="str">
        <f t="shared" si="18"/>
        <v>2024 JUL-DEC B1G2 LICENSE ESS</v>
      </c>
      <c r="B160" s="35">
        <f t="shared" si="18"/>
        <v>46086</v>
      </c>
      <c r="C160" s="35">
        <f t="shared" si="18"/>
        <v>46092</v>
      </c>
      <c r="D160" s="6">
        <v>3287</v>
      </c>
      <c r="E160" s="6">
        <v>338</v>
      </c>
      <c r="F160" s="6">
        <v>4</v>
      </c>
      <c r="G160" s="6">
        <v>7</v>
      </c>
      <c r="H160" s="6">
        <v>81595</v>
      </c>
      <c r="I160" s="6" t="s">
        <v>17</v>
      </c>
      <c r="J160" s="6">
        <v>45812826</v>
      </c>
      <c r="K160" s="6" t="s">
        <v>4408</v>
      </c>
      <c r="L160" s="17" t="s">
        <v>4409</v>
      </c>
      <c r="M160" s="8">
        <v>35900</v>
      </c>
      <c r="N160" s="37" t="str">
        <f t="shared" si="19"/>
        <v>BXGY</v>
      </c>
      <c r="O160" s="36" t="str">
        <f t="shared" si="20"/>
        <v>B1G2</v>
      </c>
      <c r="P160" s="34" t="str">
        <f t="shared" si="21"/>
        <v>BXGY</v>
      </c>
    </row>
    <row r="161" spans="1:16" x14ac:dyDescent="0.35">
      <c r="A161" s="14" t="str">
        <f t="shared" si="18"/>
        <v>2024 JUL-DEC B1G2 LICENSE ESS</v>
      </c>
      <c r="B161" s="35">
        <f t="shared" si="18"/>
        <v>46086</v>
      </c>
      <c r="C161" s="35">
        <f t="shared" si="18"/>
        <v>46092</v>
      </c>
      <c r="D161" s="6">
        <v>3287</v>
      </c>
      <c r="E161" s="6">
        <v>338</v>
      </c>
      <c r="F161" s="6">
        <v>4</v>
      </c>
      <c r="G161" s="6">
        <v>10</v>
      </c>
      <c r="H161" s="6">
        <v>81595</v>
      </c>
      <c r="I161" s="6" t="s">
        <v>17</v>
      </c>
      <c r="J161" s="6">
        <v>45451225</v>
      </c>
      <c r="K161" s="6" t="s">
        <v>5137</v>
      </c>
      <c r="L161" s="17" t="s">
        <v>5138</v>
      </c>
      <c r="M161" s="8">
        <v>35900</v>
      </c>
      <c r="N161" s="37" t="str">
        <f t="shared" si="19"/>
        <v>BXGY</v>
      </c>
      <c r="O161" s="36" t="str">
        <f t="shared" si="20"/>
        <v>B1G2</v>
      </c>
      <c r="P161" s="34" t="str">
        <f t="shared" si="21"/>
        <v>BXGY</v>
      </c>
    </row>
    <row r="162" spans="1:16" x14ac:dyDescent="0.35">
      <c r="A162" s="14" t="str">
        <f t="shared" si="18"/>
        <v>2024 JUL-DEC B1G2 LICENSE ESS</v>
      </c>
      <c r="B162" s="35">
        <f t="shared" si="18"/>
        <v>46086</v>
      </c>
      <c r="C162" s="35">
        <f t="shared" si="18"/>
        <v>46092</v>
      </c>
      <c r="D162" s="6">
        <v>3287</v>
      </c>
      <c r="E162" s="6">
        <v>338</v>
      </c>
      <c r="F162" s="6">
        <v>4</v>
      </c>
      <c r="G162" s="6">
        <v>10</v>
      </c>
      <c r="H162" s="6">
        <v>81595</v>
      </c>
      <c r="I162" s="6" t="s">
        <v>17</v>
      </c>
      <c r="J162" s="6">
        <v>45451234</v>
      </c>
      <c r="K162" s="6" t="s">
        <v>5137</v>
      </c>
      <c r="L162" s="17" t="s">
        <v>5139</v>
      </c>
      <c r="M162" s="8">
        <v>35900</v>
      </c>
      <c r="N162" s="37" t="str">
        <f t="shared" si="19"/>
        <v>BXGY</v>
      </c>
      <c r="O162" s="36" t="str">
        <f t="shared" si="20"/>
        <v>B1G2</v>
      </c>
      <c r="P162" s="34" t="str">
        <f t="shared" si="21"/>
        <v>BXGY</v>
      </c>
    </row>
    <row r="163" spans="1:16" x14ac:dyDescent="0.35">
      <c r="A163" s="14" t="str">
        <f t="shared" si="18"/>
        <v>2024 JUL-DEC B1G2 LICENSE ESS</v>
      </c>
      <c r="B163" s="35">
        <f t="shared" si="18"/>
        <v>46086</v>
      </c>
      <c r="C163" s="35">
        <f t="shared" si="18"/>
        <v>46092</v>
      </c>
      <c r="D163" s="6">
        <v>3287</v>
      </c>
      <c r="E163" s="6">
        <v>338</v>
      </c>
      <c r="F163" s="6">
        <v>4</v>
      </c>
      <c r="G163" s="6">
        <v>10</v>
      </c>
      <c r="H163" s="6">
        <v>81595</v>
      </c>
      <c r="I163" s="6" t="s">
        <v>17</v>
      </c>
      <c r="J163" s="6">
        <v>45451243</v>
      </c>
      <c r="K163" s="6" t="s">
        <v>5140</v>
      </c>
      <c r="L163" s="17" t="s">
        <v>5141</v>
      </c>
      <c r="M163" s="8">
        <v>35900</v>
      </c>
      <c r="N163" s="37" t="str">
        <f t="shared" si="19"/>
        <v>BXGY</v>
      </c>
      <c r="O163" s="36" t="str">
        <f t="shared" si="20"/>
        <v>B1G2</v>
      </c>
      <c r="P163" s="34" t="str">
        <f t="shared" si="21"/>
        <v>BXGY</v>
      </c>
    </row>
    <row r="164" spans="1:16" x14ac:dyDescent="0.35">
      <c r="A164" s="14" t="str">
        <f t="shared" si="18"/>
        <v>2024 JUL-DEC B1G2 LICENSE ESS</v>
      </c>
      <c r="B164" s="35">
        <f t="shared" si="18"/>
        <v>46086</v>
      </c>
      <c r="C164" s="35">
        <f t="shared" si="18"/>
        <v>46092</v>
      </c>
      <c r="D164" s="6">
        <v>3287</v>
      </c>
      <c r="E164" s="6">
        <v>338</v>
      </c>
      <c r="F164" s="6">
        <v>4</v>
      </c>
      <c r="G164" s="6">
        <v>10</v>
      </c>
      <c r="H164" s="6">
        <v>81595</v>
      </c>
      <c r="I164" s="6" t="s">
        <v>17</v>
      </c>
      <c r="J164" s="6">
        <v>45451252</v>
      </c>
      <c r="K164" s="6" t="s">
        <v>5140</v>
      </c>
      <c r="L164" s="17" t="s">
        <v>5142</v>
      </c>
      <c r="M164" s="8">
        <v>35900</v>
      </c>
      <c r="N164" s="37" t="str">
        <f t="shared" si="19"/>
        <v>BXGY</v>
      </c>
      <c r="O164" s="36" t="str">
        <f t="shared" si="20"/>
        <v>B1G2</v>
      </c>
      <c r="P164" s="34" t="str">
        <f t="shared" si="21"/>
        <v>BXGY</v>
      </c>
    </row>
    <row r="165" spans="1:16" x14ac:dyDescent="0.35">
      <c r="A165" s="14" t="str">
        <f t="shared" si="18"/>
        <v>2024 JUL-DEC B1G2 LICENSE ESS</v>
      </c>
      <c r="B165" s="35">
        <f t="shared" si="18"/>
        <v>46086</v>
      </c>
      <c r="C165" s="35">
        <f t="shared" si="18"/>
        <v>46092</v>
      </c>
      <c r="D165" s="6">
        <v>3287</v>
      </c>
      <c r="E165" s="6">
        <v>338</v>
      </c>
      <c r="F165" s="6">
        <v>4</v>
      </c>
      <c r="G165" s="6">
        <v>3</v>
      </c>
      <c r="H165" s="6">
        <v>81574</v>
      </c>
      <c r="I165" s="6" t="s">
        <v>17</v>
      </c>
      <c r="J165" s="6">
        <v>45812988</v>
      </c>
      <c r="K165" s="6" t="s">
        <v>4376</v>
      </c>
      <c r="L165" s="17" t="s">
        <v>4380</v>
      </c>
      <c r="M165" s="8">
        <v>119900</v>
      </c>
      <c r="N165" s="37" t="str">
        <f t="shared" si="19"/>
        <v>BXGY</v>
      </c>
      <c r="O165" s="36" t="str">
        <f t="shared" si="20"/>
        <v>B1G2</v>
      </c>
      <c r="P165" s="34" t="str">
        <f t="shared" si="21"/>
        <v>BXGY</v>
      </c>
    </row>
    <row r="166" spans="1:16" x14ac:dyDescent="0.35">
      <c r="A166" s="14" t="str">
        <f t="shared" si="18"/>
        <v>2024 JUL-DEC B1G2 LICENSE ESS</v>
      </c>
      <c r="B166" s="35">
        <f t="shared" si="18"/>
        <v>46086</v>
      </c>
      <c r="C166" s="35">
        <f t="shared" si="18"/>
        <v>46092</v>
      </c>
      <c r="D166" s="6">
        <v>3287</v>
      </c>
      <c r="E166" s="6">
        <v>338</v>
      </c>
      <c r="F166" s="6">
        <v>4</v>
      </c>
      <c r="G166" s="6">
        <v>3</v>
      </c>
      <c r="H166" s="6">
        <v>81574</v>
      </c>
      <c r="I166" s="6" t="s">
        <v>17</v>
      </c>
      <c r="J166" s="6">
        <v>50341281</v>
      </c>
      <c r="K166" s="6" t="s">
        <v>4411</v>
      </c>
      <c r="L166" s="17" t="s">
        <v>4414</v>
      </c>
      <c r="M166" s="8">
        <v>119900</v>
      </c>
      <c r="N166" s="37" t="str">
        <f t="shared" si="19"/>
        <v>BXGY</v>
      </c>
      <c r="O166" s="36" t="str">
        <f t="shared" si="20"/>
        <v>B1G2</v>
      </c>
      <c r="P166" s="34" t="str">
        <f t="shared" si="21"/>
        <v>BXGY</v>
      </c>
    </row>
    <row r="167" spans="1:16" x14ac:dyDescent="0.35">
      <c r="A167" s="14" t="str">
        <f t="shared" si="18"/>
        <v>2024 JUL-DEC B1G2 LICENSE ESS</v>
      </c>
      <c r="B167" s="35">
        <f t="shared" si="18"/>
        <v>46086</v>
      </c>
      <c r="C167" s="35">
        <f t="shared" si="18"/>
        <v>46092</v>
      </c>
      <c r="D167" s="6">
        <v>3287</v>
      </c>
      <c r="E167" s="6">
        <v>338</v>
      </c>
      <c r="F167" s="6">
        <v>4</v>
      </c>
      <c r="G167" s="6">
        <v>3</v>
      </c>
      <c r="H167" s="6">
        <v>81574</v>
      </c>
      <c r="I167" s="6" t="s">
        <v>17</v>
      </c>
      <c r="J167" s="6">
        <v>50341290</v>
      </c>
      <c r="K167" s="6" t="s">
        <v>4411</v>
      </c>
      <c r="L167" s="17" t="s">
        <v>4412</v>
      </c>
      <c r="M167" s="8">
        <v>119900</v>
      </c>
      <c r="N167" s="37" t="str">
        <f t="shared" si="19"/>
        <v>BXGY</v>
      </c>
      <c r="O167" s="36" t="str">
        <f t="shared" si="20"/>
        <v>B1G2</v>
      </c>
      <c r="P167" s="34" t="str">
        <f t="shared" si="21"/>
        <v>BXGY</v>
      </c>
    </row>
    <row r="168" spans="1:16" x14ac:dyDescent="0.35">
      <c r="A168" s="14" t="str">
        <f t="shared" si="18"/>
        <v>2024 JUL-DEC B1G2 LICENSE ESS</v>
      </c>
      <c r="B168" s="35">
        <f t="shared" si="18"/>
        <v>46086</v>
      </c>
      <c r="C168" s="35">
        <f t="shared" si="18"/>
        <v>46092</v>
      </c>
      <c r="D168" s="6">
        <v>3287</v>
      </c>
      <c r="E168" s="6">
        <v>338</v>
      </c>
      <c r="F168" s="6">
        <v>4</v>
      </c>
      <c r="G168" s="6">
        <v>3</v>
      </c>
      <c r="H168" s="6">
        <v>81574</v>
      </c>
      <c r="I168" s="6" t="s">
        <v>17</v>
      </c>
      <c r="J168" s="6">
        <v>50341307</v>
      </c>
      <c r="K168" s="6" t="s">
        <v>4411</v>
      </c>
      <c r="L168" s="17" t="s">
        <v>4415</v>
      </c>
      <c r="M168" s="8">
        <v>119900</v>
      </c>
      <c r="N168" s="37" t="str">
        <f t="shared" si="19"/>
        <v>BXGY</v>
      </c>
      <c r="O168" s="36" t="str">
        <f t="shared" si="20"/>
        <v>B1G2</v>
      </c>
      <c r="P168" s="34" t="str">
        <f t="shared" si="21"/>
        <v>BXGY</v>
      </c>
    </row>
    <row r="169" spans="1:16" x14ac:dyDescent="0.35">
      <c r="A169" s="14" t="str">
        <f t="shared" si="18"/>
        <v>2024 JUL-DEC B1G2 LICENSE ESS</v>
      </c>
      <c r="B169" s="35">
        <f t="shared" si="18"/>
        <v>46086</v>
      </c>
      <c r="C169" s="35">
        <f t="shared" si="18"/>
        <v>46092</v>
      </c>
      <c r="D169" s="6">
        <v>3287</v>
      </c>
      <c r="E169" s="6">
        <v>338</v>
      </c>
      <c r="F169" s="6">
        <v>4</v>
      </c>
      <c r="G169" s="6">
        <v>3</v>
      </c>
      <c r="H169" s="6">
        <v>81574</v>
      </c>
      <c r="I169" s="6" t="s">
        <v>17</v>
      </c>
      <c r="J169" s="6">
        <v>50341316</v>
      </c>
      <c r="K169" s="6" t="s">
        <v>4411</v>
      </c>
      <c r="L169" s="17" t="s">
        <v>4413</v>
      </c>
      <c r="M169" s="8">
        <v>119900</v>
      </c>
      <c r="N169" s="37" t="str">
        <f t="shared" si="19"/>
        <v>BXGY</v>
      </c>
      <c r="O169" s="36" t="str">
        <f t="shared" si="20"/>
        <v>B1G2</v>
      </c>
      <c r="P169" s="34" t="str">
        <f t="shared" si="21"/>
        <v>BXGY</v>
      </c>
    </row>
    <row r="170" spans="1:16" x14ac:dyDescent="0.35">
      <c r="A170" s="14" t="str">
        <f t="shared" si="18"/>
        <v>2024 JUL-DEC B1G2 LICENSE ESS</v>
      </c>
      <c r="B170" s="35">
        <f t="shared" si="18"/>
        <v>46086</v>
      </c>
      <c r="C170" s="35">
        <f t="shared" si="18"/>
        <v>46092</v>
      </c>
      <c r="D170" s="6">
        <v>3287</v>
      </c>
      <c r="E170" s="6">
        <v>338</v>
      </c>
      <c r="F170" s="6">
        <v>4</v>
      </c>
      <c r="G170" s="6">
        <v>8</v>
      </c>
      <c r="H170" s="6">
        <v>81462</v>
      </c>
      <c r="I170" s="6" t="s">
        <v>17</v>
      </c>
      <c r="J170" s="6">
        <v>45450780</v>
      </c>
      <c r="K170" s="6" t="s">
        <v>5085</v>
      </c>
      <c r="L170" s="17" t="s">
        <v>5086</v>
      </c>
      <c r="M170" s="8">
        <v>119900</v>
      </c>
      <c r="N170" s="37" t="str">
        <f t="shared" si="19"/>
        <v>BXGY</v>
      </c>
      <c r="O170" s="36" t="str">
        <f t="shared" si="20"/>
        <v>B1G2</v>
      </c>
      <c r="P170" s="34" t="str">
        <f t="shared" si="21"/>
        <v>BXGY</v>
      </c>
    </row>
    <row r="171" spans="1:16" x14ac:dyDescent="0.35">
      <c r="A171" s="14" t="str">
        <f t="shared" si="18"/>
        <v>2024 JUL-DEC B1G2 LICENSE ESS</v>
      </c>
      <c r="B171" s="35">
        <f t="shared" si="18"/>
        <v>46086</v>
      </c>
      <c r="C171" s="35">
        <f t="shared" si="18"/>
        <v>46092</v>
      </c>
      <c r="D171" s="6">
        <v>3287</v>
      </c>
      <c r="E171" s="6">
        <v>338</v>
      </c>
      <c r="F171" s="6">
        <v>4</v>
      </c>
      <c r="G171" s="6">
        <v>8</v>
      </c>
      <c r="H171" s="6">
        <v>81462</v>
      </c>
      <c r="I171" s="6" t="s">
        <v>17</v>
      </c>
      <c r="J171" s="6">
        <v>45450799</v>
      </c>
      <c r="K171" s="6" t="s">
        <v>5085</v>
      </c>
      <c r="L171" s="17" t="s">
        <v>5087</v>
      </c>
      <c r="M171" s="8">
        <v>119900</v>
      </c>
      <c r="N171" s="37" t="str">
        <f t="shared" si="19"/>
        <v>BXGY</v>
      </c>
      <c r="O171" s="36" t="str">
        <f t="shared" si="20"/>
        <v>B1G2</v>
      </c>
      <c r="P171" s="34" t="str">
        <f t="shared" si="21"/>
        <v>BXGY</v>
      </c>
    </row>
    <row r="172" spans="1:16" x14ac:dyDescent="0.35">
      <c r="A172" s="14" t="str">
        <f t="shared" si="18"/>
        <v>2024 JUL-DEC B1G2 LICENSE ESS</v>
      </c>
      <c r="B172" s="35">
        <f t="shared" si="18"/>
        <v>46086</v>
      </c>
      <c r="C172" s="35">
        <f t="shared" si="18"/>
        <v>46092</v>
      </c>
      <c r="D172" s="6">
        <v>3287</v>
      </c>
      <c r="E172" s="6">
        <v>338</v>
      </c>
      <c r="F172" s="6">
        <v>4</v>
      </c>
      <c r="G172" s="6">
        <v>8</v>
      </c>
      <c r="H172" s="6">
        <v>81462</v>
      </c>
      <c r="I172" s="6" t="s">
        <v>17</v>
      </c>
      <c r="J172" s="6">
        <v>45450806</v>
      </c>
      <c r="K172" s="6" t="s">
        <v>5085</v>
      </c>
      <c r="L172" s="17" t="s">
        <v>5088</v>
      </c>
      <c r="M172" s="8">
        <v>119900</v>
      </c>
      <c r="N172" s="37" t="str">
        <f t="shared" si="19"/>
        <v>BXGY</v>
      </c>
      <c r="O172" s="36" t="str">
        <f t="shared" si="20"/>
        <v>B1G2</v>
      </c>
      <c r="P172" s="34" t="str">
        <f t="shared" si="21"/>
        <v>BXGY</v>
      </c>
    </row>
    <row r="173" spans="1:16" x14ac:dyDescent="0.35">
      <c r="A173" s="14" t="str">
        <f t="shared" si="18"/>
        <v>2024 JUL-DEC B1G2 LICENSE ESS</v>
      </c>
      <c r="B173" s="35">
        <f t="shared" si="18"/>
        <v>46086</v>
      </c>
      <c r="C173" s="35">
        <f t="shared" si="18"/>
        <v>46092</v>
      </c>
      <c r="D173" s="6">
        <v>3287</v>
      </c>
      <c r="E173" s="6">
        <v>338</v>
      </c>
      <c r="F173" s="6">
        <v>4</v>
      </c>
      <c r="G173" s="6">
        <v>8</v>
      </c>
      <c r="H173" s="6">
        <v>81462</v>
      </c>
      <c r="I173" s="6" t="s">
        <v>17</v>
      </c>
      <c r="J173" s="6">
        <v>45450815</v>
      </c>
      <c r="K173" s="6" t="s">
        <v>5085</v>
      </c>
      <c r="L173" s="17" t="s">
        <v>5089</v>
      </c>
      <c r="M173" s="8">
        <v>119900</v>
      </c>
      <c r="N173" s="37" t="str">
        <f t="shared" si="19"/>
        <v>BXGY</v>
      </c>
      <c r="O173" s="36" t="str">
        <f t="shared" si="20"/>
        <v>B1G2</v>
      </c>
      <c r="P173" s="34" t="str">
        <f t="shared" si="21"/>
        <v>BXGY</v>
      </c>
    </row>
    <row r="174" spans="1:16" x14ac:dyDescent="0.35">
      <c r="A174" s="14" t="str">
        <f t="shared" si="18"/>
        <v>2024 JUL-DEC B1G2 LICENSE ESS</v>
      </c>
      <c r="B174" s="35">
        <f t="shared" si="18"/>
        <v>46086</v>
      </c>
      <c r="C174" s="35">
        <f t="shared" si="18"/>
        <v>46092</v>
      </c>
      <c r="D174" s="6">
        <v>3287</v>
      </c>
      <c r="E174" s="6">
        <v>338</v>
      </c>
      <c r="F174" s="6">
        <v>4</v>
      </c>
      <c r="G174" s="6">
        <v>8</v>
      </c>
      <c r="H174" s="6">
        <v>81462</v>
      </c>
      <c r="I174" s="6" t="s">
        <v>17</v>
      </c>
      <c r="J174" s="6">
        <v>45450708</v>
      </c>
      <c r="K174" s="6" t="s">
        <v>5075</v>
      </c>
      <c r="L174" s="17" t="s">
        <v>5076</v>
      </c>
      <c r="M174" s="8">
        <v>119900</v>
      </c>
      <c r="N174" s="37" t="str">
        <f t="shared" si="19"/>
        <v>BXGY</v>
      </c>
      <c r="O174" s="36" t="str">
        <f t="shared" si="20"/>
        <v>B1G2</v>
      </c>
      <c r="P174" s="34" t="str">
        <f t="shared" si="21"/>
        <v>BXGY</v>
      </c>
    </row>
    <row r="175" spans="1:16" x14ac:dyDescent="0.35">
      <c r="A175" s="14" t="str">
        <f t="shared" si="18"/>
        <v>2024 JUL-DEC B1G2 LICENSE ESS</v>
      </c>
      <c r="B175" s="35">
        <f t="shared" si="18"/>
        <v>46086</v>
      </c>
      <c r="C175" s="35">
        <f t="shared" si="18"/>
        <v>46092</v>
      </c>
      <c r="D175" s="6">
        <v>3287</v>
      </c>
      <c r="E175" s="6">
        <v>338</v>
      </c>
      <c r="F175" s="6">
        <v>4</v>
      </c>
      <c r="G175" s="6">
        <v>8</v>
      </c>
      <c r="H175" s="6">
        <v>81462</v>
      </c>
      <c r="I175" s="6" t="s">
        <v>17</v>
      </c>
      <c r="J175" s="6">
        <v>45450717</v>
      </c>
      <c r="K175" s="6" t="s">
        <v>5075</v>
      </c>
      <c r="L175" s="17" t="s">
        <v>5077</v>
      </c>
      <c r="M175" s="8">
        <v>119900</v>
      </c>
      <c r="N175" s="37" t="str">
        <f t="shared" si="19"/>
        <v>BXGY</v>
      </c>
      <c r="O175" s="36" t="str">
        <f t="shared" si="20"/>
        <v>B1G2</v>
      </c>
      <c r="P175" s="34" t="str">
        <f t="shared" si="21"/>
        <v>BXGY</v>
      </c>
    </row>
    <row r="176" spans="1:16" x14ac:dyDescent="0.35">
      <c r="A176" s="14" t="str">
        <f t="shared" si="18"/>
        <v>2024 JUL-DEC B1G2 LICENSE ESS</v>
      </c>
      <c r="B176" s="35">
        <f t="shared" si="18"/>
        <v>46086</v>
      </c>
      <c r="C176" s="35">
        <f t="shared" si="18"/>
        <v>46092</v>
      </c>
      <c r="D176" s="6">
        <v>3287</v>
      </c>
      <c r="E176" s="6">
        <v>338</v>
      </c>
      <c r="F176" s="6">
        <v>4</v>
      </c>
      <c r="G176" s="6">
        <v>8</v>
      </c>
      <c r="H176" s="6">
        <v>81462</v>
      </c>
      <c r="I176" s="6" t="s">
        <v>17</v>
      </c>
      <c r="J176" s="6">
        <v>45450726</v>
      </c>
      <c r="K176" s="6" t="s">
        <v>5075</v>
      </c>
      <c r="L176" s="17" t="s">
        <v>5078</v>
      </c>
      <c r="M176" s="8">
        <v>119900</v>
      </c>
      <c r="N176" s="37" t="str">
        <f t="shared" si="19"/>
        <v>BXGY</v>
      </c>
      <c r="O176" s="36" t="str">
        <f t="shared" si="20"/>
        <v>B1G2</v>
      </c>
      <c r="P176" s="34" t="str">
        <f t="shared" si="21"/>
        <v>BXGY</v>
      </c>
    </row>
    <row r="177" spans="1:16" x14ac:dyDescent="0.35">
      <c r="A177" s="14" t="str">
        <f t="shared" si="18"/>
        <v>2024 JUL-DEC B1G2 LICENSE ESS</v>
      </c>
      <c r="B177" s="35">
        <f t="shared" si="18"/>
        <v>46086</v>
      </c>
      <c r="C177" s="35">
        <f t="shared" si="18"/>
        <v>46092</v>
      </c>
      <c r="D177" s="6">
        <v>3287</v>
      </c>
      <c r="E177" s="6">
        <v>338</v>
      </c>
      <c r="F177" s="6">
        <v>4</v>
      </c>
      <c r="G177" s="6">
        <v>8</v>
      </c>
      <c r="H177" s="6">
        <v>81462</v>
      </c>
      <c r="I177" s="6" t="s">
        <v>17</v>
      </c>
      <c r="J177" s="6">
        <v>45450735</v>
      </c>
      <c r="K177" s="6" t="s">
        <v>5075</v>
      </c>
      <c r="L177" s="17" t="s">
        <v>5079</v>
      </c>
      <c r="M177" s="8">
        <v>119900</v>
      </c>
      <c r="N177" s="37" t="str">
        <f t="shared" si="19"/>
        <v>BXGY</v>
      </c>
      <c r="O177" s="36" t="str">
        <f t="shared" si="20"/>
        <v>B1G2</v>
      </c>
      <c r="P177" s="34" t="str">
        <f t="shared" si="21"/>
        <v>BXGY</v>
      </c>
    </row>
    <row r="178" spans="1:16" x14ac:dyDescent="0.35">
      <c r="A178" s="14" t="str">
        <f t="shared" si="18"/>
        <v>2024 JUL-DEC B1G2 LICENSE ESS</v>
      </c>
      <c r="B178" s="35">
        <f t="shared" si="18"/>
        <v>46086</v>
      </c>
      <c r="C178" s="35">
        <f t="shared" si="18"/>
        <v>46092</v>
      </c>
      <c r="D178" s="6">
        <v>3287</v>
      </c>
      <c r="E178" s="6">
        <v>338</v>
      </c>
      <c r="F178" s="6">
        <v>4</v>
      </c>
      <c r="G178" s="6">
        <v>8</v>
      </c>
      <c r="H178" s="6">
        <v>81462</v>
      </c>
      <c r="I178" s="6" t="s">
        <v>17</v>
      </c>
      <c r="J178" s="6">
        <v>45450744</v>
      </c>
      <c r="K178" s="6" t="s">
        <v>5080</v>
      </c>
      <c r="L178" s="17" t="s">
        <v>5081</v>
      </c>
      <c r="M178" s="8">
        <v>119900</v>
      </c>
      <c r="N178" s="37" t="str">
        <f t="shared" si="19"/>
        <v>BXGY</v>
      </c>
      <c r="O178" s="36" t="str">
        <f t="shared" si="20"/>
        <v>B1G2</v>
      </c>
      <c r="P178" s="34" t="str">
        <f t="shared" si="21"/>
        <v>BXGY</v>
      </c>
    </row>
    <row r="179" spans="1:16" x14ac:dyDescent="0.35">
      <c r="A179" s="14" t="str">
        <f t="shared" si="18"/>
        <v>2024 JUL-DEC B1G2 LICENSE ESS</v>
      </c>
      <c r="B179" s="35">
        <f t="shared" si="18"/>
        <v>46086</v>
      </c>
      <c r="C179" s="35">
        <f t="shared" si="18"/>
        <v>46092</v>
      </c>
      <c r="D179" s="6">
        <v>3287</v>
      </c>
      <c r="E179" s="6">
        <v>338</v>
      </c>
      <c r="F179" s="6">
        <v>4</v>
      </c>
      <c r="G179" s="6">
        <v>8</v>
      </c>
      <c r="H179" s="6">
        <v>81462</v>
      </c>
      <c r="I179" s="6" t="s">
        <v>17</v>
      </c>
      <c r="J179" s="6">
        <v>45450753</v>
      </c>
      <c r="K179" s="6" t="s">
        <v>5080</v>
      </c>
      <c r="L179" s="17" t="s">
        <v>5082</v>
      </c>
      <c r="M179" s="8">
        <v>119900</v>
      </c>
      <c r="N179" s="37" t="str">
        <f t="shared" si="19"/>
        <v>BXGY</v>
      </c>
      <c r="O179" s="36" t="str">
        <f t="shared" si="20"/>
        <v>B1G2</v>
      </c>
      <c r="P179" s="34" t="str">
        <f t="shared" si="21"/>
        <v>BXGY</v>
      </c>
    </row>
    <row r="180" spans="1:16" x14ac:dyDescent="0.35">
      <c r="A180" s="14" t="str">
        <f t="shared" si="18"/>
        <v>2024 JUL-DEC B1G2 LICENSE ESS</v>
      </c>
      <c r="B180" s="35">
        <f t="shared" si="18"/>
        <v>46086</v>
      </c>
      <c r="C180" s="35">
        <f t="shared" si="18"/>
        <v>46092</v>
      </c>
      <c r="D180" s="6">
        <v>3287</v>
      </c>
      <c r="E180" s="6">
        <v>338</v>
      </c>
      <c r="F180" s="6">
        <v>4</v>
      </c>
      <c r="G180" s="6">
        <v>8</v>
      </c>
      <c r="H180" s="6">
        <v>81462</v>
      </c>
      <c r="I180" s="6" t="s">
        <v>17</v>
      </c>
      <c r="J180" s="6">
        <v>45450762</v>
      </c>
      <c r="K180" s="6" t="s">
        <v>5080</v>
      </c>
      <c r="L180" s="17" t="s">
        <v>5083</v>
      </c>
      <c r="M180" s="8">
        <v>119900</v>
      </c>
      <c r="N180" s="37" t="str">
        <f t="shared" si="19"/>
        <v>BXGY</v>
      </c>
      <c r="O180" s="36" t="str">
        <f t="shared" si="20"/>
        <v>B1G2</v>
      </c>
      <c r="P180" s="34" t="str">
        <f t="shared" si="21"/>
        <v>BXGY</v>
      </c>
    </row>
    <row r="181" spans="1:16" x14ac:dyDescent="0.35">
      <c r="A181" s="14" t="str">
        <f t="shared" si="18"/>
        <v>2024 JUL-DEC B1G2 LICENSE ESS</v>
      </c>
      <c r="B181" s="35">
        <f t="shared" si="18"/>
        <v>46086</v>
      </c>
      <c r="C181" s="35">
        <f t="shared" si="18"/>
        <v>46092</v>
      </c>
      <c r="D181" s="6">
        <v>3287</v>
      </c>
      <c r="E181" s="6">
        <v>338</v>
      </c>
      <c r="F181" s="6">
        <v>4</v>
      </c>
      <c r="G181" s="6">
        <v>8</v>
      </c>
      <c r="H181" s="6">
        <v>81462</v>
      </c>
      <c r="I181" s="6" t="s">
        <v>17</v>
      </c>
      <c r="J181" s="6">
        <v>45450771</v>
      </c>
      <c r="K181" s="6" t="s">
        <v>5080</v>
      </c>
      <c r="L181" s="17" t="s">
        <v>5084</v>
      </c>
      <c r="M181" s="8">
        <v>119900</v>
      </c>
      <c r="N181" s="37" t="str">
        <f t="shared" si="19"/>
        <v>BXGY</v>
      </c>
      <c r="O181" s="36" t="str">
        <f t="shared" si="20"/>
        <v>B1G2</v>
      </c>
      <c r="P181" s="34" t="str">
        <f t="shared" si="21"/>
        <v>BXGY</v>
      </c>
    </row>
    <row r="182" spans="1:16" x14ac:dyDescent="0.35">
      <c r="A182" s="14" t="str">
        <f t="shared" si="18"/>
        <v>2024 JUL-DEC B1G2 LICENSE ESS</v>
      </c>
      <c r="B182" s="35">
        <f t="shared" si="18"/>
        <v>46086</v>
      </c>
      <c r="C182" s="35">
        <f t="shared" si="18"/>
        <v>46092</v>
      </c>
      <c r="D182" s="6">
        <v>3287</v>
      </c>
      <c r="E182" s="6">
        <v>338</v>
      </c>
      <c r="F182" s="6">
        <v>4</v>
      </c>
      <c r="G182" s="6">
        <v>2</v>
      </c>
      <c r="H182" s="6">
        <v>850</v>
      </c>
      <c r="I182" s="6" t="s">
        <v>17</v>
      </c>
      <c r="J182" s="6">
        <v>51134691</v>
      </c>
      <c r="K182" s="6" t="s">
        <v>4519</v>
      </c>
      <c r="L182" s="17" t="s">
        <v>4520</v>
      </c>
      <c r="M182" s="8">
        <v>219900</v>
      </c>
      <c r="N182" s="37" t="str">
        <f t="shared" si="19"/>
        <v>BXGY</v>
      </c>
      <c r="O182" s="36" t="str">
        <f t="shared" si="20"/>
        <v>B1G2</v>
      </c>
      <c r="P182" s="34" t="str">
        <f t="shared" si="21"/>
        <v>BXGY</v>
      </c>
    </row>
    <row r="183" spans="1:16" x14ac:dyDescent="0.35">
      <c r="A183" s="14" t="str">
        <f t="shared" si="18"/>
        <v>2024 JUL-DEC B1G2 LICENSE ESS</v>
      </c>
      <c r="B183" s="35">
        <f t="shared" si="18"/>
        <v>46086</v>
      </c>
      <c r="C183" s="35">
        <f t="shared" si="18"/>
        <v>46092</v>
      </c>
      <c r="D183" s="6">
        <v>3287</v>
      </c>
      <c r="E183" s="6">
        <v>338</v>
      </c>
      <c r="F183" s="6">
        <v>4</v>
      </c>
      <c r="G183" s="6">
        <v>2</v>
      </c>
      <c r="H183" s="6">
        <v>850</v>
      </c>
      <c r="I183" s="6" t="s">
        <v>17</v>
      </c>
      <c r="J183" s="6">
        <v>51134708</v>
      </c>
      <c r="K183" s="6" t="s">
        <v>4519</v>
      </c>
      <c r="L183" s="17" t="s">
        <v>4526</v>
      </c>
      <c r="M183" s="8">
        <v>219900</v>
      </c>
      <c r="N183" s="37" t="str">
        <f t="shared" si="19"/>
        <v>BXGY</v>
      </c>
      <c r="O183" s="36" t="str">
        <f t="shared" si="20"/>
        <v>B1G2</v>
      </c>
      <c r="P183" s="34" t="str">
        <f t="shared" si="21"/>
        <v>BXGY</v>
      </c>
    </row>
    <row r="184" spans="1:16" x14ac:dyDescent="0.35">
      <c r="A184" s="14" t="str">
        <f t="shared" si="18"/>
        <v>2024 JUL-DEC B1G2 LICENSE ESS</v>
      </c>
      <c r="B184" s="35">
        <f t="shared" si="18"/>
        <v>46086</v>
      </c>
      <c r="C184" s="35">
        <f t="shared" si="18"/>
        <v>46092</v>
      </c>
      <c r="D184" s="6">
        <v>3287</v>
      </c>
      <c r="E184" s="6">
        <v>338</v>
      </c>
      <c r="F184" s="6">
        <v>4</v>
      </c>
      <c r="G184" s="6">
        <v>2</v>
      </c>
      <c r="H184" s="6">
        <v>850</v>
      </c>
      <c r="I184" s="6" t="s">
        <v>17</v>
      </c>
      <c r="J184" s="6">
        <v>51134717</v>
      </c>
      <c r="K184" s="6" t="s">
        <v>4519</v>
      </c>
      <c r="L184" s="17" t="s">
        <v>4527</v>
      </c>
      <c r="M184" s="8">
        <v>219900</v>
      </c>
      <c r="N184" s="37" t="str">
        <f t="shared" si="19"/>
        <v>BXGY</v>
      </c>
      <c r="O184" s="36" t="str">
        <f t="shared" si="20"/>
        <v>B1G2</v>
      </c>
      <c r="P184" s="34" t="str">
        <f t="shared" si="21"/>
        <v>BXGY</v>
      </c>
    </row>
    <row r="185" spans="1:16" x14ac:dyDescent="0.35">
      <c r="A185" s="14" t="str">
        <f t="shared" si="18"/>
        <v>2024 JUL-DEC B1G2 LICENSE ESS</v>
      </c>
      <c r="B185" s="35">
        <f t="shared" si="18"/>
        <v>46086</v>
      </c>
      <c r="C185" s="35">
        <f t="shared" si="18"/>
        <v>46092</v>
      </c>
      <c r="D185" s="6">
        <v>3287</v>
      </c>
      <c r="E185" s="6">
        <v>338</v>
      </c>
      <c r="F185" s="6">
        <v>4</v>
      </c>
      <c r="G185" s="6">
        <v>2</v>
      </c>
      <c r="H185" s="6">
        <v>850</v>
      </c>
      <c r="I185" s="6" t="s">
        <v>17</v>
      </c>
      <c r="J185" s="6">
        <v>51134726</v>
      </c>
      <c r="K185" s="6" t="s">
        <v>4519</v>
      </c>
      <c r="L185" s="17" t="s">
        <v>4521</v>
      </c>
      <c r="M185" s="8">
        <v>219900</v>
      </c>
      <c r="N185" s="37" t="str">
        <f t="shared" si="19"/>
        <v>BXGY</v>
      </c>
      <c r="O185" s="36" t="str">
        <f t="shared" si="20"/>
        <v>B1G2</v>
      </c>
      <c r="P185" s="34" t="str">
        <f t="shared" si="21"/>
        <v>BXGY</v>
      </c>
    </row>
    <row r="186" spans="1:16" x14ac:dyDescent="0.35">
      <c r="A186" s="14" t="str">
        <f t="shared" si="18"/>
        <v>2024 JUL-DEC B1G2 LICENSE ESS</v>
      </c>
      <c r="B186" s="35">
        <f t="shared" si="18"/>
        <v>46086</v>
      </c>
      <c r="C186" s="35">
        <f t="shared" si="18"/>
        <v>46092</v>
      </c>
      <c r="D186" s="6">
        <v>3287</v>
      </c>
      <c r="E186" s="6">
        <v>338</v>
      </c>
      <c r="F186" s="6">
        <v>4</v>
      </c>
      <c r="G186" s="6">
        <v>2</v>
      </c>
      <c r="H186" s="6">
        <v>850</v>
      </c>
      <c r="I186" s="6" t="s">
        <v>17</v>
      </c>
      <c r="J186" s="6">
        <v>51134735</v>
      </c>
      <c r="K186" s="6" t="s">
        <v>4519</v>
      </c>
      <c r="L186" s="17" t="s">
        <v>4525</v>
      </c>
      <c r="M186" s="8">
        <v>229900</v>
      </c>
      <c r="N186" s="37" t="str">
        <f t="shared" si="19"/>
        <v>BXGY</v>
      </c>
      <c r="O186" s="36" t="str">
        <f t="shared" si="20"/>
        <v>B1G2</v>
      </c>
      <c r="P186" s="34" t="str">
        <f t="shared" si="21"/>
        <v>BXGY</v>
      </c>
    </row>
    <row r="187" spans="1:16" x14ac:dyDescent="0.35">
      <c r="A187" s="14" t="str">
        <f t="shared" si="18"/>
        <v>2024 JUL-DEC B1G2 LICENSE ESS</v>
      </c>
      <c r="B187" s="35">
        <f t="shared" si="18"/>
        <v>46086</v>
      </c>
      <c r="C187" s="35">
        <f t="shared" si="18"/>
        <v>46092</v>
      </c>
      <c r="D187" s="6">
        <v>3287</v>
      </c>
      <c r="E187" s="6">
        <v>338</v>
      </c>
      <c r="F187" s="6">
        <v>4</v>
      </c>
      <c r="G187" s="6">
        <v>2</v>
      </c>
      <c r="H187" s="6">
        <v>850</v>
      </c>
      <c r="I187" s="6" t="s">
        <v>17</v>
      </c>
      <c r="J187" s="6">
        <v>51134744</v>
      </c>
      <c r="K187" s="6" t="s">
        <v>4519</v>
      </c>
      <c r="L187" s="17" t="s">
        <v>4523</v>
      </c>
      <c r="M187" s="8">
        <v>229900</v>
      </c>
      <c r="N187" s="37" t="str">
        <f t="shared" si="19"/>
        <v>BXGY</v>
      </c>
      <c r="O187" s="36" t="str">
        <f t="shared" si="20"/>
        <v>B1G2</v>
      </c>
      <c r="P187" s="34" t="str">
        <f t="shared" si="21"/>
        <v>BXGY</v>
      </c>
    </row>
    <row r="188" spans="1:16" x14ac:dyDescent="0.35">
      <c r="A188" s="14" t="str">
        <f t="shared" si="18"/>
        <v>2024 JUL-DEC B1G2 LICENSE ESS</v>
      </c>
      <c r="B188" s="35">
        <f t="shared" si="18"/>
        <v>46086</v>
      </c>
      <c r="C188" s="35">
        <f t="shared" si="18"/>
        <v>46092</v>
      </c>
      <c r="D188" s="6">
        <v>3287</v>
      </c>
      <c r="E188" s="6">
        <v>338</v>
      </c>
      <c r="F188" s="6">
        <v>4</v>
      </c>
      <c r="G188" s="6">
        <v>2</v>
      </c>
      <c r="H188" s="6">
        <v>850</v>
      </c>
      <c r="I188" s="6" t="s">
        <v>17</v>
      </c>
      <c r="J188" s="6">
        <v>51134753</v>
      </c>
      <c r="K188" s="6" t="s">
        <v>4519</v>
      </c>
      <c r="L188" s="17" t="s">
        <v>4524</v>
      </c>
      <c r="M188" s="8">
        <v>229900</v>
      </c>
      <c r="N188" s="37" t="str">
        <f t="shared" si="19"/>
        <v>BXGY</v>
      </c>
      <c r="O188" s="36" t="str">
        <f t="shared" si="20"/>
        <v>B1G2</v>
      </c>
      <c r="P188" s="34" t="str">
        <f t="shared" si="21"/>
        <v>BXGY</v>
      </c>
    </row>
    <row r="189" spans="1:16" x14ac:dyDescent="0.35">
      <c r="A189" s="14" t="str">
        <f t="shared" si="18"/>
        <v>2024 JUL-DEC B1G2 LICENSE ESS</v>
      </c>
      <c r="B189" s="35">
        <f t="shared" si="18"/>
        <v>46086</v>
      </c>
      <c r="C189" s="35">
        <f t="shared" si="18"/>
        <v>46092</v>
      </c>
      <c r="D189" s="6">
        <v>3287</v>
      </c>
      <c r="E189" s="6">
        <v>338</v>
      </c>
      <c r="F189" s="6">
        <v>4</v>
      </c>
      <c r="G189" s="6">
        <v>2</v>
      </c>
      <c r="H189" s="6">
        <v>850</v>
      </c>
      <c r="I189" s="6" t="s">
        <v>17</v>
      </c>
      <c r="J189" s="6">
        <v>51134762</v>
      </c>
      <c r="K189" s="6" t="s">
        <v>4519</v>
      </c>
      <c r="L189" s="17" t="s">
        <v>4522</v>
      </c>
      <c r="M189" s="8">
        <v>229900</v>
      </c>
      <c r="N189" s="37" t="str">
        <f t="shared" si="19"/>
        <v>BXGY</v>
      </c>
      <c r="O189" s="36" t="str">
        <f t="shared" si="20"/>
        <v>B1G2</v>
      </c>
      <c r="P189" s="34" t="str">
        <f t="shared" si="21"/>
        <v>BXGY</v>
      </c>
    </row>
    <row r="190" spans="1:16" x14ac:dyDescent="0.35">
      <c r="A190" s="14" t="str">
        <f t="shared" si="18"/>
        <v>2024 JUL-DEC B1G2 LICENSE ESS</v>
      </c>
      <c r="B190" s="35">
        <f t="shared" si="18"/>
        <v>46086</v>
      </c>
      <c r="C190" s="35">
        <f t="shared" si="18"/>
        <v>46092</v>
      </c>
      <c r="D190" s="6">
        <v>3287</v>
      </c>
      <c r="E190" s="6">
        <v>338</v>
      </c>
      <c r="F190" s="6">
        <v>4</v>
      </c>
      <c r="G190" s="6">
        <v>3</v>
      </c>
      <c r="H190" s="6">
        <v>81462</v>
      </c>
      <c r="I190" s="6" t="s">
        <v>17</v>
      </c>
      <c r="J190" s="6">
        <v>51395794</v>
      </c>
      <c r="K190" s="6" t="s">
        <v>4528</v>
      </c>
      <c r="L190" s="17" t="s">
        <v>4532</v>
      </c>
      <c r="M190" s="8">
        <v>119900</v>
      </c>
      <c r="N190" s="37" t="str">
        <f t="shared" si="19"/>
        <v>BXGY</v>
      </c>
      <c r="O190" s="36" t="str">
        <f t="shared" si="20"/>
        <v>B1G2</v>
      </c>
      <c r="P190" s="34" t="str">
        <f t="shared" si="21"/>
        <v>BXGY</v>
      </c>
    </row>
    <row r="191" spans="1:16" x14ac:dyDescent="0.35">
      <c r="A191" s="14" t="str">
        <f t="shared" si="18"/>
        <v>2024 JUL-DEC B1G2 LICENSE ESS</v>
      </c>
      <c r="B191" s="35">
        <f t="shared" si="18"/>
        <v>46086</v>
      </c>
      <c r="C191" s="35">
        <f t="shared" si="18"/>
        <v>46092</v>
      </c>
      <c r="D191" s="6">
        <v>3287</v>
      </c>
      <c r="E191" s="6">
        <v>338</v>
      </c>
      <c r="F191" s="6">
        <v>4</v>
      </c>
      <c r="G191" s="6">
        <v>3</v>
      </c>
      <c r="H191" s="6">
        <v>81462</v>
      </c>
      <c r="I191" s="6" t="s">
        <v>17</v>
      </c>
      <c r="J191" s="6">
        <v>51395801</v>
      </c>
      <c r="K191" s="6" t="s">
        <v>4528</v>
      </c>
      <c r="L191" s="17" t="s">
        <v>4531</v>
      </c>
      <c r="M191" s="8">
        <v>119900</v>
      </c>
      <c r="N191" s="37" t="str">
        <f t="shared" si="19"/>
        <v>BXGY</v>
      </c>
      <c r="O191" s="36" t="str">
        <f t="shared" si="20"/>
        <v>B1G2</v>
      </c>
      <c r="P191" s="34" t="str">
        <f t="shared" si="21"/>
        <v>BXGY</v>
      </c>
    </row>
    <row r="192" spans="1:16" x14ac:dyDescent="0.35">
      <c r="A192" s="14" t="str">
        <f t="shared" si="18"/>
        <v>2024 JUL-DEC B1G2 LICENSE ESS</v>
      </c>
      <c r="B192" s="35">
        <f t="shared" si="18"/>
        <v>46086</v>
      </c>
      <c r="C192" s="35">
        <f t="shared" si="18"/>
        <v>46092</v>
      </c>
      <c r="D192" s="6">
        <v>3287</v>
      </c>
      <c r="E192" s="6">
        <v>338</v>
      </c>
      <c r="F192" s="6">
        <v>4</v>
      </c>
      <c r="G192" s="6">
        <v>3</v>
      </c>
      <c r="H192" s="6">
        <v>81462</v>
      </c>
      <c r="I192" s="6" t="s">
        <v>17</v>
      </c>
      <c r="J192" s="6">
        <v>51395810</v>
      </c>
      <c r="K192" s="6" t="s">
        <v>4528</v>
      </c>
      <c r="L192" s="17" t="s">
        <v>4529</v>
      </c>
      <c r="M192" s="8">
        <v>119900</v>
      </c>
      <c r="N192" s="37" t="str">
        <f t="shared" si="19"/>
        <v>BXGY</v>
      </c>
      <c r="O192" s="36" t="str">
        <f t="shared" si="20"/>
        <v>B1G2</v>
      </c>
      <c r="P192" s="34" t="str">
        <f t="shared" si="21"/>
        <v>BXGY</v>
      </c>
    </row>
    <row r="193" spans="1:16" x14ac:dyDescent="0.35">
      <c r="A193" s="14" t="str">
        <f t="shared" si="18"/>
        <v>2024 JUL-DEC B1G2 LICENSE ESS</v>
      </c>
      <c r="B193" s="35">
        <f t="shared" si="18"/>
        <v>46086</v>
      </c>
      <c r="C193" s="35">
        <f t="shared" si="18"/>
        <v>46092</v>
      </c>
      <c r="D193" s="6">
        <v>3287</v>
      </c>
      <c r="E193" s="6">
        <v>338</v>
      </c>
      <c r="F193" s="6">
        <v>4</v>
      </c>
      <c r="G193" s="6">
        <v>3</v>
      </c>
      <c r="H193" s="6">
        <v>81462</v>
      </c>
      <c r="I193" s="6" t="s">
        <v>17</v>
      </c>
      <c r="J193" s="6">
        <v>51395829</v>
      </c>
      <c r="K193" s="6" t="s">
        <v>4528</v>
      </c>
      <c r="L193" s="17" t="s">
        <v>4530</v>
      </c>
      <c r="M193" s="8">
        <v>119900</v>
      </c>
      <c r="N193" s="37" t="str">
        <f t="shared" si="19"/>
        <v>BXGY</v>
      </c>
      <c r="O193" s="36" t="str">
        <f t="shared" si="20"/>
        <v>B1G2</v>
      </c>
      <c r="P193" s="34" t="str">
        <f t="shared" si="21"/>
        <v>BXGY</v>
      </c>
    </row>
    <row r="194" spans="1:16" x14ac:dyDescent="0.35">
      <c r="A194" s="14" t="str">
        <f t="shared" si="18"/>
        <v>2024 JUL-DEC B1G2 LICENSE ESS</v>
      </c>
      <c r="B194" s="35">
        <f t="shared" si="18"/>
        <v>46086</v>
      </c>
      <c r="C194" s="35">
        <f t="shared" si="18"/>
        <v>46092</v>
      </c>
      <c r="D194" s="6">
        <v>3287</v>
      </c>
      <c r="E194" s="6">
        <v>338</v>
      </c>
      <c r="F194" s="6">
        <v>4</v>
      </c>
      <c r="G194" s="6">
        <v>7</v>
      </c>
      <c r="H194" s="6">
        <v>81595</v>
      </c>
      <c r="I194" s="6" t="s">
        <v>17</v>
      </c>
      <c r="J194" s="6">
        <v>50341245</v>
      </c>
      <c r="K194" s="6" t="s">
        <v>4513</v>
      </c>
      <c r="L194" s="17" t="s">
        <v>4514</v>
      </c>
      <c r="M194" s="8">
        <v>35900</v>
      </c>
      <c r="N194" s="37" t="str">
        <f t="shared" si="19"/>
        <v>BXGY</v>
      </c>
      <c r="O194" s="36" t="str">
        <f t="shared" si="20"/>
        <v>B1G2</v>
      </c>
      <c r="P194" s="34" t="str">
        <f t="shared" si="21"/>
        <v>BXGY</v>
      </c>
    </row>
    <row r="195" spans="1:16" x14ac:dyDescent="0.35">
      <c r="A195" s="14" t="str">
        <f t="shared" si="18"/>
        <v>2024 JUL-DEC B1G2 LICENSE ESS</v>
      </c>
      <c r="B195" s="35">
        <f t="shared" si="18"/>
        <v>46086</v>
      </c>
      <c r="C195" s="35">
        <f t="shared" si="18"/>
        <v>46092</v>
      </c>
      <c r="D195" s="6">
        <v>3287</v>
      </c>
      <c r="E195" s="6">
        <v>338</v>
      </c>
      <c r="F195" s="6">
        <v>4</v>
      </c>
      <c r="G195" s="6">
        <v>7</v>
      </c>
      <c r="H195" s="6">
        <v>81595</v>
      </c>
      <c r="I195" s="6" t="s">
        <v>17</v>
      </c>
      <c r="J195" s="6">
        <v>50341254</v>
      </c>
      <c r="K195" s="6" t="s">
        <v>4513</v>
      </c>
      <c r="L195" s="17" t="s">
        <v>4517</v>
      </c>
      <c r="M195" s="8">
        <v>35900</v>
      </c>
      <c r="N195" s="37" t="str">
        <f t="shared" si="19"/>
        <v>BXGY</v>
      </c>
      <c r="O195" s="36" t="str">
        <f t="shared" si="20"/>
        <v>B1G2</v>
      </c>
      <c r="P195" s="34" t="str">
        <f t="shared" si="21"/>
        <v>BXGY</v>
      </c>
    </row>
    <row r="196" spans="1:16" x14ac:dyDescent="0.35">
      <c r="A196" s="14" t="str">
        <f t="shared" ref="A196:C209" si="22">A195</f>
        <v>2024 JUL-DEC B1G2 LICENSE ESS</v>
      </c>
      <c r="B196" s="35">
        <f t="shared" si="22"/>
        <v>46086</v>
      </c>
      <c r="C196" s="35">
        <f t="shared" si="22"/>
        <v>46092</v>
      </c>
      <c r="D196" s="6">
        <v>3287</v>
      </c>
      <c r="E196" s="6">
        <v>338</v>
      </c>
      <c r="F196" s="6">
        <v>4</v>
      </c>
      <c r="G196" s="6">
        <v>7</v>
      </c>
      <c r="H196" s="6">
        <v>81595</v>
      </c>
      <c r="I196" s="6" t="s">
        <v>17</v>
      </c>
      <c r="J196" s="6">
        <v>50341263</v>
      </c>
      <c r="K196" s="6" t="s">
        <v>4515</v>
      </c>
      <c r="L196" s="17" t="s">
        <v>4516</v>
      </c>
      <c r="M196" s="8">
        <v>35900</v>
      </c>
      <c r="N196" s="37" t="str">
        <f t="shared" si="19"/>
        <v>BXGY</v>
      </c>
      <c r="O196" s="36" t="str">
        <f t="shared" si="20"/>
        <v>B1G2</v>
      </c>
      <c r="P196" s="34" t="str">
        <f t="shared" si="21"/>
        <v>BXGY</v>
      </c>
    </row>
    <row r="197" spans="1:16" x14ac:dyDescent="0.35">
      <c r="A197" s="14" t="str">
        <f t="shared" si="22"/>
        <v>2024 JUL-DEC B1G2 LICENSE ESS</v>
      </c>
      <c r="B197" s="35">
        <f t="shared" si="22"/>
        <v>46086</v>
      </c>
      <c r="C197" s="35">
        <f t="shared" si="22"/>
        <v>46092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50341272</v>
      </c>
      <c r="K197" s="6" t="s">
        <v>4515</v>
      </c>
      <c r="L197" s="17" t="s">
        <v>4518</v>
      </c>
      <c r="M197" s="8">
        <v>35900</v>
      </c>
      <c r="N197" s="37" t="str">
        <f t="shared" si="19"/>
        <v>BXGY</v>
      </c>
      <c r="O197" s="36" t="str">
        <f t="shared" si="20"/>
        <v>B1G2</v>
      </c>
      <c r="P197" s="34" t="str">
        <f t="shared" si="21"/>
        <v>BXGY</v>
      </c>
    </row>
    <row r="198" spans="1:16" x14ac:dyDescent="0.35">
      <c r="A198" s="14" t="str">
        <f t="shared" si="22"/>
        <v>2024 JUL-DEC B1G2 LICENSE ESS</v>
      </c>
      <c r="B198" s="35">
        <f t="shared" si="22"/>
        <v>46086</v>
      </c>
      <c r="C198" s="35">
        <f t="shared" si="22"/>
        <v>46092</v>
      </c>
      <c r="D198" s="6">
        <v>3287</v>
      </c>
      <c r="E198" s="6">
        <v>338</v>
      </c>
      <c r="F198" s="6">
        <v>4</v>
      </c>
      <c r="G198" s="6">
        <v>9</v>
      </c>
      <c r="H198" s="6">
        <v>81462</v>
      </c>
      <c r="I198" s="6" t="s">
        <v>17</v>
      </c>
      <c r="J198" s="6">
        <v>45450860</v>
      </c>
      <c r="K198" s="6" t="s">
        <v>5090</v>
      </c>
      <c r="L198" s="17" t="s">
        <v>5091</v>
      </c>
      <c r="M198" s="8">
        <v>229900</v>
      </c>
      <c r="N198" s="37" t="str">
        <f t="shared" si="19"/>
        <v>BXGY</v>
      </c>
      <c r="O198" s="36" t="str">
        <f t="shared" si="20"/>
        <v>B1G2</v>
      </c>
      <c r="P198" s="34" t="str">
        <f t="shared" si="21"/>
        <v>BXGY</v>
      </c>
    </row>
    <row r="199" spans="1:16" x14ac:dyDescent="0.35">
      <c r="A199" s="14" t="str">
        <f t="shared" si="22"/>
        <v>2024 JUL-DEC B1G2 LICENSE ESS</v>
      </c>
      <c r="B199" s="35">
        <f t="shared" si="22"/>
        <v>46086</v>
      </c>
      <c r="C199" s="35">
        <f t="shared" si="22"/>
        <v>46092</v>
      </c>
      <c r="D199" s="6">
        <v>3287</v>
      </c>
      <c r="E199" s="6">
        <v>338</v>
      </c>
      <c r="F199" s="6">
        <v>4</v>
      </c>
      <c r="G199" s="6">
        <v>9</v>
      </c>
      <c r="H199" s="6">
        <v>81462</v>
      </c>
      <c r="I199" s="6" t="s">
        <v>17</v>
      </c>
      <c r="J199" s="6">
        <v>45450879</v>
      </c>
      <c r="K199" s="6" t="s">
        <v>5090</v>
      </c>
      <c r="L199" s="17" t="s">
        <v>5092</v>
      </c>
      <c r="M199" s="8">
        <v>229900</v>
      </c>
      <c r="N199" s="37" t="str">
        <f t="shared" si="19"/>
        <v>BXGY</v>
      </c>
      <c r="O199" s="36" t="str">
        <f t="shared" si="20"/>
        <v>B1G2</v>
      </c>
      <c r="P199" s="34" t="str">
        <f t="shared" si="21"/>
        <v>BXGY</v>
      </c>
    </row>
    <row r="200" spans="1:16" x14ac:dyDescent="0.35">
      <c r="A200" s="14" t="str">
        <f t="shared" si="22"/>
        <v>2024 JUL-DEC B1G2 LICENSE ESS</v>
      </c>
      <c r="B200" s="35">
        <f t="shared" si="22"/>
        <v>46086</v>
      </c>
      <c r="C200" s="35">
        <f t="shared" si="22"/>
        <v>46092</v>
      </c>
      <c r="D200" s="6">
        <v>3287</v>
      </c>
      <c r="E200" s="6">
        <v>338</v>
      </c>
      <c r="F200" s="6">
        <v>4</v>
      </c>
      <c r="G200" s="6">
        <v>9</v>
      </c>
      <c r="H200" s="6">
        <v>81462</v>
      </c>
      <c r="I200" s="6" t="s">
        <v>17</v>
      </c>
      <c r="J200" s="6">
        <v>45450888</v>
      </c>
      <c r="K200" s="6" t="s">
        <v>5090</v>
      </c>
      <c r="L200" s="17" t="s">
        <v>5093</v>
      </c>
      <c r="M200" s="8">
        <v>229900</v>
      </c>
      <c r="N200" s="37" t="str">
        <f t="shared" si="19"/>
        <v>BXGY</v>
      </c>
      <c r="O200" s="36" t="str">
        <f t="shared" si="20"/>
        <v>B1G2</v>
      </c>
      <c r="P200" s="34" t="str">
        <f t="shared" si="21"/>
        <v>BXGY</v>
      </c>
    </row>
    <row r="201" spans="1:16" x14ac:dyDescent="0.35">
      <c r="A201" s="14" t="str">
        <f t="shared" si="22"/>
        <v>2024 JUL-DEC B1G2 LICENSE ESS</v>
      </c>
      <c r="B201" s="35">
        <f t="shared" si="22"/>
        <v>46086</v>
      </c>
      <c r="C201" s="35">
        <f t="shared" si="22"/>
        <v>46092</v>
      </c>
      <c r="D201" s="6">
        <v>3287</v>
      </c>
      <c r="E201" s="6">
        <v>338</v>
      </c>
      <c r="F201" s="6">
        <v>4</v>
      </c>
      <c r="G201" s="6">
        <v>9</v>
      </c>
      <c r="H201" s="6">
        <v>81462</v>
      </c>
      <c r="I201" s="6" t="s">
        <v>17</v>
      </c>
      <c r="J201" s="6">
        <v>45450897</v>
      </c>
      <c r="K201" s="6" t="s">
        <v>5090</v>
      </c>
      <c r="L201" s="17" t="s">
        <v>5094</v>
      </c>
      <c r="M201" s="8">
        <v>229900</v>
      </c>
      <c r="N201" s="37" t="str">
        <f t="shared" si="19"/>
        <v>BXGY</v>
      </c>
      <c r="O201" s="36" t="str">
        <f t="shared" si="20"/>
        <v>B1G2</v>
      </c>
      <c r="P201" s="34" t="str">
        <f t="shared" si="21"/>
        <v>BXGY</v>
      </c>
    </row>
    <row r="202" spans="1:16" x14ac:dyDescent="0.35">
      <c r="A202" s="14" t="str">
        <f t="shared" si="22"/>
        <v>2024 JUL-DEC B1G2 LICENSE ESS</v>
      </c>
      <c r="B202" s="35">
        <f t="shared" si="22"/>
        <v>46086</v>
      </c>
      <c r="C202" s="35">
        <f t="shared" si="22"/>
        <v>46092</v>
      </c>
      <c r="D202" s="6">
        <v>3287</v>
      </c>
      <c r="E202" s="6">
        <v>338</v>
      </c>
      <c r="F202" s="6">
        <v>4</v>
      </c>
      <c r="G202" s="6">
        <v>9</v>
      </c>
      <c r="H202" s="6">
        <v>81462</v>
      </c>
      <c r="I202" s="6" t="s">
        <v>17</v>
      </c>
      <c r="J202" s="6">
        <v>45450904</v>
      </c>
      <c r="K202" s="6" t="s">
        <v>5090</v>
      </c>
      <c r="L202" s="17" t="s">
        <v>5095</v>
      </c>
      <c r="M202" s="8">
        <v>239900</v>
      </c>
      <c r="N202" s="37" t="str">
        <f t="shared" si="19"/>
        <v>BXGY</v>
      </c>
      <c r="O202" s="36" t="str">
        <f t="shared" si="20"/>
        <v>B1G2</v>
      </c>
      <c r="P202" s="34" t="str">
        <f t="shared" si="21"/>
        <v>BXGY</v>
      </c>
    </row>
    <row r="203" spans="1:16" x14ac:dyDescent="0.35">
      <c r="A203" s="14" t="str">
        <f t="shared" si="22"/>
        <v>2024 JUL-DEC B1G2 LICENSE ESS</v>
      </c>
      <c r="B203" s="35">
        <f t="shared" si="22"/>
        <v>46086</v>
      </c>
      <c r="C203" s="35">
        <f t="shared" si="22"/>
        <v>46092</v>
      </c>
      <c r="D203" s="6">
        <v>3287</v>
      </c>
      <c r="E203" s="6">
        <v>338</v>
      </c>
      <c r="F203" s="6">
        <v>4</v>
      </c>
      <c r="G203" s="6">
        <v>9</v>
      </c>
      <c r="H203" s="6">
        <v>81462</v>
      </c>
      <c r="I203" s="6" t="s">
        <v>17</v>
      </c>
      <c r="J203" s="6">
        <v>45450913</v>
      </c>
      <c r="K203" s="6" t="s">
        <v>5090</v>
      </c>
      <c r="L203" s="17" t="s">
        <v>5096</v>
      </c>
      <c r="M203" s="8">
        <v>239900</v>
      </c>
      <c r="N203" s="37" t="str">
        <f t="shared" si="19"/>
        <v>BXGY</v>
      </c>
      <c r="O203" s="36" t="str">
        <f t="shared" si="20"/>
        <v>B1G2</v>
      </c>
      <c r="P203" s="34" t="str">
        <f t="shared" si="21"/>
        <v>BXGY</v>
      </c>
    </row>
    <row r="204" spans="1:16" x14ac:dyDescent="0.35">
      <c r="A204" s="14" t="str">
        <f t="shared" si="22"/>
        <v>2024 JUL-DEC B1G2 LICENSE ESS</v>
      </c>
      <c r="B204" s="35">
        <f t="shared" si="22"/>
        <v>46086</v>
      </c>
      <c r="C204" s="35">
        <f t="shared" si="22"/>
        <v>46092</v>
      </c>
      <c r="D204" s="6">
        <v>3287</v>
      </c>
      <c r="E204" s="6">
        <v>338</v>
      </c>
      <c r="F204" s="6">
        <v>4</v>
      </c>
      <c r="G204" s="6">
        <v>9</v>
      </c>
      <c r="H204" s="6">
        <v>81462</v>
      </c>
      <c r="I204" s="6" t="s">
        <v>17</v>
      </c>
      <c r="J204" s="6">
        <v>45450922</v>
      </c>
      <c r="K204" s="6" t="s">
        <v>5090</v>
      </c>
      <c r="L204" s="17" t="s">
        <v>5097</v>
      </c>
      <c r="M204" s="8">
        <v>239900</v>
      </c>
      <c r="N204" s="37" t="str">
        <f t="shared" si="19"/>
        <v>BXGY</v>
      </c>
      <c r="O204" s="36" t="str">
        <f t="shared" si="20"/>
        <v>B1G2</v>
      </c>
      <c r="P204" s="34" t="str">
        <f t="shared" si="21"/>
        <v>BXGY</v>
      </c>
    </row>
    <row r="205" spans="1:16" x14ac:dyDescent="0.35">
      <c r="A205" s="14" t="str">
        <f t="shared" si="22"/>
        <v>2024 JUL-DEC B1G2 LICENSE ESS</v>
      </c>
      <c r="B205" s="35">
        <f t="shared" si="22"/>
        <v>46086</v>
      </c>
      <c r="C205" s="35">
        <f t="shared" si="22"/>
        <v>46092</v>
      </c>
      <c r="D205" s="6">
        <v>3287</v>
      </c>
      <c r="E205" s="6">
        <v>338</v>
      </c>
      <c r="F205" s="6">
        <v>4</v>
      </c>
      <c r="G205" s="6">
        <v>9</v>
      </c>
      <c r="H205" s="6">
        <v>81462</v>
      </c>
      <c r="I205" s="6" t="s">
        <v>17</v>
      </c>
      <c r="J205" s="6">
        <v>45450931</v>
      </c>
      <c r="K205" s="6" t="s">
        <v>5090</v>
      </c>
      <c r="L205" s="17" t="s">
        <v>5098</v>
      </c>
      <c r="M205" s="8">
        <v>239900</v>
      </c>
      <c r="N205" s="37" t="str">
        <f t="shared" si="19"/>
        <v>BXGY</v>
      </c>
      <c r="O205" s="36" t="str">
        <f t="shared" si="20"/>
        <v>B1G2</v>
      </c>
      <c r="P205" s="34" t="str">
        <f t="shared" si="21"/>
        <v>BXGY</v>
      </c>
    </row>
    <row r="206" spans="1:16" x14ac:dyDescent="0.35">
      <c r="A206" s="14" t="str">
        <f t="shared" si="22"/>
        <v>2024 JUL-DEC B1G2 LICENSE ESS</v>
      </c>
      <c r="B206" s="35">
        <f t="shared" si="22"/>
        <v>46086</v>
      </c>
      <c r="C206" s="35">
        <f t="shared" si="22"/>
        <v>46092</v>
      </c>
      <c r="D206" s="6">
        <v>3287</v>
      </c>
      <c r="E206" s="6">
        <v>338</v>
      </c>
      <c r="F206" s="6">
        <v>4</v>
      </c>
      <c r="G206" s="6">
        <v>10</v>
      </c>
      <c r="H206" s="6">
        <v>81595</v>
      </c>
      <c r="I206" s="6" t="s">
        <v>17</v>
      </c>
      <c r="J206" s="6">
        <v>50036316</v>
      </c>
      <c r="K206" s="6" t="s">
        <v>5143</v>
      </c>
      <c r="L206" s="17" t="s">
        <v>5144</v>
      </c>
      <c r="M206" s="8">
        <v>35900</v>
      </c>
      <c r="N206" s="37" t="str">
        <f t="shared" si="19"/>
        <v>BXGY</v>
      </c>
      <c r="O206" s="36" t="str">
        <f t="shared" si="20"/>
        <v>B1G2</v>
      </c>
      <c r="P206" s="34" t="str">
        <f t="shared" si="21"/>
        <v>BXGY</v>
      </c>
    </row>
    <row r="207" spans="1:16" x14ac:dyDescent="0.35">
      <c r="A207" s="14" t="str">
        <f t="shared" si="22"/>
        <v>2024 JUL-DEC B1G2 LICENSE ESS</v>
      </c>
      <c r="B207" s="35">
        <f t="shared" si="22"/>
        <v>46086</v>
      </c>
      <c r="C207" s="35">
        <f t="shared" si="22"/>
        <v>46092</v>
      </c>
      <c r="D207" s="6">
        <v>3287</v>
      </c>
      <c r="E207" s="6">
        <v>338</v>
      </c>
      <c r="F207" s="6">
        <v>4</v>
      </c>
      <c r="G207" s="6">
        <v>10</v>
      </c>
      <c r="H207" s="6">
        <v>81595</v>
      </c>
      <c r="I207" s="6" t="s">
        <v>17</v>
      </c>
      <c r="J207" s="6">
        <v>50036325</v>
      </c>
      <c r="K207" s="6" t="s">
        <v>5143</v>
      </c>
      <c r="L207" s="17" t="s">
        <v>5145</v>
      </c>
      <c r="M207" s="8">
        <v>35900</v>
      </c>
      <c r="N207" s="37" t="str">
        <f t="shared" si="19"/>
        <v>BXGY</v>
      </c>
      <c r="O207" s="36" t="str">
        <f t="shared" si="20"/>
        <v>B1G2</v>
      </c>
      <c r="P207" s="34" t="str">
        <f t="shared" si="21"/>
        <v>BXGY</v>
      </c>
    </row>
    <row r="208" spans="1:16" x14ac:dyDescent="0.35">
      <c r="A208" s="14" t="str">
        <f t="shared" si="22"/>
        <v>2024 JUL-DEC B1G2 LICENSE ESS</v>
      </c>
      <c r="B208" s="35">
        <f t="shared" si="22"/>
        <v>46086</v>
      </c>
      <c r="C208" s="35">
        <f t="shared" si="22"/>
        <v>46092</v>
      </c>
      <c r="D208" s="6">
        <v>3287</v>
      </c>
      <c r="E208" s="6">
        <v>338</v>
      </c>
      <c r="F208" s="6">
        <v>4</v>
      </c>
      <c r="G208" s="6">
        <v>10</v>
      </c>
      <c r="H208" s="6">
        <v>81595</v>
      </c>
      <c r="I208" s="6" t="s">
        <v>17</v>
      </c>
      <c r="J208" s="6">
        <v>50036334</v>
      </c>
      <c r="K208" s="6" t="s">
        <v>5146</v>
      </c>
      <c r="L208" s="17" t="s">
        <v>5147</v>
      </c>
      <c r="M208" s="8">
        <v>35900</v>
      </c>
      <c r="N208" s="37" t="str">
        <f t="shared" si="19"/>
        <v>BXGY</v>
      </c>
      <c r="O208" s="36" t="str">
        <f t="shared" si="20"/>
        <v>B1G2</v>
      </c>
      <c r="P208" s="34" t="str">
        <f t="shared" si="21"/>
        <v>BXGY</v>
      </c>
    </row>
    <row r="209" spans="1:16" x14ac:dyDescent="0.35">
      <c r="A209" s="14" t="str">
        <f t="shared" si="22"/>
        <v>2024 JUL-DEC B1G2 LICENSE ESS</v>
      </c>
      <c r="B209" s="35">
        <f t="shared" si="22"/>
        <v>46086</v>
      </c>
      <c r="C209" s="35">
        <f t="shared" si="22"/>
        <v>46092</v>
      </c>
      <c r="D209" s="6">
        <v>3287</v>
      </c>
      <c r="E209" s="6">
        <v>338</v>
      </c>
      <c r="F209" s="6">
        <v>4</v>
      </c>
      <c r="G209" s="6">
        <v>10</v>
      </c>
      <c r="H209" s="6">
        <v>81595</v>
      </c>
      <c r="I209" s="6" t="s">
        <v>17</v>
      </c>
      <c r="J209" s="6">
        <v>50036343</v>
      </c>
      <c r="K209" s="6" t="s">
        <v>5146</v>
      </c>
      <c r="L209" s="17" t="s">
        <v>5148</v>
      </c>
      <c r="M209" s="8">
        <v>35900</v>
      </c>
      <c r="N209" s="37" t="str">
        <f t="shared" ref="N209" si="23">N208</f>
        <v>BXGY</v>
      </c>
      <c r="O209" s="36" t="str">
        <f t="shared" ref="O209" si="24">O208</f>
        <v>B1G2</v>
      </c>
      <c r="P209" s="34" t="str">
        <f t="shared" ref="P209" si="25">P208</f>
        <v>BXGY</v>
      </c>
    </row>
  </sheetData>
  <autoFilter ref="A1:P1" xr:uid="{00000000-0009-0000-0000-00001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E2B-E70C-45A0-A62E-78520E6264A0}">
  <dimension ref="A1:P180"/>
  <sheetViews>
    <sheetView zoomScale="92" zoomScaleNormal="100" workbookViewId="0">
      <pane ySplit="1" topLeftCell="A2" activePane="bottomLeft" state="frozen"/>
      <selection activeCell="P5" sqref="P5"/>
      <selection pane="bottomLeft" activeCell="M11" sqref="M11"/>
    </sheetView>
  </sheetViews>
  <sheetFormatPr defaultColWidth="8.6328125" defaultRowHeight="14.5" x14ac:dyDescent="0.35"/>
  <cols>
    <col min="1" max="1" width="31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08984375" style="2" customWidth="1"/>
    <col min="12" max="12" width="75.1796875" style="2" customWidth="1"/>
    <col min="13" max="13" width="20.90625" style="4" bestFit="1" customWidth="1"/>
    <col min="14" max="14" width="18.542968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4" t="s">
        <v>6785</v>
      </c>
      <c r="B2" s="7">
        <f>'2025 HILITE D80 - 3321'!B2</f>
        <v>46086</v>
      </c>
      <c r="C2" s="7">
        <f>'2025 HILITE D80 - 3321'!C2</f>
        <v>46092</v>
      </c>
      <c r="D2" s="6">
        <v>3287</v>
      </c>
      <c r="E2" s="6">
        <v>338</v>
      </c>
      <c r="F2" s="34">
        <v>4</v>
      </c>
      <c r="G2" s="25">
        <v>9</v>
      </c>
      <c r="H2" s="25">
        <v>81676</v>
      </c>
      <c r="I2" s="25" t="s">
        <v>17</v>
      </c>
      <c r="J2" s="24">
        <v>10721427</v>
      </c>
      <c r="K2" s="24" t="s">
        <v>5114</v>
      </c>
      <c r="L2" s="24" t="s">
        <v>5115</v>
      </c>
      <c r="M2" s="26">
        <v>229900</v>
      </c>
      <c r="N2" s="9">
        <v>0.7</v>
      </c>
      <c r="O2" s="8">
        <f>M2-((70*M2)/100)</f>
        <v>68970</v>
      </c>
      <c r="P2" s="6" t="s">
        <v>16</v>
      </c>
    </row>
    <row r="3" spans="1:16" x14ac:dyDescent="0.35">
      <c r="A3" s="34" t="str">
        <f>A2</f>
        <v>2024 JAN-JUN DISC 70 LICENSE ESS</v>
      </c>
      <c r="B3" s="7">
        <f>B2</f>
        <v>46086</v>
      </c>
      <c r="C3" s="7">
        <f>C2</f>
        <v>46092</v>
      </c>
      <c r="D3" s="6">
        <v>3287</v>
      </c>
      <c r="E3" s="6">
        <v>338</v>
      </c>
      <c r="F3" s="34">
        <v>4</v>
      </c>
      <c r="G3" s="25">
        <v>9</v>
      </c>
      <c r="H3" s="25">
        <v>81676</v>
      </c>
      <c r="I3" s="25" t="s">
        <v>17</v>
      </c>
      <c r="J3" s="24">
        <v>10721436</v>
      </c>
      <c r="K3" s="24" t="s">
        <v>5114</v>
      </c>
      <c r="L3" s="24" t="s">
        <v>5116</v>
      </c>
      <c r="M3" s="26">
        <v>229900</v>
      </c>
      <c r="N3" s="37">
        <v>0.7</v>
      </c>
      <c r="O3" s="36">
        <f t="shared" ref="O3:O52" si="0">M3-((70*M3)/100)</f>
        <v>68970</v>
      </c>
      <c r="P3" s="34" t="s">
        <v>16</v>
      </c>
    </row>
    <row r="4" spans="1:16" x14ac:dyDescent="0.35">
      <c r="A4" s="34" t="str">
        <f t="shared" ref="A4:A15" si="1">A3</f>
        <v>2024 JAN-JUN DISC 70 LICENSE ESS</v>
      </c>
      <c r="B4" s="7">
        <f t="shared" ref="B4:B67" si="2">B3</f>
        <v>46086</v>
      </c>
      <c r="C4" s="7">
        <f t="shared" ref="C4:C67" si="3">C3</f>
        <v>46092</v>
      </c>
      <c r="D4" s="6">
        <v>3287</v>
      </c>
      <c r="E4" s="6">
        <v>338</v>
      </c>
      <c r="F4" s="34">
        <v>4</v>
      </c>
      <c r="G4" s="25">
        <v>9</v>
      </c>
      <c r="H4" s="25">
        <v>81676</v>
      </c>
      <c r="I4" s="25" t="s">
        <v>17</v>
      </c>
      <c r="J4" s="24">
        <v>10721445</v>
      </c>
      <c r="K4" s="24" t="s">
        <v>5114</v>
      </c>
      <c r="L4" s="24" t="s">
        <v>5117</v>
      </c>
      <c r="M4" s="26">
        <v>229900</v>
      </c>
      <c r="N4" s="37">
        <v>0.7</v>
      </c>
      <c r="O4" s="36">
        <f t="shared" si="0"/>
        <v>68970</v>
      </c>
      <c r="P4" s="34" t="s">
        <v>16</v>
      </c>
    </row>
    <row r="5" spans="1:16" x14ac:dyDescent="0.35">
      <c r="A5" s="34" t="str">
        <f t="shared" si="1"/>
        <v>2024 JAN-JUN DISC 70 LICENSE ESS</v>
      </c>
      <c r="B5" s="7">
        <f t="shared" si="2"/>
        <v>46086</v>
      </c>
      <c r="C5" s="7">
        <f t="shared" si="3"/>
        <v>46092</v>
      </c>
      <c r="D5" s="6">
        <v>3287</v>
      </c>
      <c r="E5" s="6">
        <v>338</v>
      </c>
      <c r="F5" s="34">
        <v>4</v>
      </c>
      <c r="G5" s="25">
        <v>9</v>
      </c>
      <c r="H5" s="25">
        <v>81676</v>
      </c>
      <c r="I5" s="25" t="s">
        <v>17</v>
      </c>
      <c r="J5" s="24">
        <v>10721454</v>
      </c>
      <c r="K5" s="24" t="s">
        <v>5114</v>
      </c>
      <c r="L5" s="24" t="s">
        <v>5118</v>
      </c>
      <c r="M5" s="26">
        <v>229900</v>
      </c>
      <c r="N5" s="37">
        <v>0.7</v>
      </c>
      <c r="O5" s="36">
        <f t="shared" si="0"/>
        <v>68970</v>
      </c>
      <c r="P5" s="34" t="s">
        <v>16</v>
      </c>
    </row>
    <row r="6" spans="1:16" x14ac:dyDescent="0.35">
      <c r="A6" s="34" t="str">
        <f t="shared" si="1"/>
        <v>2024 JAN-JUN DISC 70 LICENSE ESS</v>
      </c>
      <c r="B6" s="7">
        <f t="shared" si="2"/>
        <v>46086</v>
      </c>
      <c r="C6" s="7">
        <f t="shared" si="3"/>
        <v>46092</v>
      </c>
      <c r="D6" s="6">
        <v>3287</v>
      </c>
      <c r="E6" s="6">
        <v>338</v>
      </c>
      <c r="F6" s="34">
        <v>4</v>
      </c>
      <c r="G6" s="25">
        <v>4</v>
      </c>
      <c r="H6" s="25">
        <v>81676</v>
      </c>
      <c r="I6" s="25" t="s">
        <v>17</v>
      </c>
      <c r="J6" s="24">
        <v>14832336</v>
      </c>
      <c r="K6" s="24" t="s">
        <v>3092</v>
      </c>
      <c r="L6" s="24" t="s">
        <v>3093</v>
      </c>
      <c r="M6" s="26">
        <v>229900</v>
      </c>
      <c r="N6" s="37">
        <v>0.7</v>
      </c>
      <c r="O6" s="36">
        <f t="shared" si="0"/>
        <v>68970</v>
      </c>
      <c r="P6" s="34" t="s">
        <v>16</v>
      </c>
    </row>
    <row r="7" spans="1:16" x14ac:dyDescent="0.35">
      <c r="A7" s="34" t="str">
        <f t="shared" si="1"/>
        <v>2024 JAN-JUN DISC 70 LICENSE ESS</v>
      </c>
      <c r="B7" s="7">
        <f t="shared" si="2"/>
        <v>46086</v>
      </c>
      <c r="C7" s="7">
        <f t="shared" si="3"/>
        <v>46092</v>
      </c>
      <c r="D7" s="6">
        <v>3287</v>
      </c>
      <c r="E7" s="6">
        <v>338</v>
      </c>
      <c r="F7" s="34">
        <v>4</v>
      </c>
      <c r="G7" s="25">
        <v>4</v>
      </c>
      <c r="H7" s="25">
        <v>81676</v>
      </c>
      <c r="I7" s="25" t="s">
        <v>17</v>
      </c>
      <c r="J7" s="24">
        <v>14832345</v>
      </c>
      <c r="K7" s="24" t="s">
        <v>3092</v>
      </c>
      <c r="L7" s="24" t="s">
        <v>3094</v>
      </c>
      <c r="M7" s="26">
        <v>229900</v>
      </c>
      <c r="N7" s="37">
        <v>0.7</v>
      </c>
      <c r="O7" s="36">
        <f t="shared" si="0"/>
        <v>68970</v>
      </c>
      <c r="P7" s="34" t="s">
        <v>16</v>
      </c>
    </row>
    <row r="8" spans="1:16" x14ac:dyDescent="0.35">
      <c r="A8" s="34" t="str">
        <f t="shared" si="1"/>
        <v>2024 JAN-JUN DISC 70 LICENSE ESS</v>
      </c>
      <c r="B8" s="7">
        <f t="shared" si="2"/>
        <v>46086</v>
      </c>
      <c r="C8" s="7">
        <f t="shared" si="3"/>
        <v>46092</v>
      </c>
      <c r="D8" s="6">
        <v>3287</v>
      </c>
      <c r="E8" s="6">
        <v>338</v>
      </c>
      <c r="F8" s="34">
        <v>4</v>
      </c>
      <c r="G8" s="25">
        <v>4</v>
      </c>
      <c r="H8" s="25">
        <v>81676</v>
      </c>
      <c r="I8" s="25" t="s">
        <v>17</v>
      </c>
      <c r="J8" s="24">
        <v>14832354</v>
      </c>
      <c r="K8" s="24" t="s">
        <v>3092</v>
      </c>
      <c r="L8" s="24" t="s">
        <v>3095</v>
      </c>
      <c r="M8" s="26">
        <v>229900</v>
      </c>
      <c r="N8" s="37">
        <v>0.7</v>
      </c>
      <c r="O8" s="36">
        <f t="shared" si="0"/>
        <v>68970</v>
      </c>
      <c r="P8" s="34" t="s">
        <v>16</v>
      </c>
    </row>
    <row r="9" spans="1:16" x14ac:dyDescent="0.35">
      <c r="A9" s="34" t="str">
        <f t="shared" si="1"/>
        <v>2024 JAN-JUN DISC 70 LICENSE ESS</v>
      </c>
      <c r="B9" s="7">
        <f t="shared" si="2"/>
        <v>46086</v>
      </c>
      <c r="C9" s="7">
        <f t="shared" si="3"/>
        <v>46092</v>
      </c>
      <c r="D9" s="6">
        <v>3287</v>
      </c>
      <c r="E9" s="6">
        <v>338</v>
      </c>
      <c r="F9" s="34">
        <v>4</v>
      </c>
      <c r="G9" s="25">
        <v>4</v>
      </c>
      <c r="H9" s="25">
        <v>81676</v>
      </c>
      <c r="I9" s="25" t="s">
        <v>17</v>
      </c>
      <c r="J9" s="24">
        <v>14832363</v>
      </c>
      <c r="K9" s="24" t="s">
        <v>3092</v>
      </c>
      <c r="L9" s="24" t="s">
        <v>3096</v>
      </c>
      <c r="M9" s="26">
        <v>229900</v>
      </c>
      <c r="N9" s="37">
        <v>0.7</v>
      </c>
      <c r="O9" s="36">
        <f t="shared" si="0"/>
        <v>68970</v>
      </c>
      <c r="P9" s="34" t="s">
        <v>16</v>
      </c>
    </row>
    <row r="10" spans="1:16" x14ac:dyDescent="0.35">
      <c r="A10" s="34" t="str">
        <f t="shared" si="1"/>
        <v>2024 JAN-JUN DISC 70 LICENSE ESS</v>
      </c>
      <c r="B10" s="7">
        <f t="shared" si="2"/>
        <v>46086</v>
      </c>
      <c r="C10" s="7">
        <f t="shared" si="3"/>
        <v>46092</v>
      </c>
      <c r="D10" s="6">
        <v>3287</v>
      </c>
      <c r="E10" s="6">
        <v>338</v>
      </c>
      <c r="F10" s="34">
        <v>4</v>
      </c>
      <c r="G10" s="25">
        <v>4</v>
      </c>
      <c r="H10" s="25">
        <v>81676</v>
      </c>
      <c r="I10" s="25" t="s">
        <v>17</v>
      </c>
      <c r="J10" s="24">
        <v>14832372</v>
      </c>
      <c r="K10" s="24" t="s">
        <v>3092</v>
      </c>
      <c r="L10" s="24" t="s">
        <v>3097</v>
      </c>
      <c r="M10" s="26">
        <v>239900</v>
      </c>
      <c r="N10" s="37">
        <v>0.7</v>
      </c>
      <c r="O10" s="36">
        <f t="shared" si="0"/>
        <v>71970</v>
      </c>
      <c r="P10" s="34" t="s">
        <v>16</v>
      </c>
    </row>
    <row r="11" spans="1:16" x14ac:dyDescent="0.35">
      <c r="A11" s="34" t="str">
        <f t="shared" si="1"/>
        <v>2024 JAN-JUN DISC 70 LICENSE ESS</v>
      </c>
      <c r="B11" s="7">
        <f t="shared" si="2"/>
        <v>46086</v>
      </c>
      <c r="C11" s="7">
        <f t="shared" si="3"/>
        <v>46092</v>
      </c>
      <c r="D11" s="6">
        <v>3287</v>
      </c>
      <c r="E11" s="6">
        <v>338</v>
      </c>
      <c r="F11" s="34">
        <v>4</v>
      </c>
      <c r="G11" s="25">
        <v>4</v>
      </c>
      <c r="H11" s="25">
        <v>81676</v>
      </c>
      <c r="I11" s="25" t="s">
        <v>17</v>
      </c>
      <c r="J11" s="24">
        <v>14832381</v>
      </c>
      <c r="K11" s="24" t="s">
        <v>3092</v>
      </c>
      <c r="L11" s="24" t="s">
        <v>3098</v>
      </c>
      <c r="M11" s="26">
        <v>239900</v>
      </c>
      <c r="N11" s="37">
        <v>0.7</v>
      </c>
      <c r="O11" s="36">
        <f t="shared" si="0"/>
        <v>71970</v>
      </c>
      <c r="P11" s="34" t="s">
        <v>16</v>
      </c>
    </row>
    <row r="12" spans="1:16" x14ac:dyDescent="0.35">
      <c r="A12" s="34" t="str">
        <f t="shared" si="1"/>
        <v>2024 JAN-JUN DISC 70 LICENSE ESS</v>
      </c>
      <c r="B12" s="7">
        <f t="shared" si="2"/>
        <v>46086</v>
      </c>
      <c r="C12" s="7">
        <f t="shared" si="3"/>
        <v>46092</v>
      </c>
      <c r="D12" s="6">
        <v>3287</v>
      </c>
      <c r="E12" s="6">
        <v>338</v>
      </c>
      <c r="F12" s="34">
        <v>4</v>
      </c>
      <c r="G12" s="25">
        <v>4</v>
      </c>
      <c r="H12" s="25">
        <v>81676</v>
      </c>
      <c r="I12" s="25" t="s">
        <v>17</v>
      </c>
      <c r="J12" s="24">
        <v>14832390</v>
      </c>
      <c r="K12" s="24" t="s">
        <v>3092</v>
      </c>
      <c r="L12" s="24" t="s">
        <v>3099</v>
      </c>
      <c r="M12" s="26">
        <v>239900</v>
      </c>
      <c r="N12" s="37">
        <v>0.7</v>
      </c>
      <c r="O12" s="36">
        <f t="shared" si="0"/>
        <v>71970</v>
      </c>
      <c r="P12" s="34" t="s">
        <v>16</v>
      </c>
    </row>
    <row r="13" spans="1:16" x14ac:dyDescent="0.35">
      <c r="A13" s="34" t="str">
        <f t="shared" si="1"/>
        <v>2024 JAN-JUN DISC 70 LICENSE ESS</v>
      </c>
      <c r="B13" s="7">
        <f t="shared" si="2"/>
        <v>46086</v>
      </c>
      <c r="C13" s="7">
        <f t="shared" si="3"/>
        <v>46092</v>
      </c>
      <c r="D13" s="6">
        <v>3287</v>
      </c>
      <c r="E13" s="6">
        <v>338</v>
      </c>
      <c r="F13" s="34">
        <v>4</v>
      </c>
      <c r="G13" s="25">
        <v>4</v>
      </c>
      <c r="H13" s="25">
        <v>81676</v>
      </c>
      <c r="I13" s="25" t="s">
        <v>17</v>
      </c>
      <c r="J13" s="24">
        <v>14832407</v>
      </c>
      <c r="K13" s="24" t="s">
        <v>3092</v>
      </c>
      <c r="L13" s="24" t="s">
        <v>3100</v>
      </c>
      <c r="M13" s="26">
        <v>239900</v>
      </c>
      <c r="N13" s="37">
        <v>0.7</v>
      </c>
      <c r="O13" s="36">
        <f t="shared" si="0"/>
        <v>71970</v>
      </c>
      <c r="P13" s="34" t="s">
        <v>16</v>
      </c>
    </row>
    <row r="14" spans="1:16" x14ac:dyDescent="0.35">
      <c r="A14" s="34" t="str">
        <f t="shared" si="1"/>
        <v>2024 JAN-JUN DISC 70 LICENSE ESS</v>
      </c>
      <c r="B14" s="7">
        <f t="shared" si="2"/>
        <v>46086</v>
      </c>
      <c r="C14" s="7">
        <f t="shared" si="3"/>
        <v>46092</v>
      </c>
      <c r="D14" s="6">
        <v>3287</v>
      </c>
      <c r="E14" s="6">
        <v>338</v>
      </c>
      <c r="F14" s="34">
        <v>4</v>
      </c>
      <c r="G14" s="25">
        <v>7</v>
      </c>
      <c r="H14" s="25">
        <v>81595</v>
      </c>
      <c r="I14" s="25" t="s">
        <v>17</v>
      </c>
      <c r="J14" s="24">
        <v>15646947</v>
      </c>
      <c r="K14" s="24" t="s">
        <v>3051</v>
      </c>
      <c r="L14" s="24" t="s">
        <v>3052</v>
      </c>
      <c r="M14" s="26">
        <v>32900</v>
      </c>
      <c r="N14" s="37">
        <v>0.7</v>
      </c>
      <c r="O14" s="36">
        <f t="shared" si="0"/>
        <v>9870</v>
      </c>
      <c r="P14" s="34" t="s">
        <v>16</v>
      </c>
    </row>
    <row r="15" spans="1:16" ht="15" customHeight="1" x14ac:dyDescent="0.35">
      <c r="A15" s="34" t="str">
        <f t="shared" si="1"/>
        <v>2024 JAN-JUN DISC 70 LICENSE ESS</v>
      </c>
      <c r="B15" s="7">
        <f t="shared" si="2"/>
        <v>46086</v>
      </c>
      <c r="C15" s="7">
        <f t="shared" si="3"/>
        <v>46092</v>
      </c>
      <c r="D15" s="6">
        <v>3287</v>
      </c>
      <c r="E15" s="6">
        <v>338</v>
      </c>
      <c r="F15" s="34">
        <v>4</v>
      </c>
      <c r="G15" s="25">
        <v>7</v>
      </c>
      <c r="H15" s="25">
        <v>81595</v>
      </c>
      <c r="I15" s="25" t="s">
        <v>17</v>
      </c>
      <c r="J15" s="24">
        <v>15646956</v>
      </c>
      <c r="K15" s="24" t="s">
        <v>3051</v>
      </c>
      <c r="L15" s="24" t="s">
        <v>3053</v>
      </c>
      <c r="M15" s="26">
        <v>32900</v>
      </c>
      <c r="N15" s="37">
        <v>0.7</v>
      </c>
      <c r="O15" s="36">
        <f t="shared" si="0"/>
        <v>9870</v>
      </c>
      <c r="P15" s="34" t="s">
        <v>16</v>
      </c>
    </row>
    <row r="16" spans="1:16" x14ac:dyDescent="0.35">
      <c r="A16" s="34" t="str">
        <f t="shared" ref="A16:C69" si="4">A15</f>
        <v>2024 JAN-JUN DISC 70 LICENSE ESS</v>
      </c>
      <c r="B16" s="35">
        <f t="shared" si="2"/>
        <v>46086</v>
      </c>
      <c r="C16" s="35">
        <f t="shared" si="3"/>
        <v>46092</v>
      </c>
      <c r="D16" s="6">
        <v>3287</v>
      </c>
      <c r="E16" s="6">
        <v>338</v>
      </c>
      <c r="F16" s="34">
        <v>4</v>
      </c>
      <c r="G16" s="25">
        <v>7</v>
      </c>
      <c r="H16" s="25">
        <v>81595</v>
      </c>
      <c r="I16" s="25" t="s">
        <v>17</v>
      </c>
      <c r="J16" s="24">
        <v>15646965</v>
      </c>
      <c r="K16" s="24" t="s">
        <v>3054</v>
      </c>
      <c r="L16" s="24" t="s">
        <v>3055</v>
      </c>
      <c r="M16" s="26">
        <v>32900</v>
      </c>
      <c r="N16" s="37">
        <v>0.7</v>
      </c>
      <c r="O16" s="36">
        <f t="shared" si="0"/>
        <v>9870</v>
      </c>
      <c r="P16" s="34" t="s">
        <v>16</v>
      </c>
    </row>
    <row r="17" spans="1:16" x14ac:dyDescent="0.35">
      <c r="A17" s="34" t="str">
        <f t="shared" si="4"/>
        <v>2024 JAN-JUN DISC 70 LICENSE ESS</v>
      </c>
      <c r="B17" s="35">
        <f t="shared" si="2"/>
        <v>46086</v>
      </c>
      <c r="C17" s="35">
        <f t="shared" si="3"/>
        <v>46092</v>
      </c>
      <c r="D17" s="6">
        <v>3287</v>
      </c>
      <c r="E17" s="6">
        <v>338</v>
      </c>
      <c r="F17" s="34">
        <v>4</v>
      </c>
      <c r="G17" s="25">
        <v>7</v>
      </c>
      <c r="H17" s="25">
        <v>81595</v>
      </c>
      <c r="I17" s="25" t="s">
        <v>17</v>
      </c>
      <c r="J17" s="24">
        <v>15646974</v>
      </c>
      <c r="K17" s="24" t="s">
        <v>3054</v>
      </c>
      <c r="L17" s="24" t="s">
        <v>3056</v>
      </c>
      <c r="M17" s="26">
        <v>32900</v>
      </c>
      <c r="N17" s="37">
        <v>0.7</v>
      </c>
      <c r="O17" s="36">
        <f t="shared" si="0"/>
        <v>9870</v>
      </c>
      <c r="P17" s="34" t="s">
        <v>16</v>
      </c>
    </row>
    <row r="18" spans="1:16" x14ac:dyDescent="0.35">
      <c r="A18" s="34" t="str">
        <f t="shared" si="4"/>
        <v>2024 JAN-JUN DISC 70 LICENSE ESS</v>
      </c>
      <c r="B18" s="35">
        <f t="shared" si="2"/>
        <v>46086</v>
      </c>
      <c r="C18" s="35">
        <f t="shared" si="3"/>
        <v>46092</v>
      </c>
      <c r="D18" s="6">
        <v>3287</v>
      </c>
      <c r="E18" s="6">
        <v>338</v>
      </c>
      <c r="F18" s="34">
        <v>4</v>
      </c>
      <c r="G18" s="25">
        <v>7</v>
      </c>
      <c r="H18" s="25">
        <v>81595</v>
      </c>
      <c r="I18" s="25" t="s">
        <v>17</v>
      </c>
      <c r="J18" s="24">
        <v>15646983</v>
      </c>
      <c r="K18" s="24" t="s">
        <v>3057</v>
      </c>
      <c r="L18" s="24" t="s">
        <v>3058</v>
      </c>
      <c r="M18" s="26">
        <v>32900</v>
      </c>
      <c r="N18" s="37">
        <v>0.7</v>
      </c>
      <c r="O18" s="36">
        <f t="shared" si="0"/>
        <v>9870</v>
      </c>
      <c r="P18" s="34" t="s">
        <v>16</v>
      </c>
    </row>
    <row r="19" spans="1:16" x14ac:dyDescent="0.35">
      <c r="A19" s="34" t="str">
        <f t="shared" si="4"/>
        <v>2024 JAN-JUN DISC 70 LICENSE ESS</v>
      </c>
      <c r="B19" s="35">
        <f t="shared" si="2"/>
        <v>46086</v>
      </c>
      <c r="C19" s="35">
        <f t="shared" si="3"/>
        <v>46092</v>
      </c>
      <c r="D19" s="6">
        <v>3287</v>
      </c>
      <c r="E19" s="6">
        <v>338</v>
      </c>
      <c r="F19" s="34">
        <v>4</v>
      </c>
      <c r="G19" s="25">
        <v>7</v>
      </c>
      <c r="H19" s="25">
        <v>81595</v>
      </c>
      <c r="I19" s="25" t="s">
        <v>17</v>
      </c>
      <c r="J19" s="24">
        <v>15646992</v>
      </c>
      <c r="K19" s="24" t="s">
        <v>3057</v>
      </c>
      <c r="L19" s="24" t="s">
        <v>3059</v>
      </c>
      <c r="M19" s="26">
        <v>32900</v>
      </c>
      <c r="N19" s="37">
        <v>0.7</v>
      </c>
      <c r="O19" s="36">
        <f t="shared" si="0"/>
        <v>9870</v>
      </c>
      <c r="P19" s="34" t="s">
        <v>16</v>
      </c>
    </row>
    <row r="20" spans="1:16" x14ac:dyDescent="0.35">
      <c r="A20" s="34" t="str">
        <f t="shared" si="4"/>
        <v>2024 JAN-JUN DISC 70 LICENSE ESS</v>
      </c>
      <c r="B20" s="35">
        <f t="shared" si="2"/>
        <v>46086</v>
      </c>
      <c r="C20" s="35">
        <f t="shared" si="3"/>
        <v>46092</v>
      </c>
      <c r="D20" s="6">
        <v>3287</v>
      </c>
      <c r="E20" s="6">
        <v>338</v>
      </c>
      <c r="F20" s="34">
        <v>4</v>
      </c>
      <c r="G20" s="25">
        <v>7</v>
      </c>
      <c r="H20" s="25">
        <v>81595</v>
      </c>
      <c r="I20" s="25" t="s">
        <v>17</v>
      </c>
      <c r="J20" s="24">
        <v>15647008</v>
      </c>
      <c r="K20" s="24" t="s">
        <v>3060</v>
      </c>
      <c r="L20" s="24" t="s">
        <v>3061</v>
      </c>
      <c r="M20" s="26">
        <v>32900</v>
      </c>
      <c r="N20" s="37">
        <v>0.7</v>
      </c>
      <c r="O20" s="36">
        <f t="shared" si="0"/>
        <v>9870</v>
      </c>
      <c r="P20" s="34" t="s">
        <v>16</v>
      </c>
    </row>
    <row r="21" spans="1:16" x14ac:dyDescent="0.35">
      <c r="A21" s="34" t="str">
        <f t="shared" si="4"/>
        <v>2024 JAN-JUN DISC 70 LICENSE ESS</v>
      </c>
      <c r="B21" s="35">
        <f t="shared" si="2"/>
        <v>46086</v>
      </c>
      <c r="C21" s="35">
        <f t="shared" si="3"/>
        <v>46092</v>
      </c>
      <c r="D21" s="6">
        <v>3287</v>
      </c>
      <c r="E21" s="6">
        <v>338</v>
      </c>
      <c r="F21" s="34">
        <v>4</v>
      </c>
      <c r="G21" s="25">
        <v>7</v>
      </c>
      <c r="H21" s="25">
        <v>81595</v>
      </c>
      <c r="I21" s="25" t="s">
        <v>17</v>
      </c>
      <c r="J21" s="24">
        <v>15647017</v>
      </c>
      <c r="K21" s="24" t="s">
        <v>3060</v>
      </c>
      <c r="L21" s="24" t="s">
        <v>3062</v>
      </c>
      <c r="M21" s="26">
        <v>32900</v>
      </c>
      <c r="N21" s="37">
        <v>0.7</v>
      </c>
      <c r="O21" s="36">
        <f t="shared" si="0"/>
        <v>9870</v>
      </c>
      <c r="P21" s="34" t="s">
        <v>16</v>
      </c>
    </row>
    <row r="22" spans="1:16" x14ac:dyDescent="0.35">
      <c r="A22" s="34" t="str">
        <f t="shared" si="4"/>
        <v>2024 JAN-JUN DISC 70 LICENSE ESS</v>
      </c>
      <c r="B22" s="35">
        <f t="shared" si="2"/>
        <v>46086</v>
      </c>
      <c r="C22" s="35">
        <f t="shared" si="3"/>
        <v>46092</v>
      </c>
      <c r="D22" s="6">
        <v>3287</v>
      </c>
      <c r="E22" s="6">
        <v>338</v>
      </c>
      <c r="F22" s="34">
        <v>4</v>
      </c>
      <c r="G22" s="25">
        <v>7</v>
      </c>
      <c r="H22" s="25">
        <v>81595</v>
      </c>
      <c r="I22" s="25" t="s">
        <v>17</v>
      </c>
      <c r="J22" s="24">
        <v>15647026</v>
      </c>
      <c r="K22" s="24" t="s">
        <v>3023</v>
      </c>
      <c r="L22" s="24" t="s">
        <v>3024</v>
      </c>
      <c r="M22" s="26">
        <v>32900</v>
      </c>
      <c r="N22" s="37">
        <v>0.7</v>
      </c>
      <c r="O22" s="36">
        <f t="shared" si="0"/>
        <v>9870</v>
      </c>
      <c r="P22" s="34" t="s">
        <v>16</v>
      </c>
    </row>
    <row r="23" spans="1:16" ht="16" customHeight="1" x14ac:dyDescent="0.35">
      <c r="A23" s="34" t="str">
        <f t="shared" si="4"/>
        <v>2024 JAN-JUN DISC 70 LICENSE ESS</v>
      </c>
      <c r="B23" s="35">
        <f t="shared" si="2"/>
        <v>46086</v>
      </c>
      <c r="C23" s="35">
        <f t="shared" si="3"/>
        <v>46092</v>
      </c>
      <c r="D23" s="6">
        <v>3287</v>
      </c>
      <c r="E23" s="6">
        <v>338</v>
      </c>
      <c r="F23" s="34">
        <v>4</v>
      </c>
      <c r="G23" s="25">
        <v>7</v>
      </c>
      <c r="H23" s="25">
        <v>81595</v>
      </c>
      <c r="I23" s="25" t="s">
        <v>17</v>
      </c>
      <c r="J23" s="24">
        <v>15647035</v>
      </c>
      <c r="K23" s="24" t="s">
        <v>3023</v>
      </c>
      <c r="L23" s="24" t="s">
        <v>3025</v>
      </c>
      <c r="M23" s="26">
        <v>32900</v>
      </c>
      <c r="N23" s="37">
        <v>0.7</v>
      </c>
      <c r="O23" s="36">
        <f t="shared" si="0"/>
        <v>9870</v>
      </c>
      <c r="P23" s="34" t="s">
        <v>16</v>
      </c>
    </row>
    <row r="24" spans="1:16" x14ac:dyDescent="0.35">
      <c r="A24" s="34" t="str">
        <f t="shared" si="4"/>
        <v>2024 JAN-JUN DISC 70 LICENSE ESS</v>
      </c>
      <c r="B24" s="35">
        <f t="shared" si="2"/>
        <v>46086</v>
      </c>
      <c r="C24" s="35">
        <f t="shared" si="3"/>
        <v>46092</v>
      </c>
      <c r="D24" s="6">
        <v>3287</v>
      </c>
      <c r="E24" s="6">
        <v>338</v>
      </c>
      <c r="F24" s="34">
        <v>4</v>
      </c>
      <c r="G24" s="25">
        <v>7</v>
      </c>
      <c r="H24" s="25">
        <v>81595</v>
      </c>
      <c r="I24" s="25" t="s">
        <v>17</v>
      </c>
      <c r="J24" s="24">
        <v>15647044</v>
      </c>
      <c r="K24" s="24" t="s">
        <v>3063</v>
      </c>
      <c r="L24" s="24" t="s">
        <v>3064</v>
      </c>
      <c r="M24" s="26">
        <v>32900</v>
      </c>
      <c r="N24" s="37">
        <v>0.7</v>
      </c>
      <c r="O24" s="36">
        <f t="shared" si="0"/>
        <v>9870</v>
      </c>
      <c r="P24" s="34" t="s">
        <v>16</v>
      </c>
    </row>
    <row r="25" spans="1:16" x14ac:dyDescent="0.35">
      <c r="A25" s="34" t="str">
        <f t="shared" si="4"/>
        <v>2024 JAN-JUN DISC 70 LICENSE ESS</v>
      </c>
      <c r="B25" s="35">
        <f t="shared" si="2"/>
        <v>46086</v>
      </c>
      <c r="C25" s="35">
        <f t="shared" si="3"/>
        <v>46092</v>
      </c>
      <c r="D25" s="6">
        <v>3287</v>
      </c>
      <c r="E25" s="6">
        <v>338</v>
      </c>
      <c r="F25" s="34">
        <v>4</v>
      </c>
      <c r="G25" s="25">
        <v>7</v>
      </c>
      <c r="H25" s="25">
        <v>81595</v>
      </c>
      <c r="I25" s="25" t="s">
        <v>17</v>
      </c>
      <c r="J25" s="24">
        <v>15647053</v>
      </c>
      <c r="K25" s="24" t="s">
        <v>3063</v>
      </c>
      <c r="L25" s="24" t="s">
        <v>3065</v>
      </c>
      <c r="M25" s="26">
        <v>32900</v>
      </c>
      <c r="N25" s="37">
        <v>0.7</v>
      </c>
      <c r="O25" s="36">
        <f t="shared" si="0"/>
        <v>9870</v>
      </c>
      <c r="P25" s="34" t="s">
        <v>16</v>
      </c>
    </row>
    <row r="26" spans="1:16" x14ac:dyDescent="0.35">
      <c r="A26" s="34" t="str">
        <f t="shared" si="4"/>
        <v>2024 JAN-JUN DISC 70 LICENSE ESS</v>
      </c>
      <c r="B26" s="35">
        <f t="shared" si="2"/>
        <v>46086</v>
      </c>
      <c r="C26" s="35">
        <f t="shared" si="3"/>
        <v>46092</v>
      </c>
      <c r="D26" s="6">
        <v>3287</v>
      </c>
      <c r="E26" s="6">
        <v>338</v>
      </c>
      <c r="F26" s="34">
        <v>4</v>
      </c>
      <c r="G26" s="25">
        <v>7</v>
      </c>
      <c r="H26" s="25">
        <v>81595</v>
      </c>
      <c r="I26" s="25" t="s">
        <v>17</v>
      </c>
      <c r="J26" s="24">
        <v>15647080</v>
      </c>
      <c r="K26" s="24" t="s">
        <v>3069</v>
      </c>
      <c r="L26" s="24" t="s">
        <v>3070</v>
      </c>
      <c r="M26" s="26">
        <v>32900</v>
      </c>
      <c r="N26" s="37">
        <v>0.7</v>
      </c>
      <c r="O26" s="36">
        <f t="shared" si="0"/>
        <v>9870</v>
      </c>
      <c r="P26" s="34" t="s">
        <v>16</v>
      </c>
    </row>
    <row r="27" spans="1:16" x14ac:dyDescent="0.35">
      <c r="A27" s="34" t="str">
        <f t="shared" si="4"/>
        <v>2024 JAN-JUN DISC 70 LICENSE ESS</v>
      </c>
      <c r="B27" s="35">
        <f t="shared" si="2"/>
        <v>46086</v>
      </c>
      <c r="C27" s="35">
        <f t="shared" si="3"/>
        <v>46092</v>
      </c>
      <c r="D27" s="6">
        <v>3287</v>
      </c>
      <c r="E27" s="6">
        <v>338</v>
      </c>
      <c r="F27" s="34">
        <v>4</v>
      </c>
      <c r="G27" s="25">
        <v>7</v>
      </c>
      <c r="H27" s="25">
        <v>81595</v>
      </c>
      <c r="I27" s="25" t="s">
        <v>17</v>
      </c>
      <c r="J27" s="24">
        <v>15647099</v>
      </c>
      <c r="K27" s="24" t="s">
        <v>3069</v>
      </c>
      <c r="L27" s="24" t="s">
        <v>3071</v>
      </c>
      <c r="M27" s="26">
        <v>32900</v>
      </c>
      <c r="N27" s="37">
        <v>0.7</v>
      </c>
      <c r="O27" s="36">
        <f t="shared" si="0"/>
        <v>9870</v>
      </c>
      <c r="P27" s="34" t="s">
        <v>16</v>
      </c>
    </row>
    <row r="28" spans="1:16" x14ac:dyDescent="0.35">
      <c r="A28" s="34" t="str">
        <f t="shared" si="4"/>
        <v>2024 JAN-JUN DISC 70 LICENSE ESS</v>
      </c>
      <c r="B28" s="35">
        <f t="shared" si="2"/>
        <v>46086</v>
      </c>
      <c r="C28" s="35">
        <f t="shared" si="3"/>
        <v>46092</v>
      </c>
      <c r="D28" s="6">
        <v>3287</v>
      </c>
      <c r="E28" s="6">
        <v>338</v>
      </c>
      <c r="F28" s="34">
        <v>4</v>
      </c>
      <c r="G28" s="25">
        <v>7</v>
      </c>
      <c r="H28" s="25">
        <v>81595</v>
      </c>
      <c r="I28" s="25" t="s">
        <v>17</v>
      </c>
      <c r="J28" s="24">
        <v>15647106</v>
      </c>
      <c r="K28" s="24" t="s">
        <v>3072</v>
      </c>
      <c r="L28" s="24" t="s">
        <v>3073</v>
      </c>
      <c r="M28" s="26">
        <v>32900</v>
      </c>
      <c r="N28" s="37">
        <v>0.7</v>
      </c>
      <c r="O28" s="36">
        <f t="shared" si="0"/>
        <v>9870</v>
      </c>
      <c r="P28" s="34" t="s">
        <v>16</v>
      </c>
    </row>
    <row r="29" spans="1:16" x14ac:dyDescent="0.35">
      <c r="A29" s="34" t="str">
        <f t="shared" si="4"/>
        <v>2024 JAN-JUN DISC 70 LICENSE ESS</v>
      </c>
      <c r="B29" s="35">
        <f t="shared" si="2"/>
        <v>46086</v>
      </c>
      <c r="C29" s="35">
        <f t="shared" si="3"/>
        <v>46092</v>
      </c>
      <c r="D29" s="6">
        <v>3287</v>
      </c>
      <c r="E29" s="6">
        <v>338</v>
      </c>
      <c r="F29" s="34">
        <v>4</v>
      </c>
      <c r="G29" s="25">
        <v>7</v>
      </c>
      <c r="H29" s="25">
        <v>81595</v>
      </c>
      <c r="I29" s="25" t="s">
        <v>17</v>
      </c>
      <c r="J29" s="24">
        <v>15647115</v>
      </c>
      <c r="K29" s="24" t="s">
        <v>3072</v>
      </c>
      <c r="L29" s="24" t="s">
        <v>3074</v>
      </c>
      <c r="M29" s="26">
        <v>32900</v>
      </c>
      <c r="N29" s="37">
        <v>0.7</v>
      </c>
      <c r="O29" s="36">
        <f t="shared" si="0"/>
        <v>9870</v>
      </c>
      <c r="P29" s="34" t="s">
        <v>16</v>
      </c>
    </row>
    <row r="30" spans="1:16" x14ac:dyDescent="0.35">
      <c r="A30" s="34" t="str">
        <f t="shared" si="4"/>
        <v>2024 JAN-JUN DISC 70 LICENSE ESS</v>
      </c>
      <c r="B30" s="35">
        <f t="shared" si="2"/>
        <v>46086</v>
      </c>
      <c r="C30" s="35">
        <f t="shared" si="3"/>
        <v>46092</v>
      </c>
      <c r="D30" s="6">
        <v>3287</v>
      </c>
      <c r="E30" s="6">
        <v>338</v>
      </c>
      <c r="F30" s="34">
        <v>4</v>
      </c>
      <c r="G30" s="25">
        <v>7</v>
      </c>
      <c r="H30" s="25">
        <v>81595</v>
      </c>
      <c r="I30" s="25" t="s">
        <v>17</v>
      </c>
      <c r="J30" s="24">
        <v>15647124</v>
      </c>
      <c r="K30" s="24" t="s">
        <v>3075</v>
      </c>
      <c r="L30" s="24" t="s">
        <v>3076</v>
      </c>
      <c r="M30" s="26">
        <v>32900</v>
      </c>
      <c r="N30" s="37">
        <v>0.7</v>
      </c>
      <c r="O30" s="36">
        <f t="shared" si="0"/>
        <v>9870</v>
      </c>
      <c r="P30" s="34" t="s">
        <v>16</v>
      </c>
    </row>
    <row r="31" spans="1:16" x14ac:dyDescent="0.35">
      <c r="A31" s="34" t="str">
        <f t="shared" si="4"/>
        <v>2024 JAN-JUN DISC 70 LICENSE ESS</v>
      </c>
      <c r="B31" s="35">
        <f t="shared" si="2"/>
        <v>46086</v>
      </c>
      <c r="C31" s="35">
        <f t="shared" si="3"/>
        <v>46092</v>
      </c>
      <c r="D31" s="6">
        <v>3287</v>
      </c>
      <c r="E31" s="6">
        <v>338</v>
      </c>
      <c r="F31" s="34">
        <v>4</v>
      </c>
      <c r="G31" s="25">
        <v>7</v>
      </c>
      <c r="H31" s="25">
        <v>81595</v>
      </c>
      <c r="I31" s="25" t="s">
        <v>17</v>
      </c>
      <c r="J31" s="24">
        <v>15647133</v>
      </c>
      <c r="K31" s="24" t="s">
        <v>3075</v>
      </c>
      <c r="L31" s="24" t="s">
        <v>3077</v>
      </c>
      <c r="M31" s="26">
        <v>32900</v>
      </c>
      <c r="N31" s="37">
        <v>0.7</v>
      </c>
      <c r="O31" s="36">
        <f t="shared" si="0"/>
        <v>9870</v>
      </c>
      <c r="P31" s="34" t="s">
        <v>16</v>
      </c>
    </row>
    <row r="32" spans="1:16" x14ac:dyDescent="0.35">
      <c r="A32" s="34" t="str">
        <f t="shared" si="4"/>
        <v>2024 JAN-JUN DISC 70 LICENSE ESS</v>
      </c>
      <c r="B32" s="35">
        <f t="shared" si="2"/>
        <v>46086</v>
      </c>
      <c r="C32" s="35">
        <f t="shared" si="3"/>
        <v>46092</v>
      </c>
      <c r="D32" s="6">
        <v>3287</v>
      </c>
      <c r="E32" s="6">
        <v>338</v>
      </c>
      <c r="F32" s="34">
        <v>4</v>
      </c>
      <c r="G32" s="25">
        <v>4</v>
      </c>
      <c r="H32" s="25">
        <v>81676</v>
      </c>
      <c r="I32" s="25" t="s">
        <v>17</v>
      </c>
      <c r="J32" s="24">
        <v>15647222</v>
      </c>
      <c r="K32" s="24" t="s">
        <v>3101</v>
      </c>
      <c r="L32" s="24" t="s">
        <v>3102</v>
      </c>
      <c r="M32" s="26">
        <v>229900</v>
      </c>
      <c r="N32" s="37">
        <v>0.7</v>
      </c>
      <c r="O32" s="36">
        <f t="shared" si="0"/>
        <v>68970</v>
      </c>
      <c r="P32" s="34" t="s">
        <v>16</v>
      </c>
    </row>
    <row r="33" spans="1:16" x14ac:dyDescent="0.35">
      <c r="A33" s="34" t="str">
        <f t="shared" si="4"/>
        <v>2024 JAN-JUN DISC 70 LICENSE ESS</v>
      </c>
      <c r="B33" s="35">
        <f t="shared" si="2"/>
        <v>46086</v>
      </c>
      <c r="C33" s="35">
        <f t="shared" si="3"/>
        <v>46092</v>
      </c>
      <c r="D33" s="6">
        <v>3287</v>
      </c>
      <c r="E33" s="6">
        <v>338</v>
      </c>
      <c r="F33" s="34">
        <v>4</v>
      </c>
      <c r="G33" s="25">
        <v>4</v>
      </c>
      <c r="H33" s="25">
        <v>81676</v>
      </c>
      <c r="I33" s="25" t="s">
        <v>17</v>
      </c>
      <c r="J33" s="24">
        <v>15647231</v>
      </c>
      <c r="K33" s="24" t="s">
        <v>3101</v>
      </c>
      <c r="L33" s="24" t="s">
        <v>3103</v>
      </c>
      <c r="M33" s="26">
        <v>229900</v>
      </c>
      <c r="N33" s="37">
        <v>0.7</v>
      </c>
      <c r="O33" s="36">
        <f t="shared" si="0"/>
        <v>68970</v>
      </c>
      <c r="P33" s="34" t="s">
        <v>16</v>
      </c>
    </row>
    <row r="34" spans="1:16" x14ac:dyDescent="0.35">
      <c r="A34" s="34" t="str">
        <f t="shared" si="4"/>
        <v>2024 JAN-JUN DISC 70 LICENSE ESS</v>
      </c>
      <c r="B34" s="35">
        <f t="shared" si="2"/>
        <v>46086</v>
      </c>
      <c r="C34" s="35">
        <f t="shared" si="3"/>
        <v>46092</v>
      </c>
      <c r="D34" s="6">
        <v>3287</v>
      </c>
      <c r="E34" s="6">
        <v>338</v>
      </c>
      <c r="F34" s="34">
        <v>4</v>
      </c>
      <c r="G34" s="25">
        <v>4</v>
      </c>
      <c r="H34" s="25">
        <v>81676</v>
      </c>
      <c r="I34" s="25" t="s">
        <v>17</v>
      </c>
      <c r="J34" s="24">
        <v>15647240</v>
      </c>
      <c r="K34" s="24" t="s">
        <v>3101</v>
      </c>
      <c r="L34" s="24" t="s">
        <v>3104</v>
      </c>
      <c r="M34" s="26">
        <v>229900</v>
      </c>
      <c r="N34" s="37">
        <v>0.7</v>
      </c>
      <c r="O34" s="36">
        <f t="shared" si="0"/>
        <v>68970</v>
      </c>
      <c r="P34" s="34" t="s">
        <v>16</v>
      </c>
    </row>
    <row r="35" spans="1:16" x14ac:dyDescent="0.35">
      <c r="A35" s="34" t="str">
        <f t="shared" si="4"/>
        <v>2024 JAN-JUN DISC 70 LICENSE ESS</v>
      </c>
      <c r="B35" s="35">
        <f t="shared" si="2"/>
        <v>46086</v>
      </c>
      <c r="C35" s="35">
        <f t="shared" si="3"/>
        <v>46092</v>
      </c>
      <c r="D35" s="6">
        <v>3287</v>
      </c>
      <c r="E35" s="6">
        <v>338</v>
      </c>
      <c r="F35" s="34">
        <v>4</v>
      </c>
      <c r="G35" s="25">
        <v>4</v>
      </c>
      <c r="H35" s="25">
        <v>81676</v>
      </c>
      <c r="I35" s="25" t="s">
        <v>17</v>
      </c>
      <c r="J35" s="24">
        <v>15647259</v>
      </c>
      <c r="K35" s="24" t="s">
        <v>3101</v>
      </c>
      <c r="L35" s="24" t="s">
        <v>3105</v>
      </c>
      <c r="M35" s="26">
        <v>229900</v>
      </c>
      <c r="N35" s="37">
        <v>0.7</v>
      </c>
      <c r="O35" s="36">
        <f t="shared" si="0"/>
        <v>68970</v>
      </c>
      <c r="P35" s="34" t="s">
        <v>16</v>
      </c>
    </row>
    <row r="36" spans="1:16" x14ac:dyDescent="0.35">
      <c r="A36" s="34" t="str">
        <f t="shared" si="4"/>
        <v>2024 JAN-JUN DISC 70 LICENSE ESS</v>
      </c>
      <c r="B36" s="35">
        <f t="shared" si="2"/>
        <v>46086</v>
      </c>
      <c r="C36" s="35">
        <f t="shared" si="3"/>
        <v>46092</v>
      </c>
      <c r="D36" s="6">
        <v>3287</v>
      </c>
      <c r="E36" s="6">
        <v>338</v>
      </c>
      <c r="F36" s="34">
        <v>4</v>
      </c>
      <c r="G36" s="25">
        <v>4</v>
      </c>
      <c r="H36" s="25">
        <v>81676</v>
      </c>
      <c r="I36" s="25" t="s">
        <v>17</v>
      </c>
      <c r="J36" s="24">
        <v>15647268</v>
      </c>
      <c r="K36" s="24" t="s">
        <v>3101</v>
      </c>
      <c r="L36" s="24" t="s">
        <v>3106</v>
      </c>
      <c r="M36" s="26">
        <v>229900</v>
      </c>
      <c r="N36" s="37">
        <v>0.7</v>
      </c>
      <c r="O36" s="36">
        <f t="shared" si="0"/>
        <v>68970</v>
      </c>
      <c r="P36" s="34" t="s">
        <v>16</v>
      </c>
    </row>
    <row r="37" spans="1:16" x14ac:dyDescent="0.35">
      <c r="A37" s="34" t="str">
        <f t="shared" si="4"/>
        <v>2024 JAN-JUN DISC 70 LICENSE ESS</v>
      </c>
      <c r="B37" s="35">
        <f t="shared" si="2"/>
        <v>46086</v>
      </c>
      <c r="C37" s="35">
        <f t="shared" si="3"/>
        <v>46092</v>
      </c>
      <c r="D37" s="6">
        <v>3287</v>
      </c>
      <c r="E37" s="6">
        <v>338</v>
      </c>
      <c r="F37" s="34">
        <v>4</v>
      </c>
      <c r="G37" s="25">
        <v>4</v>
      </c>
      <c r="H37" s="25">
        <v>81676</v>
      </c>
      <c r="I37" s="25" t="s">
        <v>17</v>
      </c>
      <c r="J37" s="24">
        <v>15647277</v>
      </c>
      <c r="K37" s="24" t="s">
        <v>3101</v>
      </c>
      <c r="L37" s="24" t="s">
        <v>3107</v>
      </c>
      <c r="M37" s="26">
        <v>229900</v>
      </c>
      <c r="N37" s="37">
        <v>0.7</v>
      </c>
      <c r="O37" s="36">
        <f t="shared" si="0"/>
        <v>68970</v>
      </c>
      <c r="P37" s="34" t="s">
        <v>16</v>
      </c>
    </row>
    <row r="38" spans="1:16" x14ac:dyDescent="0.35">
      <c r="A38" s="34" t="str">
        <f t="shared" si="4"/>
        <v>2024 JAN-JUN DISC 70 LICENSE ESS</v>
      </c>
      <c r="B38" s="35">
        <f t="shared" si="2"/>
        <v>46086</v>
      </c>
      <c r="C38" s="35">
        <f t="shared" si="3"/>
        <v>46092</v>
      </c>
      <c r="D38" s="6">
        <v>3287</v>
      </c>
      <c r="E38" s="6">
        <v>338</v>
      </c>
      <c r="F38" s="34">
        <v>4</v>
      </c>
      <c r="G38" s="25">
        <v>4</v>
      </c>
      <c r="H38" s="25">
        <v>81676</v>
      </c>
      <c r="I38" s="25" t="s">
        <v>17</v>
      </c>
      <c r="J38" s="24">
        <v>15647286</v>
      </c>
      <c r="K38" s="24" t="s">
        <v>3101</v>
      </c>
      <c r="L38" s="24" t="s">
        <v>3108</v>
      </c>
      <c r="M38" s="26">
        <v>229900</v>
      </c>
      <c r="N38" s="37">
        <v>0.7</v>
      </c>
      <c r="O38" s="36">
        <f t="shared" si="0"/>
        <v>68970</v>
      </c>
      <c r="P38" s="34" t="s">
        <v>16</v>
      </c>
    </row>
    <row r="39" spans="1:16" x14ac:dyDescent="0.35">
      <c r="A39" s="34" t="str">
        <f t="shared" si="4"/>
        <v>2024 JAN-JUN DISC 70 LICENSE ESS</v>
      </c>
      <c r="B39" s="35">
        <f t="shared" si="2"/>
        <v>46086</v>
      </c>
      <c r="C39" s="35">
        <f t="shared" si="3"/>
        <v>46092</v>
      </c>
      <c r="D39" s="6">
        <v>3287</v>
      </c>
      <c r="E39" s="6">
        <v>338</v>
      </c>
      <c r="F39" s="34">
        <v>4</v>
      </c>
      <c r="G39" s="25">
        <v>4</v>
      </c>
      <c r="H39" s="25">
        <v>81676</v>
      </c>
      <c r="I39" s="25" t="s">
        <v>17</v>
      </c>
      <c r="J39" s="24">
        <v>15647295</v>
      </c>
      <c r="K39" s="24" t="s">
        <v>3101</v>
      </c>
      <c r="L39" s="24" t="s">
        <v>3423</v>
      </c>
      <c r="M39" s="26">
        <v>229900</v>
      </c>
      <c r="N39" s="37">
        <v>0.7</v>
      </c>
      <c r="O39" s="36">
        <f t="shared" si="0"/>
        <v>68970</v>
      </c>
      <c r="P39" s="34" t="s">
        <v>16</v>
      </c>
    </row>
    <row r="40" spans="1:16" x14ac:dyDescent="0.35">
      <c r="A40" s="34" t="str">
        <f t="shared" si="4"/>
        <v>2024 JAN-JUN DISC 70 LICENSE ESS</v>
      </c>
      <c r="B40" s="35">
        <f t="shared" si="2"/>
        <v>46086</v>
      </c>
      <c r="C40" s="35">
        <f t="shared" si="3"/>
        <v>46092</v>
      </c>
      <c r="D40" s="6">
        <v>3287</v>
      </c>
      <c r="E40" s="6">
        <v>338</v>
      </c>
      <c r="F40" s="34">
        <v>4</v>
      </c>
      <c r="G40" s="25">
        <v>7</v>
      </c>
      <c r="H40" s="25">
        <v>599</v>
      </c>
      <c r="I40" s="25" t="s">
        <v>17</v>
      </c>
      <c r="J40" s="24">
        <v>15780640</v>
      </c>
      <c r="K40" s="24" t="s">
        <v>3048</v>
      </c>
      <c r="L40" s="24" t="s">
        <v>3049</v>
      </c>
      <c r="M40" s="26">
        <v>32900</v>
      </c>
      <c r="N40" s="37">
        <v>0.7</v>
      </c>
      <c r="O40" s="36">
        <f t="shared" si="0"/>
        <v>9870</v>
      </c>
      <c r="P40" s="34" t="s">
        <v>16</v>
      </c>
    </row>
    <row r="41" spans="1:16" x14ac:dyDescent="0.35">
      <c r="A41" s="34" t="str">
        <f t="shared" si="4"/>
        <v>2024 JAN-JUN DISC 70 LICENSE ESS</v>
      </c>
      <c r="B41" s="35">
        <f t="shared" si="2"/>
        <v>46086</v>
      </c>
      <c r="C41" s="35">
        <f t="shared" si="3"/>
        <v>46092</v>
      </c>
      <c r="D41" s="6">
        <v>3287</v>
      </c>
      <c r="E41" s="6">
        <v>338</v>
      </c>
      <c r="F41" s="34">
        <v>4</v>
      </c>
      <c r="G41" s="25">
        <v>7</v>
      </c>
      <c r="H41" s="25">
        <v>599</v>
      </c>
      <c r="I41" s="25" t="s">
        <v>17</v>
      </c>
      <c r="J41" s="24">
        <v>15780659</v>
      </c>
      <c r="K41" s="24" t="s">
        <v>3048</v>
      </c>
      <c r="L41" s="24" t="s">
        <v>3050</v>
      </c>
      <c r="M41" s="26">
        <v>32900</v>
      </c>
      <c r="N41" s="37">
        <v>0.7</v>
      </c>
      <c r="O41" s="36">
        <f t="shared" si="0"/>
        <v>9870</v>
      </c>
      <c r="P41" s="34" t="s">
        <v>16</v>
      </c>
    </row>
    <row r="42" spans="1:16" x14ac:dyDescent="0.35">
      <c r="A42" s="34" t="str">
        <f t="shared" si="4"/>
        <v>2024 JAN-JUN DISC 70 LICENSE ESS</v>
      </c>
      <c r="B42" s="35">
        <f t="shared" si="2"/>
        <v>46086</v>
      </c>
      <c r="C42" s="35">
        <f t="shared" si="3"/>
        <v>46092</v>
      </c>
      <c r="D42" s="6">
        <v>3287</v>
      </c>
      <c r="E42" s="6">
        <v>338</v>
      </c>
      <c r="F42" s="34">
        <v>4</v>
      </c>
      <c r="G42" s="25">
        <v>7</v>
      </c>
      <c r="H42" s="25">
        <v>599</v>
      </c>
      <c r="I42" s="25" t="s">
        <v>17</v>
      </c>
      <c r="J42" s="24">
        <v>15780668</v>
      </c>
      <c r="K42" s="24" t="s">
        <v>3017</v>
      </c>
      <c r="L42" s="24" t="s">
        <v>3018</v>
      </c>
      <c r="M42" s="26">
        <v>32900</v>
      </c>
      <c r="N42" s="37">
        <v>0.7</v>
      </c>
      <c r="O42" s="36">
        <f t="shared" si="0"/>
        <v>9870</v>
      </c>
      <c r="P42" s="34" t="s">
        <v>16</v>
      </c>
    </row>
    <row r="43" spans="1:16" x14ac:dyDescent="0.35">
      <c r="A43" s="34" t="str">
        <f t="shared" si="4"/>
        <v>2024 JAN-JUN DISC 70 LICENSE ESS</v>
      </c>
      <c r="B43" s="35">
        <f t="shared" si="2"/>
        <v>46086</v>
      </c>
      <c r="C43" s="35">
        <f t="shared" si="3"/>
        <v>46092</v>
      </c>
      <c r="D43" s="6">
        <v>3287</v>
      </c>
      <c r="E43" s="6">
        <v>338</v>
      </c>
      <c r="F43" s="34">
        <v>4</v>
      </c>
      <c r="G43" s="25">
        <v>7</v>
      </c>
      <c r="H43" s="25">
        <v>599</v>
      </c>
      <c r="I43" s="25" t="s">
        <v>17</v>
      </c>
      <c r="J43" s="24">
        <v>15780677</v>
      </c>
      <c r="K43" s="24" t="s">
        <v>3017</v>
      </c>
      <c r="L43" s="24" t="s">
        <v>3019</v>
      </c>
      <c r="M43" s="26">
        <v>32900</v>
      </c>
      <c r="N43" s="37">
        <v>0.7</v>
      </c>
      <c r="O43" s="36">
        <f t="shared" si="0"/>
        <v>9870</v>
      </c>
      <c r="P43" s="34" t="s">
        <v>16</v>
      </c>
    </row>
    <row r="44" spans="1:16" x14ac:dyDescent="0.35">
      <c r="A44" s="34" t="str">
        <f t="shared" si="4"/>
        <v>2024 JAN-JUN DISC 70 LICENSE ESS</v>
      </c>
      <c r="B44" s="35">
        <f t="shared" si="2"/>
        <v>46086</v>
      </c>
      <c r="C44" s="35">
        <f t="shared" si="3"/>
        <v>46092</v>
      </c>
      <c r="D44" s="6">
        <v>3287</v>
      </c>
      <c r="E44" s="6">
        <v>338</v>
      </c>
      <c r="F44" s="34">
        <v>4</v>
      </c>
      <c r="G44" s="25">
        <v>7</v>
      </c>
      <c r="H44" s="25">
        <v>599</v>
      </c>
      <c r="I44" s="25" t="s">
        <v>17</v>
      </c>
      <c r="J44" s="24">
        <v>15780686</v>
      </c>
      <c r="K44" s="24" t="s">
        <v>3020</v>
      </c>
      <c r="L44" s="24" t="s">
        <v>3021</v>
      </c>
      <c r="M44" s="26">
        <v>32900</v>
      </c>
      <c r="N44" s="37">
        <v>0.7</v>
      </c>
      <c r="O44" s="36">
        <f t="shared" si="0"/>
        <v>9870</v>
      </c>
      <c r="P44" s="34" t="s">
        <v>16</v>
      </c>
    </row>
    <row r="45" spans="1:16" x14ac:dyDescent="0.35">
      <c r="A45" s="34" t="str">
        <f t="shared" si="4"/>
        <v>2024 JAN-JUN DISC 70 LICENSE ESS</v>
      </c>
      <c r="B45" s="35">
        <f t="shared" si="2"/>
        <v>46086</v>
      </c>
      <c r="C45" s="35">
        <f t="shared" si="3"/>
        <v>46092</v>
      </c>
      <c r="D45" s="6">
        <v>3287</v>
      </c>
      <c r="E45" s="6">
        <v>338</v>
      </c>
      <c r="F45" s="34">
        <v>4</v>
      </c>
      <c r="G45" s="25">
        <v>7</v>
      </c>
      <c r="H45" s="25">
        <v>599</v>
      </c>
      <c r="I45" s="25" t="s">
        <v>17</v>
      </c>
      <c r="J45" s="24">
        <v>15780695</v>
      </c>
      <c r="K45" s="24" t="s">
        <v>3020</v>
      </c>
      <c r="L45" s="24" t="s">
        <v>3022</v>
      </c>
      <c r="M45" s="26">
        <v>32900</v>
      </c>
      <c r="N45" s="37">
        <v>0.7</v>
      </c>
      <c r="O45" s="36">
        <f t="shared" si="0"/>
        <v>9870</v>
      </c>
      <c r="P45" s="34" t="s">
        <v>16</v>
      </c>
    </row>
    <row r="46" spans="1:16" x14ac:dyDescent="0.35">
      <c r="A46" s="34" t="str">
        <f t="shared" si="4"/>
        <v>2024 JAN-JUN DISC 70 LICENSE ESS</v>
      </c>
      <c r="B46" s="35">
        <f t="shared" si="2"/>
        <v>46086</v>
      </c>
      <c r="C46" s="35">
        <f t="shared" si="3"/>
        <v>46092</v>
      </c>
      <c r="D46" s="6">
        <v>3287</v>
      </c>
      <c r="E46" s="6">
        <v>338</v>
      </c>
      <c r="F46" s="34">
        <v>4</v>
      </c>
      <c r="G46" s="25">
        <v>3</v>
      </c>
      <c r="H46" s="25">
        <v>850</v>
      </c>
      <c r="I46" s="25" t="s">
        <v>17</v>
      </c>
      <c r="J46" s="24">
        <v>15780702</v>
      </c>
      <c r="K46" s="24" t="s">
        <v>3781</v>
      </c>
      <c r="L46" s="24" t="s">
        <v>3782</v>
      </c>
      <c r="M46" s="26">
        <v>99900</v>
      </c>
      <c r="N46" s="37">
        <v>0.7</v>
      </c>
      <c r="O46" s="36">
        <f t="shared" si="0"/>
        <v>29970</v>
      </c>
      <c r="P46" s="34" t="s">
        <v>16</v>
      </c>
    </row>
    <row r="47" spans="1:16" x14ac:dyDescent="0.35">
      <c r="A47" s="34" t="str">
        <f t="shared" si="4"/>
        <v>2024 JAN-JUN DISC 70 LICENSE ESS</v>
      </c>
      <c r="B47" s="35">
        <f t="shared" si="2"/>
        <v>46086</v>
      </c>
      <c r="C47" s="35">
        <f t="shared" si="3"/>
        <v>46092</v>
      </c>
      <c r="D47" s="6">
        <v>3287</v>
      </c>
      <c r="E47" s="6">
        <v>338</v>
      </c>
      <c r="F47" s="34">
        <v>4</v>
      </c>
      <c r="G47" s="25">
        <v>3</v>
      </c>
      <c r="H47" s="25">
        <v>850</v>
      </c>
      <c r="I47" s="25" t="s">
        <v>17</v>
      </c>
      <c r="J47" s="24">
        <v>15780711</v>
      </c>
      <c r="K47" s="24" t="s">
        <v>3781</v>
      </c>
      <c r="L47" s="24" t="s">
        <v>3783</v>
      </c>
      <c r="M47" s="26">
        <v>99900</v>
      </c>
      <c r="N47" s="37">
        <v>0.7</v>
      </c>
      <c r="O47" s="36">
        <f t="shared" si="0"/>
        <v>29970</v>
      </c>
      <c r="P47" s="34" t="s">
        <v>16</v>
      </c>
    </row>
    <row r="48" spans="1:16" x14ac:dyDescent="0.35">
      <c r="A48" s="34" t="str">
        <f t="shared" si="4"/>
        <v>2024 JAN-JUN DISC 70 LICENSE ESS</v>
      </c>
      <c r="B48" s="35">
        <f t="shared" si="2"/>
        <v>46086</v>
      </c>
      <c r="C48" s="35">
        <f t="shared" si="3"/>
        <v>46092</v>
      </c>
      <c r="D48" s="6">
        <v>3287</v>
      </c>
      <c r="E48" s="6">
        <v>338</v>
      </c>
      <c r="F48" s="34">
        <v>4</v>
      </c>
      <c r="G48" s="25">
        <v>3</v>
      </c>
      <c r="H48" s="25">
        <v>850</v>
      </c>
      <c r="I48" s="25" t="s">
        <v>17</v>
      </c>
      <c r="J48" s="24">
        <v>15780720</v>
      </c>
      <c r="K48" s="24" t="s">
        <v>3781</v>
      </c>
      <c r="L48" s="24" t="s">
        <v>3784</v>
      </c>
      <c r="M48" s="26">
        <v>99900</v>
      </c>
      <c r="N48" s="37">
        <v>0.7</v>
      </c>
      <c r="O48" s="36">
        <f t="shared" si="0"/>
        <v>29970</v>
      </c>
      <c r="P48" s="34" t="s">
        <v>16</v>
      </c>
    </row>
    <row r="49" spans="1:16" x14ac:dyDescent="0.35">
      <c r="A49" s="34" t="str">
        <f t="shared" si="4"/>
        <v>2024 JAN-JUN DISC 70 LICENSE ESS</v>
      </c>
      <c r="B49" s="35">
        <f t="shared" si="2"/>
        <v>46086</v>
      </c>
      <c r="C49" s="35">
        <f t="shared" si="3"/>
        <v>46092</v>
      </c>
      <c r="D49" s="6">
        <v>3287</v>
      </c>
      <c r="E49" s="6">
        <v>338</v>
      </c>
      <c r="F49" s="34">
        <v>4</v>
      </c>
      <c r="G49" s="25">
        <v>3</v>
      </c>
      <c r="H49" s="25">
        <v>850</v>
      </c>
      <c r="I49" s="25" t="s">
        <v>17</v>
      </c>
      <c r="J49" s="24">
        <v>15780739</v>
      </c>
      <c r="K49" s="24" t="s">
        <v>3781</v>
      </c>
      <c r="L49" s="24" t="s">
        <v>3785</v>
      </c>
      <c r="M49" s="26">
        <v>99900</v>
      </c>
      <c r="N49" s="37">
        <v>0.7</v>
      </c>
      <c r="O49" s="36">
        <f t="shared" si="0"/>
        <v>29970</v>
      </c>
      <c r="P49" s="34" t="s">
        <v>16</v>
      </c>
    </row>
    <row r="50" spans="1:16" x14ac:dyDescent="0.35">
      <c r="A50" s="34" t="str">
        <f t="shared" si="4"/>
        <v>2024 JAN-JUN DISC 70 LICENSE ESS</v>
      </c>
      <c r="B50" s="35">
        <f t="shared" si="2"/>
        <v>46086</v>
      </c>
      <c r="C50" s="35">
        <f t="shared" si="3"/>
        <v>46092</v>
      </c>
      <c r="D50" s="6">
        <v>3287</v>
      </c>
      <c r="E50" s="6">
        <v>338</v>
      </c>
      <c r="F50" s="34">
        <v>4</v>
      </c>
      <c r="G50" s="25">
        <v>3</v>
      </c>
      <c r="H50" s="25">
        <v>81574</v>
      </c>
      <c r="I50" s="25" t="s">
        <v>17</v>
      </c>
      <c r="J50" s="24">
        <v>15780748</v>
      </c>
      <c r="K50" s="24" t="s">
        <v>3801</v>
      </c>
      <c r="L50" s="24" t="s">
        <v>3802</v>
      </c>
      <c r="M50" s="26">
        <v>99900</v>
      </c>
      <c r="N50" s="37">
        <v>0.7</v>
      </c>
      <c r="O50" s="36">
        <f t="shared" si="0"/>
        <v>29970</v>
      </c>
      <c r="P50" s="34" t="s">
        <v>16</v>
      </c>
    </row>
    <row r="51" spans="1:16" x14ac:dyDescent="0.35">
      <c r="A51" s="34" t="str">
        <f t="shared" si="4"/>
        <v>2024 JAN-JUN DISC 70 LICENSE ESS</v>
      </c>
      <c r="B51" s="35">
        <f t="shared" si="2"/>
        <v>46086</v>
      </c>
      <c r="C51" s="35">
        <f t="shared" si="3"/>
        <v>46092</v>
      </c>
      <c r="D51" s="6">
        <v>3287</v>
      </c>
      <c r="E51" s="6">
        <v>338</v>
      </c>
      <c r="F51" s="34">
        <v>4</v>
      </c>
      <c r="G51" s="25">
        <v>3</v>
      </c>
      <c r="H51" s="25">
        <v>81574</v>
      </c>
      <c r="I51" s="25" t="s">
        <v>17</v>
      </c>
      <c r="J51" s="24">
        <v>15780757</v>
      </c>
      <c r="K51" s="24" t="s">
        <v>3801</v>
      </c>
      <c r="L51" s="24" t="s">
        <v>3803</v>
      </c>
      <c r="M51" s="26">
        <v>99900</v>
      </c>
      <c r="N51" s="37">
        <v>0.7</v>
      </c>
      <c r="O51" s="36">
        <f t="shared" si="0"/>
        <v>29970</v>
      </c>
      <c r="P51" s="34" t="s">
        <v>16</v>
      </c>
    </row>
    <row r="52" spans="1:16" x14ac:dyDescent="0.35">
      <c r="A52" s="34" t="str">
        <f t="shared" si="4"/>
        <v>2024 JAN-JUN DISC 70 LICENSE ESS</v>
      </c>
      <c r="B52" s="35">
        <f t="shared" si="2"/>
        <v>46086</v>
      </c>
      <c r="C52" s="35">
        <f t="shared" si="3"/>
        <v>46092</v>
      </c>
      <c r="D52" s="6">
        <v>3287</v>
      </c>
      <c r="E52" s="6">
        <v>338</v>
      </c>
      <c r="F52" s="34">
        <v>4</v>
      </c>
      <c r="G52" s="25">
        <v>3</v>
      </c>
      <c r="H52" s="25">
        <v>81574</v>
      </c>
      <c r="I52" s="25" t="s">
        <v>17</v>
      </c>
      <c r="J52" s="24">
        <v>15780766</v>
      </c>
      <c r="K52" s="24" t="s">
        <v>3801</v>
      </c>
      <c r="L52" s="24" t="s">
        <v>3804</v>
      </c>
      <c r="M52" s="26">
        <v>99900</v>
      </c>
      <c r="N52" s="37">
        <v>0.7</v>
      </c>
      <c r="O52" s="36">
        <f t="shared" si="0"/>
        <v>29970</v>
      </c>
      <c r="P52" s="34" t="s">
        <v>16</v>
      </c>
    </row>
    <row r="53" spans="1:16" x14ac:dyDescent="0.35">
      <c r="A53" s="34" t="str">
        <f t="shared" si="4"/>
        <v>2024 JAN-JUN DISC 70 LICENSE ESS</v>
      </c>
      <c r="B53" s="35">
        <f t="shared" si="2"/>
        <v>46086</v>
      </c>
      <c r="C53" s="35">
        <f t="shared" si="3"/>
        <v>46092</v>
      </c>
      <c r="D53" s="6">
        <v>3287</v>
      </c>
      <c r="E53" s="6">
        <v>338</v>
      </c>
      <c r="F53" s="34">
        <v>4</v>
      </c>
      <c r="G53" s="25">
        <v>3</v>
      </c>
      <c r="H53" s="25">
        <v>81574</v>
      </c>
      <c r="I53" s="25" t="s">
        <v>17</v>
      </c>
      <c r="J53" s="24">
        <v>15780784</v>
      </c>
      <c r="K53" s="24" t="s">
        <v>3801</v>
      </c>
      <c r="L53" s="24" t="s">
        <v>3805</v>
      </c>
      <c r="M53" s="26">
        <v>99900</v>
      </c>
      <c r="N53" s="37">
        <v>0.7</v>
      </c>
      <c r="O53" s="36">
        <f t="shared" ref="O53:O97" si="5">M53-((70*M53)/100)</f>
        <v>29970</v>
      </c>
      <c r="P53" s="34" t="s">
        <v>16</v>
      </c>
    </row>
    <row r="54" spans="1:16" x14ac:dyDescent="0.35">
      <c r="A54" s="34" t="str">
        <f t="shared" si="4"/>
        <v>2024 JAN-JUN DISC 70 LICENSE ESS</v>
      </c>
      <c r="B54" s="35">
        <f t="shared" si="2"/>
        <v>46086</v>
      </c>
      <c r="C54" s="35">
        <f t="shared" si="3"/>
        <v>46092</v>
      </c>
      <c r="D54" s="6">
        <v>3287</v>
      </c>
      <c r="E54" s="6">
        <v>338</v>
      </c>
      <c r="F54" s="34">
        <v>4</v>
      </c>
      <c r="G54" s="25">
        <v>8</v>
      </c>
      <c r="H54" s="25">
        <v>81462</v>
      </c>
      <c r="I54" s="25" t="s">
        <v>17</v>
      </c>
      <c r="J54" s="24">
        <v>15816398</v>
      </c>
      <c r="K54" s="24" t="s">
        <v>5104</v>
      </c>
      <c r="L54" s="24" t="s">
        <v>5105</v>
      </c>
      <c r="M54" s="26">
        <v>89900</v>
      </c>
      <c r="N54" s="37">
        <v>0.7</v>
      </c>
      <c r="O54" s="36">
        <f t="shared" si="5"/>
        <v>26970</v>
      </c>
      <c r="P54" s="34" t="s">
        <v>16</v>
      </c>
    </row>
    <row r="55" spans="1:16" x14ac:dyDescent="0.35">
      <c r="A55" s="34" t="str">
        <f t="shared" si="4"/>
        <v>2024 JAN-JUN DISC 70 LICENSE ESS</v>
      </c>
      <c r="B55" s="35">
        <f t="shared" si="2"/>
        <v>46086</v>
      </c>
      <c r="C55" s="35">
        <f t="shared" si="3"/>
        <v>46092</v>
      </c>
      <c r="D55" s="6">
        <v>3287</v>
      </c>
      <c r="E55" s="6">
        <v>338</v>
      </c>
      <c r="F55" s="34">
        <v>4</v>
      </c>
      <c r="G55" s="25">
        <v>8</v>
      </c>
      <c r="H55" s="25">
        <v>81462</v>
      </c>
      <c r="I55" s="25" t="s">
        <v>17</v>
      </c>
      <c r="J55" s="24">
        <v>15816405</v>
      </c>
      <c r="K55" s="24" t="s">
        <v>5104</v>
      </c>
      <c r="L55" s="24" t="s">
        <v>5106</v>
      </c>
      <c r="M55" s="26">
        <v>89900</v>
      </c>
      <c r="N55" s="37">
        <v>0.7</v>
      </c>
      <c r="O55" s="36">
        <f t="shared" si="5"/>
        <v>26970</v>
      </c>
      <c r="P55" s="34" t="s">
        <v>16</v>
      </c>
    </row>
    <row r="56" spans="1:16" x14ac:dyDescent="0.35">
      <c r="A56" s="34" t="str">
        <f t="shared" si="4"/>
        <v>2024 JAN-JUN DISC 70 LICENSE ESS</v>
      </c>
      <c r="B56" s="35">
        <f t="shared" si="2"/>
        <v>46086</v>
      </c>
      <c r="C56" s="35">
        <f t="shared" si="3"/>
        <v>46092</v>
      </c>
      <c r="D56" s="6">
        <v>3287</v>
      </c>
      <c r="E56" s="6">
        <v>338</v>
      </c>
      <c r="F56" s="34">
        <v>4</v>
      </c>
      <c r="G56" s="25">
        <v>8</v>
      </c>
      <c r="H56" s="25">
        <v>81462</v>
      </c>
      <c r="I56" s="25" t="s">
        <v>17</v>
      </c>
      <c r="J56" s="24">
        <v>15816414</v>
      </c>
      <c r="K56" s="24" t="s">
        <v>5104</v>
      </c>
      <c r="L56" s="24" t="s">
        <v>5107</v>
      </c>
      <c r="M56" s="26">
        <v>89900</v>
      </c>
      <c r="N56" s="37">
        <v>0.7</v>
      </c>
      <c r="O56" s="36">
        <f t="shared" si="5"/>
        <v>26970</v>
      </c>
      <c r="P56" s="34" t="s">
        <v>16</v>
      </c>
    </row>
    <row r="57" spans="1:16" x14ac:dyDescent="0.35">
      <c r="A57" s="34" t="str">
        <f t="shared" si="4"/>
        <v>2024 JAN-JUN DISC 70 LICENSE ESS</v>
      </c>
      <c r="B57" s="35">
        <f t="shared" si="2"/>
        <v>46086</v>
      </c>
      <c r="C57" s="35">
        <f t="shared" si="3"/>
        <v>46092</v>
      </c>
      <c r="D57" s="6">
        <v>3287</v>
      </c>
      <c r="E57" s="6">
        <v>338</v>
      </c>
      <c r="F57" s="34">
        <v>4</v>
      </c>
      <c r="G57" s="25">
        <v>8</v>
      </c>
      <c r="H57" s="25">
        <v>81462</v>
      </c>
      <c r="I57" s="25" t="s">
        <v>17</v>
      </c>
      <c r="J57" s="24">
        <v>15816423</v>
      </c>
      <c r="K57" s="24" t="s">
        <v>5104</v>
      </c>
      <c r="L57" s="24" t="s">
        <v>5108</v>
      </c>
      <c r="M57" s="26">
        <v>89900</v>
      </c>
      <c r="N57" s="37">
        <v>0.7</v>
      </c>
      <c r="O57" s="36">
        <f t="shared" si="5"/>
        <v>26970</v>
      </c>
      <c r="P57" s="34" t="s">
        <v>16</v>
      </c>
    </row>
    <row r="58" spans="1:16" x14ac:dyDescent="0.35">
      <c r="A58" s="34" t="str">
        <f t="shared" si="4"/>
        <v>2024 JAN-JUN DISC 70 LICENSE ESS</v>
      </c>
      <c r="B58" s="35">
        <f t="shared" si="2"/>
        <v>46086</v>
      </c>
      <c r="C58" s="35">
        <f t="shared" si="3"/>
        <v>46092</v>
      </c>
      <c r="D58" s="6">
        <v>3287</v>
      </c>
      <c r="E58" s="6">
        <v>338</v>
      </c>
      <c r="F58" s="34">
        <v>4</v>
      </c>
      <c r="G58" s="25">
        <v>1</v>
      </c>
      <c r="H58" s="25">
        <v>850</v>
      </c>
      <c r="I58" s="25" t="s">
        <v>17</v>
      </c>
      <c r="J58" s="24">
        <v>16098770</v>
      </c>
      <c r="K58" s="24" t="s">
        <v>3756</v>
      </c>
      <c r="L58" s="24" t="s">
        <v>3757</v>
      </c>
      <c r="M58" s="26">
        <v>89900</v>
      </c>
      <c r="N58" s="37">
        <v>0.7</v>
      </c>
      <c r="O58" s="36">
        <f t="shared" si="5"/>
        <v>26970</v>
      </c>
      <c r="P58" s="34" t="s">
        <v>16</v>
      </c>
    </row>
    <row r="59" spans="1:16" x14ac:dyDescent="0.35">
      <c r="A59" s="34" t="str">
        <f t="shared" si="4"/>
        <v>2024 JAN-JUN DISC 70 LICENSE ESS</v>
      </c>
      <c r="B59" s="35">
        <f t="shared" si="2"/>
        <v>46086</v>
      </c>
      <c r="C59" s="35">
        <f t="shared" si="3"/>
        <v>46092</v>
      </c>
      <c r="D59" s="6">
        <v>3287</v>
      </c>
      <c r="E59" s="6">
        <v>338</v>
      </c>
      <c r="F59" s="34">
        <v>4</v>
      </c>
      <c r="G59" s="25">
        <v>1</v>
      </c>
      <c r="H59" s="25">
        <v>850</v>
      </c>
      <c r="I59" s="25" t="s">
        <v>17</v>
      </c>
      <c r="J59" s="24">
        <v>16098789</v>
      </c>
      <c r="K59" s="24" t="s">
        <v>3756</v>
      </c>
      <c r="L59" s="24" t="s">
        <v>3758</v>
      </c>
      <c r="M59" s="26">
        <v>89900</v>
      </c>
      <c r="N59" s="37">
        <v>0.7</v>
      </c>
      <c r="O59" s="36">
        <f t="shared" si="5"/>
        <v>26970</v>
      </c>
      <c r="P59" s="34" t="s">
        <v>16</v>
      </c>
    </row>
    <row r="60" spans="1:16" x14ac:dyDescent="0.35">
      <c r="A60" s="34" t="str">
        <f t="shared" si="4"/>
        <v>2024 JAN-JUN DISC 70 LICENSE ESS</v>
      </c>
      <c r="B60" s="35">
        <f t="shared" si="2"/>
        <v>46086</v>
      </c>
      <c r="C60" s="35">
        <f t="shared" si="3"/>
        <v>46092</v>
      </c>
      <c r="D60" s="6">
        <v>3287</v>
      </c>
      <c r="E60" s="6">
        <v>338</v>
      </c>
      <c r="F60" s="34">
        <v>4</v>
      </c>
      <c r="G60" s="25">
        <v>1</v>
      </c>
      <c r="H60" s="25">
        <v>850</v>
      </c>
      <c r="I60" s="25" t="s">
        <v>17</v>
      </c>
      <c r="J60" s="24">
        <v>16098798</v>
      </c>
      <c r="K60" s="24" t="s">
        <v>3756</v>
      </c>
      <c r="L60" s="24" t="s">
        <v>3759</v>
      </c>
      <c r="M60" s="26">
        <v>89900</v>
      </c>
      <c r="N60" s="37">
        <v>0.7</v>
      </c>
      <c r="O60" s="36">
        <f t="shared" si="5"/>
        <v>26970</v>
      </c>
      <c r="P60" s="34" t="s">
        <v>16</v>
      </c>
    </row>
    <row r="61" spans="1:16" x14ac:dyDescent="0.35">
      <c r="A61" s="34" t="str">
        <f t="shared" si="4"/>
        <v>2024 JAN-JUN DISC 70 LICENSE ESS</v>
      </c>
      <c r="B61" s="35">
        <f t="shared" si="2"/>
        <v>46086</v>
      </c>
      <c r="C61" s="35">
        <f t="shared" si="3"/>
        <v>46092</v>
      </c>
      <c r="D61" s="6">
        <v>3287</v>
      </c>
      <c r="E61" s="6">
        <v>338</v>
      </c>
      <c r="F61" s="34">
        <v>4</v>
      </c>
      <c r="G61" s="25">
        <v>1</v>
      </c>
      <c r="H61" s="25">
        <v>850</v>
      </c>
      <c r="I61" s="25" t="s">
        <v>17</v>
      </c>
      <c r="J61" s="24">
        <v>16098805</v>
      </c>
      <c r="K61" s="24" t="s">
        <v>3756</v>
      </c>
      <c r="L61" s="24" t="s">
        <v>3760</v>
      </c>
      <c r="M61" s="26">
        <v>89900</v>
      </c>
      <c r="N61" s="37">
        <v>0.7</v>
      </c>
      <c r="O61" s="36">
        <f t="shared" si="5"/>
        <v>26970</v>
      </c>
      <c r="P61" s="34" t="s">
        <v>16</v>
      </c>
    </row>
    <row r="62" spans="1:16" x14ac:dyDescent="0.35">
      <c r="A62" s="34" t="str">
        <f t="shared" si="4"/>
        <v>2024 JAN-JUN DISC 70 LICENSE ESS</v>
      </c>
      <c r="B62" s="35">
        <f t="shared" si="2"/>
        <v>46086</v>
      </c>
      <c r="C62" s="35">
        <f t="shared" si="3"/>
        <v>46092</v>
      </c>
      <c r="D62" s="6">
        <v>3287</v>
      </c>
      <c r="E62" s="6">
        <v>338</v>
      </c>
      <c r="F62" s="34">
        <v>4</v>
      </c>
      <c r="G62" s="25">
        <v>2</v>
      </c>
      <c r="H62" s="25">
        <v>850</v>
      </c>
      <c r="I62" s="25" t="s">
        <v>17</v>
      </c>
      <c r="J62" s="24">
        <v>16622756</v>
      </c>
      <c r="K62" s="24" t="s">
        <v>3026</v>
      </c>
      <c r="L62" s="24" t="s">
        <v>3027</v>
      </c>
      <c r="M62" s="26">
        <v>229900</v>
      </c>
      <c r="N62" s="37">
        <v>0.7</v>
      </c>
      <c r="O62" s="36">
        <f t="shared" si="5"/>
        <v>68970</v>
      </c>
      <c r="P62" s="34" t="s">
        <v>16</v>
      </c>
    </row>
    <row r="63" spans="1:16" x14ac:dyDescent="0.35">
      <c r="A63" s="34" t="str">
        <f t="shared" si="4"/>
        <v>2024 JAN-JUN DISC 70 LICENSE ESS</v>
      </c>
      <c r="B63" s="35">
        <f t="shared" si="2"/>
        <v>46086</v>
      </c>
      <c r="C63" s="35">
        <f t="shared" si="3"/>
        <v>46092</v>
      </c>
      <c r="D63" s="6">
        <v>3287</v>
      </c>
      <c r="E63" s="6">
        <v>338</v>
      </c>
      <c r="F63" s="34">
        <v>4</v>
      </c>
      <c r="G63" s="25">
        <v>2</v>
      </c>
      <c r="H63" s="25">
        <v>850</v>
      </c>
      <c r="I63" s="25" t="s">
        <v>17</v>
      </c>
      <c r="J63" s="24">
        <v>16622765</v>
      </c>
      <c r="K63" s="24" t="s">
        <v>3026</v>
      </c>
      <c r="L63" s="24" t="s">
        <v>3028</v>
      </c>
      <c r="M63" s="26">
        <v>229900</v>
      </c>
      <c r="N63" s="37">
        <v>0.7</v>
      </c>
      <c r="O63" s="36">
        <f t="shared" si="5"/>
        <v>68970</v>
      </c>
      <c r="P63" s="34" t="s">
        <v>16</v>
      </c>
    </row>
    <row r="64" spans="1:16" x14ac:dyDescent="0.35">
      <c r="A64" s="34" t="str">
        <f t="shared" si="4"/>
        <v>2024 JAN-JUN DISC 70 LICENSE ESS</v>
      </c>
      <c r="B64" s="35">
        <f t="shared" si="2"/>
        <v>46086</v>
      </c>
      <c r="C64" s="35">
        <f t="shared" si="3"/>
        <v>46092</v>
      </c>
      <c r="D64" s="6">
        <v>3287</v>
      </c>
      <c r="E64" s="6">
        <v>338</v>
      </c>
      <c r="F64" s="34">
        <v>4</v>
      </c>
      <c r="G64" s="25">
        <v>2</v>
      </c>
      <c r="H64" s="25">
        <v>850</v>
      </c>
      <c r="I64" s="25" t="s">
        <v>17</v>
      </c>
      <c r="J64" s="24">
        <v>16622774</v>
      </c>
      <c r="K64" s="24" t="s">
        <v>3026</v>
      </c>
      <c r="L64" s="24" t="s">
        <v>3029</v>
      </c>
      <c r="M64" s="26">
        <v>229900</v>
      </c>
      <c r="N64" s="37">
        <v>0.7</v>
      </c>
      <c r="O64" s="36">
        <f t="shared" si="5"/>
        <v>68970</v>
      </c>
      <c r="P64" s="34" t="s">
        <v>16</v>
      </c>
    </row>
    <row r="65" spans="1:16" x14ac:dyDescent="0.35">
      <c r="A65" s="34" t="str">
        <f t="shared" si="4"/>
        <v>2024 JAN-JUN DISC 70 LICENSE ESS</v>
      </c>
      <c r="B65" s="35">
        <f t="shared" si="2"/>
        <v>46086</v>
      </c>
      <c r="C65" s="35">
        <f t="shared" si="3"/>
        <v>46092</v>
      </c>
      <c r="D65" s="6">
        <v>3287</v>
      </c>
      <c r="E65" s="6">
        <v>338</v>
      </c>
      <c r="F65" s="34">
        <v>4</v>
      </c>
      <c r="G65" s="25">
        <v>2</v>
      </c>
      <c r="H65" s="25">
        <v>850</v>
      </c>
      <c r="I65" s="25" t="s">
        <v>17</v>
      </c>
      <c r="J65" s="24">
        <v>16622783</v>
      </c>
      <c r="K65" s="24" t="s">
        <v>3026</v>
      </c>
      <c r="L65" s="24" t="s">
        <v>3030</v>
      </c>
      <c r="M65" s="26">
        <v>229900</v>
      </c>
      <c r="N65" s="37">
        <v>0.7</v>
      </c>
      <c r="O65" s="36">
        <f t="shared" si="5"/>
        <v>68970</v>
      </c>
      <c r="P65" s="34" t="s">
        <v>16</v>
      </c>
    </row>
    <row r="66" spans="1:16" x14ac:dyDescent="0.35">
      <c r="A66" s="34" t="str">
        <f t="shared" si="4"/>
        <v>2024 JAN-JUN DISC 70 LICENSE ESS</v>
      </c>
      <c r="B66" s="35">
        <f t="shared" si="2"/>
        <v>46086</v>
      </c>
      <c r="C66" s="35">
        <f t="shared" si="3"/>
        <v>46092</v>
      </c>
      <c r="D66" s="6">
        <v>3287</v>
      </c>
      <c r="E66" s="6">
        <v>338</v>
      </c>
      <c r="F66" s="34">
        <v>4</v>
      </c>
      <c r="G66" s="25">
        <v>2</v>
      </c>
      <c r="H66" s="25">
        <v>850</v>
      </c>
      <c r="I66" s="25" t="s">
        <v>17</v>
      </c>
      <c r="J66" s="24">
        <v>16622792</v>
      </c>
      <c r="K66" s="24" t="s">
        <v>3026</v>
      </c>
      <c r="L66" s="24" t="s">
        <v>3031</v>
      </c>
      <c r="M66" s="26">
        <v>239900</v>
      </c>
      <c r="N66" s="37">
        <v>0.7</v>
      </c>
      <c r="O66" s="36">
        <f t="shared" si="5"/>
        <v>71970</v>
      </c>
      <c r="P66" s="34" t="s">
        <v>16</v>
      </c>
    </row>
    <row r="67" spans="1:16" x14ac:dyDescent="0.35">
      <c r="A67" s="34" t="str">
        <f t="shared" si="4"/>
        <v>2024 JAN-JUN DISC 70 LICENSE ESS</v>
      </c>
      <c r="B67" s="35">
        <f t="shared" si="2"/>
        <v>46086</v>
      </c>
      <c r="C67" s="35">
        <f t="shared" si="3"/>
        <v>46092</v>
      </c>
      <c r="D67" s="6">
        <v>3287</v>
      </c>
      <c r="E67" s="6">
        <v>338</v>
      </c>
      <c r="F67" s="34">
        <v>4</v>
      </c>
      <c r="G67" s="25">
        <v>2</v>
      </c>
      <c r="H67" s="25">
        <v>850</v>
      </c>
      <c r="I67" s="25" t="s">
        <v>17</v>
      </c>
      <c r="J67" s="24">
        <v>16622809</v>
      </c>
      <c r="K67" s="24" t="s">
        <v>3026</v>
      </c>
      <c r="L67" s="24" t="s">
        <v>3032</v>
      </c>
      <c r="M67" s="26">
        <v>239900</v>
      </c>
      <c r="N67" s="37">
        <v>0.7</v>
      </c>
      <c r="O67" s="36">
        <f t="shared" si="5"/>
        <v>71970</v>
      </c>
      <c r="P67" s="34" t="s">
        <v>16</v>
      </c>
    </row>
    <row r="68" spans="1:16" x14ac:dyDescent="0.35">
      <c r="A68" s="34" t="str">
        <f t="shared" si="4"/>
        <v>2024 JAN-JUN DISC 70 LICENSE ESS</v>
      </c>
      <c r="B68" s="35">
        <f t="shared" si="4"/>
        <v>46086</v>
      </c>
      <c r="C68" s="35">
        <f t="shared" si="4"/>
        <v>46092</v>
      </c>
      <c r="D68" s="6">
        <v>3287</v>
      </c>
      <c r="E68" s="6">
        <v>338</v>
      </c>
      <c r="F68" s="34">
        <v>4</v>
      </c>
      <c r="G68" s="25">
        <v>2</v>
      </c>
      <c r="H68" s="25">
        <v>850</v>
      </c>
      <c r="I68" s="25" t="s">
        <v>17</v>
      </c>
      <c r="J68" s="24">
        <v>16622818</v>
      </c>
      <c r="K68" s="24" t="s">
        <v>3026</v>
      </c>
      <c r="L68" s="24" t="s">
        <v>3033</v>
      </c>
      <c r="M68" s="26">
        <v>239900</v>
      </c>
      <c r="N68" s="37">
        <v>0.7</v>
      </c>
      <c r="O68" s="36">
        <f t="shared" si="5"/>
        <v>71970</v>
      </c>
      <c r="P68" s="34" t="s">
        <v>16</v>
      </c>
    </row>
    <row r="69" spans="1:16" x14ac:dyDescent="0.35">
      <c r="A69" s="34" t="str">
        <f t="shared" si="4"/>
        <v>2024 JAN-JUN DISC 70 LICENSE ESS</v>
      </c>
      <c r="B69" s="35">
        <f t="shared" si="4"/>
        <v>46086</v>
      </c>
      <c r="C69" s="35">
        <f t="shared" si="4"/>
        <v>46092</v>
      </c>
      <c r="D69" s="6">
        <v>3287</v>
      </c>
      <c r="E69" s="6">
        <v>338</v>
      </c>
      <c r="F69" s="34">
        <v>4</v>
      </c>
      <c r="G69" s="25">
        <v>2</v>
      </c>
      <c r="H69" s="25">
        <v>850</v>
      </c>
      <c r="I69" s="25" t="s">
        <v>17</v>
      </c>
      <c r="J69" s="24">
        <v>16622827</v>
      </c>
      <c r="K69" s="24" t="s">
        <v>3026</v>
      </c>
      <c r="L69" s="24" t="s">
        <v>3034</v>
      </c>
      <c r="M69" s="26">
        <v>239900</v>
      </c>
      <c r="N69" s="37">
        <v>0.7</v>
      </c>
      <c r="O69" s="36">
        <f t="shared" si="5"/>
        <v>71970</v>
      </c>
      <c r="P69" s="34" t="s">
        <v>16</v>
      </c>
    </row>
    <row r="70" spans="1:16" x14ac:dyDescent="0.35">
      <c r="A70" s="34" t="str">
        <f t="shared" ref="A70:A133" si="6">A69</f>
        <v>2024 JAN-JUN DISC 70 LICENSE ESS</v>
      </c>
      <c r="B70" s="35">
        <f t="shared" ref="B70:B133" si="7">B69</f>
        <v>46086</v>
      </c>
      <c r="C70" s="35">
        <f t="shared" ref="C70:C133" si="8">C69</f>
        <v>46092</v>
      </c>
      <c r="D70" s="6">
        <v>3287</v>
      </c>
      <c r="E70" s="6">
        <v>338</v>
      </c>
      <c r="F70" s="34">
        <v>4</v>
      </c>
      <c r="G70" s="25">
        <v>4</v>
      </c>
      <c r="H70" s="25">
        <v>81676</v>
      </c>
      <c r="I70" s="25" t="s">
        <v>17</v>
      </c>
      <c r="J70" s="24">
        <v>81184830</v>
      </c>
      <c r="K70" s="24" t="s">
        <v>3078</v>
      </c>
      <c r="L70" s="24" t="s">
        <v>3079</v>
      </c>
      <c r="M70" s="26">
        <v>229900</v>
      </c>
      <c r="N70" s="37">
        <v>0.7</v>
      </c>
      <c r="O70" s="36">
        <f t="shared" si="5"/>
        <v>68970</v>
      </c>
      <c r="P70" s="34" t="s">
        <v>16</v>
      </c>
    </row>
    <row r="71" spans="1:16" x14ac:dyDescent="0.35">
      <c r="A71" s="34" t="str">
        <f t="shared" si="6"/>
        <v>2024 JAN-JUN DISC 70 LICENSE ESS</v>
      </c>
      <c r="B71" s="35">
        <f t="shared" si="7"/>
        <v>46086</v>
      </c>
      <c r="C71" s="35">
        <f t="shared" si="8"/>
        <v>46092</v>
      </c>
      <c r="D71" s="6">
        <v>3287</v>
      </c>
      <c r="E71" s="6">
        <v>338</v>
      </c>
      <c r="F71" s="34">
        <v>4</v>
      </c>
      <c r="G71" s="25">
        <v>4</v>
      </c>
      <c r="H71" s="25">
        <v>81676</v>
      </c>
      <c r="I71" s="25" t="s">
        <v>17</v>
      </c>
      <c r="J71" s="24">
        <v>81184849</v>
      </c>
      <c r="K71" s="24" t="s">
        <v>3078</v>
      </c>
      <c r="L71" s="24" t="s">
        <v>3080</v>
      </c>
      <c r="M71" s="26">
        <v>229900</v>
      </c>
      <c r="N71" s="37">
        <v>0.7</v>
      </c>
      <c r="O71" s="36">
        <f t="shared" si="5"/>
        <v>68970</v>
      </c>
      <c r="P71" s="34" t="s">
        <v>16</v>
      </c>
    </row>
    <row r="72" spans="1:16" x14ac:dyDescent="0.35">
      <c r="A72" s="34" t="str">
        <f t="shared" si="6"/>
        <v>2024 JAN-JUN DISC 70 LICENSE ESS</v>
      </c>
      <c r="B72" s="35">
        <f t="shared" si="7"/>
        <v>46086</v>
      </c>
      <c r="C72" s="35">
        <f t="shared" si="8"/>
        <v>46092</v>
      </c>
      <c r="D72" s="6">
        <v>3287</v>
      </c>
      <c r="E72" s="6">
        <v>338</v>
      </c>
      <c r="F72" s="34">
        <v>4</v>
      </c>
      <c r="G72" s="25">
        <v>4</v>
      </c>
      <c r="H72" s="25">
        <v>81676</v>
      </c>
      <c r="I72" s="25" t="s">
        <v>17</v>
      </c>
      <c r="J72" s="24">
        <v>81184858</v>
      </c>
      <c r="K72" s="24" t="s">
        <v>3078</v>
      </c>
      <c r="L72" s="24" t="s">
        <v>3081</v>
      </c>
      <c r="M72" s="26">
        <v>229900</v>
      </c>
      <c r="N72" s="37">
        <v>0.7</v>
      </c>
      <c r="O72" s="36">
        <f t="shared" si="5"/>
        <v>68970</v>
      </c>
      <c r="P72" s="34" t="s">
        <v>16</v>
      </c>
    </row>
    <row r="73" spans="1:16" x14ac:dyDescent="0.35">
      <c r="A73" s="34" t="str">
        <f t="shared" si="6"/>
        <v>2024 JAN-JUN DISC 70 LICENSE ESS</v>
      </c>
      <c r="B73" s="35">
        <f t="shared" si="7"/>
        <v>46086</v>
      </c>
      <c r="C73" s="35">
        <f t="shared" si="8"/>
        <v>46092</v>
      </c>
      <c r="D73" s="6">
        <v>3287</v>
      </c>
      <c r="E73" s="6">
        <v>338</v>
      </c>
      <c r="F73" s="34">
        <v>4</v>
      </c>
      <c r="G73" s="25">
        <v>4</v>
      </c>
      <c r="H73" s="25">
        <v>81676</v>
      </c>
      <c r="I73" s="25" t="s">
        <v>17</v>
      </c>
      <c r="J73" s="24">
        <v>81184867</v>
      </c>
      <c r="K73" s="24" t="s">
        <v>3078</v>
      </c>
      <c r="L73" s="24" t="s">
        <v>3424</v>
      </c>
      <c r="M73" s="26">
        <v>229900</v>
      </c>
      <c r="N73" s="37">
        <v>0.7</v>
      </c>
      <c r="O73" s="36">
        <f t="shared" si="5"/>
        <v>68970</v>
      </c>
      <c r="P73" s="34" t="s">
        <v>16</v>
      </c>
    </row>
    <row r="74" spans="1:16" x14ac:dyDescent="0.35">
      <c r="A74" s="34" t="str">
        <f t="shared" si="6"/>
        <v>2024 JAN-JUN DISC 70 LICENSE ESS</v>
      </c>
      <c r="B74" s="35">
        <f t="shared" si="7"/>
        <v>46086</v>
      </c>
      <c r="C74" s="35">
        <f t="shared" si="8"/>
        <v>46092</v>
      </c>
      <c r="D74" s="6">
        <v>3287</v>
      </c>
      <c r="E74" s="6">
        <v>338</v>
      </c>
      <c r="F74" s="34">
        <v>4</v>
      </c>
      <c r="G74" s="25">
        <v>3</v>
      </c>
      <c r="H74" s="25">
        <v>850</v>
      </c>
      <c r="I74" s="25" t="s">
        <v>17</v>
      </c>
      <c r="J74" s="24">
        <v>83708289</v>
      </c>
      <c r="K74" s="24" t="s">
        <v>3796</v>
      </c>
      <c r="L74" s="24" t="s">
        <v>3797</v>
      </c>
      <c r="M74" s="26">
        <v>89900</v>
      </c>
      <c r="N74" s="37">
        <v>0.7</v>
      </c>
      <c r="O74" s="36">
        <f t="shared" si="5"/>
        <v>26970</v>
      </c>
      <c r="P74" s="34" t="s">
        <v>16</v>
      </c>
    </row>
    <row r="75" spans="1:16" x14ac:dyDescent="0.35">
      <c r="A75" s="34" t="str">
        <f t="shared" si="6"/>
        <v>2024 JAN-JUN DISC 70 LICENSE ESS</v>
      </c>
      <c r="B75" s="35">
        <f t="shared" si="7"/>
        <v>46086</v>
      </c>
      <c r="C75" s="35">
        <f t="shared" si="8"/>
        <v>46092</v>
      </c>
      <c r="D75" s="6">
        <v>3287</v>
      </c>
      <c r="E75" s="6">
        <v>338</v>
      </c>
      <c r="F75" s="34">
        <v>4</v>
      </c>
      <c r="G75" s="25">
        <v>3</v>
      </c>
      <c r="H75" s="25">
        <v>850</v>
      </c>
      <c r="I75" s="25" t="s">
        <v>17</v>
      </c>
      <c r="J75" s="24">
        <v>83708298</v>
      </c>
      <c r="K75" s="24" t="s">
        <v>3796</v>
      </c>
      <c r="L75" s="24" t="s">
        <v>3798</v>
      </c>
      <c r="M75" s="26">
        <v>89900</v>
      </c>
      <c r="N75" s="37">
        <v>0.7</v>
      </c>
      <c r="O75" s="36">
        <f t="shared" si="5"/>
        <v>26970</v>
      </c>
      <c r="P75" s="34" t="s">
        <v>16</v>
      </c>
    </row>
    <row r="76" spans="1:16" x14ac:dyDescent="0.35">
      <c r="A76" s="34" t="str">
        <f t="shared" si="6"/>
        <v>2024 JAN-JUN DISC 70 LICENSE ESS</v>
      </c>
      <c r="B76" s="35">
        <f t="shared" si="7"/>
        <v>46086</v>
      </c>
      <c r="C76" s="35">
        <f t="shared" si="8"/>
        <v>46092</v>
      </c>
      <c r="D76" s="6">
        <v>3287</v>
      </c>
      <c r="E76" s="6">
        <v>338</v>
      </c>
      <c r="F76" s="34">
        <v>4</v>
      </c>
      <c r="G76" s="25">
        <v>3</v>
      </c>
      <c r="H76" s="25">
        <v>850</v>
      </c>
      <c r="I76" s="25" t="s">
        <v>17</v>
      </c>
      <c r="J76" s="24">
        <v>83708305</v>
      </c>
      <c r="K76" s="24" t="s">
        <v>3796</v>
      </c>
      <c r="L76" s="24" t="s">
        <v>3799</v>
      </c>
      <c r="M76" s="26">
        <v>89900</v>
      </c>
      <c r="N76" s="37">
        <v>0.7</v>
      </c>
      <c r="O76" s="36">
        <f t="shared" si="5"/>
        <v>26970</v>
      </c>
      <c r="P76" s="34" t="s">
        <v>16</v>
      </c>
    </row>
    <row r="77" spans="1:16" x14ac:dyDescent="0.35">
      <c r="A77" s="34" t="str">
        <f t="shared" si="6"/>
        <v>2024 JAN-JUN DISC 70 LICENSE ESS</v>
      </c>
      <c r="B77" s="35">
        <f t="shared" si="7"/>
        <v>46086</v>
      </c>
      <c r="C77" s="35">
        <f t="shared" si="8"/>
        <v>46092</v>
      </c>
      <c r="D77" s="6">
        <v>3287</v>
      </c>
      <c r="E77" s="6">
        <v>338</v>
      </c>
      <c r="F77" s="34">
        <v>4</v>
      </c>
      <c r="G77" s="25">
        <v>3</v>
      </c>
      <c r="H77" s="25">
        <v>850</v>
      </c>
      <c r="I77" s="25" t="s">
        <v>17</v>
      </c>
      <c r="J77" s="24">
        <v>83708314</v>
      </c>
      <c r="K77" s="24" t="s">
        <v>3796</v>
      </c>
      <c r="L77" s="24" t="s">
        <v>3800</v>
      </c>
      <c r="M77" s="26">
        <v>89900</v>
      </c>
      <c r="N77" s="37">
        <v>0.7</v>
      </c>
      <c r="O77" s="36">
        <f t="shared" si="5"/>
        <v>26970</v>
      </c>
      <c r="P77" s="34" t="s">
        <v>16</v>
      </c>
    </row>
    <row r="78" spans="1:16" x14ac:dyDescent="0.35">
      <c r="A78" s="34" t="str">
        <f t="shared" si="6"/>
        <v>2024 JAN-JUN DISC 70 LICENSE ESS</v>
      </c>
      <c r="B78" s="35">
        <f t="shared" si="7"/>
        <v>46086</v>
      </c>
      <c r="C78" s="35">
        <f t="shared" si="8"/>
        <v>46092</v>
      </c>
      <c r="D78" s="6">
        <v>3287</v>
      </c>
      <c r="E78" s="6">
        <v>338</v>
      </c>
      <c r="F78" s="34">
        <v>4</v>
      </c>
      <c r="G78" s="25">
        <v>4</v>
      </c>
      <c r="H78" s="25">
        <v>81676</v>
      </c>
      <c r="I78" s="25" t="s">
        <v>17</v>
      </c>
      <c r="J78" s="24">
        <v>86636780</v>
      </c>
      <c r="K78" s="24" t="s">
        <v>3082</v>
      </c>
      <c r="L78" s="24" t="s">
        <v>3083</v>
      </c>
      <c r="M78" s="26">
        <v>229900</v>
      </c>
      <c r="N78" s="37">
        <v>0.7</v>
      </c>
      <c r="O78" s="36">
        <f t="shared" si="5"/>
        <v>68970</v>
      </c>
      <c r="P78" s="34" t="s">
        <v>16</v>
      </c>
    </row>
    <row r="79" spans="1:16" x14ac:dyDescent="0.35">
      <c r="A79" s="34" t="str">
        <f t="shared" si="6"/>
        <v>2024 JAN-JUN DISC 70 LICENSE ESS</v>
      </c>
      <c r="B79" s="35">
        <f t="shared" si="7"/>
        <v>46086</v>
      </c>
      <c r="C79" s="35">
        <f t="shared" si="8"/>
        <v>46092</v>
      </c>
      <c r="D79" s="6">
        <v>3287</v>
      </c>
      <c r="E79" s="6">
        <v>338</v>
      </c>
      <c r="F79" s="34">
        <v>4</v>
      </c>
      <c r="G79" s="25">
        <v>4</v>
      </c>
      <c r="H79" s="25">
        <v>81676</v>
      </c>
      <c r="I79" s="25" t="s">
        <v>17</v>
      </c>
      <c r="J79" s="24">
        <v>86636799</v>
      </c>
      <c r="K79" s="24" t="s">
        <v>3082</v>
      </c>
      <c r="L79" s="24" t="s">
        <v>3084</v>
      </c>
      <c r="M79" s="26">
        <v>229900</v>
      </c>
      <c r="N79" s="37">
        <v>0.7</v>
      </c>
      <c r="O79" s="36">
        <f t="shared" si="5"/>
        <v>68970</v>
      </c>
      <c r="P79" s="34" t="s">
        <v>16</v>
      </c>
    </row>
    <row r="80" spans="1:16" x14ac:dyDescent="0.35">
      <c r="A80" s="34" t="str">
        <f t="shared" si="6"/>
        <v>2024 JAN-JUN DISC 70 LICENSE ESS</v>
      </c>
      <c r="B80" s="35">
        <f t="shared" si="7"/>
        <v>46086</v>
      </c>
      <c r="C80" s="35">
        <f t="shared" si="8"/>
        <v>46092</v>
      </c>
      <c r="D80" s="6">
        <v>3287</v>
      </c>
      <c r="E80" s="6">
        <v>338</v>
      </c>
      <c r="F80" s="34">
        <v>4</v>
      </c>
      <c r="G80" s="25">
        <v>4</v>
      </c>
      <c r="H80" s="25">
        <v>81676</v>
      </c>
      <c r="I80" s="25" t="s">
        <v>17</v>
      </c>
      <c r="J80" s="24">
        <v>86636806</v>
      </c>
      <c r="K80" s="24" t="s">
        <v>3082</v>
      </c>
      <c r="L80" s="24" t="s">
        <v>3085</v>
      </c>
      <c r="M80" s="26">
        <v>229900</v>
      </c>
      <c r="N80" s="37">
        <v>0.7</v>
      </c>
      <c r="O80" s="36">
        <f t="shared" si="5"/>
        <v>68970</v>
      </c>
      <c r="P80" s="34" t="s">
        <v>16</v>
      </c>
    </row>
    <row r="81" spans="1:16" x14ac:dyDescent="0.35">
      <c r="A81" s="34" t="str">
        <f t="shared" si="6"/>
        <v>2024 JAN-JUN DISC 70 LICENSE ESS</v>
      </c>
      <c r="B81" s="35">
        <f t="shared" si="7"/>
        <v>46086</v>
      </c>
      <c r="C81" s="35">
        <f t="shared" si="8"/>
        <v>46092</v>
      </c>
      <c r="D81" s="6">
        <v>3287</v>
      </c>
      <c r="E81" s="6">
        <v>338</v>
      </c>
      <c r="F81" s="34">
        <v>4</v>
      </c>
      <c r="G81" s="25">
        <v>4</v>
      </c>
      <c r="H81" s="25">
        <v>81676</v>
      </c>
      <c r="I81" s="25" t="s">
        <v>17</v>
      </c>
      <c r="J81" s="24">
        <v>86636815</v>
      </c>
      <c r="K81" s="24" t="s">
        <v>3082</v>
      </c>
      <c r="L81" s="24" t="s">
        <v>3086</v>
      </c>
      <c r="M81" s="26">
        <v>229900</v>
      </c>
      <c r="N81" s="37">
        <v>0.7</v>
      </c>
      <c r="O81" s="36">
        <f t="shared" si="5"/>
        <v>68970</v>
      </c>
      <c r="P81" s="34" t="s">
        <v>16</v>
      </c>
    </row>
    <row r="82" spans="1:16" x14ac:dyDescent="0.35">
      <c r="A82" s="34" t="str">
        <f t="shared" si="6"/>
        <v>2024 JAN-JUN DISC 70 LICENSE ESS</v>
      </c>
      <c r="B82" s="35">
        <f t="shared" si="7"/>
        <v>46086</v>
      </c>
      <c r="C82" s="35">
        <f t="shared" si="8"/>
        <v>46092</v>
      </c>
      <c r="D82" s="6">
        <v>3287</v>
      </c>
      <c r="E82" s="6">
        <v>338</v>
      </c>
      <c r="F82" s="34">
        <v>4</v>
      </c>
      <c r="G82" s="25">
        <v>2</v>
      </c>
      <c r="H82" s="25">
        <v>81676</v>
      </c>
      <c r="I82" s="25" t="s">
        <v>17</v>
      </c>
      <c r="J82" s="24">
        <v>15647142</v>
      </c>
      <c r="K82" s="24" t="s">
        <v>3040</v>
      </c>
      <c r="L82" s="24" t="s">
        <v>3041</v>
      </c>
      <c r="M82" s="26">
        <v>229900</v>
      </c>
      <c r="N82" s="37">
        <v>0.7</v>
      </c>
      <c r="O82" s="36">
        <f t="shared" si="5"/>
        <v>68970</v>
      </c>
      <c r="P82" s="34" t="s">
        <v>16</v>
      </c>
    </row>
    <row r="83" spans="1:16" x14ac:dyDescent="0.35">
      <c r="A83" s="34" t="str">
        <f t="shared" si="6"/>
        <v>2024 JAN-JUN DISC 70 LICENSE ESS</v>
      </c>
      <c r="B83" s="35">
        <f t="shared" si="7"/>
        <v>46086</v>
      </c>
      <c r="C83" s="35">
        <f t="shared" si="8"/>
        <v>46092</v>
      </c>
      <c r="D83" s="6">
        <v>3287</v>
      </c>
      <c r="E83" s="6">
        <v>338</v>
      </c>
      <c r="F83" s="34">
        <v>4</v>
      </c>
      <c r="G83" s="25">
        <v>2</v>
      </c>
      <c r="H83" s="25">
        <v>81676</v>
      </c>
      <c r="I83" s="25" t="s">
        <v>17</v>
      </c>
      <c r="J83" s="24">
        <v>15647151</v>
      </c>
      <c r="K83" s="24" t="s">
        <v>3040</v>
      </c>
      <c r="L83" s="24" t="s">
        <v>3042</v>
      </c>
      <c r="M83" s="26">
        <v>229900</v>
      </c>
      <c r="N83" s="37">
        <v>0.7</v>
      </c>
      <c r="O83" s="36">
        <f t="shared" si="5"/>
        <v>68970</v>
      </c>
      <c r="P83" s="34" t="s">
        <v>16</v>
      </c>
    </row>
    <row r="84" spans="1:16" x14ac:dyDescent="0.35">
      <c r="A84" s="34" t="str">
        <f t="shared" si="6"/>
        <v>2024 JAN-JUN DISC 70 LICENSE ESS</v>
      </c>
      <c r="B84" s="35">
        <f t="shared" si="7"/>
        <v>46086</v>
      </c>
      <c r="C84" s="35">
        <f t="shared" si="8"/>
        <v>46092</v>
      </c>
      <c r="D84" s="6">
        <v>3287</v>
      </c>
      <c r="E84" s="6">
        <v>338</v>
      </c>
      <c r="F84" s="34">
        <v>4</v>
      </c>
      <c r="G84" s="25">
        <v>2</v>
      </c>
      <c r="H84" s="25">
        <v>81676</v>
      </c>
      <c r="I84" s="25" t="s">
        <v>17</v>
      </c>
      <c r="J84" s="24">
        <v>15647160</v>
      </c>
      <c r="K84" s="24" t="s">
        <v>3040</v>
      </c>
      <c r="L84" s="24" t="s">
        <v>3043</v>
      </c>
      <c r="M84" s="26">
        <v>229900</v>
      </c>
      <c r="N84" s="37">
        <v>0.7</v>
      </c>
      <c r="O84" s="36">
        <f t="shared" si="5"/>
        <v>68970</v>
      </c>
      <c r="P84" s="34" t="s">
        <v>16</v>
      </c>
    </row>
    <row r="85" spans="1:16" x14ac:dyDescent="0.35">
      <c r="A85" s="34" t="str">
        <f t="shared" si="6"/>
        <v>2024 JAN-JUN DISC 70 LICENSE ESS</v>
      </c>
      <c r="B85" s="35">
        <f t="shared" si="7"/>
        <v>46086</v>
      </c>
      <c r="C85" s="35">
        <f t="shared" si="8"/>
        <v>46092</v>
      </c>
      <c r="D85" s="6">
        <v>3287</v>
      </c>
      <c r="E85" s="6">
        <v>338</v>
      </c>
      <c r="F85" s="34">
        <v>4</v>
      </c>
      <c r="G85" s="25">
        <v>2</v>
      </c>
      <c r="H85" s="25">
        <v>81676</v>
      </c>
      <c r="I85" s="25" t="s">
        <v>17</v>
      </c>
      <c r="J85" s="24">
        <v>15647179</v>
      </c>
      <c r="K85" s="24" t="s">
        <v>3040</v>
      </c>
      <c r="L85" s="24" t="s">
        <v>3044</v>
      </c>
      <c r="M85" s="26">
        <v>229900</v>
      </c>
      <c r="N85" s="37">
        <v>0.7</v>
      </c>
      <c r="O85" s="36">
        <f t="shared" si="5"/>
        <v>68970</v>
      </c>
      <c r="P85" s="34" t="s">
        <v>16</v>
      </c>
    </row>
    <row r="86" spans="1:16" x14ac:dyDescent="0.35">
      <c r="A86" s="34" t="str">
        <f t="shared" si="6"/>
        <v>2024 JAN-JUN DISC 70 LICENSE ESS</v>
      </c>
      <c r="B86" s="35">
        <f t="shared" si="7"/>
        <v>46086</v>
      </c>
      <c r="C86" s="35">
        <f t="shared" si="8"/>
        <v>46092</v>
      </c>
      <c r="D86" s="6">
        <v>3287</v>
      </c>
      <c r="E86" s="6">
        <v>338</v>
      </c>
      <c r="F86" s="34">
        <v>4</v>
      </c>
      <c r="G86" s="25">
        <v>2</v>
      </c>
      <c r="H86" s="25">
        <v>81676</v>
      </c>
      <c r="I86" s="25" t="s">
        <v>17</v>
      </c>
      <c r="J86" s="24">
        <v>15647188</v>
      </c>
      <c r="K86" s="24" t="s">
        <v>3040</v>
      </c>
      <c r="L86" s="24" t="s">
        <v>3045</v>
      </c>
      <c r="M86" s="26">
        <v>229900</v>
      </c>
      <c r="N86" s="37">
        <v>0.7</v>
      </c>
      <c r="O86" s="36">
        <f t="shared" si="5"/>
        <v>68970</v>
      </c>
      <c r="P86" s="34" t="s">
        <v>16</v>
      </c>
    </row>
    <row r="87" spans="1:16" x14ac:dyDescent="0.35">
      <c r="A87" s="34" t="str">
        <f t="shared" si="6"/>
        <v>2024 JAN-JUN DISC 70 LICENSE ESS</v>
      </c>
      <c r="B87" s="35">
        <f t="shared" si="7"/>
        <v>46086</v>
      </c>
      <c r="C87" s="35">
        <f t="shared" si="8"/>
        <v>46092</v>
      </c>
      <c r="D87" s="6">
        <v>3287</v>
      </c>
      <c r="E87" s="6">
        <v>338</v>
      </c>
      <c r="F87" s="34">
        <v>4</v>
      </c>
      <c r="G87" s="25">
        <v>2</v>
      </c>
      <c r="H87" s="25">
        <v>81676</v>
      </c>
      <c r="I87" s="25" t="s">
        <v>17</v>
      </c>
      <c r="J87" s="24">
        <v>15647197</v>
      </c>
      <c r="K87" s="24" t="s">
        <v>3040</v>
      </c>
      <c r="L87" s="24" t="s">
        <v>3046</v>
      </c>
      <c r="M87" s="26">
        <v>229900</v>
      </c>
      <c r="N87" s="37">
        <v>0.7</v>
      </c>
      <c r="O87" s="36">
        <f t="shared" si="5"/>
        <v>68970</v>
      </c>
      <c r="P87" s="34" t="s">
        <v>16</v>
      </c>
    </row>
    <row r="88" spans="1:16" x14ac:dyDescent="0.35">
      <c r="A88" s="34" t="str">
        <f t="shared" si="6"/>
        <v>2024 JAN-JUN DISC 70 LICENSE ESS</v>
      </c>
      <c r="B88" s="35">
        <f t="shared" si="7"/>
        <v>46086</v>
      </c>
      <c r="C88" s="35">
        <f t="shared" si="8"/>
        <v>46092</v>
      </c>
      <c r="D88" s="6">
        <v>3287</v>
      </c>
      <c r="E88" s="6">
        <v>338</v>
      </c>
      <c r="F88" s="34">
        <v>4</v>
      </c>
      <c r="G88" s="25">
        <v>2</v>
      </c>
      <c r="H88" s="25">
        <v>81676</v>
      </c>
      <c r="I88" s="25" t="s">
        <v>17</v>
      </c>
      <c r="J88" s="24">
        <v>15647204</v>
      </c>
      <c r="K88" s="24" t="s">
        <v>3040</v>
      </c>
      <c r="L88" s="24" t="s">
        <v>3047</v>
      </c>
      <c r="M88" s="26">
        <v>229900</v>
      </c>
      <c r="N88" s="37">
        <v>0.7</v>
      </c>
      <c r="O88" s="36">
        <f t="shared" si="5"/>
        <v>68970</v>
      </c>
      <c r="P88" s="34" t="s">
        <v>16</v>
      </c>
    </row>
    <row r="89" spans="1:16" x14ac:dyDescent="0.35">
      <c r="A89" s="34" t="str">
        <f t="shared" si="6"/>
        <v>2024 JAN-JUN DISC 70 LICENSE ESS</v>
      </c>
      <c r="B89" s="35">
        <f t="shared" si="7"/>
        <v>46086</v>
      </c>
      <c r="C89" s="35">
        <f t="shared" si="8"/>
        <v>46092</v>
      </c>
      <c r="D89" s="6">
        <v>3287</v>
      </c>
      <c r="E89" s="6">
        <v>338</v>
      </c>
      <c r="F89" s="34">
        <v>4</v>
      </c>
      <c r="G89" s="25">
        <v>2</v>
      </c>
      <c r="H89" s="25">
        <v>81676</v>
      </c>
      <c r="I89" s="25" t="s">
        <v>17</v>
      </c>
      <c r="J89" s="24">
        <v>15647213</v>
      </c>
      <c r="K89" s="24" t="s">
        <v>3040</v>
      </c>
      <c r="L89" s="24" t="s">
        <v>3402</v>
      </c>
      <c r="M89" s="26">
        <v>229900</v>
      </c>
      <c r="N89" s="37">
        <v>0.7</v>
      </c>
      <c r="O89" s="36">
        <f t="shared" si="5"/>
        <v>68970</v>
      </c>
      <c r="P89" s="34" t="s">
        <v>16</v>
      </c>
    </row>
    <row r="90" spans="1:16" x14ac:dyDescent="0.35">
      <c r="A90" s="34" t="str">
        <f t="shared" si="6"/>
        <v>2024 JAN-JUN DISC 70 LICENSE ESS</v>
      </c>
      <c r="B90" s="35">
        <f t="shared" si="7"/>
        <v>46086</v>
      </c>
      <c r="C90" s="35">
        <f t="shared" si="8"/>
        <v>46092</v>
      </c>
      <c r="D90" s="6">
        <v>3287</v>
      </c>
      <c r="E90" s="6">
        <v>338</v>
      </c>
      <c r="F90" s="34">
        <v>4</v>
      </c>
      <c r="G90" s="25">
        <v>1</v>
      </c>
      <c r="H90" s="25">
        <v>850</v>
      </c>
      <c r="I90" s="25" t="s">
        <v>17</v>
      </c>
      <c r="J90" s="24">
        <v>16098814</v>
      </c>
      <c r="K90" s="24" t="s">
        <v>3761</v>
      </c>
      <c r="L90" s="24" t="s">
        <v>3762</v>
      </c>
      <c r="M90" s="26">
        <v>89900</v>
      </c>
      <c r="N90" s="37">
        <v>0.7</v>
      </c>
      <c r="O90" s="36">
        <f t="shared" si="5"/>
        <v>26970</v>
      </c>
      <c r="P90" s="34" t="s">
        <v>16</v>
      </c>
    </row>
    <row r="91" spans="1:16" x14ac:dyDescent="0.35">
      <c r="A91" s="34" t="str">
        <f t="shared" si="6"/>
        <v>2024 JAN-JUN DISC 70 LICENSE ESS</v>
      </c>
      <c r="B91" s="35">
        <f t="shared" si="7"/>
        <v>46086</v>
      </c>
      <c r="C91" s="35">
        <f t="shared" si="8"/>
        <v>46092</v>
      </c>
      <c r="D91" s="6">
        <v>3287</v>
      </c>
      <c r="E91" s="6">
        <v>338</v>
      </c>
      <c r="F91" s="34">
        <v>4</v>
      </c>
      <c r="G91" s="25">
        <v>1</v>
      </c>
      <c r="H91" s="25">
        <v>850</v>
      </c>
      <c r="I91" s="25" t="s">
        <v>17</v>
      </c>
      <c r="J91" s="24">
        <v>16098823</v>
      </c>
      <c r="K91" s="24" t="s">
        <v>3761</v>
      </c>
      <c r="L91" s="24" t="s">
        <v>3763</v>
      </c>
      <c r="M91" s="26">
        <v>89900</v>
      </c>
      <c r="N91" s="37">
        <v>0.7</v>
      </c>
      <c r="O91" s="36">
        <f t="shared" si="5"/>
        <v>26970</v>
      </c>
      <c r="P91" s="34" t="s">
        <v>16</v>
      </c>
    </row>
    <row r="92" spans="1:16" x14ac:dyDescent="0.35">
      <c r="A92" s="34" t="str">
        <f t="shared" si="6"/>
        <v>2024 JAN-JUN DISC 70 LICENSE ESS</v>
      </c>
      <c r="B92" s="35">
        <f t="shared" si="7"/>
        <v>46086</v>
      </c>
      <c r="C92" s="35">
        <f t="shared" si="8"/>
        <v>46092</v>
      </c>
      <c r="D92" s="6">
        <v>3287</v>
      </c>
      <c r="E92" s="6">
        <v>338</v>
      </c>
      <c r="F92" s="34">
        <v>4</v>
      </c>
      <c r="G92" s="25">
        <v>1</v>
      </c>
      <c r="H92" s="25">
        <v>850</v>
      </c>
      <c r="I92" s="25" t="s">
        <v>17</v>
      </c>
      <c r="J92" s="24">
        <v>16098832</v>
      </c>
      <c r="K92" s="24" t="s">
        <v>3761</v>
      </c>
      <c r="L92" s="24" t="s">
        <v>3764</v>
      </c>
      <c r="M92" s="26">
        <v>89900</v>
      </c>
      <c r="N92" s="37">
        <v>0.7</v>
      </c>
      <c r="O92" s="36">
        <f t="shared" si="5"/>
        <v>26970</v>
      </c>
      <c r="P92" s="34" t="s">
        <v>16</v>
      </c>
    </row>
    <row r="93" spans="1:16" x14ac:dyDescent="0.35">
      <c r="A93" s="34" t="str">
        <f t="shared" si="6"/>
        <v>2024 JAN-JUN DISC 70 LICENSE ESS</v>
      </c>
      <c r="B93" s="35">
        <f t="shared" si="7"/>
        <v>46086</v>
      </c>
      <c r="C93" s="35">
        <f t="shared" si="8"/>
        <v>46092</v>
      </c>
      <c r="D93" s="6">
        <v>3287</v>
      </c>
      <c r="E93" s="6">
        <v>338</v>
      </c>
      <c r="F93" s="34">
        <v>4</v>
      </c>
      <c r="G93" s="25">
        <v>1</v>
      </c>
      <c r="H93" s="25">
        <v>850</v>
      </c>
      <c r="I93" s="25" t="s">
        <v>17</v>
      </c>
      <c r="J93" s="24">
        <v>16098841</v>
      </c>
      <c r="K93" s="24" t="s">
        <v>3761</v>
      </c>
      <c r="L93" s="24" t="s">
        <v>3765</v>
      </c>
      <c r="M93" s="26">
        <v>89900</v>
      </c>
      <c r="N93" s="37">
        <v>0.7</v>
      </c>
      <c r="O93" s="36">
        <f t="shared" si="5"/>
        <v>26970</v>
      </c>
      <c r="P93" s="34" t="s">
        <v>16</v>
      </c>
    </row>
    <row r="94" spans="1:16" x14ac:dyDescent="0.35">
      <c r="A94" s="34" t="str">
        <f t="shared" si="6"/>
        <v>2024 JAN-JUN DISC 70 LICENSE ESS</v>
      </c>
      <c r="B94" s="35">
        <f t="shared" si="7"/>
        <v>46086</v>
      </c>
      <c r="C94" s="35">
        <f t="shared" si="8"/>
        <v>46092</v>
      </c>
      <c r="D94" s="6">
        <v>3287</v>
      </c>
      <c r="E94" s="6">
        <v>338</v>
      </c>
      <c r="F94" s="34">
        <v>4</v>
      </c>
      <c r="G94" s="25">
        <v>7</v>
      </c>
      <c r="H94" s="25">
        <v>81595</v>
      </c>
      <c r="I94" s="25" t="s">
        <v>17</v>
      </c>
      <c r="J94" s="24">
        <v>15647062</v>
      </c>
      <c r="K94" s="24" t="s">
        <v>3066</v>
      </c>
      <c r="L94" s="24" t="s">
        <v>3067</v>
      </c>
      <c r="M94" s="26">
        <v>32900</v>
      </c>
      <c r="N94" s="37">
        <v>0.7</v>
      </c>
      <c r="O94" s="36">
        <f t="shared" si="5"/>
        <v>9870</v>
      </c>
      <c r="P94" s="34" t="s">
        <v>16</v>
      </c>
    </row>
    <row r="95" spans="1:16" x14ac:dyDescent="0.35">
      <c r="A95" s="34" t="str">
        <f t="shared" si="6"/>
        <v>2024 JAN-JUN DISC 70 LICENSE ESS</v>
      </c>
      <c r="B95" s="35">
        <f t="shared" si="7"/>
        <v>46086</v>
      </c>
      <c r="C95" s="35">
        <f t="shared" si="8"/>
        <v>46092</v>
      </c>
      <c r="D95" s="6">
        <v>3287</v>
      </c>
      <c r="E95" s="6">
        <v>338</v>
      </c>
      <c r="F95" s="34">
        <v>4</v>
      </c>
      <c r="G95" s="25">
        <v>7</v>
      </c>
      <c r="H95" s="25">
        <v>81595</v>
      </c>
      <c r="I95" s="25" t="s">
        <v>17</v>
      </c>
      <c r="J95" s="24">
        <v>15647071</v>
      </c>
      <c r="K95" s="24" t="s">
        <v>3066</v>
      </c>
      <c r="L95" s="24" t="s">
        <v>3068</v>
      </c>
      <c r="M95" s="26">
        <v>32900</v>
      </c>
      <c r="N95" s="37">
        <v>0.7</v>
      </c>
      <c r="O95" s="36">
        <f t="shared" si="5"/>
        <v>9870</v>
      </c>
      <c r="P95" s="34" t="s">
        <v>16</v>
      </c>
    </row>
    <row r="96" spans="1:16" x14ac:dyDescent="0.35">
      <c r="A96" s="34" t="str">
        <f t="shared" si="6"/>
        <v>2024 JAN-JUN DISC 70 LICENSE ESS</v>
      </c>
      <c r="B96" s="35">
        <f t="shared" si="7"/>
        <v>46086</v>
      </c>
      <c r="C96" s="35">
        <f t="shared" si="8"/>
        <v>46092</v>
      </c>
      <c r="D96" s="6">
        <v>3287</v>
      </c>
      <c r="E96" s="6">
        <v>338</v>
      </c>
      <c r="F96" s="34">
        <v>4</v>
      </c>
      <c r="G96" s="25">
        <v>1</v>
      </c>
      <c r="H96" s="25">
        <v>850</v>
      </c>
      <c r="I96" s="25" t="s">
        <v>17</v>
      </c>
      <c r="J96" s="24">
        <v>16622710</v>
      </c>
      <c r="K96" s="24" t="s">
        <v>3766</v>
      </c>
      <c r="L96" s="24" t="s">
        <v>3767</v>
      </c>
      <c r="M96" s="26">
        <v>99900</v>
      </c>
      <c r="N96" s="37">
        <v>0.7</v>
      </c>
      <c r="O96" s="36">
        <f t="shared" si="5"/>
        <v>29970</v>
      </c>
      <c r="P96" s="34" t="s">
        <v>16</v>
      </c>
    </row>
    <row r="97" spans="1:16" x14ac:dyDescent="0.35">
      <c r="A97" s="34" t="str">
        <f t="shared" si="6"/>
        <v>2024 JAN-JUN DISC 70 LICENSE ESS</v>
      </c>
      <c r="B97" s="35">
        <f t="shared" si="7"/>
        <v>46086</v>
      </c>
      <c r="C97" s="35">
        <f t="shared" si="8"/>
        <v>46092</v>
      </c>
      <c r="D97" s="6">
        <v>3287</v>
      </c>
      <c r="E97" s="6">
        <v>338</v>
      </c>
      <c r="F97" s="34">
        <v>4</v>
      </c>
      <c r="G97" s="25">
        <v>1</v>
      </c>
      <c r="H97" s="25">
        <v>850</v>
      </c>
      <c r="I97" s="25" t="s">
        <v>17</v>
      </c>
      <c r="J97" s="24">
        <v>16622729</v>
      </c>
      <c r="K97" s="24" t="s">
        <v>3766</v>
      </c>
      <c r="L97" s="24" t="s">
        <v>3768</v>
      </c>
      <c r="M97" s="26">
        <v>99900</v>
      </c>
      <c r="N97" s="37">
        <v>0.7</v>
      </c>
      <c r="O97" s="36">
        <f t="shared" si="5"/>
        <v>29970</v>
      </c>
      <c r="P97" s="34" t="s">
        <v>16</v>
      </c>
    </row>
    <row r="98" spans="1:16" x14ac:dyDescent="0.35">
      <c r="A98" s="34" t="str">
        <f t="shared" si="6"/>
        <v>2024 JAN-JUN DISC 70 LICENSE ESS</v>
      </c>
      <c r="B98" s="35">
        <f t="shared" si="7"/>
        <v>46086</v>
      </c>
      <c r="C98" s="35">
        <f t="shared" si="8"/>
        <v>46092</v>
      </c>
      <c r="D98" s="6">
        <v>3287</v>
      </c>
      <c r="E98" s="6">
        <v>338</v>
      </c>
      <c r="F98" s="34">
        <v>4</v>
      </c>
      <c r="G98" s="25">
        <v>1</v>
      </c>
      <c r="H98" s="25">
        <v>850</v>
      </c>
      <c r="I98" s="25" t="s">
        <v>17</v>
      </c>
      <c r="J98" s="24">
        <v>16622738</v>
      </c>
      <c r="K98" s="24" t="s">
        <v>3766</v>
      </c>
      <c r="L98" s="24" t="s">
        <v>3769</v>
      </c>
      <c r="M98" s="26">
        <v>99900</v>
      </c>
      <c r="N98" s="37">
        <v>0.7</v>
      </c>
      <c r="O98" s="36">
        <f t="shared" ref="O98:O145" si="9">M98-((70*M98)/100)</f>
        <v>29970</v>
      </c>
      <c r="P98" s="34" t="s">
        <v>16</v>
      </c>
    </row>
    <row r="99" spans="1:16" x14ac:dyDescent="0.35">
      <c r="A99" s="34" t="str">
        <f t="shared" si="6"/>
        <v>2024 JAN-JUN DISC 70 LICENSE ESS</v>
      </c>
      <c r="B99" s="35">
        <f t="shared" si="7"/>
        <v>46086</v>
      </c>
      <c r="C99" s="35">
        <f t="shared" si="8"/>
        <v>46092</v>
      </c>
      <c r="D99" s="6">
        <v>3287</v>
      </c>
      <c r="E99" s="6">
        <v>338</v>
      </c>
      <c r="F99" s="34">
        <v>4</v>
      </c>
      <c r="G99" s="25">
        <v>1</v>
      </c>
      <c r="H99" s="25">
        <v>850</v>
      </c>
      <c r="I99" s="25" t="s">
        <v>17</v>
      </c>
      <c r="J99" s="24">
        <v>16622747</v>
      </c>
      <c r="K99" s="24" t="s">
        <v>3766</v>
      </c>
      <c r="L99" s="24" t="s">
        <v>3770</v>
      </c>
      <c r="M99" s="26">
        <v>99900</v>
      </c>
      <c r="N99" s="37">
        <v>0.7</v>
      </c>
      <c r="O99" s="36">
        <f t="shared" si="9"/>
        <v>29970</v>
      </c>
      <c r="P99" s="34" t="s">
        <v>16</v>
      </c>
    </row>
    <row r="100" spans="1:16" x14ac:dyDescent="0.35">
      <c r="A100" s="34" t="str">
        <f t="shared" si="6"/>
        <v>2024 JAN-JUN DISC 70 LICENSE ESS</v>
      </c>
      <c r="B100" s="35">
        <f t="shared" si="7"/>
        <v>46086</v>
      </c>
      <c r="C100" s="35">
        <f t="shared" si="8"/>
        <v>46092</v>
      </c>
      <c r="D100" s="6">
        <v>3287</v>
      </c>
      <c r="E100" s="6">
        <v>338</v>
      </c>
      <c r="F100" s="34">
        <v>4</v>
      </c>
      <c r="G100" s="25">
        <v>1</v>
      </c>
      <c r="H100" s="25">
        <v>850</v>
      </c>
      <c r="I100" s="25" t="s">
        <v>17</v>
      </c>
      <c r="J100" s="24">
        <v>16098734</v>
      </c>
      <c r="K100" s="24" t="s">
        <v>3751</v>
      </c>
      <c r="L100" s="24" t="s">
        <v>3752</v>
      </c>
      <c r="M100" s="26">
        <v>89900</v>
      </c>
      <c r="N100" s="37">
        <v>0.7</v>
      </c>
      <c r="O100" s="36">
        <f t="shared" si="9"/>
        <v>26970</v>
      </c>
      <c r="P100" s="34" t="s">
        <v>16</v>
      </c>
    </row>
    <row r="101" spans="1:16" x14ac:dyDescent="0.35">
      <c r="A101" s="34" t="str">
        <f t="shared" si="6"/>
        <v>2024 JAN-JUN DISC 70 LICENSE ESS</v>
      </c>
      <c r="B101" s="35">
        <f t="shared" si="7"/>
        <v>46086</v>
      </c>
      <c r="C101" s="35">
        <f t="shared" si="8"/>
        <v>46092</v>
      </c>
      <c r="D101" s="6">
        <v>3287</v>
      </c>
      <c r="E101" s="6">
        <v>338</v>
      </c>
      <c r="F101" s="34">
        <v>4</v>
      </c>
      <c r="G101" s="25">
        <v>1</v>
      </c>
      <c r="H101" s="25">
        <v>850</v>
      </c>
      <c r="I101" s="25" t="s">
        <v>17</v>
      </c>
      <c r="J101" s="24">
        <v>16098743</v>
      </c>
      <c r="K101" s="24" t="s">
        <v>3751</v>
      </c>
      <c r="L101" s="24" t="s">
        <v>3753</v>
      </c>
      <c r="M101" s="26">
        <v>89900</v>
      </c>
      <c r="N101" s="37">
        <v>0.7</v>
      </c>
      <c r="O101" s="36">
        <f t="shared" si="9"/>
        <v>26970</v>
      </c>
      <c r="P101" s="34" t="s">
        <v>16</v>
      </c>
    </row>
    <row r="102" spans="1:16" x14ac:dyDescent="0.35">
      <c r="A102" s="34" t="str">
        <f t="shared" si="6"/>
        <v>2024 JAN-JUN DISC 70 LICENSE ESS</v>
      </c>
      <c r="B102" s="35">
        <f t="shared" si="7"/>
        <v>46086</v>
      </c>
      <c r="C102" s="35">
        <f t="shared" si="8"/>
        <v>46092</v>
      </c>
      <c r="D102" s="6">
        <v>3287</v>
      </c>
      <c r="E102" s="6">
        <v>338</v>
      </c>
      <c r="F102" s="34">
        <v>4</v>
      </c>
      <c r="G102" s="25">
        <v>1</v>
      </c>
      <c r="H102" s="25">
        <v>850</v>
      </c>
      <c r="I102" s="25" t="s">
        <v>17</v>
      </c>
      <c r="J102" s="24">
        <v>16098752</v>
      </c>
      <c r="K102" s="24" t="s">
        <v>3751</v>
      </c>
      <c r="L102" s="24" t="s">
        <v>3754</v>
      </c>
      <c r="M102" s="26">
        <v>89900</v>
      </c>
      <c r="N102" s="37">
        <v>0.7</v>
      </c>
      <c r="O102" s="36">
        <f t="shared" si="9"/>
        <v>26970</v>
      </c>
      <c r="P102" s="34" t="s">
        <v>16</v>
      </c>
    </row>
    <row r="103" spans="1:16" x14ac:dyDescent="0.35">
      <c r="A103" s="34" t="str">
        <f t="shared" si="6"/>
        <v>2024 JAN-JUN DISC 70 LICENSE ESS</v>
      </c>
      <c r="B103" s="35">
        <f t="shared" si="7"/>
        <v>46086</v>
      </c>
      <c r="C103" s="35">
        <f t="shared" si="8"/>
        <v>46092</v>
      </c>
      <c r="D103" s="6">
        <v>3287</v>
      </c>
      <c r="E103" s="6">
        <v>338</v>
      </c>
      <c r="F103" s="34">
        <v>4</v>
      </c>
      <c r="G103" s="25">
        <v>1</v>
      </c>
      <c r="H103" s="25">
        <v>850</v>
      </c>
      <c r="I103" s="25" t="s">
        <v>17</v>
      </c>
      <c r="J103" s="24">
        <v>16098761</v>
      </c>
      <c r="K103" s="24" t="s">
        <v>3751</v>
      </c>
      <c r="L103" s="24" t="s">
        <v>3755</v>
      </c>
      <c r="M103" s="26">
        <v>89900</v>
      </c>
      <c r="N103" s="37">
        <v>0.7</v>
      </c>
      <c r="O103" s="36">
        <f t="shared" si="9"/>
        <v>26970</v>
      </c>
      <c r="P103" s="34" t="s">
        <v>16</v>
      </c>
    </row>
    <row r="104" spans="1:16" x14ac:dyDescent="0.35">
      <c r="A104" s="34" t="str">
        <f t="shared" si="6"/>
        <v>2024 JAN-JUN DISC 70 LICENSE ESS</v>
      </c>
      <c r="B104" s="35">
        <f t="shared" si="7"/>
        <v>46086</v>
      </c>
      <c r="C104" s="35">
        <f t="shared" si="8"/>
        <v>46092</v>
      </c>
      <c r="D104" s="6">
        <v>3287</v>
      </c>
      <c r="E104" s="6">
        <v>338</v>
      </c>
      <c r="F104" s="34">
        <v>4</v>
      </c>
      <c r="G104" s="25">
        <v>3</v>
      </c>
      <c r="H104" s="25">
        <v>850</v>
      </c>
      <c r="I104" s="25" t="s">
        <v>17</v>
      </c>
      <c r="J104" s="24">
        <v>16622836</v>
      </c>
      <c r="K104" s="24" t="s">
        <v>3786</v>
      </c>
      <c r="L104" s="24" t="s">
        <v>3787</v>
      </c>
      <c r="M104" s="26">
        <v>99900</v>
      </c>
      <c r="N104" s="37">
        <v>0.7</v>
      </c>
      <c r="O104" s="36">
        <f t="shared" si="9"/>
        <v>29970</v>
      </c>
      <c r="P104" s="34" t="s">
        <v>16</v>
      </c>
    </row>
    <row r="105" spans="1:16" x14ac:dyDescent="0.35">
      <c r="A105" s="34" t="str">
        <f t="shared" si="6"/>
        <v>2024 JAN-JUN DISC 70 LICENSE ESS</v>
      </c>
      <c r="B105" s="35">
        <f t="shared" si="7"/>
        <v>46086</v>
      </c>
      <c r="C105" s="35">
        <f t="shared" si="8"/>
        <v>46092</v>
      </c>
      <c r="D105" s="6">
        <v>3287</v>
      </c>
      <c r="E105" s="6">
        <v>338</v>
      </c>
      <c r="F105" s="34">
        <v>4</v>
      </c>
      <c r="G105" s="25">
        <v>3</v>
      </c>
      <c r="H105" s="25">
        <v>850</v>
      </c>
      <c r="I105" s="25" t="s">
        <v>17</v>
      </c>
      <c r="J105" s="24">
        <v>16622845</v>
      </c>
      <c r="K105" s="24" t="s">
        <v>3786</v>
      </c>
      <c r="L105" s="24" t="s">
        <v>3788</v>
      </c>
      <c r="M105" s="26">
        <v>99900</v>
      </c>
      <c r="N105" s="37">
        <v>0.7</v>
      </c>
      <c r="O105" s="36">
        <f t="shared" si="9"/>
        <v>29970</v>
      </c>
      <c r="P105" s="34" t="s">
        <v>16</v>
      </c>
    </row>
    <row r="106" spans="1:16" x14ac:dyDescent="0.35">
      <c r="A106" s="34" t="str">
        <f t="shared" si="6"/>
        <v>2024 JAN-JUN DISC 70 LICENSE ESS</v>
      </c>
      <c r="B106" s="35">
        <f t="shared" si="7"/>
        <v>46086</v>
      </c>
      <c r="C106" s="35">
        <f t="shared" si="8"/>
        <v>46092</v>
      </c>
      <c r="D106" s="6">
        <v>3287</v>
      </c>
      <c r="E106" s="6">
        <v>338</v>
      </c>
      <c r="F106" s="34">
        <v>4</v>
      </c>
      <c r="G106" s="25">
        <v>3</v>
      </c>
      <c r="H106" s="25">
        <v>850</v>
      </c>
      <c r="I106" s="25" t="s">
        <v>17</v>
      </c>
      <c r="J106" s="24">
        <v>16622854</v>
      </c>
      <c r="K106" s="24" t="s">
        <v>3786</v>
      </c>
      <c r="L106" s="24" t="s">
        <v>3789</v>
      </c>
      <c r="M106" s="26">
        <v>99900</v>
      </c>
      <c r="N106" s="37">
        <v>0.7</v>
      </c>
      <c r="O106" s="36">
        <f t="shared" si="9"/>
        <v>29970</v>
      </c>
      <c r="P106" s="34" t="s">
        <v>16</v>
      </c>
    </row>
    <row r="107" spans="1:16" x14ac:dyDescent="0.35">
      <c r="A107" s="34" t="str">
        <f t="shared" si="6"/>
        <v>2024 JAN-JUN DISC 70 LICENSE ESS</v>
      </c>
      <c r="B107" s="35">
        <f t="shared" si="7"/>
        <v>46086</v>
      </c>
      <c r="C107" s="35">
        <f t="shared" si="8"/>
        <v>46092</v>
      </c>
      <c r="D107" s="6">
        <v>3287</v>
      </c>
      <c r="E107" s="6">
        <v>338</v>
      </c>
      <c r="F107" s="34">
        <v>4</v>
      </c>
      <c r="G107" s="25">
        <v>3</v>
      </c>
      <c r="H107" s="25">
        <v>850</v>
      </c>
      <c r="I107" s="25" t="s">
        <v>17</v>
      </c>
      <c r="J107" s="24">
        <v>16622863</v>
      </c>
      <c r="K107" s="24" t="s">
        <v>3786</v>
      </c>
      <c r="L107" s="24" t="s">
        <v>3790</v>
      </c>
      <c r="M107" s="26">
        <v>99900</v>
      </c>
      <c r="N107" s="37">
        <v>0.7</v>
      </c>
      <c r="O107" s="36">
        <f t="shared" si="9"/>
        <v>29970</v>
      </c>
      <c r="P107" s="34" t="s">
        <v>16</v>
      </c>
    </row>
    <row r="108" spans="1:16" x14ac:dyDescent="0.35">
      <c r="A108" s="34" t="str">
        <f t="shared" si="6"/>
        <v>2024 JAN-JUN DISC 70 LICENSE ESS</v>
      </c>
      <c r="B108" s="35">
        <f t="shared" si="7"/>
        <v>46086</v>
      </c>
      <c r="C108" s="35">
        <f t="shared" si="8"/>
        <v>46092</v>
      </c>
      <c r="D108" s="6">
        <v>3287</v>
      </c>
      <c r="E108" s="6">
        <v>338</v>
      </c>
      <c r="F108" s="34">
        <v>4</v>
      </c>
      <c r="G108" s="25">
        <v>2</v>
      </c>
      <c r="H108" s="25">
        <v>81506</v>
      </c>
      <c r="I108" s="25" t="s">
        <v>17</v>
      </c>
      <c r="J108" s="24">
        <v>85654860</v>
      </c>
      <c r="K108" s="24" t="s">
        <v>3035</v>
      </c>
      <c r="L108" s="24" t="s">
        <v>3036</v>
      </c>
      <c r="M108" s="26">
        <v>229900</v>
      </c>
      <c r="N108" s="37">
        <v>0.7</v>
      </c>
      <c r="O108" s="36">
        <f t="shared" si="9"/>
        <v>68970</v>
      </c>
      <c r="P108" s="34" t="s">
        <v>16</v>
      </c>
    </row>
    <row r="109" spans="1:16" x14ac:dyDescent="0.35">
      <c r="A109" s="34" t="str">
        <f t="shared" si="6"/>
        <v>2024 JAN-JUN DISC 70 LICENSE ESS</v>
      </c>
      <c r="B109" s="35">
        <f t="shared" si="7"/>
        <v>46086</v>
      </c>
      <c r="C109" s="35">
        <f t="shared" si="8"/>
        <v>46092</v>
      </c>
      <c r="D109" s="6">
        <v>3287</v>
      </c>
      <c r="E109" s="6">
        <v>338</v>
      </c>
      <c r="F109" s="34">
        <v>4</v>
      </c>
      <c r="G109" s="25">
        <v>2</v>
      </c>
      <c r="H109" s="25">
        <v>81506</v>
      </c>
      <c r="I109" s="25" t="s">
        <v>17</v>
      </c>
      <c r="J109" s="24">
        <v>85654879</v>
      </c>
      <c r="K109" s="24" t="s">
        <v>3035</v>
      </c>
      <c r="L109" s="24" t="s">
        <v>3037</v>
      </c>
      <c r="M109" s="26">
        <v>229900</v>
      </c>
      <c r="N109" s="37">
        <v>0.7</v>
      </c>
      <c r="O109" s="36">
        <f t="shared" si="9"/>
        <v>68970</v>
      </c>
      <c r="P109" s="34" t="s">
        <v>16</v>
      </c>
    </row>
    <row r="110" spans="1:16" x14ac:dyDescent="0.35">
      <c r="A110" s="34" t="str">
        <f t="shared" si="6"/>
        <v>2024 JAN-JUN DISC 70 LICENSE ESS</v>
      </c>
      <c r="B110" s="35">
        <f t="shared" si="7"/>
        <v>46086</v>
      </c>
      <c r="C110" s="35">
        <f t="shared" si="8"/>
        <v>46092</v>
      </c>
      <c r="D110" s="6">
        <v>3287</v>
      </c>
      <c r="E110" s="6">
        <v>338</v>
      </c>
      <c r="F110" s="34">
        <v>4</v>
      </c>
      <c r="G110" s="25">
        <v>2</v>
      </c>
      <c r="H110" s="25">
        <v>81506</v>
      </c>
      <c r="I110" s="25" t="s">
        <v>17</v>
      </c>
      <c r="J110" s="24">
        <v>85654888</v>
      </c>
      <c r="K110" s="24" t="s">
        <v>3035</v>
      </c>
      <c r="L110" s="24" t="s">
        <v>3038</v>
      </c>
      <c r="M110" s="26">
        <v>229900</v>
      </c>
      <c r="N110" s="37">
        <v>0.7</v>
      </c>
      <c r="O110" s="36">
        <f t="shared" si="9"/>
        <v>68970</v>
      </c>
      <c r="P110" s="34" t="s">
        <v>16</v>
      </c>
    </row>
    <row r="111" spans="1:16" x14ac:dyDescent="0.35">
      <c r="A111" s="34" t="str">
        <f t="shared" si="6"/>
        <v>2024 JAN-JUN DISC 70 LICENSE ESS</v>
      </c>
      <c r="B111" s="35">
        <f t="shared" si="7"/>
        <v>46086</v>
      </c>
      <c r="C111" s="35">
        <f t="shared" si="8"/>
        <v>46092</v>
      </c>
      <c r="D111" s="6">
        <v>3287</v>
      </c>
      <c r="E111" s="6">
        <v>338</v>
      </c>
      <c r="F111" s="34">
        <v>4</v>
      </c>
      <c r="G111" s="25">
        <v>2</v>
      </c>
      <c r="H111" s="25">
        <v>81506</v>
      </c>
      <c r="I111" s="25" t="s">
        <v>17</v>
      </c>
      <c r="J111" s="24">
        <v>85654897</v>
      </c>
      <c r="K111" s="24" t="s">
        <v>3035</v>
      </c>
      <c r="L111" s="24" t="s">
        <v>3039</v>
      </c>
      <c r="M111" s="26">
        <v>229900</v>
      </c>
      <c r="N111" s="37">
        <v>0.7</v>
      </c>
      <c r="O111" s="36">
        <f t="shared" si="9"/>
        <v>68970</v>
      </c>
      <c r="P111" s="34" t="s">
        <v>16</v>
      </c>
    </row>
    <row r="112" spans="1:16" x14ac:dyDescent="0.35">
      <c r="A112" s="34" t="str">
        <f t="shared" si="6"/>
        <v>2024 JAN-JUN DISC 70 LICENSE ESS</v>
      </c>
      <c r="B112" s="35">
        <f t="shared" si="7"/>
        <v>46086</v>
      </c>
      <c r="C112" s="35">
        <f t="shared" si="8"/>
        <v>46092</v>
      </c>
      <c r="D112" s="6">
        <v>3287</v>
      </c>
      <c r="E112" s="6">
        <v>338</v>
      </c>
      <c r="F112" s="34">
        <v>4</v>
      </c>
      <c r="G112" s="25">
        <v>4</v>
      </c>
      <c r="H112" s="25">
        <v>81676</v>
      </c>
      <c r="I112" s="25" t="s">
        <v>17</v>
      </c>
      <c r="J112" s="24">
        <v>86636824</v>
      </c>
      <c r="K112" s="24" t="s">
        <v>3087</v>
      </c>
      <c r="L112" s="24" t="s">
        <v>3088</v>
      </c>
      <c r="M112" s="26">
        <v>239900</v>
      </c>
      <c r="N112" s="37">
        <v>0.7</v>
      </c>
      <c r="O112" s="36">
        <f t="shared" si="9"/>
        <v>71970</v>
      </c>
      <c r="P112" s="34" t="s">
        <v>16</v>
      </c>
    </row>
    <row r="113" spans="1:16" x14ac:dyDescent="0.35">
      <c r="A113" s="34" t="str">
        <f t="shared" si="6"/>
        <v>2024 JAN-JUN DISC 70 LICENSE ESS</v>
      </c>
      <c r="B113" s="35">
        <f t="shared" si="7"/>
        <v>46086</v>
      </c>
      <c r="C113" s="35">
        <f t="shared" si="8"/>
        <v>46092</v>
      </c>
      <c r="D113" s="6">
        <v>3287</v>
      </c>
      <c r="E113" s="6">
        <v>338</v>
      </c>
      <c r="F113" s="34">
        <v>4</v>
      </c>
      <c r="G113" s="25">
        <v>4</v>
      </c>
      <c r="H113" s="25">
        <v>81676</v>
      </c>
      <c r="I113" s="25" t="s">
        <v>17</v>
      </c>
      <c r="J113" s="24">
        <v>86636833</v>
      </c>
      <c r="K113" s="24" t="s">
        <v>3087</v>
      </c>
      <c r="L113" s="24" t="s">
        <v>3089</v>
      </c>
      <c r="M113" s="26">
        <v>239900</v>
      </c>
      <c r="N113" s="37">
        <v>0.7</v>
      </c>
      <c r="O113" s="36">
        <f t="shared" si="9"/>
        <v>71970</v>
      </c>
      <c r="P113" s="34" t="s">
        <v>16</v>
      </c>
    </row>
    <row r="114" spans="1:16" x14ac:dyDescent="0.35">
      <c r="A114" s="34" t="str">
        <f t="shared" si="6"/>
        <v>2024 JAN-JUN DISC 70 LICENSE ESS</v>
      </c>
      <c r="B114" s="35">
        <f t="shared" si="7"/>
        <v>46086</v>
      </c>
      <c r="C114" s="35">
        <f t="shared" si="8"/>
        <v>46092</v>
      </c>
      <c r="D114" s="6">
        <v>3287</v>
      </c>
      <c r="E114" s="6">
        <v>338</v>
      </c>
      <c r="F114" s="34">
        <v>4</v>
      </c>
      <c r="G114" s="25">
        <v>4</v>
      </c>
      <c r="H114" s="25">
        <v>81676</v>
      </c>
      <c r="I114" s="25" t="s">
        <v>17</v>
      </c>
      <c r="J114" s="24">
        <v>86636842</v>
      </c>
      <c r="K114" s="24" t="s">
        <v>3087</v>
      </c>
      <c r="L114" s="24" t="s">
        <v>3090</v>
      </c>
      <c r="M114" s="26">
        <v>239900</v>
      </c>
      <c r="N114" s="37">
        <v>0.7</v>
      </c>
      <c r="O114" s="36">
        <f t="shared" si="9"/>
        <v>71970</v>
      </c>
      <c r="P114" s="34" t="s">
        <v>16</v>
      </c>
    </row>
    <row r="115" spans="1:16" x14ac:dyDescent="0.35">
      <c r="A115" s="34" t="str">
        <f t="shared" si="6"/>
        <v>2024 JAN-JUN DISC 70 LICENSE ESS</v>
      </c>
      <c r="B115" s="35">
        <f t="shared" si="7"/>
        <v>46086</v>
      </c>
      <c r="C115" s="35">
        <f t="shared" si="8"/>
        <v>46092</v>
      </c>
      <c r="D115" s="6">
        <v>3287</v>
      </c>
      <c r="E115" s="6">
        <v>338</v>
      </c>
      <c r="F115" s="34">
        <v>4</v>
      </c>
      <c r="G115" s="25">
        <v>4</v>
      </c>
      <c r="H115" s="25">
        <v>81676</v>
      </c>
      <c r="I115" s="25" t="s">
        <v>17</v>
      </c>
      <c r="J115" s="24">
        <v>86636851</v>
      </c>
      <c r="K115" s="24" t="s">
        <v>3087</v>
      </c>
      <c r="L115" s="24" t="s">
        <v>3091</v>
      </c>
      <c r="M115" s="26">
        <v>239900</v>
      </c>
      <c r="N115" s="37">
        <v>0.7</v>
      </c>
      <c r="O115" s="36">
        <f t="shared" si="9"/>
        <v>71970</v>
      </c>
      <c r="P115" s="34" t="s">
        <v>16</v>
      </c>
    </row>
    <row r="116" spans="1:16" x14ac:dyDescent="0.35">
      <c r="A116" s="34" t="str">
        <f t="shared" si="6"/>
        <v>2024 JAN-JUN DISC 70 LICENSE ESS</v>
      </c>
      <c r="B116" s="35">
        <f t="shared" si="7"/>
        <v>46086</v>
      </c>
      <c r="C116" s="35">
        <f t="shared" si="8"/>
        <v>46092</v>
      </c>
      <c r="D116" s="6">
        <v>3287</v>
      </c>
      <c r="E116" s="6">
        <v>338</v>
      </c>
      <c r="F116" s="34">
        <v>4</v>
      </c>
      <c r="G116" s="25">
        <v>3</v>
      </c>
      <c r="H116" s="25">
        <v>81574</v>
      </c>
      <c r="I116" s="25" t="s">
        <v>17</v>
      </c>
      <c r="J116" s="24">
        <v>15780793</v>
      </c>
      <c r="K116" s="24" t="s">
        <v>3806</v>
      </c>
      <c r="L116" s="24" t="s">
        <v>3807</v>
      </c>
      <c r="M116" s="26">
        <v>99900</v>
      </c>
      <c r="N116" s="37">
        <v>0.7</v>
      </c>
      <c r="O116" s="36">
        <f t="shared" si="9"/>
        <v>29970</v>
      </c>
      <c r="P116" s="34" t="s">
        <v>16</v>
      </c>
    </row>
    <row r="117" spans="1:16" x14ac:dyDescent="0.35">
      <c r="A117" s="34" t="str">
        <f t="shared" si="6"/>
        <v>2024 JAN-JUN DISC 70 LICENSE ESS</v>
      </c>
      <c r="B117" s="35">
        <f t="shared" si="7"/>
        <v>46086</v>
      </c>
      <c r="C117" s="35">
        <f t="shared" si="8"/>
        <v>46092</v>
      </c>
      <c r="D117" s="6">
        <v>3287</v>
      </c>
      <c r="E117" s="6">
        <v>338</v>
      </c>
      <c r="F117" s="34">
        <v>4</v>
      </c>
      <c r="G117" s="25">
        <v>3</v>
      </c>
      <c r="H117" s="25">
        <v>81574</v>
      </c>
      <c r="I117" s="25" t="s">
        <v>17</v>
      </c>
      <c r="J117" s="24">
        <v>15780800</v>
      </c>
      <c r="K117" s="24" t="s">
        <v>3806</v>
      </c>
      <c r="L117" s="24" t="s">
        <v>3808</v>
      </c>
      <c r="M117" s="26">
        <v>99900</v>
      </c>
      <c r="N117" s="37">
        <v>0.7</v>
      </c>
      <c r="O117" s="36">
        <f t="shared" si="9"/>
        <v>29970</v>
      </c>
      <c r="P117" s="34" t="s">
        <v>16</v>
      </c>
    </row>
    <row r="118" spans="1:16" x14ac:dyDescent="0.35">
      <c r="A118" s="34" t="str">
        <f t="shared" si="6"/>
        <v>2024 JAN-JUN DISC 70 LICENSE ESS</v>
      </c>
      <c r="B118" s="35">
        <f t="shared" si="7"/>
        <v>46086</v>
      </c>
      <c r="C118" s="35">
        <f t="shared" si="8"/>
        <v>46092</v>
      </c>
      <c r="D118" s="6">
        <v>3287</v>
      </c>
      <c r="E118" s="6">
        <v>338</v>
      </c>
      <c r="F118" s="34">
        <v>4</v>
      </c>
      <c r="G118" s="25">
        <v>3</v>
      </c>
      <c r="H118" s="25">
        <v>81574</v>
      </c>
      <c r="I118" s="25" t="s">
        <v>17</v>
      </c>
      <c r="J118" s="24">
        <v>15780819</v>
      </c>
      <c r="K118" s="24" t="s">
        <v>3806</v>
      </c>
      <c r="L118" s="24" t="s">
        <v>3809</v>
      </c>
      <c r="M118" s="26">
        <v>99900</v>
      </c>
      <c r="N118" s="37">
        <v>0.7</v>
      </c>
      <c r="O118" s="36">
        <f t="shared" si="9"/>
        <v>29970</v>
      </c>
      <c r="P118" s="34" t="s">
        <v>16</v>
      </c>
    </row>
    <row r="119" spans="1:16" x14ac:dyDescent="0.35">
      <c r="A119" s="34" t="str">
        <f t="shared" si="6"/>
        <v>2024 JAN-JUN DISC 70 LICENSE ESS</v>
      </c>
      <c r="B119" s="35">
        <f t="shared" si="7"/>
        <v>46086</v>
      </c>
      <c r="C119" s="35">
        <f t="shared" si="8"/>
        <v>46092</v>
      </c>
      <c r="D119" s="6">
        <v>3287</v>
      </c>
      <c r="E119" s="6">
        <v>338</v>
      </c>
      <c r="F119" s="34">
        <v>4</v>
      </c>
      <c r="G119" s="25">
        <v>3</v>
      </c>
      <c r="H119" s="25">
        <v>81574</v>
      </c>
      <c r="I119" s="25" t="s">
        <v>17</v>
      </c>
      <c r="J119" s="24">
        <v>15780828</v>
      </c>
      <c r="K119" s="24" t="s">
        <v>3806</v>
      </c>
      <c r="L119" s="24" t="s">
        <v>3810</v>
      </c>
      <c r="M119" s="26">
        <v>119900</v>
      </c>
      <c r="N119" s="37">
        <v>0.7</v>
      </c>
      <c r="O119" s="36">
        <f t="shared" si="9"/>
        <v>35970</v>
      </c>
      <c r="P119" s="34" t="s">
        <v>16</v>
      </c>
    </row>
    <row r="120" spans="1:16" x14ac:dyDescent="0.35">
      <c r="A120" s="34" t="str">
        <f t="shared" si="6"/>
        <v>2024 JAN-JUN DISC 70 LICENSE ESS</v>
      </c>
      <c r="B120" s="35">
        <f t="shared" si="7"/>
        <v>46086</v>
      </c>
      <c r="C120" s="35">
        <f t="shared" si="8"/>
        <v>46092</v>
      </c>
      <c r="D120" s="6">
        <v>3287</v>
      </c>
      <c r="E120" s="6">
        <v>338</v>
      </c>
      <c r="F120" s="34">
        <v>4</v>
      </c>
      <c r="G120" s="25">
        <v>1</v>
      </c>
      <c r="H120" s="25">
        <v>850</v>
      </c>
      <c r="I120" s="25" t="s">
        <v>17</v>
      </c>
      <c r="J120" s="24">
        <v>16622872</v>
      </c>
      <c r="K120" s="24" t="s">
        <v>3771</v>
      </c>
      <c r="L120" s="24" t="s">
        <v>3772</v>
      </c>
      <c r="M120" s="26">
        <v>119900</v>
      </c>
      <c r="N120" s="37">
        <v>0.7</v>
      </c>
      <c r="O120" s="36">
        <f t="shared" si="9"/>
        <v>35970</v>
      </c>
      <c r="P120" s="34" t="s">
        <v>16</v>
      </c>
    </row>
    <row r="121" spans="1:16" x14ac:dyDescent="0.35">
      <c r="A121" s="34" t="str">
        <f t="shared" si="6"/>
        <v>2024 JAN-JUN DISC 70 LICENSE ESS</v>
      </c>
      <c r="B121" s="35">
        <f t="shared" si="7"/>
        <v>46086</v>
      </c>
      <c r="C121" s="35">
        <f t="shared" si="8"/>
        <v>46092</v>
      </c>
      <c r="D121" s="6">
        <v>3287</v>
      </c>
      <c r="E121" s="6">
        <v>338</v>
      </c>
      <c r="F121" s="34">
        <v>4</v>
      </c>
      <c r="G121" s="25">
        <v>1</v>
      </c>
      <c r="H121" s="25">
        <v>850</v>
      </c>
      <c r="I121" s="25" t="s">
        <v>17</v>
      </c>
      <c r="J121" s="24">
        <v>16622881</v>
      </c>
      <c r="K121" s="24" t="s">
        <v>3771</v>
      </c>
      <c r="L121" s="24" t="s">
        <v>3773</v>
      </c>
      <c r="M121" s="26">
        <v>119900</v>
      </c>
      <c r="N121" s="37">
        <v>0.7</v>
      </c>
      <c r="O121" s="36">
        <f t="shared" si="9"/>
        <v>35970</v>
      </c>
      <c r="P121" s="34" t="s">
        <v>16</v>
      </c>
    </row>
    <row r="122" spans="1:16" x14ac:dyDescent="0.35">
      <c r="A122" s="34" t="str">
        <f t="shared" si="6"/>
        <v>2024 JAN-JUN DISC 70 LICENSE ESS</v>
      </c>
      <c r="B122" s="35">
        <f t="shared" si="7"/>
        <v>46086</v>
      </c>
      <c r="C122" s="35">
        <f t="shared" si="8"/>
        <v>46092</v>
      </c>
      <c r="D122" s="6">
        <v>3287</v>
      </c>
      <c r="E122" s="6">
        <v>338</v>
      </c>
      <c r="F122" s="34">
        <v>4</v>
      </c>
      <c r="G122" s="25">
        <v>1</v>
      </c>
      <c r="H122" s="25">
        <v>850</v>
      </c>
      <c r="I122" s="25" t="s">
        <v>17</v>
      </c>
      <c r="J122" s="24">
        <v>16622890</v>
      </c>
      <c r="K122" s="24" t="s">
        <v>3771</v>
      </c>
      <c r="L122" s="24" t="s">
        <v>3774</v>
      </c>
      <c r="M122" s="26">
        <v>119900</v>
      </c>
      <c r="N122" s="37">
        <v>0.7</v>
      </c>
      <c r="O122" s="36">
        <f t="shared" si="9"/>
        <v>35970</v>
      </c>
      <c r="P122" s="34" t="s">
        <v>16</v>
      </c>
    </row>
    <row r="123" spans="1:16" x14ac:dyDescent="0.35">
      <c r="A123" s="34" t="str">
        <f t="shared" si="6"/>
        <v>2024 JAN-JUN DISC 70 LICENSE ESS</v>
      </c>
      <c r="B123" s="35">
        <f t="shared" si="7"/>
        <v>46086</v>
      </c>
      <c r="C123" s="35">
        <f t="shared" si="8"/>
        <v>46092</v>
      </c>
      <c r="D123" s="6">
        <v>3287</v>
      </c>
      <c r="E123" s="6">
        <v>338</v>
      </c>
      <c r="F123" s="34">
        <v>4</v>
      </c>
      <c r="G123" s="25">
        <v>1</v>
      </c>
      <c r="H123" s="25">
        <v>850</v>
      </c>
      <c r="I123" s="25" t="s">
        <v>17</v>
      </c>
      <c r="J123" s="24">
        <v>16622907</v>
      </c>
      <c r="K123" s="24" t="s">
        <v>3771</v>
      </c>
      <c r="L123" s="24" t="s">
        <v>3775</v>
      </c>
      <c r="M123" s="26">
        <v>119900</v>
      </c>
      <c r="N123" s="37">
        <v>0.7</v>
      </c>
      <c r="O123" s="36">
        <f t="shared" si="9"/>
        <v>35970</v>
      </c>
      <c r="P123" s="34" t="s">
        <v>16</v>
      </c>
    </row>
    <row r="124" spans="1:16" x14ac:dyDescent="0.35">
      <c r="A124" s="34" t="str">
        <f t="shared" si="6"/>
        <v>2024 JAN-JUN DISC 70 LICENSE ESS</v>
      </c>
      <c r="B124" s="35">
        <f t="shared" si="7"/>
        <v>46086</v>
      </c>
      <c r="C124" s="35">
        <f t="shared" si="8"/>
        <v>46092</v>
      </c>
      <c r="D124" s="6">
        <v>3287</v>
      </c>
      <c r="E124" s="6">
        <v>338</v>
      </c>
      <c r="F124" s="34">
        <v>4</v>
      </c>
      <c r="G124" s="25">
        <v>2</v>
      </c>
      <c r="H124" s="25">
        <v>850</v>
      </c>
      <c r="I124" s="25" t="s">
        <v>17</v>
      </c>
      <c r="J124" s="24">
        <v>16622952</v>
      </c>
      <c r="K124" s="24" t="s">
        <v>3393</v>
      </c>
      <c r="L124" s="24" t="s">
        <v>3394</v>
      </c>
      <c r="M124" s="26">
        <v>229900</v>
      </c>
      <c r="N124" s="37">
        <v>0.7</v>
      </c>
      <c r="O124" s="36">
        <f t="shared" si="9"/>
        <v>68970</v>
      </c>
      <c r="P124" s="34" t="s">
        <v>16</v>
      </c>
    </row>
    <row r="125" spans="1:16" x14ac:dyDescent="0.35">
      <c r="A125" s="34" t="str">
        <f t="shared" si="6"/>
        <v>2024 JAN-JUN DISC 70 LICENSE ESS</v>
      </c>
      <c r="B125" s="35">
        <f t="shared" si="7"/>
        <v>46086</v>
      </c>
      <c r="C125" s="35">
        <f t="shared" si="8"/>
        <v>46092</v>
      </c>
      <c r="D125" s="6">
        <v>3287</v>
      </c>
      <c r="E125" s="6">
        <v>338</v>
      </c>
      <c r="F125" s="34">
        <v>4</v>
      </c>
      <c r="G125" s="25">
        <v>2</v>
      </c>
      <c r="H125" s="25">
        <v>850</v>
      </c>
      <c r="I125" s="25" t="s">
        <v>17</v>
      </c>
      <c r="J125" s="24">
        <v>16622961</v>
      </c>
      <c r="K125" s="24" t="s">
        <v>3393</v>
      </c>
      <c r="L125" s="24" t="s">
        <v>3395</v>
      </c>
      <c r="M125" s="26">
        <v>229900</v>
      </c>
      <c r="N125" s="37">
        <v>0.7</v>
      </c>
      <c r="O125" s="36">
        <f t="shared" si="9"/>
        <v>68970</v>
      </c>
      <c r="P125" s="34" t="s">
        <v>16</v>
      </c>
    </row>
    <row r="126" spans="1:16" x14ac:dyDescent="0.35">
      <c r="A126" s="34" t="str">
        <f t="shared" si="6"/>
        <v>2024 JAN-JUN DISC 70 LICENSE ESS</v>
      </c>
      <c r="B126" s="35">
        <f t="shared" si="7"/>
        <v>46086</v>
      </c>
      <c r="C126" s="35">
        <f t="shared" si="8"/>
        <v>46092</v>
      </c>
      <c r="D126" s="6">
        <v>3287</v>
      </c>
      <c r="E126" s="6">
        <v>338</v>
      </c>
      <c r="F126" s="34">
        <v>4</v>
      </c>
      <c r="G126" s="25">
        <v>2</v>
      </c>
      <c r="H126" s="25">
        <v>850</v>
      </c>
      <c r="I126" s="25" t="s">
        <v>17</v>
      </c>
      <c r="J126" s="24">
        <v>16622970</v>
      </c>
      <c r="K126" s="24" t="s">
        <v>3393</v>
      </c>
      <c r="L126" s="24" t="s">
        <v>3396</v>
      </c>
      <c r="M126" s="26">
        <v>229900</v>
      </c>
      <c r="N126" s="37">
        <v>0.7</v>
      </c>
      <c r="O126" s="36">
        <f t="shared" si="9"/>
        <v>68970</v>
      </c>
      <c r="P126" s="34" t="s">
        <v>16</v>
      </c>
    </row>
    <row r="127" spans="1:16" x14ac:dyDescent="0.35">
      <c r="A127" s="34" t="str">
        <f t="shared" si="6"/>
        <v>2024 JAN-JUN DISC 70 LICENSE ESS</v>
      </c>
      <c r="B127" s="35">
        <f t="shared" si="7"/>
        <v>46086</v>
      </c>
      <c r="C127" s="35">
        <f t="shared" si="8"/>
        <v>46092</v>
      </c>
      <c r="D127" s="6">
        <v>3287</v>
      </c>
      <c r="E127" s="6">
        <v>338</v>
      </c>
      <c r="F127" s="34">
        <v>4</v>
      </c>
      <c r="G127" s="25">
        <v>2</v>
      </c>
      <c r="H127" s="25">
        <v>850</v>
      </c>
      <c r="I127" s="25" t="s">
        <v>17</v>
      </c>
      <c r="J127" s="24">
        <v>16622989</v>
      </c>
      <c r="K127" s="24" t="s">
        <v>3393</v>
      </c>
      <c r="L127" s="24" t="s">
        <v>3397</v>
      </c>
      <c r="M127" s="26">
        <v>229900</v>
      </c>
      <c r="N127" s="37">
        <v>0.7</v>
      </c>
      <c r="O127" s="36">
        <f t="shared" si="9"/>
        <v>68970</v>
      </c>
      <c r="P127" s="34" t="s">
        <v>16</v>
      </c>
    </row>
    <row r="128" spans="1:16" x14ac:dyDescent="0.35">
      <c r="A128" s="34" t="str">
        <f t="shared" si="6"/>
        <v>2024 JAN-JUN DISC 70 LICENSE ESS</v>
      </c>
      <c r="B128" s="35">
        <f t="shared" si="7"/>
        <v>46086</v>
      </c>
      <c r="C128" s="35">
        <f t="shared" si="8"/>
        <v>46092</v>
      </c>
      <c r="D128" s="6">
        <v>3287</v>
      </c>
      <c r="E128" s="6">
        <v>338</v>
      </c>
      <c r="F128" s="34">
        <v>4</v>
      </c>
      <c r="G128" s="25">
        <v>2</v>
      </c>
      <c r="H128" s="25">
        <v>850</v>
      </c>
      <c r="I128" s="25" t="s">
        <v>17</v>
      </c>
      <c r="J128" s="24">
        <v>16622998</v>
      </c>
      <c r="K128" s="24" t="s">
        <v>3393</v>
      </c>
      <c r="L128" s="24" t="s">
        <v>3398</v>
      </c>
      <c r="M128" s="26">
        <v>239900</v>
      </c>
      <c r="N128" s="37">
        <v>0.7</v>
      </c>
      <c r="O128" s="36">
        <f t="shared" si="9"/>
        <v>71970</v>
      </c>
      <c r="P128" s="34" t="s">
        <v>16</v>
      </c>
    </row>
    <row r="129" spans="1:16" x14ac:dyDescent="0.35">
      <c r="A129" s="34" t="str">
        <f t="shared" si="6"/>
        <v>2024 JAN-JUN DISC 70 LICENSE ESS</v>
      </c>
      <c r="B129" s="35">
        <f t="shared" si="7"/>
        <v>46086</v>
      </c>
      <c r="C129" s="35">
        <f t="shared" si="8"/>
        <v>46092</v>
      </c>
      <c r="D129" s="6">
        <v>3287</v>
      </c>
      <c r="E129" s="6">
        <v>338</v>
      </c>
      <c r="F129" s="34">
        <v>4</v>
      </c>
      <c r="G129" s="25">
        <v>2</v>
      </c>
      <c r="H129" s="25">
        <v>850</v>
      </c>
      <c r="I129" s="25" t="s">
        <v>17</v>
      </c>
      <c r="J129" s="24">
        <v>16623004</v>
      </c>
      <c r="K129" s="24" t="s">
        <v>3393</v>
      </c>
      <c r="L129" s="24" t="s">
        <v>3399</v>
      </c>
      <c r="M129" s="26">
        <v>239900</v>
      </c>
      <c r="N129" s="37">
        <v>0.7</v>
      </c>
      <c r="O129" s="36">
        <f t="shared" si="9"/>
        <v>71970</v>
      </c>
      <c r="P129" s="34" t="s">
        <v>16</v>
      </c>
    </row>
    <row r="130" spans="1:16" x14ac:dyDescent="0.35">
      <c r="A130" s="34" t="str">
        <f t="shared" si="6"/>
        <v>2024 JAN-JUN DISC 70 LICENSE ESS</v>
      </c>
      <c r="B130" s="35">
        <f t="shared" si="7"/>
        <v>46086</v>
      </c>
      <c r="C130" s="35">
        <f t="shared" si="8"/>
        <v>46092</v>
      </c>
      <c r="D130" s="6">
        <v>3287</v>
      </c>
      <c r="E130" s="6">
        <v>338</v>
      </c>
      <c r="F130" s="34">
        <v>4</v>
      </c>
      <c r="G130" s="25">
        <v>2</v>
      </c>
      <c r="H130" s="25">
        <v>850</v>
      </c>
      <c r="I130" s="25" t="s">
        <v>17</v>
      </c>
      <c r="J130" s="24">
        <v>16623013</v>
      </c>
      <c r="K130" s="24" t="s">
        <v>3393</v>
      </c>
      <c r="L130" s="24" t="s">
        <v>3400</v>
      </c>
      <c r="M130" s="26">
        <v>239900</v>
      </c>
      <c r="N130" s="37">
        <v>0.7</v>
      </c>
      <c r="O130" s="36">
        <f t="shared" si="9"/>
        <v>71970</v>
      </c>
      <c r="P130" s="34" t="s">
        <v>16</v>
      </c>
    </row>
    <row r="131" spans="1:16" x14ac:dyDescent="0.35">
      <c r="A131" s="34" t="str">
        <f t="shared" si="6"/>
        <v>2024 JAN-JUN DISC 70 LICENSE ESS</v>
      </c>
      <c r="B131" s="35">
        <f t="shared" si="7"/>
        <v>46086</v>
      </c>
      <c r="C131" s="35">
        <f t="shared" si="8"/>
        <v>46092</v>
      </c>
      <c r="D131" s="6">
        <v>3287</v>
      </c>
      <c r="E131" s="6">
        <v>338</v>
      </c>
      <c r="F131" s="34">
        <v>4</v>
      </c>
      <c r="G131" s="25">
        <v>2</v>
      </c>
      <c r="H131" s="25">
        <v>850</v>
      </c>
      <c r="I131" s="25" t="s">
        <v>17</v>
      </c>
      <c r="J131" s="24">
        <v>16623022</v>
      </c>
      <c r="K131" s="24" t="s">
        <v>3393</v>
      </c>
      <c r="L131" s="24" t="s">
        <v>3401</v>
      </c>
      <c r="M131" s="26">
        <v>239900</v>
      </c>
      <c r="N131" s="37">
        <v>0.7</v>
      </c>
      <c r="O131" s="36">
        <f t="shared" si="9"/>
        <v>71970</v>
      </c>
      <c r="P131" s="34" t="s">
        <v>16</v>
      </c>
    </row>
    <row r="132" spans="1:16" x14ac:dyDescent="0.35">
      <c r="A132" s="34" t="str">
        <f t="shared" si="6"/>
        <v>2024 JAN-JUN DISC 70 LICENSE ESS</v>
      </c>
      <c r="B132" s="35">
        <f t="shared" si="7"/>
        <v>46086</v>
      </c>
      <c r="C132" s="35">
        <f t="shared" si="8"/>
        <v>46092</v>
      </c>
      <c r="D132" s="6">
        <v>3287</v>
      </c>
      <c r="E132" s="6">
        <v>338</v>
      </c>
      <c r="F132" s="34">
        <v>4</v>
      </c>
      <c r="G132" s="25">
        <v>1</v>
      </c>
      <c r="H132" s="25">
        <v>850</v>
      </c>
      <c r="I132" s="25" t="s">
        <v>17</v>
      </c>
      <c r="J132" s="24">
        <v>16622916</v>
      </c>
      <c r="K132" s="24" t="s">
        <v>3776</v>
      </c>
      <c r="L132" s="24" t="s">
        <v>3777</v>
      </c>
      <c r="M132" s="26">
        <v>119900</v>
      </c>
      <c r="N132" s="37">
        <v>0.7</v>
      </c>
      <c r="O132" s="36">
        <f t="shared" si="9"/>
        <v>35970</v>
      </c>
      <c r="P132" s="34" t="s">
        <v>16</v>
      </c>
    </row>
    <row r="133" spans="1:16" x14ac:dyDescent="0.35">
      <c r="A133" s="34" t="str">
        <f t="shared" si="6"/>
        <v>2024 JAN-JUN DISC 70 LICENSE ESS</v>
      </c>
      <c r="B133" s="35">
        <f t="shared" si="7"/>
        <v>46086</v>
      </c>
      <c r="C133" s="35">
        <f t="shared" si="8"/>
        <v>46092</v>
      </c>
      <c r="D133" s="6">
        <v>3287</v>
      </c>
      <c r="E133" s="6">
        <v>338</v>
      </c>
      <c r="F133" s="34">
        <v>4</v>
      </c>
      <c r="G133" s="25">
        <v>1</v>
      </c>
      <c r="H133" s="25">
        <v>850</v>
      </c>
      <c r="I133" s="25" t="s">
        <v>17</v>
      </c>
      <c r="J133" s="24">
        <v>16622925</v>
      </c>
      <c r="K133" s="24" t="s">
        <v>3776</v>
      </c>
      <c r="L133" s="24" t="s">
        <v>3778</v>
      </c>
      <c r="M133" s="26">
        <v>119900</v>
      </c>
      <c r="N133" s="37">
        <v>0.7</v>
      </c>
      <c r="O133" s="36">
        <f t="shared" si="9"/>
        <v>35970</v>
      </c>
      <c r="P133" s="34" t="s">
        <v>16</v>
      </c>
    </row>
    <row r="134" spans="1:16" x14ac:dyDescent="0.35">
      <c r="A134" s="34" t="str">
        <f t="shared" ref="A134:A180" si="10">A133</f>
        <v>2024 JAN-JUN DISC 70 LICENSE ESS</v>
      </c>
      <c r="B134" s="35">
        <f t="shared" ref="B134:B180" si="11">B133</f>
        <v>46086</v>
      </c>
      <c r="C134" s="35">
        <f t="shared" ref="C134:C180" si="12">C133</f>
        <v>46092</v>
      </c>
      <c r="D134" s="6">
        <v>3287</v>
      </c>
      <c r="E134" s="6">
        <v>338</v>
      </c>
      <c r="F134" s="34">
        <v>4</v>
      </c>
      <c r="G134" s="25">
        <v>1</v>
      </c>
      <c r="H134" s="25">
        <v>850</v>
      </c>
      <c r="I134" s="25" t="s">
        <v>17</v>
      </c>
      <c r="J134" s="24">
        <v>16622934</v>
      </c>
      <c r="K134" s="24" t="s">
        <v>3776</v>
      </c>
      <c r="L134" s="24" t="s">
        <v>3779</v>
      </c>
      <c r="M134" s="26">
        <v>119900</v>
      </c>
      <c r="N134" s="37">
        <v>0.7</v>
      </c>
      <c r="O134" s="36">
        <f t="shared" si="9"/>
        <v>35970</v>
      </c>
      <c r="P134" s="34" t="s">
        <v>16</v>
      </c>
    </row>
    <row r="135" spans="1:16" x14ac:dyDescent="0.35">
      <c r="A135" s="34" t="str">
        <f t="shared" si="10"/>
        <v>2024 JAN-JUN DISC 70 LICENSE ESS</v>
      </c>
      <c r="B135" s="35">
        <f t="shared" si="11"/>
        <v>46086</v>
      </c>
      <c r="C135" s="35">
        <f t="shared" si="12"/>
        <v>46092</v>
      </c>
      <c r="D135" s="6">
        <v>3287</v>
      </c>
      <c r="E135" s="6">
        <v>338</v>
      </c>
      <c r="F135" s="34">
        <v>4</v>
      </c>
      <c r="G135" s="25">
        <v>1</v>
      </c>
      <c r="H135" s="25">
        <v>850</v>
      </c>
      <c r="I135" s="25" t="s">
        <v>17</v>
      </c>
      <c r="J135" s="24">
        <v>16622943</v>
      </c>
      <c r="K135" s="24" t="s">
        <v>3776</v>
      </c>
      <c r="L135" s="24" t="s">
        <v>3780</v>
      </c>
      <c r="M135" s="26">
        <v>119900</v>
      </c>
      <c r="N135" s="37">
        <v>0.7</v>
      </c>
      <c r="O135" s="36">
        <f t="shared" si="9"/>
        <v>35970</v>
      </c>
      <c r="P135" s="34" t="s">
        <v>16</v>
      </c>
    </row>
    <row r="136" spans="1:16" x14ac:dyDescent="0.35">
      <c r="A136" s="34" t="str">
        <f t="shared" si="10"/>
        <v>2024 JAN-JUN DISC 70 LICENSE ESS</v>
      </c>
      <c r="B136" s="35">
        <f t="shared" si="11"/>
        <v>46086</v>
      </c>
      <c r="C136" s="35">
        <f t="shared" si="12"/>
        <v>46092</v>
      </c>
      <c r="D136" s="6">
        <v>3287</v>
      </c>
      <c r="E136" s="6">
        <v>338</v>
      </c>
      <c r="F136" s="34">
        <v>4</v>
      </c>
      <c r="G136" s="25">
        <v>7</v>
      </c>
      <c r="H136" s="25">
        <v>81595</v>
      </c>
      <c r="I136" s="25" t="s">
        <v>17</v>
      </c>
      <c r="J136" s="24">
        <v>16811275</v>
      </c>
      <c r="K136" s="24" t="s">
        <v>3406</v>
      </c>
      <c r="L136" s="24" t="s">
        <v>3407</v>
      </c>
      <c r="M136" s="26">
        <v>35900</v>
      </c>
      <c r="N136" s="37">
        <v>0.7</v>
      </c>
      <c r="O136" s="36">
        <f t="shared" si="9"/>
        <v>10770</v>
      </c>
      <c r="P136" s="34" t="s">
        <v>16</v>
      </c>
    </row>
    <row r="137" spans="1:16" x14ac:dyDescent="0.35">
      <c r="A137" s="34" t="str">
        <f t="shared" si="10"/>
        <v>2024 JAN-JUN DISC 70 LICENSE ESS</v>
      </c>
      <c r="B137" s="35">
        <f t="shared" si="11"/>
        <v>46086</v>
      </c>
      <c r="C137" s="35">
        <f t="shared" si="12"/>
        <v>46092</v>
      </c>
      <c r="D137" s="6">
        <v>3287</v>
      </c>
      <c r="E137" s="6">
        <v>338</v>
      </c>
      <c r="F137" s="34">
        <v>4</v>
      </c>
      <c r="G137" s="25">
        <v>7</v>
      </c>
      <c r="H137" s="25">
        <v>81595</v>
      </c>
      <c r="I137" s="25" t="s">
        <v>17</v>
      </c>
      <c r="J137" s="24">
        <v>16811284</v>
      </c>
      <c r="K137" s="24" t="s">
        <v>3406</v>
      </c>
      <c r="L137" s="24" t="s">
        <v>3408</v>
      </c>
      <c r="M137" s="26">
        <v>35900</v>
      </c>
      <c r="N137" s="37">
        <v>0.7</v>
      </c>
      <c r="O137" s="36">
        <f t="shared" si="9"/>
        <v>10770</v>
      </c>
      <c r="P137" s="34" t="s">
        <v>16</v>
      </c>
    </row>
    <row r="138" spans="1:16" x14ac:dyDescent="0.35">
      <c r="A138" s="34" t="str">
        <f t="shared" si="10"/>
        <v>2024 JAN-JUN DISC 70 LICENSE ESS</v>
      </c>
      <c r="B138" s="35">
        <f t="shared" si="11"/>
        <v>46086</v>
      </c>
      <c r="C138" s="35">
        <f t="shared" si="12"/>
        <v>46092</v>
      </c>
      <c r="D138" s="6">
        <v>3287</v>
      </c>
      <c r="E138" s="6">
        <v>338</v>
      </c>
      <c r="F138" s="34">
        <v>4</v>
      </c>
      <c r="G138" s="25">
        <v>4</v>
      </c>
      <c r="H138" s="25">
        <v>81379</v>
      </c>
      <c r="I138" s="25" t="s">
        <v>17</v>
      </c>
      <c r="J138" s="24">
        <v>16660563</v>
      </c>
      <c r="K138" s="24" t="s">
        <v>3418</v>
      </c>
      <c r="L138" s="24" t="s">
        <v>3419</v>
      </c>
      <c r="M138" s="26">
        <v>229900</v>
      </c>
      <c r="N138" s="37">
        <v>0.7</v>
      </c>
      <c r="O138" s="36">
        <f t="shared" si="9"/>
        <v>68970</v>
      </c>
      <c r="P138" s="34" t="s">
        <v>16</v>
      </c>
    </row>
    <row r="139" spans="1:16" x14ac:dyDescent="0.35">
      <c r="A139" s="34" t="str">
        <f t="shared" si="10"/>
        <v>2024 JAN-JUN DISC 70 LICENSE ESS</v>
      </c>
      <c r="B139" s="35">
        <f t="shared" si="11"/>
        <v>46086</v>
      </c>
      <c r="C139" s="35">
        <f t="shared" si="12"/>
        <v>46092</v>
      </c>
      <c r="D139" s="6">
        <v>3287</v>
      </c>
      <c r="E139" s="6">
        <v>338</v>
      </c>
      <c r="F139" s="34">
        <v>4</v>
      </c>
      <c r="G139" s="25">
        <v>4</v>
      </c>
      <c r="H139" s="25">
        <v>81379</v>
      </c>
      <c r="I139" s="25" t="s">
        <v>17</v>
      </c>
      <c r="J139" s="24">
        <v>16660572</v>
      </c>
      <c r="K139" s="24" t="s">
        <v>3418</v>
      </c>
      <c r="L139" s="24" t="s">
        <v>3420</v>
      </c>
      <c r="M139" s="26">
        <v>229900</v>
      </c>
      <c r="N139" s="37">
        <v>0.7</v>
      </c>
      <c r="O139" s="36">
        <f t="shared" si="9"/>
        <v>68970</v>
      </c>
      <c r="P139" s="34" t="s">
        <v>16</v>
      </c>
    </row>
    <row r="140" spans="1:16" x14ac:dyDescent="0.35">
      <c r="A140" s="34" t="str">
        <f t="shared" si="10"/>
        <v>2024 JAN-JUN DISC 70 LICENSE ESS</v>
      </c>
      <c r="B140" s="35">
        <f t="shared" si="11"/>
        <v>46086</v>
      </c>
      <c r="C140" s="35">
        <f t="shared" si="12"/>
        <v>46092</v>
      </c>
      <c r="D140" s="6">
        <v>3287</v>
      </c>
      <c r="E140" s="6">
        <v>338</v>
      </c>
      <c r="F140" s="34">
        <v>4</v>
      </c>
      <c r="G140" s="25">
        <v>4</v>
      </c>
      <c r="H140" s="25">
        <v>81379</v>
      </c>
      <c r="I140" s="25" t="s">
        <v>17</v>
      </c>
      <c r="J140" s="24">
        <v>16660581</v>
      </c>
      <c r="K140" s="24" t="s">
        <v>3418</v>
      </c>
      <c r="L140" s="24" t="s">
        <v>3421</v>
      </c>
      <c r="M140" s="26">
        <v>229900</v>
      </c>
      <c r="N140" s="37">
        <v>0.7</v>
      </c>
      <c r="O140" s="36">
        <f t="shared" si="9"/>
        <v>68970</v>
      </c>
      <c r="P140" s="34" t="s">
        <v>16</v>
      </c>
    </row>
    <row r="141" spans="1:16" x14ac:dyDescent="0.35">
      <c r="A141" s="34" t="str">
        <f t="shared" si="10"/>
        <v>2024 JAN-JUN DISC 70 LICENSE ESS</v>
      </c>
      <c r="B141" s="35">
        <f t="shared" si="11"/>
        <v>46086</v>
      </c>
      <c r="C141" s="35">
        <f t="shared" si="12"/>
        <v>46092</v>
      </c>
      <c r="D141" s="6">
        <v>3287</v>
      </c>
      <c r="E141" s="6">
        <v>338</v>
      </c>
      <c r="F141" s="34">
        <v>4</v>
      </c>
      <c r="G141" s="25">
        <v>4</v>
      </c>
      <c r="H141" s="25">
        <v>81379</v>
      </c>
      <c r="I141" s="25" t="s">
        <v>17</v>
      </c>
      <c r="J141" s="24">
        <v>16660590</v>
      </c>
      <c r="K141" s="24" t="s">
        <v>3418</v>
      </c>
      <c r="L141" s="24" t="s">
        <v>3422</v>
      </c>
      <c r="M141" s="26">
        <v>229900</v>
      </c>
      <c r="N141" s="37">
        <v>0.7</v>
      </c>
      <c r="O141" s="36">
        <f t="shared" si="9"/>
        <v>68970</v>
      </c>
      <c r="P141" s="34" t="s">
        <v>16</v>
      </c>
    </row>
    <row r="142" spans="1:16" x14ac:dyDescent="0.35">
      <c r="A142" s="34" t="str">
        <f t="shared" si="10"/>
        <v>2024 JAN-JUN DISC 70 LICENSE ESS</v>
      </c>
      <c r="B142" s="35">
        <f t="shared" si="11"/>
        <v>46086</v>
      </c>
      <c r="C142" s="35">
        <f t="shared" si="12"/>
        <v>46092</v>
      </c>
      <c r="D142" s="6">
        <v>3287</v>
      </c>
      <c r="E142" s="6">
        <v>338</v>
      </c>
      <c r="F142" s="34">
        <v>4</v>
      </c>
      <c r="G142" s="25">
        <v>7</v>
      </c>
      <c r="H142" s="25">
        <v>81595</v>
      </c>
      <c r="I142" s="25" t="s">
        <v>17</v>
      </c>
      <c r="J142" s="24">
        <v>16811293</v>
      </c>
      <c r="K142" s="24" t="s">
        <v>3409</v>
      </c>
      <c r="L142" s="24" t="s">
        <v>3410</v>
      </c>
      <c r="M142" s="26">
        <v>35900</v>
      </c>
      <c r="N142" s="37">
        <v>0.7</v>
      </c>
      <c r="O142" s="36">
        <f t="shared" si="9"/>
        <v>10770</v>
      </c>
      <c r="P142" s="34" t="s">
        <v>16</v>
      </c>
    </row>
    <row r="143" spans="1:16" x14ac:dyDescent="0.35">
      <c r="A143" s="34" t="str">
        <f t="shared" si="10"/>
        <v>2024 JAN-JUN DISC 70 LICENSE ESS</v>
      </c>
      <c r="B143" s="35">
        <f t="shared" si="11"/>
        <v>46086</v>
      </c>
      <c r="C143" s="35">
        <f t="shared" si="12"/>
        <v>46092</v>
      </c>
      <c r="D143" s="6">
        <v>3287</v>
      </c>
      <c r="E143" s="6">
        <v>338</v>
      </c>
      <c r="F143" s="34">
        <v>4</v>
      </c>
      <c r="G143" s="25">
        <v>7</v>
      </c>
      <c r="H143" s="25">
        <v>81595</v>
      </c>
      <c r="I143" s="25" t="s">
        <v>17</v>
      </c>
      <c r="J143" s="24">
        <v>16811300</v>
      </c>
      <c r="K143" s="24" t="s">
        <v>3409</v>
      </c>
      <c r="L143" s="24" t="s">
        <v>3411</v>
      </c>
      <c r="M143" s="26">
        <v>35900</v>
      </c>
      <c r="N143" s="37">
        <v>0.7</v>
      </c>
      <c r="O143" s="36">
        <f t="shared" si="9"/>
        <v>10770</v>
      </c>
      <c r="P143" s="34" t="s">
        <v>16</v>
      </c>
    </row>
    <row r="144" spans="1:16" x14ac:dyDescent="0.35">
      <c r="A144" s="34" t="str">
        <f t="shared" si="10"/>
        <v>2024 JAN-JUN DISC 70 LICENSE ESS</v>
      </c>
      <c r="B144" s="35">
        <f t="shared" si="11"/>
        <v>46086</v>
      </c>
      <c r="C144" s="35">
        <f t="shared" si="12"/>
        <v>46092</v>
      </c>
      <c r="D144" s="6">
        <v>3287</v>
      </c>
      <c r="E144" s="6">
        <v>338</v>
      </c>
      <c r="F144" s="34">
        <v>4</v>
      </c>
      <c r="G144" s="25">
        <v>7</v>
      </c>
      <c r="H144" s="25">
        <v>81595</v>
      </c>
      <c r="I144" s="25" t="s">
        <v>17</v>
      </c>
      <c r="J144" s="24">
        <v>16811337</v>
      </c>
      <c r="K144" s="24" t="s">
        <v>3412</v>
      </c>
      <c r="L144" s="24" t="s">
        <v>3413</v>
      </c>
      <c r="M144" s="26">
        <v>35900</v>
      </c>
      <c r="N144" s="37">
        <v>0.7</v>
      </c>
      <c r="O144" s="36">
        <f t="shared" si="9"/>
        <v>10770</v>
      </c>
      <c r="P144" s="34" t="s">
        <v>16</v>
      </c>
    </row>
    <row r="145" spans="1:16" x14ac:dyDescent="0.35">
      <c r="A145" s="34" t="str">
        <f t="shared" si="10"/>
        <v>2024 JAN-JUN DISC 70 LICENSE ESS</v>
      </c>
      <c r="B145" s="35">
        <f t="shared" si="11"/>
        <v>46086</v>
      </c>
      <c r="C145" s="35">
        <f t="shared" si="12"/>
        <v>46092</v>
      </c>
      <c r="D145" s="6">
        <v>3287</v>
      </c>
      <c r="E145" s="6">
        <v>338</v>
      </c>
      <c r="F145" s="34">
        <v>4</v>
      </c>
      <c r="G145" s="25">
        <v>7</v>
      </c>
      <c r="H145" s="25">
        <v>81595</v>
      </c>
      <c r="I145" s="25" t="s">
        <v>17</v>
      </c>
      <c r="J145" s="24">
        <v>16811346</v>
      </c>
      <c r="K145" s="24" t="s">
        <v>3412</v>
      </c>
      <c r="L145" s="24" t="s">
        <v>3414</v>
      </c>
      <c r="M145" s="26">
        <v>35900</v>
      </c>
      <c r="N145" s="37">
        <v>0.7</v>
      </c>
      <c r="O145" s="36">
        <f t="shared" si="9"/>
        <v>10770</v>
      </c>
      <c r="P145" s="34" t="s">
        <v>16</v>
      </c>
    </row>
    <row r="146" spans="1:16" x14ac:dyDescent="0.35">
      <c r="A146" s="34" t="str">
        <f t="shared" si="10"/>
        <v>2024 JAN-JUN DISC 70 LICENSE ESS</v>
      </c>
      <c r="B146" s="35">
        <f t="shared" si="11"/>
        <v>46086</v>
      </c>
      <c r="C146" s="35">
        <f t="shared" si="12"/>
        <v>46092</v>
      </c>
      <c r="D146" s="34">
        <v>3287</v>
      </c>
      <c r="E146" s="34">
        <v>338</v>
      </c>
      <c r="F146" s="34">
        <v>4</v>
      </c>
      <c r="G146" s="25">
        <v>7</v>
      </c>
      <c r="H146" s="25">
        <v>81595</v>
      </c>
      <c r="I146" s="25" t="s">
        <v>17</v>
      </c>
      <c r="J146" s="24">
        <v>16811355</v>
      </c>
      <c r="K146" s="24" t="s">
        <v>3415</v>
      </c>
      <c r="L146" s="24" t="s">
        <v>3416</v>
      </c>
      <c r="M146" s="26">
        <v>35900</v>
      </c>
      <c r="N146" s="37">
        <v>0.7</v>
      </c>
      <c r="O146" s="36">
        <f t="shared" ref="O146:O174" si="13">M146-((70*M146)/100)</f>
        <v>10770</v>
      </c>
      <c r="P146" s="34" t="s">
        <v>16</v>
      </c>
    </row>
    <row r="147" spans="1:16" x14ac:dyDescent="0.35">
      <c r="A147" s="34" t="str">
        <f t="shared" si="10"/>
        <v>2024 JAN-JUN DISC 70 LICENSE ESS</v>
      </c>
      <c r="B147" s="35">
        <f t="shared" si="11"/>
        <v>46086</v>
      </c>
      <c r="C147" s="35">
        <f t="shared" si="12"/>
        <v>46092</v>
      </c>
      <c r="D147" s="34">
        <v>3287</v>
      </c>
      <c r="E147" s="34">
        <v>338</v>
      </c>
      <c r="F147" s="34">
        <v>4</v>
      </c>
      <c r="G147" s="25">
        <v>7</v>
      </c>
      <c r="H147" s="25">
        <v>81595</v>
      </c>
      <c r="I147" s="25" t="s">
        <v>17</v>
      </c>
      <c r="J147" s="24">
        <v>16811364</v>
      </c>
      <c r="K147" s="24" t="s">
        <v>3415</v>
      </c>
      <c r="L147" s="24" t="s">
        <v>3417</v>
      </c>
      <c r="M147" s="26">
        <v>35900</v>
      </c>
      <c r="N147" s="37">
        <v>0.7</v>
      </c>
      <c r="O147" s="36">
        <f t="shared" si="13"/>
        <v>10770</v>
      </c>
      <c r="P147" s="34" t="s">
        <v>16</v>
      </c>
    </row>
    <row r="148" spans="1:16" x14ac:dyDescent="0.35">
      <c r="A148" s="34" t="str">
        <f t="shared" si="10"/>
        <v>2024 JAN-JUN DISC 70 LICENSE ESS</v>
      </c>
      <c r="B148" s="35">
        <f t="shared" si="11"/>
        <v>46086</v>
      </c>
      <c r="C148" s="35">
        <f t="shared" si="12"/>
        <v>46092</v>
      </c>
      <c r="D148" s="34">
        <v>3287</v>
      </c>
      <c r="E148" s="34">
        <v>338</v>
      </c>
      <c r="F148" s="34">
        <v>4</v>
      </c>
      <c r="G148" s="25">
        <v>7</v>
      </c>
      <c r="H148" s="25">
        <v>599</v>
      </c>
      <c r="I148" s="25" t="s">
        <v>17</v>
      </c>
      <c r="J148" s="24">
        <v>16811373</v>
      </c>
      <c r="K148" s="24" t="s">
        <v>3403</v>
      </c>
      <c r="L148" s="24" t="s">
        <v>3404</v>
      </c>
      <c r="M148" s="26">
        <v>35900</v>
      </c>
      <c r="N148" s="37">
        <v>0.7</v>
      </c>
      <c r="O148" s="36">
        <f t="shared" si="13"/>
        <v>10770</v>
      </c>
      <c r="P148" s="34" t="s">
        <v>16</v>
      </c>
    </row>
    <row r="149" spans="1:16" x14ac:dyDescent="0.35">
      <c r="A149" s="34" t="str">
        <f t="shared" si="10"/>
        <v>2024 JAN-JUN DISC 70 LICENSE ESS</v>
      </c>
      <c r="B149" s="35">
        <f t="shared" si="11"/>
        <v>46086</v>
      </c>
      <c r="C149" s="35">
        <f t="shared" si="12"/>
        <v>46092</v>
      </c>
      <c r="D149" s="34">
        <v>3287</v>
      </c>
      <c r="E149" s="34">
        <v>338</v>
      </c>
      <c r="F149" s="34">
        <v>4</v>
      </c>
      <c r="G149" s="25">
        <v>7</v>
      </c>
      <c r="H149" s="25">
        <v>599</v>
      </c>
      <c r="I149" s="25" t="s">
        <v>17</v>
      </c>
      <c r="J149" s="24">
        <v>16811382</v>
      </c>
      <c r="K149" s="24" t="s">
        <v>3403</v>
      </c>
      <c r="L149" s="24" t="s">
        <v>3405</v>
      </c>
      <c r="M149" s="26">
        <v>35900</v>
      </c>
      <c r="N149" s="37">
        <v>0.7</v>
      </c>
      <c r="O149" s="36">
        <f t="shared" si="13"/>
        <v>10770</v>
      </c>
      <c r="P149" s="34" t="s">
        <v>16</v>
      </c>
    </row>
    <row r="150" spans="1:16" x14ac:dyDescent="0.35">
      <c r="A150" s="34" t="str">
        <f t="shared" si="10"/>
        <v>2024 JAN-JUN DISC 70 LICENSE ESS</v>
      </c>
      <c r="B150" s="35">
        <f t="shared" si="11"/>
        <v>46086</v>
      </c>
      <c r="C150" s="35">
        <f t="shared" si="12"/>
        <v>46092</v>
      </c>
      <c r="D150" s="34">
        <v>3287</v>
      </c>
      <c r="E150" s="34">
        <v>338</v>
      </c>
      <c r="F150" s="34">
        <v>4</v>
      </c>
      <c r="G150" s="25">
        <v>3</v>
      </c>
      <c r="H150" s="25">
        <v>850</v>
      </c>
      <c r="I150" s="25" t="s">
        <v>17</v>
      </c>
      <c r="J150" s="24">
        <v>17059882</v>
      </c>
      <c r="K150" s="24" t="s">
        <v>3791</v>
      </c>
      <c r="L150" s="24" t="s">
        <v>3792</v>
      </c>
      <c r="M150" s="26">
        <v>119900</v>
      </c>
      <c r="N150" s="37">
        <v>0.7</v>
      </c>
      <c r="O150" s="36">
        <f t="shared" si="13"/>
        <v>35970</v>
      </c>
      <c r="P150" s="34" t="s">
        <v>16</v>
      </c>
    </row>
    <row r="151" spans="1:16" x14ac:dyDescent="0.35">
      <c r="A151" s="34" t="str">
        <f t="shared" si="10"/>
        <v>2024 JAN-JUN DISC 70 LICENSE ESS</v>
      </c>
      <c r="B151" s="35">
        <f t="shared" si="11"/>
        <v>46086</v>
      </c>
      <c r="C151" s="35">
        <f t="shared" si="12"/>
        <v>46092</v>
      </c>
      <c r="D151" s="34">
        <v>3287</v>
      </c>
      <c r="E151" s="34">
        <v>338</v>
      </c>
      <c r="F151" s="34">
        <v>4</v>
      </c>
      <c r="G151" s="25">
        <v>3</v>
      </c>
      <c r="H151" s="25">
        <v>850</v>
      </c>
      <c r="I151" s="25" t="s">
        <v>17</v>
      </c>
      <c r="J151" s="24">
        <v>17059891</v>
      </c>
      <c r="K151" s="24" t="s">
        <v>3791</v>
      </c>
      <c r="L151" s="24" t="s">
        <v>3793</v>
      </c>
      <c r="M151" s="26">
        <v>119900</v>
      </c>
      <c r="N151" s="37">
        <v>0.7</v>
      </c>
      <c r="O151" s="36">
        <f t="shared" si="13"/>
        <v>35970</v>
      </c>
      <c r="P151" s="34" t="s">
        <v>16</v>
      </c>
    </row>
    <row r="152" spans="1:16" x14ac:dyDescent="0.35">
      <c r="A152" s="34" t="str">
        <f t="shared" si="10"/>
        <v>2024 JAN-JUN DISC 70 LICENSE ESS</v>
      </c>
      <c r="B152" s="35">
        <f t="shared" si="11"/>
        <v>46086</v>
      </c>
      <c r="C152" s="35">
        <f t="shared" si="12"/>
        <v>46092</v>
      </c>
      <c r="D152" s="34">
        <v>3287</v>
      </c>
      <c r="E152" s="34">
        <v>338</v>
      </c>
      <c r="F152" s="34">
        <v>4</v>
      </c>
      <c r="G152" s="25">
        <v>3</v>
      </c>
      <c r="H152" s="25">
        <v>850</v>
      </c>
      <c r="I152" s="25" t="s">
        <v>17</v>
      </c>
      <c r="J152" s="24">
        <v>17059908</v>
      </c>
      <c r="K152" s="24" t="s">
        <v>3791</v>
      </c>
      <c r="L152" s="24" t="s">
        <v>3794</v>
      </c>
      <c r="M152" s="26">
        <v>119900</v>
      </c>
      <c r="N152" s="37">
        <v>0.7</v>
      </c>
      <c r="O152" s="36">
        <f t="shared" si="13"/>
        <v>35970</v>
      </c>
      <c r="P152" s="34" t="s">
        <v>16</v>
      </c>
    </row>
    <row r="153" spans="1:16" x14ac:dyDescent="0.35">
      <c r="A153" s="34" t="str">
        <f t="shared" si="10"/>
        <v>2024 JAN-JUN DISC 70 LICENSE ESS</v>
      </c>
      <c r="B153" s="35">
        <f t="shared" si="11"/>
        <v>46086</v>
      </c>
      <c r="C153" s="35">
        <f t="shared" si="12"/>
        <v>46092</v>
      </c>
      <c r="D153" s="34">
        <v>3287</v>
      </c>
      <c r="E153" s="34">
        <v>338</v>
      </c>
      <c r="F153" s="34">
        <v>4</v>
      </c>
      <c r="G153" s="25">
        <v>3</v>
      </c>
      <c r="H153" s="25">
        <v>850</v>
      </c>
      <c r="I153" s="25" t="s">
        <v>17</v>
      </c>
      <c r="J153" s="24">
        <v>17059917</v>
      </c>
      <c r="K153" s="24" t="s">
        <v>3791</v>
      </c>
      <c r="L153" s="24" t="s">
        <v>3795</v>
      </c>
      <c r="M153" s="26">
        <v>119900</v>
      </c>
      <c r="N153" s="37">
        <v>0.7</v>
      </c>
      <c r="O153" s="36">
        <f t="shared" si="13"/>
        <v>35970</v>
      </c>
      <c r="P153" s="34" t="s">
        <v>16</v>
      </c>
    </row>
    <row r="154" spans="1:16" x14ac:dyDescent="0.35">
      <c r="A154" s="34" t="str">
        <f t="shared" si="10"/>
        <v>2024 JAN-JUN DISC 70 LICENSE ESS</v>
      </c>
      <c r="B154" s="35">
        <f t="shared" si="11"/>
        <v>46086</v>
      </c>
      <c r="C154" s="35">
        <f t="shared" si="12"/>
        <v>46092</v>
      </c>
      <c r="D154" s="34">
        <v>3287</v>
      </c>
      <c r="E154" s="34">
        <v>338</v>
      </c>
      <c r="F154" s="34">
        <v>4</v>
      </c>
      <c r="G154" s="25">
        <v>7</v>
      </c>
      <c r="H154" s="25">
        <v>599</v>
      </c>
      <c r="I154" s="25" t="s">
        <v>17</v>
      </c>
      <c r="J154" s="24">
        <v>16660787</v>
      </c>
      <c r="K154" s="24" t="s">
        <v>3390</v>
      </c>
      <c r="L154" s="24" t="s">
        <v>3391</v>
      </c>
      <c r="M154" s="26">
        <v>35900</v>
      </c>
      <c r="N154" s="37">
        <v>0.7</v>
      </c>
      <c r="O154" s="36">
        <f t="shared" si="13"/>
        <v>10770</v>
      </c>
      <c r="P154" s="34" t="s">
        <v>16</v>
      </c>
    </row>
    <row r="155" spans="1:16" x14ac:dyDescent="0.35">
      <c r="A155" s="34" t="str">
        <f t="shared" si="10"/>
        <v>2024 JAN-JUN DISC 70 LICENSE ESS</v>
      </c>
      <c r="B155" s="35">
        <f t="shared" si="11"/>
        <v>46086</v>
      </c>
      <c r="C155" s="35">
        <f t="shared" si="12"/>
        <v>46092</v>
      </c>
      <c r="D155" s="34">
        <v>3287</v>
      </c>
      <c r="E155" s="34">
        <v>338</v>
      </c>
      <c r="F155" s="34">
        <v>4</v>
      </c>
      <c r="G155" s="25">
        <v>7</v>
      </c>
      <c r="H155" s="25">
        <v>599</v>
      </c>
      <c r="I155" s="25" t="s">
        <v>17</v>
      </c>
      <c r="J155" s="24">
        <v>16660796</v>
      </c>
      <c r="K155" s="24" t="s">
        <v>3390</v>
      </c>
      <c r="L155" s="24" t="s">
        <v>3392</v>
      </c>
      <c r="M155" s="26">
        <v>35900</v>
      </c>
      <c r="N155" s="37">
        <v>0.7</v>
      </c>
      <c r="O155" s="36">
        <f t="shared" si="13"/>
        <v>10770</v>
      </c>
      <c r="P155" s="34" t="s">
        <v>16</v>
      </c>
    </row>
    <row r="156" spans="1:16" x14ac:dyDescent="0.35">
      <c r="A156" s="34" t="str">
        <f t="shared" si="10"/>
        <v>2024 JAN-JUN DISC 70 LICENSE ESS</v>
      </c>
      <c r="B156" s="35">
        <f t="shared" si="11"/>
        <v>46086</v>
      </c>
      <c r="C156" s="35">
        <f t="shared" si="12"/>
        <v>46092</v>
      </c>
      <c r="D156" s="34">
        <v>3287</v>
      </c>
      <c r="E156" s="34">
        <v>338</v>
      </c>
      <c r="F156" s="34">
        <v>4</v>
      </c>
      <c r="G156" s="25">
        <v>8</v>
      </c>
      <c r="H156" s="25">
        <v>81462</v>
      </c>
      <c r="I156" s="25" t="s">
        <v>17</v>
      </c>
      <c r="J156" s="24">
        <v>18544873</v>
      </c>
      <c r="K156" s="24" t="s">
        <v>5109</v>
      </c>
      <c r="L156" s="24" t="s">
        <v>5110</v>
      </c>
      <c r="M156" s="26">
        <v>119900</v>
      </c>
      <c r="N156" s="37">
        <v>0.7</v>
      </c>
      <c r="O156" s="36">
        <f t="shared" si="13"/>
        <v>35970</v>
      </c>
      <c r="P156" s="34" t="s">
        <v>16</v>
      </c>
    </row>
    <row r="157" spans="1:16" x14ac:dyDescent="0.35">
      <c r="A157" s="34" t="str">
        <f t="shared" si="10"/>
        <v>2024 JAN-JUN DISC 70 LICENSE ESS</v>
      </c>
      <c r="B157" s="35">
        <f t="shared" si="11"/>
        <v>46086</v>
      </c>
      <c r="C157" s="35">
        <f t="shared" si="12"/>
        <v>46092</v>
      </c>
      <c r="D157" s="34">
        <v>3287</v>
      </c>
      <c r="E157" s="34">
        <v>338</v>
      </c>
      <c r="F157" s="34">
        <v>4</v>
      </c>
      <c r="G157" s="25">
        <v>8</v>
      </c>
      <c r="H157" s="25">
        <v>81462</v>
      </c>
      <c r="I157" s="25" t="s">
        <v>17</v>
      </c>
      <c r="J157" s="24">
        <v>18544882</v>
      </c>
      <c r="K157" s="24" t="s">
        <v>5109</v>
      </c>
      <c r="L157" s="24" t="s">
        <v>5111</v>
      </c>
      <c r="M157" s="26">
        <v>119900</v>
      </c>
      <c r="N157" s="37">
        <v>0.7</v>
      </c>
      <c r="O157" s="36">
        <f t="shared" si="13"/>
        <v>35970</v>
      </c>
      <c r="P157" s="34" t="s">
        <v>16</v>
      </c>
    </row>
    <row r="158" spans="1:16" x14ac:dyDescent="0.35">
      <c r="A158" s="34" t="str">
        <f t="shared" si="10"/>
        <v>2024 JAN-JUN DISC 70 LICENSE ESS</v>
      </c>
      <c r="B158" s="35">
        <f t="shared" si="11"/>
        <v>46086</v>
      </c>
      <c r="C158" s="35">
        <f t="shared" si="12"/>
        <v>46092</v>
      </c>
      <c r="D158" s="34">
        <v>3287</v>
      </c>
      <c r="E158" s="34">
        <v>338</v>
      </c>
      <c r="F158" s="34">
        <v>4</v>
      </c>
      <c r="G158" s="25">
        <v>8</v>
      </c>
      <c r="H158" s="25">
        <v>81462</v>
      </c>
      <c r="I158" s="25" t="s">
        <v>17</v>
      </c>
      <c r="J158" s="24">
        <v>18544917</v>
      </c>
      <c r="K158" s="24" t="s">
        <v>5109</v>
      </c>
      <c r="L158" s="24" t="s">
        <v>5112</v>
      </c>
      <c r="M158" s="26">
        <v>119900</v>
      </c>
      <c r="N158" s="37">
        <v>0.7</v>
      </c>
      <c r="O158" s="36">
        <f t="shared" si="13"/>
        <v>35970</v>
      </c>
      <c r="P158" s="34" t="s">
        <v>16</v>
      </c>
    </row>
    <row r="159" spans="1:16" x14ac:dyDescent="0.35">
      <c r="A159" s="34" t="str">
        <f t="shared" si="10"/>
        <v>2024 JAN-JUN DISC 70 LICENSE ESS</v>
      </c>
      <c r="B159" s="35">
        <f t="shared" si="11"/>
        <v>46086</v>
      </c>
      <c r="C159" s="35">
        <f t="shared" si="12"/>
        <v>46092</v>
      </c>
      <c r="D159" s="34">
        <v>3287</v>
      </c>
      <c r="E159" s="34">
        <v>338</v>
      </c>
      <c r="F159" s="34">
        <v>4</v>
      </c>
      <c r="G159" s="25">
        <v>8</v>
      </c>
      <c r="H159" s="25">
        <v>81462</v>
      </c>
      <c r="I159" s="25" t="s">
        <v>17</v>
      </c>
      <c r="J159" s="24">
        <v>18544926</v>
      </c>
      <c r="K159" s="24" t="s">
        <v>5109</v>
      </c>
      <c r="L159" s="24" t="s">
        <v>5113</v>
      </c>
      <c r="M159" s="26">
        <v>119900</v>
      </c>
      <c r="N159" s="37">
        <v>0.7</v>
      </c>
      <c r="O159" s="36">
        <f t="shared" si="13"/>
        <v>35970</v>
      </c>
      <c r="P159" s="34" t="s">
        <v>16</v>
      </c>
    </row>
    <row r="160" spans="1:16" ht="13.5" customHeight="1" x14ac:dyDescent="0.35">
      <c r="A160" s="34" t="str">
        <f t="shared" si="10"/>
        <v>2024 JAN-JUN DISC 70 LICENSE ESS</v>
      </c>
      <c r="B160" s="35">
        <f t="shared" si="11"/>
        <v>46086</v>
      </c>
      <c r="C160" s="35">
        <f t="shared" si="12"/>
        <v>46092</v>
      </c>
      <c r="D160" s="34">
        <v>3287</v>
      </c>
      <c r="E160" s="34">
        <v>338</v>
      </c>
      <c r="F160" s="34">
        <v>4</v>
      </c>
      <c r="G160" s="25">
        <v>3</v>
      </c>
      <c r="H160" s="25">
        <v>81574</v>
      </c>
      <c r="I160" s="25" t="s">
        <v>17</v>
      </c>
      <c r="J160" s="24">
        <v>18292396</v>
      </c>
      <c r="K160" s="24" t="s">
        <v>3742</v>
      </c>
      <c r="L160" s="24" t="s">
        <v>3743</v>
      </c>
      <c r="M160" s="26">
        <v>119900</v>
      </c>
      <c r="N160" s="37">
        <v>0.7</v>
      </c>
      <c r="O160" s="36">
        <f t="shared" si="13"/>
        <v>35970</v>
      </c>
      <c r="P160" s="34" t="s">
        <v>16</v>
      </c>
    </row>
    <row r="161" spans="1:16" x14ac:dyDescent="0.35">
      <c r="A161" s="34" t="str">
        <f t="shared" si="10"/>
        <v>2024 JAN-JUN DISC 70 LICENSE ESS</v>
      </c>
      <c r="B161" s="35">
        <f t="shared" si="11"/>
        <v>46086</v>
      </c>
      <c r="C161" s="35">
        <f t="shared" si="12"/>
        <v>46092</v>
      </c>
      <c r="D161" s="34">
        <v>3287</v>
      </c>
      <c r="E161" s="34">
        <v>338</v>
      </c>
      <c r="F161" s="34">
        <v>4</v>
      </c>
      <c r="G161" s="25">
        <v>3</v>
      </c>
      <c r="H161" s="25">
        <v>81574</v>
      </c>
      <c r="I161" s="25" t="s">
        <v>17</v>
      </c>
      <c r="J161" s="24">
        <v>18292403</v>
      </c>
      <c r="K161" s="24" t="s">
        <v>3742</v>
      </c>
      <c r="L161" s="24" t="s">
        <v>3744</v>
      </c>
      <c r="M161" s="26">
        <v>119900</v>
      </c>
      <c r="N161" s="37">
        <v>0.7</v>
      </c>
      <c r="O161" s="36">
        <f t="shared" si="13"/>
        <v>35970</v>
      </c>
      <c r="P161" s="34" t="s">
        <v>16</v>
      </c>
    </row>
    <row r="162" spans="1:16" x14ac:dyDescent="0.35">
      <c r="A162" s="34" t="str">
        <f t="shared" si="10"/>
        <v>2024 JAN-JUN DISC 70 LICENSE ESS</v>
      </c>
      <c r="B162" s="35">
        <f t="shared" si="11"/>
        <v>46086</v>
      </c>
      <c r="C162" s="35">
        <f t="shared" si="12"/>
        <v>46092</v>
      </c>
      <c r="D162" s="34">
        <v>3287</v>
      </c>
      <c r="E162" s="34">
        <v>338</v>
      </c>
      <c r="F162" s="34">
        <v>4</v>
      </c>
      <c r="G162" s="25">
        <v>3</v>
      </c>
      <c r="H162" s="25">
        <v>81574</v>
      </c>
      <c r="I162" s="25" t="s">
        <v>17</v>
      </c>
      <c r="J162" s="24">
        <v>18292412</v>
      </c>
      <c r="K162" s="24" t="s">
        <v>3742</v>
      </c>
      <c r="L162" s="24" t="s">
        <v>3745</v>
      </c>
      <c r="M162" s="26">
        <v>119900</v>
      </c>
      <c r="N162" s="37">
        <v>0.7</v>
      </c>
      <c r="O162" s="36">
        <f t="shared" si="13"/>
        <v>35970</v>
      </c>
      <c r="P162" s="34" t="s">
        <v>16</v>
      </c>
    </row>
    <row r="163" spans="1:16" x14ac:dyDescent="0.35">
      <c r="A163" s="34" t="str">
        <f t="shared" si="10"/>
        <v>2024 JAN-JUN DISC 70 LICENSE ESS</v>
      </c>
      <c r="B163" s="35">
        <f t="shared" si="11"/>
        <v>46086</v>
      </c>
      <c r="C163" s="35">
        <f t="shared" si="12"/>
        <v>46092</v>
      </c>
      <c r="D163" s="34">
        <v>3287</v>
      </c>
      <c r="E163" s="34">
        <v>338</v>
      </c>
      <c r="F163" s="34">
        <v>4</v>
      </c>
      <c r="G163" s="25">
        <v>3</v>
      </c>
      <c r="H163" s="25">
        <v>81574</v>
      </c>
      <c r="I163" s="25" t="s">
        <v>17</v>
      </c>
      <c r="J163" s="24">
        <v>18292350</v>
      </c>
      <c r="K163" s="24" t="s">
        <v>3739</v>
      </c>
      <c r="L163" s="24" t="s">
        <v>3740</v>
      </c>
      <c r="M163" s="26">
        <v>119900</v>
      </c>
      <c r="N163" s="37">
        <v>0.7</v>
      </c>
      <c r="O163" s="36">
        <f t="shared" si="13"/>
        <v>35970</v>
      </c>
      <c r="P163" s="34" t="s">
        <v>16</v>
      </c>
    </row>
    <row r="164" spans="1:16" x14ac:dyDescent="0.35">
      <c r="A164" s="34" t="str">
        <f t="shared" si="10"/>
        <v>2024 JAN-JUN DISC 70 LICENSE ESS</v>
      </c>
      <c r="B164" s="35">
        <f t="shared" si="11"/>
        <v>46086</v>
      </c>
      <c r="C164" s="35">
        <f t="shared" si="12"/>
        <v>46092</v>
      </c>
      <c r="D164" s="34">
        <v>3287</v>
      </c>
      <c r="E164" s="34">
        <v>338</v>
      </c>
      <c r="F164" s="34">
        <v>4</v>
      </c>
      <c r="G164" s="25">
        <v>3</v>
      </c>
      <c r="H164" s="25">
        <v>81574</v>
      </c>
      <c r="I164" s="25" t="s">
        <v>17</v>
      </c>
      <c r="J164" s="24">
        <v>18292378</v>
      </c>
      <c r="K164" s="24" t="s">
        <v>3739</v>
      </c>
      <c r="L164" s="24" t="s">
        <v>3741</v>
      </c>
      <c r="M164" s="26">
        <v>119900</v>
      </c>
      <c r="N164" s="37">
        <v>0.7</v>
      </c>
      <c r="O164" s="36">
        <f t="shared" si="13"/>
        <v>35970</v>
      </c>
      <c r="P164" s="34" t="s">
        <v>16</v>
      </c>
    </row>
    <row r="165" spans="1:16" x14ac:dyDescent="0.35">
      <c r="A165" s="34" t="str">
        <f t="shared" si="10"/>
        <v>2024 JAN-JUN DISC 70 LICENSE ESS</v>
      </c>
      <c r="B165" s="35">
        <f t="shared" si="11"/>
        <v>46086</v>
      </c>
      <c r="C165" s="35">
        <f t="shared" si="12"/>
        <v>46092</v>
      </c>
      <c r="D165" s="34">
        <v>3287</v>
      </c>
      <c r="E165" s="34">
        <v>338</v>
      </c>
      <c r="F165" s="34">
        <v>4</v>
      </c>
      <c r="G165" s="25">
        <v>7</v>
      </c>
      <c r="H165" s="25">
        <v>81595</v>
      </c>
      <c r="I165" s="25" t="s">
        <v>17</v>
      </c>
      <c r="J165" s="24">
        <v>18292305</v>
      </c>
      <c r="K165" s="24" t="s">
        <v>3723</v>
      </c>
      <c r="L165" s="24" t="s">
        <v>3724</v>
      </c>
      <c r="M165" s="26">
        <v>35900</v>
      </c>
      <c r="N165" s="37">
        <v>0.7</v>
      </c>
      <c r="O165" s="36">
        <f t="shared" si="13"/>
        <v>10770</v>
      </c>
      <c r="P165" s="34" t="s">
        <v>16</v>
      </c>
    </row>
    <row r="166" spans="1:16" x14ac:dyDescent="0.35">
      <c r="A166" s="34" t="str">
        <f t="shared" si="10"/>
        <v>2024 JAN-JUN DISC 70 LICENSE ESS</v>
      </c>
      <c r="B166" s="35">
        <f t="shared" si="11"/>
        <v>46086</v>
      </c>
      <c r="C166" s="35">
        <f t="shared" si="12"/>
        <v>46092</v>
      </c>
      <c r="D166" s="34">
        <v>3287</v>
      </c>
      <c r="E166" s="34">
        <v>338</v>
      </c>
      <c r="F166" s="34">
        <v>4</v>
      </c>
      <c r="G166" s="25">
        <v>7</v>
      </c>
      <c r="H166" s="25">
        <v>81595</v>
      </c>
      <c r="I166" s="25" t="s">
        <v>17</v>
      </c>
      <c r="J166" s="24">
        <v>18292323</v>
      </c>
      <c r="K166" s="24" t="s">
        <v>3725</v>
      </c>
      <c r="L166" s="24" t="s">
        <v>3726</v>
      </c>
      <c r="M166" s="26">
        <v>35900</v>
      </c>
      <c r="N166" s="37">
        <v>0.7</v>
      </c>
      <c r="O166" s="36">
        <f t="shared" si="13"/>
        <v>10770</v>
      </c>
      <c r="P166" s="34" t="s">
        <v>16</v>
      </c>
    </row>
    <row r="167" spans="1:16" x14ac:dyDescent="0.35">
      <c r="A167" s="34" t="str">
        <f t="shared" si="10"/>
        <v>2024 JAN-JUN DISC 70 LICENSE ESS</v>
      </c>
      <c r="B167" s="35">
        <f t="shared" si="11"/>
        <v>46086</v>
      </c>
      <c r="C167" s="35">
        <f t="shared" si="12"/>
        <v>46092</v>
      </c>
      <c r="D167" s="34">
        <v>3287</v>
      </c>
      <c r="E167" s="34">
        <v>338</v>
      </c>
      <c r="F167" s="34">
        <v>4</v>
      </c>
      <c r="G167" s="25">
        <v>7</v>
      </c>
      <c r="H167" s="25">
        <v>81595</v>
      </c>
      <c r="I167" s="25" t="s">
        <v>17</v>
      </c>
      <c r="J167" s="24">
        <v>18757750</v>
      </c>
      <c r="K167" s="24" t="s">
        <v>3693</v>
      </c>
      <c r="L167" s="24" t="s">
        <v>3694</v>
      </c>
      <c r="M167" s="26">
        <v>35900</v>
      </c>
      <c r="N167" s="37">
        <v>0.7</v>
      </c>
      <c r="O167" s="36">
        <f t="shared" si="13"/>
        <v>10770</v>
      </c>
      <c r="P167" s="34" t="s">
        <v>16</v>
      </c>
    </row>
    <row r="168" spans="1:16" x14ac:dyDescent="0.35">
      <c r="A168" s="34" t="str">
        <f t="shared" si="10"/>
        <v>2024 JAN-JUN DISC 70 LICENSE ESS</v>
      </c>
      <c r="B168" s="35">
        <f t="shared" si="11"/>
        <v>46086</v>
      </c>
      <c r="C168" s="35">
        <f t="shared" si="12"/>
        <v>46092</v>
      </c>
      <c r="D168" s="34">
        <v>3287</v>
      </c>
      <c r="E168" s="34">
        <v>338</v>
      </c>
      <c r="F168" s="34">
        <v>4</v>
      </c>
      <c r="G168" s="25">
        <v>2</v>
      </c>
      <c r="H168" s="25">
        <v>81676</v>
      </c>
      <c r="I168" s="25" t="s">
        <v>17</v>
      </c>
      <c r="J168" s="24">
        <v>18757590</v>
      </c>
      <c r="K168" s="24" t="s">
        <v>3706</v>
      </c>
      <c r="L168" s="24" t="s">
        <v>3707</v>
      </c>
      <c r="M168" s="26">
        <v>229900</v>
      </c>
      <c r="N168" s="37">
        <v>0.7</v>
      </c>
      <c r="O168" s="36">
        <f t="shared" si="13"/>
        <v>68970</v>
      </c>
      <c r="P168" s="34" t="s">
        <v>16</v>
      </c>
    </row>
    <row r="169" spans="1:16" x14ac:dyDescent="0.35">
      <c r="A169" s="34" t="str">
        <f t="shared" si="10"/>
        <v>2024 JAN-JUN DISC 70 LICENSE ESS</v>
      </c>
      <c r="B169" s="35">
        <f t="shared" si="11"/>
        <v>46086</v>
      </c>
      <c r="C169" s="35">
        <f t="shared" si="12"/>
        <v>46092</v>
      </c>
      <c r="D169" s="34">
        <v>3287</v>
      </c>
      <c r="E169" s="34">
        <v>338</v>
      </c>
      <c r="F169" s="34">
        <v>4</v>
      </c>
      <c r="G169" s="25">
        <v>2</v>
      </c>
      <c r="H169" s="25">
        <v>81676</v>
      </c>
      <c r="I169" s="25" t="s">
        <v>17</v>
      </c>
      <c r="J169" s="24">
        <v>18757607</v>
      </c>
      <c r="K169" s="24" t="s">
        <v>3706</v>
      </c>
      <c r="L169" s="24" t="s">
        <v>3708</v>
      </c>
      <c r="M169" s="26">
        <v>229900</v>
      </c>
      <c r="N169" s="37">
        <v>0.7</v>
      </c>
      <c r="O169" s="36">
        <f t="shared" si="13"/>
        <v>68970</v>
      </c>
      <c r="P169" s="34" t="s">
        <v>16</v>
      </c>
    </row>
    <row r="170" spans="1:16" x14ac:dyDescent="0.35">
      <c r="A170" s="34" t="str">
        <f t="shared" si="10"/>
        <v>2024 JAN-JUN DISC 70 LICENSE ESS</v>
      </c>
      <c r="B170" s="35">
        <f t="shared" si="11"/>
        <v>46086</v>
      </c>
      <c r="C170" s="35">
        <f t="shared" si="12"/>
        <v>46092</v>
      </c>
      <c r="D170" s="34">
        <v>3287</v>
      </c>
      <c r="E170" s="34">
        <v>338</v>
      </c>
      <c r="F170" s="34">
        <v>4</v>
      </c>
      <c r="G170" s="25">
        <v>2</v>
      </c>
      <c r="H170" s="25">
        <v>81676</v>
      </c>
      <c r="I170" s="25" t="s">
        <v>17</v>
      </c>
      <c r="J170" s="24">
        <v>18757705</v>
      </c>
      <c r="K170" s="24" t="s">
        <v>3706</v>
      </c>
      <c r="L170" s="24" t="s">
        <v>3709</v>
      </c>
      <c r="M170" s="26">
        <v>229900</v>
      </c>
      <c r="N170" s="37">
        <v>0.7</v>
      </c>
      <c r="O170" s="36">
        <f t="shared" si="13"/>
        <v>68970</v>
      </c>
      <c r="P170" s="34" t="s">
        <v>16</v>
      </c>
    </row>
    <row r="171" spans="1:16" x14ac:dyDescent="0.35">
      <c r="A171" s="34" t="str">
        <f t="shared" si="10"/>
        <v>2024 JAN-JUN DISC 70 LICENSE ESS</v>
      </c>
      <c r="B171" s="35">
        <f t="shared" si="11"/>
        <v>46086</v>
      </c>
      <c r="C171" s="35">
        <f t="shared" si="12"/>
        <v>46092</v>
      </c>
      <c r="D171" s="34">
        <v>3287</v>
      </c>
      <c r="E171" s="34">
        <v>338</v>
      </c>
      <c r="F171" s="34">
        <v>4</v>
      </c>
      <c r="G171" s="25">
        <v>7</v>
      </c>
      <c r="H171" s="25">
        <v>81595</v>
      </c>
      <c r="I171" s="25" t="s">
        <v>17</v>
      </c>
      <c r="J171" s="24">
        <v>18292261</v>
      </c>
      <c r="K171" s="24" t="s">
        <v>3686</v>
      </c>
      <c r="L171" s="24" t="s">
        <v>3687</v>
      </c>
      <c r="M171" s="26">
        <v>35900</v>
      </c>
      <c r="N171" s="37">
        <v>0.7</v>
      </c>
      <c r="O171" s="36">
        <f t="shared" si="13"/>
        <v>10770</v>
      </c>
      <c r="P171" s="34" t="s">
        <v>16</v>
      </c>
    </row>
    <row r="172" spans="1:16" x14ac:dyDescent="0.35">
      <c r="A172" s="34" t="str">
        <f t="shared" si="10"/>
        <v>2024 JAN-JUN DISC 70 LICENSE ESS</v>
      </c>
      <c r="B172" s="35">
        <f t="shared" si="11"/>
        <v>46086</v>
      </c>
      <c r="C172" s="35">
        <f t="shared" si="12"/>
        <v>46092</v>
      </c>
      <c r="D172" s="34">
        <v>3287</v>
      </c>
      <c r="E172" s="34">
        <v>338</v>
      </c>
      <c r="F172" s="34">
        <v>4</v>
      </c>
      <c r="G172" s="25">
        <v>7</v>
      </c>
      <c r="H172" s="25">
        <v>81595</v>
      </c>
      <c r="I172" s="25" t="s">
        <v>17</v>
      </c>
      <c r="J172" s="24">
        <v>18549270</v>
      </c>
      <c r="K172" s="24" t="s">
        <v>3690</v>
      </c>
      <c r="L172" s="24" t="s">
        <v>3691</v>
      </c>
      <c r="M172" s="26">
        <v>35900</v>
      </c>
      <c r="N172" s="37">
        <v>0.7</v>
      </c>
      <c r="O172" s="36">
        <f t="shared" si="13"/>
        <v>10770</v>
      </c>
      <c r="P172" s="34" t="s">
        <v>16</v>
      </c>
    </row>
    <row r="173" spans="1:16" x14ac:dyDescent="0.35">
      <c r="A173" s="34" t="str">
        <f t="shared" si="10"/>
        <v>2024 JAN-JUN DISC 70 LICENSE ESS</v>
      </c>
      <c r="B173" s="35">
        <f t="shared" si="11"/>
        <v>46086</v>
      </c>
      <c r="C173" s="35">
        <f t="shared" si="12"/>
        <v>46092</v>
      </c>
      <c r="D173" s="34">
        <v>3287</v>
      </c>
      <c r="E173" s="34">
        <v>338</v>
      </c>
      <c r="F173" s="34">
        <v>4</v>
      </c>
      <c r="G173" s="25">
        <v>7</v>
      </c>
      <c r="H173" s="25">
        <v>81595</v>
      </c>
      <c r="I173" s="25" t="s">
        <v>17</v>
      </c>
      <c r="J173" s="24">
        <v>18549289</v>
      </c>
      <c r="K173" s="24" t="s">
        <v>3690</v>
      </c>
      <c r="L173" s="24" t="s">
        <v>3692</v>
      </c>
      <c r="M173" s="26">
        <v>35900</v>
      </c>
      <c r="N173" s="37">
        <v>0.7</v>
      </c>
      <c r="O173" s="36">
        <f t="shared" si="13"/>
        <v>10770</v>
      </c>
      <c r="P173" s="34" t="s">
        <v>16</v>
      </c>
    </row>
    <row r="174" spans="1:16" x14ac:dyDescent="0.35">
      <c r="A174" s="34" t="str">
        <f t="shared" si="10"/>
        <v>2024 JAN-JUN DISC 70 LICENSE ESS</v>
      </c>
      <c r="B174" s="35">
        <f t="shared" si="11"/>
        <v>46086</v>
      </c>
      <c r="C174" s="35">
        <f t="shared" si="12"/>
        <v>46092</v>
      </c>
      <c r="D174" s="34">
        <v>3287</v>
      </c>
      <c r="E174" s="34">
        <v>338</v>
      </c>
      <c r="F174" s="34">
        <v>4</v>
      </c>
      <c r="G174" s="25">
        <v>7</v>
      </c>
      <c r="H174" s="25">
        <v>81595</v>
      </c>
      <c r="I174" s="25" t="s">
        <v>17</v>
      </c>
      <c r="J174" s="24">
        <v>18549261</v>
      </c>
      <c r="K174" s="24" t="s">
        <v>3688</v>
      </c>
      <c r="L174" s="24" t="s">
        <v>3689</v>
      </c>
      <c r="M174" s="26">
        <v>35900</v>
      </c>
      <c r="N174" s="37">
        <v>0.7</v>
      </c>
      <c r="O174" s="36">
        <f t="shared" si="13"/>
        <v>10770</v>
      </c>
      <c r="P174" s="34" t="s">
        <v>16</v>
      </c>
    </row>
    <row r="175" spans="1:16" x14ac:dyDescent="0.35">
      <c r="A175" s="34" t="str">
        <f t="shared" si="10"/>
        <v>2024 JAN-JUN DISC 70 LICENSE ESS</v>
      </c>
      <c r="B175" s="35">
        <f t="shared" si="11"/>
        <v>46086</v>
      </c>
      <c r="C175" s="35">
        <f t="shared" si="12"/>
        <v>46092</v>
      </c>
      <c r="D175" s="34">
        <v>3287</v>
      </c>
      <c r="E175" s="34">
        <v>338</v>
      </c>
      <c r="F175" s="34">
        <v>4</v>
      </c>
      <c r="G175" s="25">
        <v>7</v>
      </c>
      <c r="H175" s="25">
        <v>81595</v>
      </c>
      <c r="I175" s="25" t="s">
        <v>17</v>
      </c>
      <c r="J175" s="24">
        <v>19028063</v>
      </c>
      <c r="K175" s="24" t="s">
        <v>3727</v>
      </c>
      <c r="L175" s="24" t="s">
        <v>3728</v>
      </c>
      <c r="M175" s="26">
        <v>35900</v>
      </c>
      <c r="N175" s="37">
        <v>0.7</v>
      </c>
      <c r="O175" s="36">
        <f t="shared" ref="O175:O180" si="14">M175-((70*M175)/100)</f>
        <v>10770</v>
      </c>
      <c r="P175" s="34" t="s">
        <v>16</v>
      </c>
    </row>
    <row r="176" spans="1:16" x14ac:dyDescent="0.35">
      <c r="A176" s="34" t="str">
        <f t="shared" si="10"/>
        <v>2024 JAN-JUN DISC 70 LICENSE ESS</v>
      </c>
      <c r="B176" s="35">
        <f t="shared" si="11"/>
        <v>46086</v>
      </c>
      <c r="C176" s="35">
        <f t="shared" si="12"/>
        <v>46092</v>
      </c>
      <c r="D176" s="34">
        <v>3287</v>
      </c>
      <c r="E176" s="34">
        <v>338</v>
      </c>
      <c r="F176" s="34">
        <v>4</v>
      </c>
      <c r="G176" s="25">
        <v>7</v>
      </c>
      <c r="H176" s="25">
        <v>81595</v>
      </c>
      <c r="I176" s="25" t="s">
        <v>17</v>
      </c>
      <c r="J176" s="24">
        <v>19028081</v>
      </c>
      <c r="K176" s="24" t="s">
        <v>3729</v>
      </c>
      <c r="L176" s="24" t="s">
        <v>3730</v>
      </c>
      <c r="M176" s="26">
        <v>35900</v>
      </c>
      <c r="N176" s="37">
        <v>0.7</v>
      </c>
      <c r="O176" s="36">
        <f t="shared" si="14"/>
        <v>10770</v>
      </c>
      <c r="P176" s="34" t="s">
        <v>16</v>
      </c>
    </row>
    <row r="177" spans="1:16" x14ac:dyDescent="0.35">
      <c r="A177" s="34" t="str">
        <f t="shared" si="10"/>
        <v>2024 JAN-JUN DISC 70 LICENSE ESS</v>
      </c>
      <c r="B177" s="35">
        <f t="shared" si="11"/>
        <v>46086</v>
      </c>
      <c r="C177" s="35">
        <f t="shared" si="12"/>
        <v>46092</v>
      </c>
      <c r="D177" s="34">
        <v>3287</v>
      </c>
      <c r="E177" s="34">
        <v>338</v>
      </c>
      <c r="F177" s="34">
        <v>4</v>
      </c>
      <c r="G177" s="25">
        <v>7</v>
      </c>
      <c r="H177" s="25">
        <v>81595</v>
      </c>
      <c r="I177" s="25" t="s">
        <v>17</v>
      </c>
      <c r="J177" s="24">
        <v>19028107</v>
      </c>
      <c r="K177" s="24" t="s">
        <v>3731</v>
      </c>
      <c r="L177" s="24" t="s">
        <v>3732</v>
      </c>
      <c r="M177" s="26">
        <v>35900</v>
      </c>
      <c r="N177" s="37">
        <v>0.7</v>
      </c>
      <c r="O177" s="36">
        <f t="shared" si="14"/>
        <v>10770</v>
      </c>
      <c r="P177" s="34" t="s">
        <v>16</v>
      </c>
    </row>
    <row r="178" spans="1:16" x14ac:dyDescent="0.35">
      <c r="A178" s="34" t="str">
        <f t="shared" si="10"/>
        <v>2024 JAN-JUN DISC 70 LICENSE ESS</v>
      </c>
      <c r="B178" s="35">
        <f t="shared" si="11"/>
        <v>46086</v>
      </c>
      <c r="C178" s="35">
        <f t="shared" si="12"/>
        <v>46092</v>
      </c>
      <c r="D178" s="34">
        <v>3287</v>
      </c>
      <c r="E178" s="34">
        <v>338</v>
      </c>
      <c r="F178" s="34">
        <v>4</v>
      </c>
      <c r="G178" s="25">
        <v>3</v>
      </c>
      <c r="H178" s="25">
        <v>850</v>
      </c>
      <c r="I178" s="25" t="s">
        <v>17</v>
      </c>
      <c r="J178" s="24">
        <v>19028116</v>
      </c>
      <c r="K178" s="24" t="s">
        <v>3719</v>
      </c>
      <c r="L178" s="24" t="s">
        <v>3720</v>
      </c>
      <c r="M178" s="26">
        <v>119900</v>
      </c>
      <c r="N178" s="37">
        <v>0.7</v>
      </c>
      <c r="O178" s="36">
        <f t="shared" si="14"/>
        <v>35970</v>
      </c>
      <c r="P178" s="34" t="s">
        <v>16</v>
      </c>
    </row>
    <row r="179" spans="1:16" x14ac:dyDescent="0.35">
      <c r="A179" s="34" t="str">
        <f t="shared" si="10"/>
        <v>2024 JAN-JUN DISC 70 LICENSE ESS</v>
      </c>
      <c r="B179" s="35">
        <f t="shared" si="11"/>
        <v>46086</v>
      </c>
      <c r="C179" s="35">
        <f t="shared" si="12"/>
        <v>46092</v>
      </c>
      <c r="D179" s="34">
        <v>3287</v>
      </c>
      <c r="E179" s="34">
        <v>338</v>
      </c>
      <c r="F179" s="34">
        <v>4</v>
      </c>
      <c r="G179" s="25">
        <v>3</v>
      </c>
      <c r="H179" s="25">
        <v>850</v>
      </c>
      <c r="I179" s="25" t="s">
        <v>17</v>
      </c>
      <c r="J179" s="24">
        <v>19028134</v>
      </c>
      <c r="K179" s="24" t="s">
        <v>3719</v>
      </c>
      <c r="L179" s="24" t="s">
        <v>3721</v>
      </c>
      <c r="M179" s="26">
        <v>119900</v>
      </c>
      <c r="N179" s="37">
        <v>0.7</v>
      </c>
      <c r="O179" s="36">
        <f t="shared" si="14"/>
        <v>35970</v>
      </c>
      <c r="P179" s="34" t="s">
        <v>16</v>
      </c>
    </row>
    <row r="180" spans="1:16" x14ac:dyDescent="0.35">
      <c r="A180" s="34" t="str">
        <f t="shared" si="10"/>
        <v>2024 JAN-JUN DISC 70 LICENSE ESS</v>
      </c>
      <c r="B180" s="35">
        <f t="shared" si="11"/>
        <v>46086</v>
      </c>
      <c r="C180" s="35">
        <f t="shared" si="12"/>
        <v>46092</v>
      </c>
      <c r="D180" s="34">
        <v>3287</v>
      </c>
      <c r="E180" s="34">
        <v>338</v>
      </c>
      <c r="F180" s="34">
        <v>4</v>
      </c>
      <c r="G180" s="25">
        <v>3</v>
      </c>
      <c r="H180" s="25">
        <v>850</v>
      </c>
      <c r="I180" s="25" t="s">
        <v>17</v>
      </c>
      <c r="J180" s="24">
        <v>19028143</v>
      </c>
      <c r="K180" s="24" t="s">
        <v>3719</v>
      </c>
      <c r="L180" s="24" t="s">
        <v>3722</v>
      </c>
      <c r="M180" s="26">
        <v>119900</v>
      </c>
      <c r="N180" s="37">
        <v>0.7</v>
      </c>
      <c r="O180" s="36">
        <f t="shared" si="14"/>
        <v>35970</v>
      </c>
      <c r="P180" s="34" t="s">
        <v>16</v>
      </c>
    </row>
  </sheetData>
  <phoneticPr fontId="8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6737</v>
      </c>
      <c r="B2" s="7">
        <f>'2025 HILITE D80 - 3321'!B2</f>
        <v>46086</v>
      </c>
      <c r="C2" s="7">
        <f>'2025 HILITE D80 - 3321'!C2</f>
        <v>46092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5165</v>
      </c>
      <c r="L2" s="6" t="s">
        <v>5166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6737</v>
      </c>
      <c r="B3" s="7">
        <f>B2</f>
        <v>46086</v>
      </c>
      <c r="C3" s="7">
        <f>C2</f>
        <v>46092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5165</v>
      </c>
      <c r="L3" s="6" t="s">
        <v>5167</v>
      </c>
      <c r="M3" s="8">
        <v>34900</v>
      </c>
      <c r="N3" s="37">
        <v>0.9</v>
      </c>
      <c r="O3" s="36">
        <f t="shared" ref="O3:O66" si="0">M3-((90*M3)/100)</f>
        <v>3490</v>
      </c>
      <c r="P3" s="6" t="s">
        <v>16</v>
      </c>
    </row>
    <row r="4" spans="1:16" x14ac:dyDescent="0.35">
      <c r="A4" s="34" t="s">
        <v>6737</v>
      </c>
      <c r="B4" s="7">
        <f t="shared" ref="B4:B67" si="1">B3</f>
        <v>46086</v>
      </c>
      <c r="C4" s="7">
        <f t="shared" ref="C4:C67" si="2">C3</f>
        <v>46092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5165</v>
      </c>
      <c r="L4" s="6" t="s">
        <v>5168</v>
      </c>
      <c r="M4" s="8">
        <v>34900</v>
      </c>
      <c r="N4" s="37">
        <v>0.9</v>
      </c>
      <c r="O4" s="36">
        <f t="shared" si="0"/>
        <v>3490</v>
      </c>
      <c r="P4" s="6" t="s">
        <v>16</v>
      </c>
    </row>
    <row r="5" spans="1:16" x14ac:dyDescent="0.35">
      <c r="A5" s="34" t="s">
        <v>6737</v>
      </c>
      <c r="B5" s="7">
        <f t="shared" si="1"/>
        <v>46086</v>
      </c>
      <c r="C5" s="7">
        <f t="shared" si="2"/>
        <v>46092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5165</v>
      </c>
      <c r="L5" s="6" t="s">
        <v>5169</v>
      </c>
      <c r="M5" s="8">
        <v>34900</v>
      </c>
      <c r="N5" s="37">
        <v>0.9</v>
      </c>
      <c r="O5" s="36">
        <f t="shared" si="0"/>
        <v>3490</v>
      </c>
      <c r="P5" s="6" t="s">
        <v>16</v>
      </c>
    </row>
    <row r="6" spans="1:16" x14ac:dyDescent="0.35">
      <c r="A6" s="34" t="s">
        <v>6737</v>
      </c>
      <c r="B6" s="7">
        <f t="shared" si="1"/>
        <v>46086</v>
      </c>
      <c r="C6" s="7">
        <f t="shared" si="2"/>
        <v>46092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5165</v>
      </c>
      <c r="L6" s="6" t="s">
        <v>5170</v>
      </c>
      <c r="M6" s="8">
        <v>34900</v>
      </c>
      <c r="N6" s="37">
        <v>0.9</v>
      </c>
      <c r="O6" s="36">
        <f t="shared" si="0"/>
        <v>3490</v>
      </c>
      <c r="P6" s="6" t="s">
        <v>16</v>
      </c>
    </row>
    <row r="7" spans="1:16" x14ac:dyDescent="0.35">
      <c r="A7" s="34" t="s">
        <v>6737</v>
      </c>
      <c r="B7" s="7">
        <f t="shared" si="1"/>
        <v>46086</v>
      </c>
      <c r="C7" s="7">
        <f t="shared" si="2"/>
        <v>46092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7">
        <v>0.9</v>
      </c>
      <c r="O7" s="36">
        <f t="shared" si="0"/>
        <v>3790</v>
      </c>
      <c r="P7" s="6" t="s">
        <v>16</v>
      </c>
    </row>
    <row r="8" spans="1:16" x14ac:dyDescent="0.35">
      <c r="A8" s="34" t="s">
        <v>6737</v>
      </c>
      <c r="B8" s="7">
        <f t="shared" si="1"/>
        <v>46086</v>
      </c>
      <c r="C8" s="7">
        <f t="shared" si="2"/>
        <v>46092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7">
        <v>0.9</v>
      </c>
      <c r="O8" s="36">
        <f t="shared" si="0"/>
        <v>3790</v>
      </c>
      <c r="P8" s="6" t="s">
        <v>16</v>
      </c>
    </row>
    <row r="9" spans="1:16" x14ac:dyDescent="0.35">
      <c r="A9" s="34" t="s">
        <v>6737</v>
      </c>
      <c r="B9" s="7">
        <f t="shared" si="1"/>
        <v>46086</v>
      </c>
      <c r="C9" s="7">
        <f t="shared" si="2"/>
        <v>46092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7">
        <v>0.9</v>
      </c>
      <c r="O9" s="36">
        <f t="shared" si="0"/>
        <v>3790</v>
      </c>
      <c r="P9" s="6" t="s">
        <v>16</v>
      </c>
    </row>
    <row r="10" spans="1:16" x14ac:dyDescent="0.35">
      <c r="A10" s="34" t="s">
        <v>6737</v>
      </c>
      <c r="B10" s="7">
        <f t="shared" si="1"/>
        <v>46086</v>
      </c>
      <c r="C10" s="7">
        <f t="shared" si="2"/>
        <v>46092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7">
        <v>0.9</v>
      </c>
      <c r="O10" s="36">
        <f t="shared" si="0"/>
        <v>3790</v>
      </c>
      <c r="P10" s="6" t="s">
        <v>16</v>
      </c>
    </row>
    <row r="11" spans="1:16" x14ac:dyDescent="0.35">
      <c r="A11" s="34" t="s">
        <v>6737</v>
      </c>
      <c r="B11" s="7">
        <f t="shared" si="1"/>
        <v>46086</v>
      </c>
      <c r="C11" s="7">
        <f t="shared" si="2"/>
        <v>46092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7">
        <v>0.9</v>
      </c>
      <c r="O11" s="36">
        <f t="shared" si="0"/>
        <v>8990</v>
      </c>
      <c r="P11" s="6" t="s">
        <v>16</v>
      </c>
    </row>
    <row r="12" spans="1:16" x14ac:dyDescent="0.35">
      <c r="A12" s="34" t="s">
        <v>6737</v>
      </c>
      <c r="B12" s="7">
        <f t="shared" si="1"/>
        <v>46086</v>
      </c>
      <c r="C12" s="7">
        <f t="shared" si="2"/>
        <v>46092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7">
        <v>0.9</v>
      </c>
      <c r="O12" s="36">
        <f t="shared" si="0"/>
        <v>8990</v>
      </c>
      <c r="P12" s="6" t="s">
        <v>16</v>
      </c>
    </row>
    <row r="13" spans="1:16" x14ac:dyDescent="0.35">
      <c r="A13" s="34" t="s">
        <v>6737</v>
      </c>
      <c r="B13" s="7">
        <f t="shared" si="1"/>
        <v>46086</v>
      </c>
      <c r="C13" s="7">
        <f t="shared" si="2"/>
        <v>46092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7">
        <v>0.9</v>
      </c>
      <c r="O13" s="36">
        <f t="shared" si="0"/>
        <v>8990</v>
      </c>
      <c r="P13" s="6" t="s">
        <v>16</v>
      </c>
    </row>
    <row r="14" spans="1:16" x14ac:dyDescent="0.35">
      <c r="A14" s="34" t="s">
        <v>6737</v>
      </c>
      <c r="B14" s="7">
        <f t="shared" si="1"/>
        <v>46086</v>
      </c>
      <c r="C14" s="7">
        <f t="shared" si="2"/>
        <v>46092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7">
        <v>0.9</v>
      </c>
      <c r="O14" s="36">
        <f t="shared" si="0"/>
        <v>8990</v>
      </c>
      <c r="P14" s="6" t="s">
        <v>16</v>
      </c>
    </row>
    <row r="15" spans="1:16" x14ac:dyDescent="0.35">
      <c r="A15" s="34" t="s">
        <v>6737</v>
      </c>
      <c r="B15" s="7">
        <f t="shared" si="1"/>
        <v>46086</v>
      </c>
      <c r="C15" s="7">
        <f t="shared" si="2"/>
        <v>46092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7">
        <v>0.9</v>
      </c>
      <c r="O15" s="36">
        <f t="shared" si="0"/>
        <v>3490</v>
      </c>
      <c r="P15" s="6" t="s">
        <v>16</v>
      </c>
    </row>
    <row r="16" spans="1:16" x14ac:dyDescent="0.35">
      <c r="A16" s="34" t="s">
        <v>6737</v>
      </c>
      <c r="B16" s="7">
        <f t="shared" si="1"/>
        <v>46086</v>
      </c>
      <c r="C16" s="7">
        <f t="shared" si="2"/>
        <v>46092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7">
        <v>0.9</v>
      </c>
      <c r="O16" s="36">
        <f t="shared" si="0"/>
        <v>3490</v>
      </c>
      <c r="P16" s="6" t="s">
        <v>16</v>
      </c>
    </row>
    <row r="17" spans="1:16" x14ac:dyDescent="0.35">
      <c r="A17" s="34" t="s">
        <v>6737</v>
      </c>
      <c r="B17" s="7">
        <f t="shared" si="1"/>
        <v>46086</v>
      </c>
      <c r="C17" s="7">
        <f t="shared" si="2"/>
        <v>46092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7">
        <v>0.9</v>
      </c>
      <c r="O17" s="36">
        <f t="shared" si="0"/>
        <v>3490</v>
      </c>
      <c r="P17" s="6" t="s">
        <v>16</v>
      </c>
    </row>
    <row r="18" spans="1:16" x14ac:dyDescent="0.35">
      <c r="A18" s="34" t="s">
        <v>6737</v>
      </c>
      <c r="B18" s="7">
        <f t="shared" si="1"/>
        <v>46086</v>
      </c>
      <c r="C18" s="7">
        <f t="shared" si="2"/>
        <v>46092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7">
        <v>0.9</v>
      </c>
      <c r="O18" s="36">
        <f t="shared" si="0"/>
        <v>3490</v>
      </c>
      <c r="P18" s="6" t="s">
        <v>16</v>
      </c>
    </row>
    <row r="19" spans="1:16" x14ac:dyDescent="0.35">
      <c r="A19" s="34" t="s">
        <v>6737</v>
      </c>
      <c r="B19" s="7">
        <f t="shared" si="1"/>
        <v>46086</v>
      </c>
      <c r="C19" s="7">
        <f t="shared" si="2"/>
        <v>46092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7">
        <v>0.9</v>
      </c>
      <c r="O19" s="36">
        <f t="shared" si="0"/>
        <v>7990</v>
      </c>
      <c r="P19" s="6" t="s">
        <v>16</v>
      </c>
    </row>
    <row r="20" spans="1:16" x14ac:dyDescent="0.35">
      <c r="A20" s="34" t="s">
        <v>6737</v>
      </c>
      <c r="B20" s="7">
        <f t="shared" si="1"/>
        <v>46086</v>
      </c>
      <c r="C20" s="7">
        <f t="shared" si="2"/>
        <v>46092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7">
        <v>0.9</v>
      </c>
      <c r="O20" s="36">
        <f t="shared" si="0"/>
        <v>7990</v>
      </c>
      <c r="P20" s="6" t="s">
        <v>16</v>
      </c>
    </row>
    <row r="21" spans="1:16" x14ac:dyDescent="0.35">
      <c r="A21" s="34" t="s">
        <v>6737</v>
      </c>
      <c r="B21" s="7">
        <f t="shared" si="1"/>
        <v>46086</v>
      </c>
      <c r="C21" s="7">
        <f t="shared" si="2"/>
        <v>46092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7">
        <v>0.9</v>
      </c>
      <c r="O21" s="36">
        <f t="shared" si="0"/>
        <v>3790</v>
      </c>
      <c r="P21" s="6" t="s">
        <v>16</v>
      </c>
    </row>
    <row r="22" spans="1:16" x14ac:dyDescent="0.35">
      <c r="A22" s="34" t="s">
        <v>6737</v>
      </c>
      <c r="B22" s="7">
        <f t="shared" si="1"/>
        <v>46086</v>
      </c>
      <c r="C22" s="7">
        <f t="shared" si="2"/>
        <v>46092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7">
        <v>0.9</v>
      </c>
      <c r="O22" s="36">
        <f t="shared" si="0"/>
        <v>3790</v>
      </c>
      <c r="P22" s="6" t="s">
        <v>16</v>
      </c>
    </row>
    <row r="23" spans="1:16" x14ac:dyDescent="0.35">
      <c r="A23" s="34" t="s">
        <v>6737</v>
      </c>
      <c r="B23" s="7">
        <f t="shared" si="1"/>
        <v>46086</v>
      </c>
      <c r="C23" s="7">
        <f t="shared" si="2"/>
        <v>46092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7">
        <v>0.9</v>
      </c>
      <c r="O23" s="36">
        <f t="shared" si="0"/>
        <v>3790</v>
      </c>
      <c r="P23" s="6" t="s">
        <v>16</v>
      </c>
    </row>
    <row r="24" spans="1:16" x14ac:dyDescent="0.35">
      <c r="A24" s="34" t="s">
        <v>6737</v>
      </c>
      <c r="B24" s="7">
        <f t="shared" si="1"/>
        <v>46086</v>
      </c>
      <c r="C24" s="7">
        <f t="shared" si="2"/>
        <v>46092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7">
        <v>0.9</v>
      </c>
      <c r="O24" s="36">
        <f t="shared" si="0"/>
        <v>3790</v>
      </c>
      <c r="P24" s="6" t="s">
        <v>16</v>
      </c>
    </row>
    <row r="25" spans="1:16" x14ac:dyDescent="0.35">
      <c r="A25" s="34" t="s">
        <v>6737</v>
      </c>
      <c r="B25" s="7">
        <f t="shared" si="1"/>
        <v>46086</v>
      </c>
      <c r="C25" s="7">
        <f t="shared" si="2"/>
        <v>46092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7">
        <v>0.9</v>
      </c>
      <c r="O25" s="36">
        <f t="shared" si="0"/>
        <v>8990</v>
      </c>
      <c r="P25" s="6" t="s">
        <v>16</v>
      </c>
    </row>
    <row r="26" spans="1:16" x14ac:dyDescent="0.35">
      <c r="A26" s="34" t="s">
        <v>6737</v>
      </c>
      <c r="B26" s="7">
        <f t="shared" si="1"/>
        <v>46086</v>
      </c>
      <c r="C26" s="7">
        <f t="shared" si="2"/>
        <v>46092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7">
        <v>0.9</v>
      </c>
      <c r="O26" s="36">
        <f t="shared" si="0"/>
        <v>8990</v>
      </c>
      <c r="P26" s="6" t="s">
        <v>16</v>
      </c>
    </row>
    <row r="27" spans="1:16" x14ac:dyDescent="0.35">
      <c r="A27" s="34" t="s">
        <v>6737</v>
      </c>
      <c r="B27" s="7">
        <f t="shared" si="1"/>
        <v>46086</v>
      </c>
      <c r="C27" s="7">
        <f t="shared" si="2"/>
        <v>46092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7">
        <v>0.9</v>
      </c>
      <c r="O27" s="36">
        <f t="shared" si="0"/>
        <v>8990</v>
      </c>
      <c r="P27" s="6" t="s">
        <v>16</v>
      </c>
    </row>
    <row r="28" spans="1:16" x14ac:dyDescent="0.35">
      <c r="A28" s="34" t="s">
        <v>6737</v>
      </c>
      <c r="B28" s="7">
        <f t="shared" si="1"/>
        <v>46086</v>
      </c>
      <c r="C28" s="7">
        <f t="shared" si="2"/>
        <v>46092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7">
        <v>0.9</v>
      </c>
      <c r="O28" s="36">
        <f t="shared" si="0"/>
        <v>8990</v>
      </c>
      <c r="P28" s="6" t="s">
        <v>16</v>
      </c>
    </row>
    <row r="29" spans="1:16" x14ac:dyDescent="0.35">
      <c r="A29" s="34" t="s">
        <v>6737</v>
      </c>
      <c r="B29" s="7">
        <f t="shared" si="1"/>
        <v>46086</v>
      </c>
      <c r="C29" s="7">
        <f t="shared" si="2"/>
        <v>46092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7">
        <v>0.9</v>
      </c>
      <c r="O29" s="36">
        <f t="shared" si="0"/>
        <v>8990</v>
      </c>
      <c r="P29" s="6" t="s">
        <v>16</v>
      </c>
    </row>
    <row r="30" spans="1:16" x14ac:dyDescent="0.35">
      <c r="A30" s="34" t="s">
        <v>6737</v>
      </c>
      <c r="B30" s="7">
        <f t="shared" si="1"/>
        <v>46086</v>
      </c>
      <c r="C30" s="7">
        <f t="shared" si="2"/>
        <v>46092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7">
        <v>0.9</v>
      </c>
      <c r="O30" s="36">
        <f t="shared" si="0"/>
        <v>8990</v>
      </c>
      <c r="P30" s="6" t="s">
        <v>16</v>
      </c>
    </row>
    <row r="31" spans="1:16" x14ac:dyDescent="0.35">
      <c r="A31" s="34" t="s">
        <v>6737</v>
      </c>
      <c r="B31" s="7">
        <f t="shared" si="1"/>
        <v>46086</v>
      </c>
      <c r="C31" s="7">
        <f t="shared" si="2"/>
        <v>46092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7">
        <v>0.9</v>
      </c>
      <c r="O31" s="36">
        <f t="shared" si="0"/>
        <v>8990</v>
      </c>
      <c r="P31" s="6" t="s">
        <v>16</v>
      </c>
    </row>
    <row r="32" spans="1:16" x14ac:dyDescent="0.35">
      <c r="A32" s="34" t="s">
        <v>6737</v>
      </c>
      <c r="B32" s="7">
        <f t="shared" si="1"/>
        <v>46086</v>
      </c>
      <c r="C32" s="7">
        <f t="shared" si="2"/>
        <v>46092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7">
        <v>0.9</v>
      </c>
      <c r="O32" s="36">
        <f t="shared" si="0"/>
        <v>8990</v>
      </c>
      <c r="P32" s="6" t="s">
        <v>16</v>
      </c>
    </row>
    <row r="33" spans="1:16" x14ac:dyDescent="0.35">
      <c r="A33" s="34" t="s">
        <v>6737</v>
      </c>
      <c r="B33" s="7">
        <f t="shared" si="1"/>
        <v>46086</v>
      </c>
      <c r="C33" s="7">
        <f t="shared" si="2"/>
        <v>46092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7">
        <v>0.9</v>
      </c>
      <c r="O33" s="36">
        <f t="shared" si="0"/>
        <v>8990</v>
      </c>
      <c r="P33" s="6" t="s">
        <v>16</v>
      </c>
    </row>
    <row r="34" spans="1:16" x14ac:dyDescent="0.35">
      <c r="A34" s="34" t="s">
        <v>6737</v>
      </c>
      <c r="B34" s="7">
        <f t="shared" si="1"/>
        <v>46086</v>
      </c>
      <c r="C34" s="7">
        <f t="shared" si="2"/>
        <v>46092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7">
        <v>0.9</v>
      </c>
      <c r="O34" s="36">
        <f t="shared" si="0"/>
        <v>8990</v>
      </c>
      <c r="P34" s="6" t="s">
        <v>16</v>
      </c>
    </row>
    <row r="35" spans="1:16" x14ac:dyDescent="0.35">
      <c r="A35" s="34" t="s">
        <v>6737</v>
      </c>
      <c r="B35" s="7">
        <f t="shared" si="1"/>
        <v>46086</v>
      </c>
      <c r="C35" s="7">
        <f t="shared" si="2"/>
        <v>46092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7">
        <v>0.9</v>
      </c>
      <c r="O35" s="36">
        <f t="shared" si="0"/>
        <v>3490</v>
      </c>
      <c r="P35" s="6" t="s">
        <v>16</v>
      </c>
    </row>
    <row r="36" spans="1:16" x14ac:dyDescent="0.35">
      <c r="A36" s="34" t="s">
        <v>6737</v>
      </c>
      <c r="B36" s="7">
        <f t="shared" si="1"/>
        <v>46086</v>
      </c>
      <c r="C36" s="7">
        <f t="shared" si="2"/>
        <v>46092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7">
        <v>0.9</v>
      </c>
      <c r="O36" s="36">
        <f t="shared" si="0"/>
        <v>3490</v>
      </c>
      <c r="P36" s="6" t="s">
        <v>16</v>
      </c>
    </row>
    <row r="37" spans="1:16" x14ac:dyDescent="0.35">
      <c r="A37" s="34" t="s">
        <v>6737</v>
      </c>
      <c r="B37" s="7">
        <f t="shared" si="1"/>
        <v>46086</v>
      </c>
      <c r="C37" s="7">
        <f t="shared" si="2"/>
        <v>46092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7">
        <v>0.9</v>
      </c>
      <c r="O37" s="36">
        <f t="shared" si="0"/>
        <v>3490</v>
      </c>
      <c r="P37" s="6" t="s">
        <v>16</v>
      </c>
    </row>
    <row r="38" spans="1:16" x14ac:dyDescent="0.35">
      <c r="A38" s="34" t="s">
        <v>6737</v>
      </c>
      <c r="B38" s="7">
        <f t="shared" si="1"/>
        <v>46086</v>
      </c>
      <c r="C38" s="7">
        <f t="shared" si="2"/>
        <v>46092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7">
        <v>0.9</v>
      </c>
      <c r="O38" s="36">
        <f t="shared" si="0"/>
        <v>3490</v>
      </c>
      <c r="P38" s="6" t="s">
        <v>16</v>
      </c>
    </row>
    <row r="39" spans="1:16" x14ac:dyDescent="0.35">
      <c r="A39" s="34" t="s">
        <v>6737</v>
      </c>
      <c r="B39" s="7">
        <f t="shared" si="1"/>
        <v>46086</v>
      </c>
      <c r="C39" s="7">
        <f t="shared" si="2"/>
        <v>46092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5174</v>
      </c>
      <c r="M39" s="8">
        <v>189900</v>
      </c>
      <c r="N39" s="37">
        <v>0.9</v>
      </c>
      <c r="O39" s="36">
        <f t="shared" si="0"/>
        <v>18990</v>
      </c>
      <c r="P39" s="6" t="s">
        <v>16</v>
      </c>
    </row>
    <row r="40" spans="1:16" x14ac:dyDescent="0.35">
      <c r="A40" s="34" t="s">
        <v>6737</v>
      </c>
      <c r="B40" s="7">
        <f t="shared" si="1"/>
        <v>46086</v>
      </c>
      <c r="C40" s="7">
        <f t="shared" si="2"/>
        <v>46092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7">
        <v>0.9</v>
      </c>
      <c r="O40" s="36">
        <f t="shared" si="0"/>
        <v>18990</v>
      </c>
      <c r="P40" s="6" t="s">
        <v>16</v>
      </c>
    </row>
    <row r="41" spans="1:16" x14ac:dyDescent="0.35">
      <c r="A41" s="34" t="s">
        <v>6737</v>
      </c>
      <c r="B41" s="7">
        <f t="shared" si="1"/>
        <v>46086</v>
      </c>
      <c r="C41" s="7">
        <f t="shared" si="2"/>
        <v>46092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5175</v>
      </c>
      <c r="M41" s="8">
        <v>199900</v>
      </c>
      <c r="N41" s="37">
        <v>0.9</v>
      </c>
      <c r="O41" s="36">
        <f t="shared" si="0"/>
        <v>19990</v>
      </c>
      <c r="P41" s="6" t="s">
        <v>16</v>
      </c>
    </row>
    <row r="42" spans="1:16" x14ac:dyDescent="0.35">
      <c r="A42" s="34" t="s">
        <v>6737</v>
      </c>
      <c r="B42" s="7">
        <f t="shared" si="1"/>
        <v>46086</v>
      </c>
      <c r="C42" s="7">
        <f t="shared" si="2"/>
        <v>46092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5176</v>
      </c>
      <c r="M42" s="8">
        <v>199900</v>
      </c>
      <c r="N42" s="37">
        <v>0.9</v>
      </c>
      <c r="O42" s="36">
        <f t="shared" si="0"/>
        <v>19990</v>
      </c>
      <c r="P42" s="6" t="s">
        <v>16</v>
      </c>
    </row>
    <row r="43" spans="1:16" x14ac:dyDescent="0.35">
      <c r="A43" s="34" t="s">
        <v>6737</v>
      </c>
      <c r="B43" s="7">
        <f t="shared" si="1"/>
        <v>46086</v>
      </c>
      <c r="C43" s="7">
        <f t="shared" si="2"/>
        <v>46092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5177</v>
      </c>
      <c r="M43" s="8">
        <v>199900</v>
      </c>
      <c r="N43" s="37">
        <v>0.9</v>
      </c>
      <c r="O43" s="36">
        <f t="shared" si="0"/>
        <v>19990</v>
      </c>
      <c r="P43" s="6" t="s">
        <v>16</v>
      </c>
    </row>
    <row r="44" spans="1:16" x14ac:dyDescent="0.35">
      <c r="A44" s="34" t="s">
        <v>6737</v>
      </c>
      <c r="B44" s="7">
        <f t="shared" si="1"/>
        <v>46086</v>
      </c>
      <c r="C44" s="7">
        <f t="shared" si="2"/>
        <v>46092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7">
        <v>0.9</v>
      </c>
      <c r="O44" s="36">
        <f t="shared" si="0"/>
        <v>18990</v>
      </c>
      <c r="P44" s="6" t="s">
        <v>16</v>
      </c>
    </row>
    <row r="45" spans="1:16" x14ac:dyDescent="0.35">
      <c r="A45" s="34" t="s">
        <v>6737</v>
      </c>
      <c r="B45" s="7">
        <f t="shared" si="1"/>
        <v>46086</v>
      </c>
      <c r="C45" s="7">
        <f t="shared" si="2"/>
        <v>46092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7">
        <v>0.9</v>
      </c>
      <c r="O45" s="36">
        <f t="shared" si="0"/>
        <v>18990</v>
      </c>
      <c r="P45" s="6" t="s">
        <v>16</v>
      </c>
    </row>
    <row r="46" spans="1:16" x14ac:dyDescent="0.35">
      <c r="A46" s="34" t="s">
        <v>6737</v>
      </c>
      <c r="B46" s="7">
        <f t="shared" si="1"/>
        <v>46086</v>
      </c>
      <c r="C46" s="7">
        <f t="shared" si="2"/>
        <v>46092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7">
        <v>0.9</v>
      </c>
      <c r="O46" s="36">
        <f t="shared" si="0"/>
        <v>19990</v>
      </c>
      <c r="P46" s="6" t="s">
        <v>16</v>
      </c>
    </row>
    <row r="47" spans="1:16" x14ac:dyDescent="0.35">
      <c r="A47" s="34" t="s">
        <v>6737</v>
      </c>
      <c r="B47" s="7">
        <f t="shared" si="1"/>
        <v>46086</v>
      </c>
      <c r="C47" s="7">
        <f t="shared" si="2"/>
        <v>46092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7">
        <v>0.9</v>
      </c>
      <c r="O47" s="36">
        <f t="shared" si="0"/>
        <v>19990</v>
      </c>
      <c r="P47" s="6" t="s">
        <v>16</v>
      </c>
    </row>
    <row r="48" spans="1:16" x14ac:dyDescent="0.35">
      <c r="A48" s="34" t="s">
        <v>6737</v>
      </c>
      <c r="B48" s="7">
        <f t="shared" si="1"/>
        <v>46086</v>
      </c>
      <c r="C48" s="7">
        <f t="shared" si="2"/>
        <v>46092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7">
        <v>0.9</v>
      </c>
      <c r="O48" s="36">
        <f t="shared" si="0"/>
        <v>19990</v>
      </c>
      <c r="P48" s="6" t="s">
        <v>16</v>
      </c>
    </row>
    <row r="49" spans="1:16" x14ac:dyDescent="0.35">
      <c r="A49" s="34" t="s">
        <v>6737</v>
      </c>
      <c r="B49" s="7">
        <f t="shared" si="1"/>
        <v>46086</v>
      </c>
      <c r="C49" s="7">
        <f t="shared" si="2"/>
        <v>46092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7">
        <v>0.9</v>
      </c>
      <c r="O49" s="36">
        <f t="shared" si="0"/>
        <v>19990</v>
      </c>
      <c r="P49" s="6" t="s">
        <v>16</v>
      </c>
    </row>
    <row r="50" spans="1:16" x14ac:dyDescent="0.35">
      <c r="A50" s="34" t="s">
        <v>6737</v>
      </c>
      <c r="B50" s="7">
        <f t="shared" si="1"/>
        <v>46086</v>
      </c>
      <c r="C50" s="7">
        <f t="shared" si="2"/>
        <v>46092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7">
        <v>0.9</v>
      </c>
      <c r="O50" s="36">
        <f t="shared" si="0"/>
        <v>19990</v>
      </c>
      <c r="P50" s="6" t="s">
        <v>16</v>
      </c>
    </row>
    <row r="51" spans="1:16" x14ac:dyDescent="0.35">
      <c r="A51" s="34" t="s">
        <v>6737</v>
      </c>
      <c r="B51" s="7">
        <f t="shared" si="1"/>
        <v>46086</v>
      </c>
      <c r="C51" s="7">
        <f t="shared" si="2"/>
        <v>46092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7">
        <v>0.9</v>
      </c>
      <c r="O51" s="36">
        <f t="shared" si="0"/>
        <v>19990</v>
      </c>
      <c r="P51" s="6" t="s">
        <v>16</v>
      </c>
    </row>
    <row r="52" spans="1:16" x14ac:dyDescent="0.35">
      <c r="A52" s="34" t="s">
        <v>6737</v>
      </c>
      <c r="B52" s="7">
        <f t="shared" si="1"/>
        <v>46086</v>
      </c>
      <c r="C52" s="7">
        <f t="shared" si="2"/>
        <v>46092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7">
        <v>0.9</v>
      </c>
      <c r="O52" s="36">
        <f t="shared" si="0"/>
        <v>19990</v>
      </c>
      <c r="P52" s="6" t="s">
        <v>16</v>
      </c>
    </row>
    <row r="53" spans="1:16" x14ac:dyDescent="0.35">
      <c r="A53" s="34" t="s">
        <v>6737</v>
      </c>
      <c r="B53" s="7">
        <f t="shared" si="1"/>
        <v>46086</v>
      </c>
      <c r="C53" s="7">
        <f t="shared" si="2"/>
        <v>46092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7">
        <v>0.9</v>
      </c>
      <c r="O53" s="36">
        <f t="shared" si="0"/>
        <v>19990</v>
      </c>
      <c r="P53" s="6" t="s">
        <v>16</v>
      </c>
    </row>
    <row r="54" spans="1:16" x14ac:dyDescent="0.35">
      <c r="A54" s="34" t="s">
        <v>6737</v>
      </c>
      <c r="B54" s="7">
        <f t="shared" si="1"/>
        <v>46086</v>
      </c>
      <c r="C54" s="7">
        <f t="shared" si="2"/>
        <v>46092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7">
        <v>0.9</v>
      </c>
      <c r="O54" s="36">
        <f t="shared" si="0"/>
        <v>21990</v>
      </c>
      <c r="P54" s="6" t="s">
        <v>16</v>
      </c>
    </row>
    <row r="55" spans="1:16" x14ac:dyDescent="0.35">
      <c r="A55" s="34" t="s">
        <v>6737</v>
      </c>
      <c r="B55" s="7">
        <f t="shared" si="1"/>
        <v>46086</v>
      </c>
      <c r="C55" s="7">
        <f t="shared" si="2"/>
        <v>46092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7">
        <v>0.9</v>
      </c>
      <c r="O55" s="36">
        <f t="shared" si="0"/>
        <v>21990</v>
      </c>
      <c r="P55" s="6" t="s">
        <v>16</v>
      </c>
    </row>
    <row r="56" spans="1:16" x14ac:dyDescent="0.35">
      <c r="A56" s="34" t="s">
        <v>6737</v>
      </c>
      <c r="B56" s="7">
        <f t="shared" si="1"/>
        <v>46086</v>
      </c>
      <c r="C56" s="7">
        <f t="shared" si="2"/>
        <v>46092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7">
        <v>0.9</v>
      </c>
      <c r="O56" s="36">
        <f t="shared" si="0"/>
        <v>21990</v>
      </c>
      <c r="P56" s="6" t="s">
        <v>16</v>
      </c>
    </row>
    <row r="57" spans="1:16" x14ac:dyDescent="0.35">
      <c r="A57" s="34" t="s">
        <v>6737</v>
      </c>
      <c r="B57" s="7">
        <f t="shared" si="1"/>
        <v>46086</v>
      </c>
      <c r="C57" s="7">
        <f t="shared" si="2"/>
        <v>46092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7">
        <v>0.9</v>
      </c>
      <c r="O57" s="36">
        <f t="shared" si="0"/>
        <v>21990</v>
      </c>
      <c r="P57" s="6" t="s">
        <v>16</v>
      </c>
    </row>
    <row r="58" spans="1:16" x14ac:dyDescent="0.35">
      <c r="A58" s="34" t="s">
        <v>6737</v>
      </c>
      <c r="B58" s="7">
        <f t="shared" si="1"/>
        <v>46086</v>
      </c>
      <c r="C58" s="7">
        <f t="shared" si="2"/>
        <v>46092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5178</v>
      </c>
      <c r="L58" s="6" t="s">
        <v>5179</v>
      </c>
      <c r="M58" s="8">
        <v>189900</v>
      </c>
      <c r="N58" s="37">
        <v>0.9</v>
      </c>
      <c r="O58" s="36">
        <f t="shared" si="0"/>
        <v>18990</v>
      </c>
      <c r="P58" s="6" t="s">
        <v>16</v>
      </c>
    </row>
    <row r="59" spans="1:16" x14ac:dyDescent="0.35">
      <c r="A59" s="34" t="s">
        <v>6737</v>
      </c>
      <c r="B59" s="7">
        <f t="shared" si="1"/>
        <v>46086</v>
      </c>
      <c r="C59" s="7">
        <f t="shared" si="2"/>
        <v>46092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5178</v>
      </c>
      <c r="L59" s="6" t="s">
        <v>5180</v>
      </c>
      <c r="M59" s="8">
        <v>189900</v>
      </c>
      <c r="N59" s="37">
        <v>0.9</v>
      </c>
      <c r="O59" s="36">
        <f t="shared" si="0"/>
        <v>18990</v>
      </c>
      <c r="P59" s="6" t="s">
        <v>16</v>
      </c>
    </row>
    <row r="60" spans="1:16" x14ac:dyDescent="0.35">
      <c r="A60" s="34" t="s">
        <v>6737</v>
      </c>
      <c r="B60" s="7">
        <f t="shared" si="1"/>
        <v>46086</v>
      </c>
      <c r="C60" s="7">
        <f t="shared" si="2"/>
        <v>46092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5178</v>
      </c>
      <c r="L60" s="6" t="s">
        <v>5181</v>
      </c>
      <c r="M60" s="8">
        <v>189900</v>
      </c>
      <c r="N60" s="37">
        <v>0.9</v>
      </c>
      <c r="O60" s="36">
        <f t="shared" si="0"/>
        <v>18990</v>
      </c>
      <c r="P60" s="6" t="s">
        <v>16</v>
      </c>
    </row>
    <row r="61" spans="1:16" x14ac:dyDescent="0.35">
      <c r="A61" s="34" t="s">
        <v>6737</v>
      </c>
      <c r="B61" s="7">
        <f t="shared" si="1"/>
        <v>46086</v>
      </c>
      <c r="C61" s="7">
        <f t="shared" si="2"/>
        <v>46092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5178</v>
      </c>
      <c r="L61" s="6" t="s">
        <v>5182</v>
      </c>
      <c r="M61" s="8">
        <v>199900</v>
      </c>
      <c r="N61" s="37">
        <v>0.9</v>
      </c>
      <c r="O61" s="36">
        <f t="shared" si="0"/>
        <v>19990</v>
      </c>
      <c r="P61" s="6" t="s">
        <v>16</v>
      </c>
    </row>
    <row r="62" spans="1:16" x14ac:dyDescent="0.35">
      <c r="A62" s="34" t="s">
        <v>6737</v>
      </c>
      <c r="B62" s="7">
        <f t="shared" si="1"/>
        <v>46086</v>
      </c>
      <c r="C62" s="7">
        <f t="shared" si="2"/>
        <v>46092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5178</v>
      </c>
      <c r="L62" s="6" t="s">
        <v>5183</v>
      </c>
      <c r="M62" s="8">
        <v>199900</v>
      </c>
      <c r="N62" s="37">
        <v>0.9</v>
      </c>
      <c r="O62" s="36">
        <f t="shared" si="0"/>
        <v>19990</v>
      </c>
      <c r="P62" s="6" t="s">
        <v>16</v>
      </c>
    </row>
    <row r="63" spans="1:16" x14ac:dyDescent="0.35">
      <c r="A63" s="34" t="s">
        <v>6737</v>
      </c>
      <c r="B63" s="7">
        <f t="shared" si="1"/>
        <v>46086</v>
      </c>
      <c r="C63" s="7">
        <f t="shared" si="2"/>
        <v>46092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5178</v>
      </c>
      <c r="L63" s="6" t="s">
        <v>5184</v>
      </c>
      <c r="M63" s="8">
        <v>199900</v>
      </c>
      <c r="N63" s="37">
        <v>0.9</v>
      </c>
      <c r="O63" s="36">
        <f t="shared" si="0"/>
        <v>19990</v>
      </c>
      <c r="P63" s="6" t="s">
        <v>16</v>
      </c>
    </row>
    <row r="64" spans="1:16" x14ac:dyDescent="0.35">
      <c r="A64" s="34" t="s">
        <v>6737</v>
      </c>
      <c r="B64" s="7">
        <f t="shared" si="1"/>
        <v>46086</v>
      </c>
      <c r="C64" s="7">
        <f t="shared" si="2"/>
        <v>46092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7">
        <v>0.9</v>
      </c>
      <c r="O64" s="36">
        <f t="shared" si="0"/>
        <v>20990</v>
      </c>
      <c r="P64" s="6" t="s">
        <v>16</v>
      </c>
    </row>
    <row r="65" spans="1:16" x14ac:dyDescent="0.35">
      <c r="A65" s="34" t="s">
        <v>6737</v>
      </c>
      <c r="B65" s="7">
        <f t="shared" si="1"/>
        <v>46086</v>
      </c>
      <c r="C65" s="7">
        <f t="shared" si="2"/>
        <v>46092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7">
        <v>0.9</v>
      </c>
      <c r="O65" s="36">
        <f t="shared" si="0"/>
        <v>20990</v>
      </c>
      <c r="P65" s="6" t="s">
        <v>16</v>
      </c>
    </row>
    <row r="66" spans="1:16" x14ac:dyDescent="0.35">
      <c r="A66" s="34" t="s">
        <v>6737</v>
      </c>
      <c r="B66" s="7">
        <f t="shared" si="1"/>
        <v>46086</v>
      </c>
      <c r="C66" s="7">
        <f t="shared" si="2"/>
        <v>46092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7">
        <v>0.9</v>
      </c>
      <c r="O66" s="36">
        <f t="shared" si="0"/>
        <v>20990</v>
      </c>
      <c r="P66" s="6" t="s">
        <v>16</v>
      </c>
    </row>
    <row r="67" spans="1:16" x14ac:dyDescent="0.35">
      <c r="A67" s="34" t="s">
        <v>6737</v>
      </c>
      <c r="B67" s="7">
        <f t="shared" si="1"/>
        <v>46086</v>
      </c>
      <c r="C67" s="7">
        <f t="shared" si="2"/>
        <v>46092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7">
        <v>0.9</v>
      </c>
      <c r="O67" s="36">
        <f t="shared" ref="O67:O130" si="3">M67-((90*M67)/100)</f>
        <v>21990</v>
      </c>
      <c r="P67" s="6" t="s">
        <v>16</v>
      </c>
    </row>
    <row r="68" spans="1:16" x14ac:dyDescent="0.35">
      <c r="A68" s="34" t="s">
        <v>6737</v>
      </c>
      <c r="B68" s="7">
        <f t="shared" ref="B68:B131" si="4">B67</f>
        <v>46086</v>
      </c>
      <c r="C68" s="7">
        <f t="shared" ref="C68:C131" si="5">C67</f>
        <v>46092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7">
        <v>0.9</v>
      </c>
      <c r="O68" s="36">
        <f t="shared" si="3"/>
        <v>21990</v>
      </c>
      <c r="P68" s="6" t="s">
        <v>16</v>
      </c>
    </row>
    <row r="69" spans="1:16" x14ac:dyDescent="0.35">
      <c r="A69" s="34" t="s">
        <v>6737</v>
      </c>
      <c r="B69" s="7">
        <f t="shared" si="4"/>
        <v>46086</v>
      </c>
      <c r="C69" s="7">
        <f t="shared" si="5"/>
        <v>46092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7">
        <v>0.9</v>
      </c>
      <c r="O69" s="36">
        <f t="shared" si="3"/>
        <v>21990</v>
      </c>
      <c r="P69" s="6" t="s">
        <v>16</v>
      </c>
    </row>
    <row r="70" spans="1:16" x14ac:dyDescent="0.35">
      <c r="A70" s="34" t="s">
        <v>6737</v>
      </c>
      <c r="B70" s="7">
        <f t="shared" si="4"/>
        <v>46086</v>
      </c>
      <c r="C70" s="7">
        <f t="shared" si="5"/>
        <v>46092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7">
        <v>0.9</v>
      </c>
      <c r="O70" s="36">
        <f t="shared" si="3"/>
        <v>21990</v>
      </c>
      <c r="P70" s="6" t="s">
        <v>16</v>
      </c>
    </row>
    <row r="71" spans="1:16" x14ac:dyDescent="0.35">
      <c r="A71" s="34" t="s">
        <v>6737</v>
      </c>
      <c r="B71" s="7">
        <f t="shared" si="4"/>
        <v>46086</v>
      </c>
      <c r="C71" s="7">
        <f t="shared" si="5"/>
        <v>46092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7">
        <v>0.9</v>
      </c>
      <c r="O71" s="36">
        <f t="shared" si="3"/>
        <v>21990</v>
      </c>
      <c r="P71" s="6" t="s">
        <v>16</v>
      </c>
    </row>
    <row r="72" spans="1:16" x14ac:dyDescent="0.35">
      <c r="A72" s="34" t="s">
        <v>6737</v>
      </c>
      <c r="B72" s="7">
        <f t="shared" si="4"/>
        <v>46086</v>
      </c>
      <c r="C72" s="7">
        <f t="shared" si="5"/>
        <v>46092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7">
        <v>0.9</v>
      </c>
      <c r="O72" s="36">
        <f t="shared" si="3"/>
        <v>21990</v>
      </c>
      <c r="P72" s="6" t="s">
        <v>16</v>
      </c>
    </row>
    <row r="73" spans="1:16" x14ac:dyDescent="0.35">
      <c r="A73" s="34" t="s">
        <v>6737</v>
      </c>
      <c r="B73" s="7">
        <f t="shared" si="4"/>
        <v>46086</v>
      </c>
      <c r="C73" s="7">
        <f t="shared" si="5"/>
        <v>46092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7">
        <v>0.9</v>
      </c>
      <c r="O73" s="36">
        <f t="shared" si="3"/>
        <v>21990</v>
      </c>
      <c r="P73" s="6" t="s">
        <v>16</v>
      </c>
    </row>
    <row r="74" spans="1:16" x14ac:dyDescent="0.35">
      <c r="A74" s="34" t="s">
        <v>6737</v>
      </c>
      <c r="B74" s="7">
        <f t="shared" si="4"/>
        <v>46086</v>
      </c>
      <c r="C74" s="7">
        <f t="shared" si="5"/>
        <v>46092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7">
        <v>0.9</v>
      </c>
      <c r="O74" s="36">
        <f t="shared" si="3"/>
        <v>7990</v>
      </c>
      <c r="P74" s="6" t="s">
        <v>16</v>
      </c>
    </row>
    <row r="75" spans="1:16" x14ac:dyDescent="0.35">
      <c r="A75" s="34" t="s">
        <v>6737</v>
      </c>
      <c r="B75" s="7">
        <f t="shared" si="4"/>
        <v>46086</v>
      </c>
      <c r="C75" s="7">
        <f t="shared" si="5"/>
        <v>46092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7">
        <v>0.9</v>
      </c>
      <c r="O75" s="36">
        <f t="shared" si="3"/>
        <v>7990</v>
      </c>
      <c r="P75" s="6" t="s">
        <v>16</v>
      </c>
    </row>
    <row r="76" spans="1:16" x14ac:dyDescent="0.35">
      <c r="A76" s="34" t="s">
        <v>6737</v>
      </c>
      <c r="B76" s="7">
        <f t="shared" si="4"/>
        <v>46086</v>
      </c>
      <c r="C76" s="7">
        <f t="shared" si="5"/>
        <v>46092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7">
        <v>0.9</v>
      </c>
      <c r="O76" s="36">
        <f t="shared" si="3"/>
        <v>7990</v>
      </c>
      <c r="P76" s="6" t="s">
        <v>16</v>
      </c>
    </row>
    <row r="77" spans="1:16" x14ac:dyDescent="0.35">
      <c r="A77" s="34" t="s">
        <v>6737</v>
      </c>
      <c r="B77" s="7">
        <f t="shared" si="4"/>
        <v>46086</v>
      </c>
      <c r="C77" s="7">
        <f t="shared" si="5"/>
        <v>46092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7">
        <v>0.9</v>
      </c>
      <c r="O77" s="36">
        <f t="shared" si="3"/>
        <v>3790</v>
      </c>
      <c r="P77" s="6" t="s">
        <v>16</v>
      </c>
    </row>
    <row r="78" spans="1:16" x14ac:dyDescent="0.35">
      <c r="A78" s="34" t="s">
        <v>6737</v>
      </c>
      <c r="B78" s="7">
        <f t="shared" si="4"/>
        <v>46086</v>
      </c>
      <c r="C78" s="7">
        <f t="shared" si="5"/>
        <v>46092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7">
        <v>0.9</v>
      </c>
      <c r="O78" s="36">
        <f t="shared" si="3"/>
        <v>3790</v>
      </c>
      <c r="P78" s="6" t="s">
        <v>16</v>
      </c>
    </row>
    <row r="79" spans="1:16" x14ac:dyDescent="0.35">
      <c r="A79" s="34" t="s">
        <v>6737</v>
      </c>
      <c r="B79" s="7">
        <f t="shared" si="4"/>
        <v>46086</v>
      </c>
      <c r="C79" s="7">
        <f t="shared" si="5"/>
        <v>46092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7">
        <v>0.9</v>
      </c>
      <c r="O79" s="36">
        <f t="shared" si="3"/>
        <v>8990</v>
      </c>
      <c r="P79" s="6" t="s">
        <v>16</v>
      </c>
    </row>
    <row r="80" spans="1:16" x14ac:dyDescent="0.35">
      <c r="A80" s="34" t="s">
        <v>6737</v>
      </c>
      <c r="B80" s="7">
        <f t="shared" si="4"/>
        <v>46086</v>
      </c>
      <c r="C80" s="7">
        <f t="shared" si="5"/>
        <v>46092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7">
        <v>0.9</v>
      </c>
      <c r="O80" s="36">
        <f t="shared" si="3"/>
        <v>8990</v>
      </c>
      <c r="P80" s="6" t="s">
        <v>16</v>
      </c>
    </row>
    <row r="81" spans="1:16" x14ac:dyDescent="0.35">
      <c r="A81" s="34" t="s">
        <v>6737</v>
      </c>
      <c r="B81" s="7">
        <f t="shared" si="4"/>
        <v>46086</v>
      </c>
      <c r="C81" s="7">
        <f t="shared" si="5"/>
        <v>46092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7">
        <v>0.9</v>
      </c>
      <c r="O81" s="36">
        <f t="shared" si="3"/>
        <v>8990</v>
      </c>
      <c r="P81" s="6" t="s">
        <v>16</v>
      </c>
    </row>
    <row r="82" spans="1:16" x14ac:dyDescent="0.35">
      <c r="A82" s="34" t="s">
        <v>6737</v>
      </c>
      <c r="B82" s="7">
        <f t="shared" si="4"/>
        <v>46086</v>
      </c>
      <c r="C82" s="7">
        <f t="shared" si="5"/>
        <v>46092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7">
        <v>0.9</v>
      </c>
      <c r="O82" s="36">
        <f t="shared" si="3"/>
        <v>8990</v>
      </c>
      <c r="P82" s="6" t="s">
        <v>16</v>
      </c>
    </row>
    <row r="83" spans="1:16" x14ac:dyDescent="0.35">
      <c r="A83" s="34" t="s">
        <v>6737</v>
      </c>
      <c r="B83" s="7">
        <f t="shared" si="4"/>
        <v>46086</v>
      </c>
      <c r="C83" s="7">
        <f t="shared" si="5"/>
        <v>46092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7">
        <v>0.9</v>
      </c>
      <c r="O83" s="36">
        <f t="shared" si="3"/>
        <v>8990</v>
      </c>
      <c r="P83" s="6" t="s">
        <v>16</v>
      </c>
    </row>
    <row r="84" spans="1:16" x14ac:dyDescent="0.35">
      <c r="A84" s="34" t="s">
        <v>6737</v>
      </c>
      <c r="B84" s="7">
        <f t="shared" si="4"/>
        <v>46086</v>
      </c>
      <c r="C84" s="7">
        <f t="shared" si="5"/>
        <v>46092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7">
        <v>0.9</v>
      </c>
      <c r="O84" s="36">
        <f t="shared" si="3"/>
        <v>8990</v>
      </c>
      <c r="P84" s="6" t="s">
        <v>16</v>
      </c>
    </row>
    <row r="85" spans="1:16" x14ac:dyDescent="0.35">
      <c r="A85" s="34" t="s">
        <v>6737</v>
      </c>
      <c r="B85" s="7">
        <f t="shared" si="4"/>
        <v>46086</v>
      </c>
      <c r="C85" s="7">
        <f t="shared" si="5"/>
        <v>46092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7">
        <v>0.9</v>
      </c>
      <c r="O85" s="36">
        <f t="shared" si="3"/>
        <v>8990</v>
      </c>
      <c r="P85" s="6" t="s">
        <v>16</v>
      </c>
    </row>
    <row r="86" spans="1:16" x14ac:dyDescent="0.35">
      <c r="A86" s="34" t="s">
        <v>6737</v>
      </c>
      <c r="B86" s="7">
        <f t="shared" si="4"/>
        <v>46086</v>
      </c>
      <c r="C86" s="7">
        <f t="shared" si="5"/>
        <v>46092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7">
        <v>0.9</v>
      </c>
      <c r="O86" s="36">
        <f t="shared" si="3"/>
        <v>8990</v>
      </c>
      <c r="P86" s="6" t="s">
        <v>16</v>
      </c>
    </row>
    <row r="87" spans="1:16" x14ac:dyDescent="0.35">
      <c r="A87" s="34" t="s">
        <v>6737</v>
      </c>
      <c r="B87" s="7">
        <f t="shared" si="4"/>
        <v>46086</v>
      </c>
      <c r="C87" s="7">
        <f t="shared" si="5"/>
        <v>46092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7">
        <v>0.9</v>
      </c>
      <c r="O87" s="36">
        <f t="shared" si="3"/>
        <v>8990</v>
      </c>
      <c r="P87" s="6" t="s">
        <v>16</v>
      </c>
    </row>
    <row r="88" spans="1:16" x14ac:dyDescent="0.35">
      <c r="A88" s="34" t="s">
        <v>6737</v>
      </c>
      <c r="B88" s="7">
        <f t="shared" si="4"/>
        <v>46086</v>
      </c>
      <c r="C88" s="7">
        <f t="shared" si="5"/>
        <v>46092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7">
        <v>0.9</v>
      </c>
      <c r="O88" s="36">
        <f t="shared" si="3"/>
        <v>8990</v>
      </c>
      <c r="P88" s="6" t="s">
        <v>16</v>
      </c>
    </row>
    <row r="89" spans="1:16" x14ac:dyDescent="0.35">
      <c r="A89" s="34" t="s">
        <v>6737</v>
      </c>
      <c r="B89" s="7">
        <f t="shared" si="4"/>
        <v>46086</v>
      </c>
      <c r="C89" s="7">
        <f t="shared" si="5"/>
        <v>46092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7">
        <v>0.9</v>
      </c>
      <c r="O89" s="36">
        <f t="shared" si="3"/>
        <v>3790</v>
      </c>
      <c r="P89" s="6" t="s">
        <v>16</v>
      </c>
    </row>
    <row r="90" spans="1:16" x14ac:dyDescent="0.35">
      <c r="A90" s="34" t="s">
        <v>6737</v>
      </c>
      <c r="B90" s="7">
        <f t="shared" si="4"/>
        <v>46086</v>
      </c>
      <c r="C90" s="7">
        <f t="shared" si="5"/>
        <v>46092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7">
        <v>0.9</v>
      </c>
      <c r="O90" s="36">
        <f t="shared" si="3"/>
        <v>3790</v>
      </c>
      <c r="P90" s="6" t="s">
        <v>16</v>
      </c>
    </row>
    <row r="91" spans="1:16" x14ac:dyDescent="0.35">
      <c r="A91" s="34" t="s">
        <v>6737</v>
      </c>
      <c r="B91" s="7">
        <f t="shared" si="4"/>
        <v>46086</v>
      </c>
      <c r="C91" s="7">
        <f t="shared" si="5"/>
        <v>46092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7">
        <v>0.9</v>
      </c>
      <c r="O91" s="36">
        <f t="shared" si="3"/>
        <v>3790</v>
      </c>
      <c r="P91" s="6" t="s">
        <v>16</v>
      </c>
    </row>
    <row r="92" spans="1:16" x14ac:dyDescent="0.35">
      <c r="A92" s="34" t="s">
        <v>6737</v>
      </c>
      <c r="B92" s="7">
        <f t="shared" si="4"/>
        <v>46086</v>
      </c>
      <c r="C92" s="7">
        <f t="shared" si="5"/>
        <v>46092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7">
        <v>0.9</v>
      </c>
      <c r="O92" s="36">
        <f t="shared" si="3"/>
        <v>3790</v>
      </c>
      <c r="P92" s="6" t="s">
        <v>16</v>
      </c>
    </row>
    <row r="93" spans="1:16" x14ac:dyDescent="0.35">
      <c r="A93" s="34" t="s">
        <v>6737</v>
      </c>
      <c r="B93" s="7">
        <f t="shared" si="4"/>
        <v>46086</v>
      </c>
      <c r="C93" s="7">
        <f t="shared" si="5"/>
        <v>46092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7">
        <v>0.9</v>
      </c>
      <c r="O93" s="36">
        <f t="shared" si="3"/>
        <v>3790</v>
      </c>
      <c r="P93" s="6" t="s">
        <v>16</v>
      </c>
    </row>
    <row r="94" spans="1:16" x14ac:dyDescent="0.35">
      <c r="A94" s="34" t="s">
        <v>6737</v>
      </c>
      <c r="B94" s="7">
        <f t="shared" si="4"/>
        <v>46086</v>
      </c>
      <c r="C94" s="7">
        <f t="shared" si="5"/>
        <v>46092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7">
        <v>0.9</v>
      </c>
      <c r="O94" s="36">
        <f t="shared" si="3"/>
        <v>3790</v>
      </c>
      <c r="P94" s="6" t="s">
        <v>16</v>
      </c>
    </row>
    <row r="95" spans="1:16" x14ac:dyDescent="0.35">
      <c r="A95" s="34" t="s">
        <v>6737</v>
      </c>
      <c r="B95" s="7">
        <f t="shared" si="4"/>
        <v>46086</v>
      </c>
      <c r="C95" s="7">
        <f t="shared" si="5"/>
        <v>46092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7">
        <v>0.9</v>
      </c>
      <c r="O95" s="36">
        <f t="shared" si="3"/>
        <v>3790</v>
      </c>
      <c r="P95" s="6" t="s">
        <v>16</v>
      </c>
    </row>
    <row r="96" spans="1:16" x14ac:dyDescent="0.35">
      <c r="A96" s="34" t="s">
        <v>6737</v>
      </c>
      <c r="B96" s="7">
        <f t="shared" si="4"/>
        <v>46086</v>
      </c>
      <c r="C96" s="7">
        <f t="shared" si="5"/>
        <v>46092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7">
        <v>0.9</v>
      </c>
      <c r="O96" s="36">
        <f t="shared" si="3"/>
        <v>3790</v>
      </c>
      <c r="P96" s="6" t="s">
        <v>16</v>
      </c>
    </row>
    <row r="97" spans="1:16" x14ac:dyDescent="0.35">
      <c r="A97" s="34" t="s">
        <v>6737</v>
      </c>
      <c r="B97" s="7">
        <f t="shared" si="4"/>
        <v>46086</v>
      </c>
      <c r="C97" s="7">
        <f t="shared" si="5"/>
        <v>46092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7">
        <v>0.9</v>
      </c>
      <c r="O97" s="36">
        <f t="shared" si="3"/>
        <v>3790</v>
      </c>
      <c r="P97" s="6" t="s">
        <v>16</v>
      </c>
    </row>
    <row r="98" spans="1:16" x14ac:dyDescent="0.35">
      <c r="A98" s="34" t="s">
        <v>6737</v>
      </c>
      <c r="B98" s="7">
        <f t="shared" si="4"/>
        <v>46086</v>
      </c>
      <c r="C98" s="7">
        <f t="shared" si="5"/>
        <v>46092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7">
        <v>0.9</v>
      </c>
      <c r="O98" s="36">
        <f t="shared" si="3"/>
        <v>3790</v>
      </c>
      <c r="P98" s="6" t="s">
        <v>16</v>
      </c>
    </row>
    <row r="99" spans="1:16" x14ac:dyDescent="0.35">
      <c r="A99" s="34" t="s">
        <v>6737</v>
      </c>
      <c r="B99" s="7">
        <f t="shared" si="4"/>
        <v>46086</v>
      </c>
      <c r="C99" s="7">
        <f t="shared" si="5"/>
        <v>46092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7">
        <v>0.9</v>
      </c>
      <c r="O99" s="36">
        <f t="shared" si="3"/>
        <v>3790</v>
      </c>
      <c r="P99" s="6" t="s">
        <v>16</v>
      </c>
    </row>
    <row r="100" spans="1:16" x14ac:dyDescent="0.35">
      <c r="A100" s="34" t="s">
        <v>6737</v>
      </c>
      <c r="B100" s="7">
        <f t="shared" si="4"/>
        <v>46086</v>
      </c>
      <c r="C100" s="7">
        <f t="shared" si="5"/>
        <v>46092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7">
        <v>0.9</v>
      </c>
      <c r="O100" s="36">
        <f t="shared" si="3"/>
        <v>3790</v>
      </c>
      <c r="P100" s="6" t="s">
        <v>16</v>
      </c>
    </row>
    <row r="101" spans="1:16" x14ac:dyDescent="0.35">
      <c r="A101" s="34" t="s">
        <v>6737</v>
      </c>
      <c r="B101" s="7">
        <f t="shared" si="4"/>
        <v>46086</v>
      </c>
      <c r="C101" s="7">
        <f t="shared" si="5"/>
        <v>46092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7">
        <v>0.9</v>
      </c>
      <c r="O101" s="36">
        <f t="shared" si="3"/>
        <v>3790</v>
      </c>
      <c r="P101" s="6" t="s">
        <v>16</v>
      </c>
    </row>
    <row r="102" spans="1:16" x14ac:dyDescent="0.35">
      <c r="A102" s="34" t="s">
        <v>6737</v>
      </c>
      <c r="B102" s="7">
        <f t="shared" si="4"/>
        <v>46086</v>
      </c>
      <c r="C102" s="7">
        <f t="shared" si="5"/>
        <v>46092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7">
        <v>0.9</v>
      </c>
      <c r="O102" s="36">
        <f t="shared" si="3"/>
        <v>3790</v>
      </c>
      <c r="P102" s="6" t="s">
        <v>16</v>
      </c>
    </row>
    <row r="103" spans="1:16" x14ac:dyDescent="0.35">
      <c r="A103" s="34" t="s">
        <v>6737</v>
      </c>
      <c r="B103" s="7">
        <f t="shared" si="4"/>
        <v>46086</v>
      </c>
      <c r="C103" s="7">
        <f t="shared" si="5"/>
        <v>46092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7">
        <v>0.9</v>
      </c>
      <c r="O103" s="36">
        <f t="shared" si="3"/>
        <v>3790</v>
      </c>
      <c r="P103" s="6" t="s">
        <v>16</v>
      </c>
    </row>
    <row r="104" spans="1:16" x14ac:dyDescent="0.35">
      <c r="A104" s="34" t="s">
        <v>6737</v>
      </c>
      <c r="B104" s="7">
        <f t="shared" si="4"/>
        <v>46086</v>
      </c>
      <c r="C104" s="7">
        <f t="shared" si="5"/>
        <v>46092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7">
        <v>0.9</v>
      </c>
      <c r="O104" s="36">
        <f t="shared" si="3"/>
        <v>3790</v>
      </c>
      <c r="P104" s="6" t="s">
        <v>16</v>
      </c>
    </row>
    <row r="105" spans="1:16" x14ac:dyDescent="0.35">
      <c r="A105" s="34" t="s">
        <v>6737</v>
      </c>
      <c r="B105" s="7">
        <f t="shared" si="4"/>
        <v>46086</v>
      </c>
      <c r="C105" s="7">
        <f t="shared" si="5"/>
        <v>46092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7">
        <v>0.9</v>
      </c>
      <c r="O105" s="36">
        <f t="shared" si="3"/>
        <v>3790</v>
      </c>
      <c r="P105" s="6" t="s">
        <v>16</v>
      </c>
    </row>
    <row r="106" spans="1:16" x14ac:dyDescent="0.35">
      <c r="A106" s="34" t="s">
        <v>6737</v>
      </c>
      <c r="B106" s="7">
        <f t="shared" si="4"/>
        <v>46086</v>
      </c>
      <c r="C106" s="7">
        <f t="shared" si="5"/>
        <v>46092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7">
        <v>0.9</v>
      </c>
      <c r="O106" s="36">
        <f t="shared" si="3"/>
        <v>8990</v>
      </c>
      <c r="P106" s="6" t="s">
        <v>16</v>
      </c>
    </row>
    <row r="107" spans="1:16" x14ac:dyDescent="0.35">
      <c r="A107" s="34" t="s">
        <v>6737</v>
      </c>
      <c r="B107" s="7">
        <f t="shared" si="4"/>
        <v>46086</v>
      </c>
      <c r="C107" s="7">
        <f t="shared" si="5"/>
        <v>46092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7">
        <v>0.9</v>
      </c>
      <c r="O107" s="36">
        <f t="shared" si="3"/>
        <v>8990</v>
      </c>
      <c r="P107" s="6" t="s">
        <v>16</v>
      </c>
    </row>
    <row r="108" spans="1:16" x14ac:dyDescent="0.35">
      <c r="A108" s="34" t="s">
        <v>6737</v>
      </c>
      <c r="B108" s="7">
        <f t="shared" si="4"/>
        <v>46086</v>
      </c>
      <c r="C108" s="7">
        <f t="shared" si="5"/>
        <v>46092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7">
        <v>0.9</v>
      </c>
      <c r="O108" s="36">
        <f t="shared" si="3"/>
        <v>8990</v>
      </c>
      <c r="P108" s="6" t="s">
        <v>16</v>
      </c>
    </row>
    <row r="109" spans="1:16" x14ac:dyDescent="0.35">
      <c r="A109" s="34" t="s">
        <v>6737</v>
      </c>
      <c r="B109" s="7">
        <f t="shared" si="4"/>
        <v>46086</v>
      </c>
      <c r="C109" s="7">
        <f t="shared" si="5"/>
        <v>46092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7">
        <v>0.9</v>
      </c>
      <c r="O109" s="36">
        <f t="shared" si="3"/>
        <v>8990</v>
      </c>
      <c r="P109" s="6" t="s">
        <v>16</v>
      </c>
    </row>
    <row r="110" spans="1:16" x14ac:dyDescent="0.35">
      <c r="A110" s="34" t="s">
        <v>6737</v>
      </c>
      <c r="B110" s="7">
        <f t="shared" si="4"/>
        <v>46086</v>
      </c>
      <c r="C110" s="7">
        <f t="shared" si="5"/>
        <v>46092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7">
        <v>0.9</v>
      </c>
      <c r="O110" s="36">
        <f t="shared" si="3"/>
        <v>8990</v>
      </c>
      <c r="P110" s="6" t="s">
        <v>16</v>
      </c>
    </row>
    <row r="111" spans="1:16" x14ac:dyDescent="0.35">
      <c r="A111" s="34" t="s">
        <v>6737</v>
      </c>
      <c r="B111" s="7">
        <f t="shared" si="4"/>
        <v>46086</v>
      </c>
      <c r="C111" s="7">
        <f t="shared" si="5"/>
        <v>46092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7">
        <v>0.9</v>
      </c>
      <c r="O111" s="36">
        <f t="shared" si="3"/>
        <v>8990</v>
      </c>
      <c r="P111" s="6" t="s">
        <v>16</v>
      </c>
    </row>
    <row r="112" spans="1:16" x14ac:dyDescent="0.35">
      <c r="A112" s="34" t="s">
        <v>6737</v>
      </c>
      <c r="B112" s="7">
        <f t="shared" si="4"/>
        <v>46086</v>
      </c>
      <c r="C112" s="7">
        <f t="shared" si="5"/>
        <v>46092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7">
        <v>0.9</v>
      </c>
      <c r="O112" s="36">
        <f t="shared" si="3"/>
        <v>8990</v>
      </c>
      <c r="P112" s="6" t="s">
        <v>16</v>
      </c>
    </row>
    <row r="113" spans="1:16" x14ac:dyDescent="0.35">
      <c r="A113" s="34" t="s">
        <v>6737</v>
      </c>
      <c r="B113" s="7">
        <f t="shared" si="4"/>
        <v>46086</v>
      </c>
      <c r="C113" s="7">
        <f t="shared" si="5"/>
        <v>46092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7">
        <v>0.9</v>
      </c>
      <c r="O113" s="36">
        <f t="shared" si="3"/>
        <v>8990</v>
      </c>
      <c r="P113" s="6" t="s">
        <v>16</v>
      </c>
    </row>
    <row r="114" spans="1:16" x14ac:dyDescent="0.35">
      <c r="A114" s="34" t="s">
        <v>6737</v>
      </c>
      <c r="B114" s="7">
        <f t="shared" si="4"/>
        <v>46086</v>
      </c>
      <c r="C114" s="7">
        <f t="shared" si="5"/>
        <v>46092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7">
        <v>0.9</v>
      </c>
      <c r="O114" s="36">
        <f t="shared" si="3"/>
        <v>8990</v>
      </c>
      <c r="P114" s="6" t="s">
        <v>16</v>
      </c>
    </row>
    <row r="115" spans="1:16" x14ac:dyDescent="0.35">
      <c r="A115" s="34" t="s">
        <v>6737</v>
      </c>
      <c r="B115" s="7">
        <f t="shared" si="4"/>
        <v>46086</v>
      </c>
      <c r="C115" s="7">
        <f t="shared" si="5"/>
        <v>46092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7">
        <v>0.9</v>
      </c>
      <c r="O115" s="36">
        <f t="shared" si="3"/>
        <v>8990</v>
      </c>
      <c r="P115" s="6" t="s">
        <v>16</v>
      </c>
    </row>
    <row r="116" spans="1:16" x14ac:dyDescent="0.35">
      <c r="A116" s="34" t="s">
        <v>6737</v>
      </c>
      <c r="B116" s="7">
        <f t="shared" si="4"/>
        <v>46086</v>
      </c>
      <c r="C116" s="7">
        <f t="shared" si="5"/>
        <v>46092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7">
        <v>0.9</v>
      </c>
      <c r="O116" s="36">
        <f t="shared" si="3"/>
        <v>3490</v>
      </c>
      <c r="P116" s="6" t="s">
        <v>16</v>
      </c>
    </row>
    <row r="117" spans="1:16" x14ac:dyDescent="0.35">
      <c r="A117" s="34" t="s">
        <v>6737</v>
      </c>
      <c r="B117" s="7">
        <f t="shared" si="4"/>
        <v>46086</v>
      </c>
      <c r="C117" s="7">
        <f t="shared" si="5"/>
        <v>46092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7">
        <v>0.9</v>
      </c>
      <c r="O117" s="36">
        <f t="shared" si="3"/>
        <v>3490</v>
      </c>
      <c r="P117" s="6" t="s">
        <v>16</v>
      </c>
    </row>
    <row r="118" spans="1:16" x14ac:dyDescent="0.35">
      <c r="A118" s="34" t="s">
        <v>6737</v>
      </c>
      <c r="B118" s="7">
        <f t="shared" si="4"/>
        <v>46086</v>
      </c>
      <c r="C118" s="7">
        <f t="shared" si="5"/>
        <v>46092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7">
        <v>0.9</v>
      </c>
      <c r="O118" s="36">
        <f t="shared" si="3"/>
        <v>3490</v>
      </c>
      <c r="P118" s="6" t="s">
        <v>16</v>
      </c>
    </row>
    <row r="119" spans="1:16" x14ac:dyDescent="0.35">
      <c r="A119" s="34" t="s">
        <v>6737</v>
      </c>
      <c r="B119" s="7">
        <f t="shared" si="4"/>
        <v>46086</v>
      </c>
      <c r="C119" s="7">
        <f t="shared" si="5"/>
        <v>46092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7">
        <v>0.9</v>
      </c>
      <c r="O119" s="36">
        <f t="shared" si="3"/>
        <v>3490</v>
      </c>
      <c r="P119" s="6" t="s">
        <v>16</v>
      </c>
    </row>
    <row r="120" spans="1:16" x14ac:dyDescent="0.35">
      <c r="A120" s="34" t="s">
        <v>6737</v>
      </c>
      <c r="B120" s="7">
        <f t="shared" si="4"/>
        <v>46086</v>
      </c>
      <c r="C120" s="7">
        <f t="shared" si="5"/>
        <v>46092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7">
        <v>0.9</v>
      </c>
      <c r="O120" s="36">
        <f t="shared" si="3"/>
        <v>3790</v>
      </c>
      <c r="P120" s="6" t="s">
        <v>16</v>
      </c>
    </row>
    <row r="121" spans="1:16" x14ac:dyDescent="0.35">
      <c r="A121" s="34" t="s">
        <v>6737</v>
      </c>
      <c r="B121" s="7">
        <f t="shared" si="4"/>
        <v>46086</v>
      </c>
      <c r="C121" s="7">
        <f t="shared" si="5"/>
        <v>46092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7">
        <v>0.9</v>
      </c>
      <c r="O121" s="36">
        <f t="shared" si="3"/>
        <v>3790</v>
      </c>
      <c r="P121" s="6" t="s">
        <v>16</v>
      </c>
    </row>
    <row r="122" spans="1:16" x14ac:dyDescent="0.35">
      <c r="A122" s="34" t="s">
        <v>6737</v>
      </c>
      <c r="B122" s="7">
        <f t="shared" si="4"/>
        <v>46086</v>
      </c>
      <c r="C122" s="7">
        <f t="shared" si="5"/>
        <v>46092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7">
        <v>0.9</v>
      </c>
      <c r="O122" s="36">
        <f t="shared" si="3"/>
        <v>3790</v>
      </c>
      <c r="P122" s="6" t="s">
        <v>16</v>
      </c>
    </row>
    <row r="123" spans="1:16" x14ac:dyDescent="0.35">
      <c r="A123" s="34" t="s">
        <v>6737</v>
      </c>
      <c r="B123" s="7">
        <f t="shared" si="4"/>
        <v>46086</v>
      </c>
      <c r="C123" s="7">
        <f t="shared" si="5"/>
        <v>46092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5171</v>
      </c>
      <c r="M123" s="8">
        <v>37900</v>
      </c>
      <c r="N123" s="37">
        <v>0.9</v>
      </c>
      <c r="O123" s="36">
        <f t="shared" si="3"/>
        <v>3790</v>
      </c>
      <c r="P123" s="6" t="s">
        <v>16</v>
      </c>
    </row>
    <row r="124" spans="1:16" x14ac:dyDescent="0.35">
      <c r="A124" s="34" t="s">
        <v>6737</v>
      </c>
      <c r="B124" s="7">
        <f t="shared" si="4"/>
        <v>46086</v>
      </c>
      <c r="C124" s="7">
        <f t="shared" si="5"/>
        <v>46092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7">
        <v>0.9</v>
      </c>
      <c r="O124" s="36">
        <f t="shared" si="3"/>
        <v>3790</v>
      </c>
      <c r="P124" s="6" t="s">
        <v>16</v>
      </c>
    </row>
    <row r="125" spans="1:16" x14ac:dyDescent="0.35">
      <c r="A125" s="34" t="s">
        <v>6737</v>
      </c>
      <c r="B125" s="7">
        <f t="shared" si="4"/>
        <v>46086</v>
      </c>
      <c r="C125" s="7">
        <f t="shared" si="5"/>
        <v>46092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7">
        <v>0.9</v>
      </c>
      <c r="O125" s="36">
        <f t="shared" si="3"/>
        <v>3790</v>
      </c>
      <c r="P125" s="6" t="s">
        <v>16</v>
      </c>
    </row>
    <row r="126" spans="1:16" x14ac:dyDescent="0.35">
      <c r="A126" s="34" t="s">
        <v>6737</v>
      </c>
      <c r="B126" s="7">
        <f t="shared" si="4"/>
        <v>46086</v>
      </c>
      <c r="C126" s="7">
        <f t="shared" si="5"/>
        <v>46092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7">
        <v>0.9</v>
      </c>
      <c r="O126" s="36">
        <f t="shared" si="3"/>
        <v>3790</v>
      </c>
      <c r="P126" s="6" t="s">
        <v>16</v>
      </c>
    </row>
    <row r="127" spans="1:16" x14ac:dyDescent="0.35">
      <c r="A127" s="34" t="s">
        <v>6737</v>
      </c>
      <c r="B127" s="7">
        <f t="shared" si="4"/>
        <v>46086</v>
      </c>
      <c r="C127" s="7">
        <f t="shared" si="5"/>
        <v>46092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7">
        <v>0.9</v>
      </c>
      <c r="O127" s="36">
        <f t="shared" si="3"/>
        <v>3790</v>
      </c>
      <c r="P127" s="6" t="s">
        <v>16</v>
      </c>
    </row>
    <row r="128" spans="1:16" x14ac:dyDescent="0.35">
      <c r="A128" s="34" t="s">
        <v>6737</v>
      </c>
      <c r="B128" s="7">
        <f t="shared" si="4"/>
        <v>46086</v>
      </c>
      <c r="C128" s="7">
        <f t="shared" si="5"/>
        <v>46092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7">
        <v>0.9</v>
      </c>
      <c r="O128" s="36">
        <f t="shared" si="3"/>
        <v>3790</v>
      </c>
      <c r="P128" s="6" t="s">
        <v>16</v>
      </c>
    </row>
    <row r="129" spans="1:16" x14ac:dyDescent="0.35">
      <c r="A129" s="34" t="s">
        <v>6737</v>
      </c>
      <c r="B129" s="7">
        <f t="shared" si="4"/>
        <v>46086</v>
      </c>
      <c r="C129" s="7">
        <f t="shared" si="5"/>
        <v>46092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7">
        <v>0.9</v>
      </c>
      <c r="O129" s="36">
        <f t="shared" si="3"/>
        <v>3790</v>
      </c>
      <c r="P129" s="6" t="s">
        <v>16</v>
      </c>
    </row>
    <row r="130" spans="1:16" x14ac:dyDescent="0.35">
      <c r="A130" s="34" t="s">
        <v>6737</v>
      </c>
      <c r="B130" s="7">
        <f t="shared" si="4"/>
        <v>46086</v>
      </c>
      <c r="C130" s="7">
        <f t="shared" si="5"/>
        <v>46092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5172</v>
      </c>
      <c r="M130" s="8">
        <v>37900</v>
      </c>
      <c r="N130" s="37">
        <v>0.9</v>
      </c>
      <c r="O130" s="36">
        <f t="shared" si="3"/>
        <v>3790</v>
      </c>
      <c r="P130" s="6" t="s">
        <v>16</v>
      </c>
    </row>
    <row r="131" spans="1:16" x14ac:dyDescent="0.35">
      <c r="A131" s="34" t="s">
        <v>6737</v>
      </c>
      <c r="B131" s="7">
        <f t="shared" si="4"/>
        <v>46086</v>
      </c>
      <c r="C131" s="7">
        <f t="shared" si="5"/>
        <v>46092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5173</v>
      </c>
      <c r="M131" s="8">
        <v>37900</v>
      </c>
      <c r="N131" s="37">
        <v>0.9</v>
      </c>
      <c r="O131" s="36">
        <f t="shared" ref="O131:O194" si="6">M131-((90*M131)/100)</f>
        <v>3790</v>
      </c>
      <c r="P131" s="6" t="s">
        <v>16</v>
      </c>
    </row>
    <row r="132" spans="1:16" x14ac:dyDescent="0.35">
      <c r="A132" s="34" t="s">
        <v>6737</v>
      </c>
      <c r="B132" s="7">
        <f t="shared" ref="B132:B195" si="7">B131</f>
        <v>46086</v>
      </c>
      <c r="C132" s="7">
        <f t="shared" ref="C132:C195" si="8">C131</f>
        <v>46092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7">
        <v>0.9</v>
      </c>
      <c r="O132" s="36">
        <f t="shared" si="6"/>
        <v>3790</v>
      </c>
      <c r="P132" s="6" t="s">
        <v>16</v>
      </c>
    </row>
    <row r="133" spans="1:16" x14ac:dyDescent="0.35">
      <c r="A133" s="34" t="s">
        <v>6737</v>
      </c>
      <c r="B133" s="7">
        <f t="shared" si="7"/>
        <v>46086</v>
      </c>
      <c r="C133" s="7">
        <f t="shared" si="8"/>
        <v>46092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7">
        <v>0.9</v>
      </c>
      <c r="O133" s="36">
        <f t="shared" si="6"/>
        <v>3790</v>
      </c>
      <c r="P133" s="6" t="s">
        <v>16</v>
      </c>
    </row>
    <row r="134" spans="1:16" x14ac:dyDescent="0.35">
      <c r="A134" s="34" t="s">
        <v>6737</v>
      </c>
      <c r="B134" s="7">
        <f t="shared" si="7"/>
        <v>46086</v>
      </c>
      <c r="C134" s="7">
        <f t="shared" si="8"/>
        <v>46092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7">
        <v>0.9</v>
      </c>
      <c r="O134" s="36">
        <f t="shared" si="6"/>
        <v>3790</v>
      </c>
      <c r="P134" s="6" t="s">
        <v>16</v>
      </c>
    </row>
    <row r="135" spans="1:16" x14ac:dyDescent="0.35">
      <c r="A135" s="34" t="s">
        <v>6737</v>
      </c>
      <c r="B135" s="7">
        <f t="shared" si="7"/>
        <v>46086</v>
      </c>
      <c r="C135" s="7">
        <f t="shared" si="8"/>
        <v>46092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7">
        <v>0.9</v>
      </c>
      <c r="O135" s="36">
        <f t="shared" si="6"/>
        <v>3790</v>
      </c>
      <c r="P135" s="6" t="s">
        <v>16</v>
      </c>
    </row>
    <row r="136" spans="1:16" x14ac:dyDescent="0.35">
      <c r="A136" s="34" t="s">
        <v>6737</v>
      </c>
      <c r="B136" s="7">
        <f t="shared" si="7"/>
        <v>46086</v>
      </c>
      <c r="C136" s="7">
        <f t="shared" si="8"/>
        <v>46092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7">
        <v>0.9</v>
      </c>
      <c r="O136" s="36">
        <f t="shared" si="6"/>
        <v>3790</v>
      </c>
      <c r="P136" s="6" t="s">
        <v>16</v>
      </c>
    </row>
    <row r="137" spans="1:16" x14ac:dyDescent="0.35">
      <c r="A137" s="34" t="s">
        <v>6737</v>
      </c>
      <c r="B137" s="7">
        <f t="shared" si="7"/>
        <v>46086</v>
      </c>
      <c r="C137" s="7">
        <f t="shared" si="8"/>
        <v>46092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7">
        <v>0.9</v>
      </c>
      <c r="O137" s="36">
        <f t="shared" si="6"/>
        <v>3790</v>
      </c>
      <c r="P137" s="6" t="s">
        <v>16</v>
      </c>
    </row>
    <row r="138" spans="1:16" x14ac:dyDescent="0.35">
      <c r="A138" s="34" t="s">
        <v>6737</v>
      </c>
      <c r="B138" s="7">
        <f t="shared" si="7"/>
        <v>46086</v>
      </c>
      <c r="C138" s="7">
        <f t="shared" si="8"/>
        <v>46092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7">
        <v>0.9</v>
      </c>
      <c r="O138" s="36">
        <f t="shared" si="6"/>
        <v>3790</v>
      </c>
      <c r="P138" s="6" t="s">
        <v>16</v>
      </c>
    </row>
    <row r="139" spans="1:16" x14ac:dyDescent="0.35">
      <c r="A139" s="34" t="s">
        <v>6737</v>
      </c>
      <c r="B139" s="7">
        <f t="shared" si="7"/>
        <v>46086</v>
      </c>
      <c r="C139" s="7">
        <f t="shared" si="8"/>
        <v>46092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7">
        <v>0.9</v>
      </c>
      <c r="O139" s="36">
        <f t="shared" si="6"/>
        <v>3790</v>
      </c>
      <c r="P139" s="6" t="s">
        <v>16</v>
      </c>
    </row>
    <row r="140" spans="1:16" x14ac:dyDescent="0.35">
      <c r="A140" s="34" t="s">
        <v>6737</v>
      </c>
      <c r="B140" s="7">
        <f t="shared" si="7"/>
        <v>46086</v>
      </c>
      <c r="C140" s="7">
        <f t="shared" si="8"/>
        <v>46092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7">
        <v>0.9</v>
      </c>
      <c r="O140" s="36">
        <f t="shared" si="6"/>
        <v>18990</v>
      </c>
      <c r="P140" s="6" t="s">
        <v>16</v>
      </c>
    </row>
    <row r="141" spans="1:16" x14ac:dyDescent="0.35">
      <c r="A141" s="34" t="s">
        <v>6737</v>
      </c>
      <c r="B141" s="7">
        <f t="shared" si="7"/>
        <v>46086</v>
      </c>
      <c r="C141" s="7">
        <f t="shared" si="8"/>
        <v>46092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6737</v>
      </c>
      <c r="B142" s="7">
        <f t="shared" si="7"/>
        <v>46086</v>
      </c>
      <c r="C142" s="7">
        <f t="shared" si="8"/>
        <v>46092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7">
        <v>0.9</v>
      </c>
      <c r="O142" s="36">
        <f t="shared" si="6"/>
        <v>19990</v>
      </c>
      <c r="P142" s="6" t="s">
        <v>16</v>
      </c>
    </row>
    <row r="143" spans="1:16" x14ac:dyDescent="0.35">
      <c r="A143" s="34" t="s">
        <v>6737</v>
      </c>
      <c r="B143" s="7">
        <f t="shared" si="7"/>
        <v>46086</v>
      </c>
      <c r="C143" s="7">
        <f t="shared" si="8"/>
        <v>46092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6737</v>
      </c>
      <c r="B144" s="7">
        <f t="shared" si="7"/>
        <v>46086</v>
      </c>
      <c r="C144" s="7">
        <f t="shared" si="8"/>
        <v>46092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7">
        <v>0.9</v>
      </c>
      <c r="O144" s="36">
        <f t="shared" si="6"/>
        <v>19990</v>
      </c>
      <c r="P144" s="6" t="s">
        <v>16</v>
      </c>
    </row>
    <row r="145" spans="1:16" x14ac:dyDescent="0.35">
      <c r="A145" s="34" t="s">
        <v>6737</v>
      </c>
      <c r="B145" s="7">
        <f t="shared" si="7"/>
        <v>46086</v>
      </c>
      <c r="C145" s="7">
        <f t="shared" si="8"/>
        <v>46092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7">
        <v>0.9</v>
      </c>
      <c r="O145" s="36">
        <f t="shared" si="6"/>
        <v>19990</v>
      </c>
      <c r="P145" s="6" t="s">
        <v>16</v>
      </c>
    </row>
    <row r="146" spans="1:16" x14ac:dyDescent="0.35">
      <c r="A146" s="34" t="s">
        <v>6737</v>
      </c>
      <c r="B146" s="7">
        <f t="shared" si="7"/>
        <v>46086</v>
      </c>
      <c r="C146" s="7">
        <f t="shared" si="8"/>
        <v>46092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7">
        <v>0.9</v>
      </c>
      <c r="O146" s="36">
        <f t="shared" si="6"/>
        <v>18990</v>
      </c>
      <c r="P146" s="6" t="s">
        <v>16</v>
      </c>
    </row>
    <row r="147" spans="1:16" x14ac:dyDescent="0.35">
      <c r="A147" s="34" t="s">
        <v>6737</v>
      </c>
      <c r="B147" s="7">
        <f t="shared" si="7"/>
        <v>46086</v>
      </c>
      <c r="C147" s="7">
        <f t="shared" si="8"/>
        <v>46092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7">
        <v>0.9</v>
      </c>
      <c r="O147" s="36">
        <f t="shared" si="6"/>
        <v>18990</v>
      </c>
      <c r="P147" s="6" t="s">
        <v>16</v>
      </c>
    </row>
    <row r="148" spans="1:16" x14ac:dyDescent="0.35">
      <c r="A148" s="34" t="s">
        <v>6737</v>
      </c>
      <c r="B148" s="7">
        <f t="shared" si="7"/>
        <v>46086</v>
      </c>
      <c r="C148" s="7">
        <f t="shared" si="8"/>
        <v>46092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7">
        <v>0.9</v>
      </c>
      <c r="O148" s="36">
        <f t="shared" si="6"/>
        <v>18990</v>
      </c>
      <c r="P148" s="6" t="s">
        <v>16</v>
      </c>
    </row>
    <row r="149" spans="1:16" x14ac:dyDescent="0.35">
      <c r="A149" s="34" t="s">
        <v>6737</v>
      </c>
      <c r="B149" s="7">
        <f t="shared" si="7"/>
        <v>46086</v>
      </c>
      <c r="C149" s="7">
        <f t="shared" si="8"/>
        <v>46092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7">
        <v>0.9</v>
      </c>
      <c r="O149" s="36">
        <f t="shared" si="6"/>
        <v>18990</v>
      </c>
      <c r="P149" s="6" t="s">
        <v>16</v>
      </c>
    </row>
    <row r="150" spans="1:16" x14ac:dyDescent="0.35">
      <c r="A150" s="34" t="s">
        <v>6737</v>
      </c>
      <c r="B150" s="7">
        <f t="shared" si="7"/>
        <v>46086</v>
      </c>
      <c r="C150" s="7">
        <f t="shared" si="8"/>
        <v>46092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7">
        <v>0.9</v>
      </c>
      <c r="O150" s="36">
        <f t="shared" si="6"/>
        <v>19990</v>
      </c>
      <c r="P150" s="6" t="s">
        <v>16</v>
      </c>
    </row>
    <row r="151" spans="1:16" x14ac:dyDescent="0.35">
      <c r="A151" s="34" t="s">
        <v>6737</v>
      </c>
      <c r="B151" s="7">
        <f t="shared" si="7"/>
        <v>46086</v>
      </c>
      <c r="C151" s="7">
        <f t="shared" si="8"/>
        <v>46092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7">
        <v>0.9</v>
      </c>
      <c r="O151" s="36">
        <f t="shared" si="6"/>
        <v>19990</v>
      </c>
      <c r="P151" s="6" t="s">
        <v>16</v>
      </c>
    </row>
    <row r="152" spans="1:16" x14ac:dyDescent="0.35">
      <c r="A152" s="34" t="s">
        <v>6737</v>
      </c>
      <c r="B152" s="7">
        <f t="shared" si="7"/>
        <v>46086</v>
      </c>
      <c r="C152" s="7">
        <f t="shared" si="8"/>
        <v>46092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7">
        <v>0.9</v>
      </c>
      <c r="O152" s="36">
        <f t="shared" si="6"/>
        <v>19990</v>
      </c>
      <c r="P152" s="6" t="s">
        <v>16</v>
      </c>
    </row>
    <row r="153" spans="1:16" x14ac:dyDescent="0.35">
      <c r="A153" s="34" t="s">
        <v>6737</v>
      </c>
      <c r="B153" s="7">
        <f t="shared" si="7"/>
        <v>46086</v>
      </c>
      <c r="C153" s="7">
        <f t="shared" si="8"/>
        <v>46092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6737</v>
      </c>
      <c r="B154" s="7">
        <f t="shared" si="7"/>
        <v>46086</v>
      </c>
      <c r="C154" s="7">
        <f t="shared" si="8"/>
        <v>46092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6737</v>
      </c>
      <c r="B155" s="7">
        <f t="shared" si="7"/>
        <v>46086</v>
      </c>
      <c r="C155" s="7">
        <f t="shared" si="8"/>
        <v>46092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7">
        <v>0.9</v>
      </c>
      <c r="O155" s="36">
        <f t="shared" si="6"/>
        <v>20990</v>
      </c>
      <c r="P155" s="6" t="s">
        <v>16</v>
      </c>
    </row>
    <row r="156" spans="1:16" x14ac:dyDescent="0.35">
      <c r="A156" s="34" t="s">
        <v>6737</v>
      </c>
      <c r="B156" s="7">
        <f t="shared" si="7"/>
        <v>46086</v>
      </c>
      <c r="C156" s="7">
        <f t="shared" si="8"/>
        <v>46092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7">
        <v>0.9</v>
      </c>
      <c r="O156" s="36">
        <f t="shared" si="6"/>
        <v>20990</v>
      </c>
      <c r="P156" s="6" t="s">
        <v>16</v>
      </c>
    </row>
    <row r="157" spans="1:16" x14ac:dyDescent="0.35">
      <c r="A157" s="34" t="s">
        <v>6737</v>
      </c>
      <c r="B157" s="7">
        <f t="shared" si="7"/>
        <v>46086</v>
      </c>
      <c r="C157" s="7">
        <f t="shared" si="8"/>
        <v>46092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7">
        <v>0.9</v>
      </c>
      <c r="O157" s="36">
        <f t="shared" si="6"/>
        <v>20990</v>
      </c>
      <c r="P157" s="6" t="s">
        <v>16</v>
      </c>
    </row>
    <row r="158" spans="1:16" x14ac:dyDescent="0.35">
      <c r="A158" s="34" t="s">
        <v>6737</v>
      </c>
      <c r="B158" s="7">
        <f t="shared" si="7"/>
        <v>46086</v>
      </c>
      <c r="C158" s="7">
        <f t="shared" si="8"/>
        <v>46092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7">
        <v>0.9</v>
      </c>
      <c r="O158" s="36">
        <f t="shared" si="6"/>
        <v>20990</v>
      </c>
      <c r="P158" s="6" t="s">
        <v>16</v>
      </c>
    </row>
    <row r="159" spans="1:16" x14ac:dyDescent="0.35">
      <c r="A159" s="34" t="s">
        <v>6737</v>
      </c>
      <c r="B159" s="7">
        <f t="shared" si="7"/>
        <v>46086</v>
      </c>
      <c r="C159" s="7">
        <f t="shared" si="8"/>
        <v>46092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6737</v>
      </c>
      <c r="B160" s="7">
        <f t="shared" si="7"/>
        <v>46086</v>
      </c>
      <c r="C160" s="7">
        <f t="shared" si="8"/>
        <v>46092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7">
        <v>0.9</v>
      </c>
      <c r="O160" s="36">
        <f t="shared" si="6"/>
        <v>20990</v>
      </c>
      <c r="P160" s="6" t="s">
        <v>16</v>
      </c>
    </row>
    <row r="161" spans="1:16" x14ac:dyDescent="0.35">
      <c r="A161" s="34" t="s">
        <v>6737</v>
      </c>
      <c r="B161" s="7">
        <f t="shared" si="7"/>
        <v>46086</v>
      </c>
      <c r="C161" s="7">
        <f t="shared" si="8"/>
        <v>46092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7">
        <v>0.9</v>
      </c>
      <c r="O161" s="36">
        <f t="shared" si="6"/>
        <v>20990</v>
      </c>
      <c r="P161" s="6" t="s">
        <v>16</v>
      </c>
    </row>
    <row r="162" spans="1:16" x14ac:dyDescent="0.35">
      <c r="A162" s="34" t="s">
        <v>6737</v>
      </c>
      <c r="B162" s="7">
        <f t="shared" si="7"/>
        <v>46086</v>
      </c>
      <c r="C162" s="7">
        <f t="shared" si="8"/>
        <v>46092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7">
        <v>0.9</v>
      </c>
      <c r="O162" s="36">
        <f t="shared" si="6"/>
        <v>20990</v>
      </c>
      <c r="P162" s="6" t="s">
        <v>16</v>
      </c>
    </row>
    <row r="163" spans="1:16" x14ac:dyDescent="0.35">
      <c r="A163" s="34" t="s">
        <v>6737</v>
      </c>
      <c r="B163" s="7">
        <f t="shared" si="7"/>
        <v>46086</v>
      </c>
      <c r="C163" s="7">
        <f t="shared" si="8"/>
        <v>46092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7">
        <v>0.9</v>
      </c>
      <c r="O163" s="36">
        <f t="shared" si="6"/>
        <v>21990</v>
      </c>
      <c r="P163" s="6" t="s">
        <v>16</v>
      </c>
    </row>
    <row r="164" spans="1:16" x14ac:dyDescent="0.35">
      <c r="A164" s="34" t="s">
        <v>6737</v>
      </c>
      <c r="B164" s="7">
        <f t="shared" si="7"/>
        <v>46086</v>
      </c>
      <c r="C164" s="7">
        <f t="shared" si="8"/>
        <v>46092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7">
        <v>0.9</v>
      </c>
      <c r="O164" s="36">
        <f t="shared" si="6"/>
        <v>21990</v>
      </c>
      <c r="P164" s="6" t="s">
        <v>16</v>
      </c>
    </row>
    <row r="165" spans="1:16" x14ac:dyDescent="0.35">
      <c r="A165" s="34" t="s">
        <v>6737</v>
      </c>
      <c r="B165" s="7">
        <f t="shared" si="7"/>
        <v>46086</v>
      </c>
      <c r="C165" s="7">
        <f t="shared" si="8"/>
        <v>46092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7">
        <v>0.9</v>
      </c>
      <c r="O165" s="36">
        <f t="shared" si="6"/>
        <v>21990</v>
      </c>
      <c r="P165" s="6" t="s">
        <v>16</v>
      </c>
    </row>
    <row r="166" spans="1:16" x14ac:dyDescent="0.35">
      <c r="A166" s="34" t="s">
        <v>6737</v>
      </c>
      <c r="B166" s="7">
        <f t="shared" si="7"/>
        <v>46086</v>
      </c>
      <c r="C166" s="7">
        <f t="shared" si="8"/>
        <v>46092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7">
        <v>0.9</v>
      </c>
      <c r="O166" s="36">
        <f t="shared" si="6"/>
        <v>21990</v>
      </c>
      <c r="P166" s="6" t="s">
        <v>16</v>
      </c>
    </row>
    <row r="167" spans="1:16" x14ac:dyDescent="0.35">
      <c r="A167" s="34" t="s">
        <v>6737</v>
      </c>
      <c r="B167" s="7">
        <f t="shared" si="7"/>
        <v>46086</v>
      </c>
      <c r="C167" s="7">
        <f t="shared" si="8"/>
        <v>46092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7">
        <v>0.9</v>
      </c>
      <c r="O167" s="36">
        <f t="shared" si="6"/>
        <v>21990</v>
      </c>
      <c r="P167" s="6" t="s">
        <v>16</v>
      </c>
    </row>
    <row r="168" spans="1:16" x14ac:dyDescent="0.35">
      <c r="A168" s="34" t="s">
        <v>6737</v>
      </c>
      <c r="B168" s="7">
        <f t="shared" si="7"/>
        <v>46086</v>
      </c>
      <c r="C168" s="7">
        <f t="shared" si="8"/>
        <v>46092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7">
        <v>0.9</v>
      </c>
      <c r="O168" s="36">
        <f t="shared" si="6"/>
        <v>21990</v>
      </c>
      <c r="P168" s="6" t="s">
        <v>16</v>
      </c>
    </row>
    <row r="169" spans="1:16" x14ac:dyDescent="0.35">
      <c r="A169" s="34" t="s">
        <v>6737</v>
      </c>
      <c r="B169" s="7">
        <f t="shared" si="7"/>
        <v>46086</v>
      </c>
      <c r="C169" s="7">
        <f t="shared" si="8"/>
        <v>46092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7">
        <v>0.9</v>
      </c>
      <c r="O169" s="36">
        <f t="shared" si="6"/>
        <v>21990</v>
      </c>
      <c r="P169" s="6" t="s">
        <v>16</v>
      </c>
    </row>
    <row r="170" spans="1:16" x14ac:dyDescent="0.35">
      <c r="A170" s="34" t="s">
        <v>6737</v>
      </c>
      <c r="B170" s="7">
        <f t="shared" si="7"/>
        <v>46086</v>
      </c>
      <c r="C170" s="7">
        <f t="shared" si="8"/>
        <v>46092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7">
        <v>0.9</v>
      </c>
      <c r="O170" s="36">
        <f t="shared" si="6"/>
        <v>21990</v>
      </c>
      <c r="P170" s="6" t="s">
        <v>16</v>
      </c>
    </row>
    <row r="171" spans="1:16" x14ac:dyDescent="0.35">
      <c r="A171" s="34" t="s">
        <v>6737</v>
      </c>
      <c r="B171" s="7">
        <f t="shared" si="7"/>
        <v>46086</v>
      </c>
      <c r="C171" s="7">
        <f t="shared" si="8"/>
        <v>46092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7">
        <v>0.9</v>
      </c>
      <c r="O171" s="36">
        <f t="shared" si="6"/>
        <v>21990</v>
      </c>
      <c r="P171" s="6" t="s">
        <v>16</v>
      </c>
    </row>
    <row r="172" spans="1:16" x14ac:dyDescent="0.35">
      <c r="A172" s="34" t="s">
        <v>6737</v>
      </c>
      <c r="B172" s="7">
        <f t="shared" si="7"/>
        <v>46086</v>
      </c>
      <c r="C172" s="7">
        <f t="shared" si="8"/>
        <v>46092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7">
        <v>0.9</v>
      </c>
      <c r="O172" s="36">
        <f t="shared" si="6"/>
        <v>21990</v>
      </c>
      <c r="P172" s="6" t="s">
        <v>16</v>
      </c>
    </row>
    <row r="173" spans="1:16" x14ac:dyDescent="0.35">
      <c r="A173" s="34" t="s">
        <v>6737</v>
      </c>
      <c r="B173" s="7">
        <f t="shared" si="7"/>
        <v>46086</v>
      </c>
      <c r="C173" s="7">
        <f t="shared" si="8"/>
        <v>46092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6737</v>
      </c>
      <c r="B174" s="7">
        <f t="shared" si="7"/>
        <v>46086</v>
      </c>
      <c r="C174" s="7">
        <f t="shared" si="8"/>
        <v>46092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6737</v>
      </c>
      <c r="B175" s="7">
        <f t="shared" si="7"/>
        <v>46086</v>
      </c>
      <c r="C175" s="7">
        <f t="shared" si="8"/>
        <v>46092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7">
        <v>0.9</v>
      </c>
      <c r="O175" s="36">
        <f t="shared" si="6"/>
        <v>20990</v>
      </c>
      <c r="P175" s="6" t="s">
        <v>16</v>
      </c>
    </row>
    <row r="176" spans="1:16" x14ac:dyDescent="0.35">
      <c r="A176" s="34" t="s">
        <v>6737</v>
      </c>
      <c r="B176" s="7">
        <f t="shared" si="7"/>
        <v>46086</v>
      </c>
      <c r="C176" s="7">
        <f t="shared" si="8"/>
        <v>46092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7">
        <v>0.9</v>
      </c>
      <c r="O176" s="36">
        <f t="shared" si="6"/>
        <v>20990</v>
      </c>
      <c r="P176" s="6" t="s">
        <v>16</v>
      </c>
    </row>
    <row r="177" spans="1:16" x14ac:dyDescent="0.35">
      <c r="A177" s="34" t="s">
        <v>6737</v>
      </c>
      <c r="B177" s="7">
        <f t="shared" si="7"/>
        <v>46086</v>
      </c>
      <c r="C177" s="7">
        <f t="shared" si="8"/>
        <v>46092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6737</v>
      </c>
      <c r="B178" s="7">
        <f t="shared" si="7"/>
        <v>46086</v>
      </c>
      <c r="C178" s="7">
        <f t="shared" si="8"/>
        <v>46092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6737</v>
      </c>
      <c r="B179" s="7">
        <f t="shared" si="7"/>
        <v>46086</v>
      </c>
      <c r="C179" s="7">
        <f t="shared" si="8"/>
        <v>46092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6737</v>
      </c>
      <c r="B180" s="7">
        <f t="shared" si="7"/>
        <v>46086</v>
      </c>
      <c r="C180" s="7">
        <f t="shared" si="8"/>
        <v>46092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6737</v>
      </c>
      <c r="B181" s="7">
        <f t="shared" si="7"/>
        <v>46086</v>
      </c>
      <c r="C181" s="7">
        <f t="shared" si="8"/>
        <v>46092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6737</v>
      </c>
      <c r="B182" s="7">
        <f t="shared" si="7"/>
        <v>46086</v>
      </c>
      <c r="C182" s="7">
        <f t="shared" si="8"/>
        <v>46092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7">
        <v>0.9</v>
      </c>
      <c r="O182" s="36">
        <f t="shared" si="6"/>
        <v>21990</v>
      </c>
      <c r="P182" s="6" t="s">
        <v>16</v>
      </c>
    </row>
    <row r="183" spans="1:16" x14ac:dyDescent="0.35">
      <c r="A183" s="34" t="s">
        <v>6737</v>
      </c>
      <c r="B183" s="7">
        <f t="shared" si="7"/>
        <v>46086</v>
      </c>
      <c r="C183" s="7">
        <f t="shared" si="8"/>
        <v>46092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7">
        <v>0.9</v>
      </c>
      <c r="O183" s="36">
        <f t="shared" si="6"/>
        <v>21990</v>
      </c>
      <c r="P183" s="6" t="s">
        <v>16</v>
      </c>
    </row>
    <row r="184" spans="1:16" x14ac:dyDescent="0.35">
      <c r="A184" s="34" t="s">
        <v>6737</v>
      </c>
      <c r="B184" s="7">
        <f t="shared" si="7"/>
        <v>46086</v>
      </c>
      <c r="C184" s="7">
        <f t="shared" si="8"/>
        <v>46092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7">
        <v>0.9</v>
      </c>
      <c r="O184" s="36">
        <f t="shared" si="6"/>
        <v>3790</v>
      </c>
      <c r="P184" s="6" t="s">
        <v>16</v>
      </c>
    </row>
    <row r="185" spans="1:16" x14ac:dyDescent="0.35">
      <c r="A185" s="34" t="s">
        <v>6737</v>
      </c>
      <c r="B185" s="7">
        <f t="shared" si="7"/>
        <v>46086</v>
      </c>
      <c r="C185" s="7">
        <f t="shared" si="8"/>
        <v>46092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7">
        <v>0.9</v>
      </c>
      <c r="O185" s="36">
        <f t="shared" si="6"/>
        <v>3790</v>
      </c>
      <c r="P185" s="6" t="s">
        <v>16</v>
      </c>
    </row>
    <row r="186" spans="1:16" x14ac:dyDescent="0.35">
      <c r="A186" s="34" t="s">
        <v>6737</v>
      </c>
      <c r="B186" s="7">
        <f t="shared" si="7"/>
        <v>46086</v>
      </c>
      <c r="C186" s="7">
        <f t="shared" si="8"/>
        <v>46092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7">
        <v>0.9</v>
      </c>
      <c r="O186" s="36">
        <f t="shared" si="6"/>
        <v>3790</v>
      </c>
      <c r="P186" s="6" t="s">
        <v>16</v>
      </c>
    </row>
    <row r="187" spans="1:16" x14ac:dyDescent="0.35">
      <c r="A187" s="34" t="s">
        <v>6737</v>
      </c>
      <c r="B187" s="7">
        <f t="shared" si="7"/>
        <v>46086</v>
      </c>
      <c r="C187" s="7">
        <f t="shared" si="8"/>
        <v>46092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7">
        <v>0.9</v>
      </c>
      <c r="O187" s="36">
        <f t="shared" si="6"/>
        <v>3790</v>
      </c>
      <c r="P187" s="6" t="s">
        <v>16</v>
      </c>
    </row>
    <row r="188" spans="1:16" x14ac:dyDescent="0.35">
      <c r="A188" s="34" t="s">
        <v>6737</v>
      </c>
      <c r="B188" s="7">
        <f t="shared" si="7"/>
        <v>46086</v>
      </c>
      <c r="C188" s="7">
        <f t="shared" si="8"/>
        <v>46092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7">
        <v>0.9</v>
      </c>
      <c r="O188" s="36">
        <f t="shared" si="6"/>
        <v>3790</v>
      </c>
      <c r="P188" s="6" t="s">
        <v>16</v>
      </c>
    </row>
    <row r="189" spans="1:16" x14ac:dyDescent="0.35">
      <c r="A189" s="34" t="s">
        <v>6737</v>
      </c>
      <c r="B189" s="7">
        <f t="shared" si="7"/>
        <v>46086</v>
      </c>
      <c r="C189" s="7">
        <f t="shared" si="8"/>
        <v>46092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7">
        <v>0.9</v>
      </c>
      <c r="O189" s="36">
        <f t="shared" si="6"/>
        <v>3790</v>
      </c>
      <c r="P189" s="6" t="s">
        <v>16</v>
      </c>
    </row>
    <row r="190" spans="1:16" x14ac:dyDescent="0.35">
      <c r="A190" s="34" t="s">
        <v>6737</v>
      </c>
      <c r="B190" s="7">
        <f t="shared" si="7"/>
        <v>46086</v>
      </c>
      <c r="C190" s="7">
        <f t="shared" si="8"/>
        <v>46092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7">
        <v>0.9</v>
      </c>
      <c r="O190" s="36">
        <f t="shared" si="6"/>
        <v>3790</v>
      </c>
      <c r="P190" s="6" t="s">
        <v>16</v>
      </c>
    </row>
    <row r="191" spans="1:16" x14ac:dyDescent="0.35">
      <c r="A191" s="34" t="s">
        <v>6737</v>
      </c>
      <c r="B191" s="7">
        <f t="shared" si="7"/>
        <v>46086</v>
      </c>
      <c r="C191" s="7">
        <f t="shared" si="8"/>
        <v>46092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7">
        <v>0.9</v>
      </c>
      <c r="O191" s="36">
        <f t="shared" si="6"/>
        <v>3790</v>
      </c>
      <c r="P191" s="6" t="s">
        <v>16</v>
      </c>
    </row>
    <row r="192" spans="1:16" x14ac:dyDescent="0.35">
      <c r="A192" s="34" t="s">
        <v>6737</v>
      </c>
      <c r="B192" s="7">
        <f t="shared" si="7"/>
        <v>46086</v>
      </c>
      <c r="C192" s="7">
        <f t="shared" si="8"/>
        <v>46092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7">
        <v>0.9</v>
      </c>
      <c r="O192" s="36">
        <f t="shared" si="6"/>
        <v>3790</v>
      </c>
      <c r="P192" s="6" t="s">
        <v>16</v>
      </c>
    </row>
    <row r="193" spans="1:16" x14ac:dyDescent="0.35">
      <c r="A193" s="34" t="s">
        <v>6737</v>
      </c>
      <c r="B193" s="7">
        <f t="shared" si="7"/>
        <v>46086</v>
      </c>
      <c r="C193" s="7">
        <f t="shared" si="8"/>
        <v>46092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7">
        <v>0.9</v>
      </c>
      <c r="O193" s="36">
        <f t="shared" si="6"/>
        <v>3790</v>
      </c>
      <c r="P193" s="6" t="s">
        <v>16</v>
      </c>
    </row>
    <row r="194" spans="1:16" x14ac:dyDescent="0.35">
      <c r="A194" s="34" t="s">
        <v>6737</v>
      </c>
      <c r="B194" s="7">
        <f t="shared" si="7"/>
        <v>46086</v>
      </c>
      <c r="C194" s="7">
        <f t="shared" si="8"/>
        <v>46092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7">
        <v>0.9</v>
      </c>
      <c r="O194" s="36">
        <f t="shared" si="6"/>
        <v>3790</v>
      </c>
      <c r="P194" s="6" t="s">
        <v>16</v>
      </c>
    </row>
    <row r="195" spans="1:16" x14ac:dyDescent="0.35">
      <c r="A195" s="34" t="s">
        <v>6737</v>
      </c>
      <c r="B195" s="7">
        <f t="shared" si="7"/>
        <v>46086</v>
      </c>
      <c r="C195" s="7">
        <f t="shared" si="8"/>
        <v>46092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7">
        <v>0.9</v>
      </c>
      <c r="O195" s="36">
        <f t="shared" ref="O195:O248" si="9">M195-((90*M195)/100)</f>
        <v>19990</v>
      </c>
      <c r="P195" s="6" t="s">
        <v>16</v>
      </c>
    </row>
    <row r="196" spans="1:16" x14ac:dyDescent="0.35">
      <c r="A196" s="34" t="s">
        <v>6737</v>
      </c>
      <c r="B196" s="7">
        <f t="shared" ref="B196:B248" si="10">B195</f>
        <v>46086</v>
      </c>
      <c r="C196" s="7">
        <f t="shared" ref="C196:C248" si="11">C195</f>
        <v>46092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7">
        <v>0.9</v>
      </c>
      <c r="O196" s="36">
        <f t="shared" si="9"/>
        <v>19990</v>
      </c>
      <c r="P196" s="6" t="s">
        <v>16</v>
      </c>
    </row>
    <row r="197" spans="1:16" x14ac:dyDescent="0.35">
      <c r="A197" s="34" t="s">
        <v>6737</v>
      </c>
      <c r="B197" s="7">
        <f t="shared" si="10"/>
        <v>46086</v>
      </c>
      <c r="C197" s="7">
        <f t="shared" si="11"/>
        <v>46092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7">
        <v>0.9</v>
      </c>
      <c r="O197" s="36">
        <f t="shared" si="9"/>
        <v>2790</v>
      </c>
      <c r="P197" s="6" t="s">
        <v>16</v>
      </c>
    </row>
    <row r="198" spans="1:16" x14ac:dyDescent="0.35">
      <c r="A198" s="34" t="s">
        <v>6737</v>
      </c>
      <c r="B198" s="7">
        <f t="shared" si="10"/>
        <v>46086</v>
      </c>
      <c r="C198" s="7">
        <f t="shared" si="11"/>
        <v>46092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7">
        <v>0.9</v>
      </c>
      <c r="O198" s="36">
        <f t="shared" si="9"/>
        <v>2790</v>
      </c>
      <c r="P198" s="6" t="s">
        <v>16</v>
      </c>
    </row>
    <row r="199" spans="1:16" x14ac:dyDescent="0.35">
      <c r="A199" s="34" t="s">
        <v>6737</v>
      </c>
      <c r="B199" s="7">
        <f t="shared" si="10"/>
        <v>46086</v>
      </c>
      <c r="C199" s="7">
        <f t="shared" si="11"/>
        <v>46092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7">
        <v>0.9</v>
      </c>
      <c r="O199" s="36">
        <f t="shared" si="9"/>
        <v>2990</v>
      </c>
      <c r="P199" s="6" t="s">
        <v>16</v>
      </c>
    </row>
    <row r="200" spans="1:16" x14ac:dyDescent="0.35">
      <c r="A200" s="34" t="s">
        <v>6737</v>
      </c>
      <c r="B200" s="7">
        <f t="shared" si="10"/>
        <v>46086</v>
      </c>
      <c r="C200" s="7">
        <f t="shared" si="11"/>
        <v>46092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7">
        <v>0.9</v>
      </c>
      <c r="O200" s="36">
        <f t="shared" si="9"/>
        <v>2990</v>
      </c>
      <c r="P200" s="6" t="s">
        <v>16</v>
      </c>
    </row>
    <row r="201" spans="1:16" x14ac:dyDescent="0.35">
      <c r="A201" s="34" t="s">
        <v>6737</v>
      </c>
      <c r="B201" s="7">
        <f t="shared" si="10"/>
        <v>46086</v>
      </c>
      <c r="C201" s="7">
        <f t="shared" si="11"/>
        <v>46092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7">
        <v>0.9</v>
      </c>
      <c r="O201" s="36">
        <f t="shared" si="9"/>
        <v>2990</v>
      </c>
      <c r="P201" s="6" t="s">
        <v>16</v>
      </c>
    </row>
    <row r="202" spans="1:16" x14ac:dyDescent="0.35">
      <c r="A202" s="34" t="s">
        <v>6737</v>
      </c>
      <c r="B202" s="7">
        <f t="shared" si="10"/>
        <v>46086</v>
      </c>
      <c r="C202" s="7">
        <f t="shared" si="11"/>
        <v>46092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7">
        <v>0.9</v>
      </c>
      <c r="O202" s="36">
        <f t="shared" si="9"/>
        <v>2990</v>
      </c>
      <c r="P202" s="6" t="s">
        <v>16</v>
      </c>
    </row>
    <row r="203" spans="1:16" x14ac:dyDescent="0.35">
      <c r="A203" s="34" t="s">
        <v>6737</v>
      </c>
      <c r="B203" s="7">
        <f t="shared" si="10"/>
        <v>46086</v>
      </c>
      <c r="C203" s="7">
        <f t="shared" si="11"/>
        <v>46092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7">
        <v>0.9</v>
      </c>
      <c r="O203" s="36">
        <f t="shared" si="9"/>
        <v>2990</v>
      </c>
      <c r="P203" s="6" t="s">
        <v>16</v>
      </c>
    </row>
    <row r="204" spans="1:16" x14ac:dyDescent="0.35">
      <c r="A204" s="34" t="s">
        <v>6737</v>
      </c>
      <c r="B204" s="7">
        <f t="shared" si="10"/>
        <v>46086</v>
      </c>
      <c r="C204" s="7">
        <f t="shared" si="11"/>
        <v>46092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7">
        <v>0.9</v>
      </c>
      <c r="O204" s="36">
        <f t="shared" si="9"/>
        <v>2990</v>
      </c>
      <c r="P204" s="6" t="s">
        <v>16</v>
      </c>
    </row>
    <row r="205" spans="1:16" x14ac:dyDescent="0.35">
      <c r="A205" s="34" t="s">
        <v>6737</v>
      </c>
      <c r="B205" s="7">
        <f t="shared" si="10"/>
        <v>46086</v>
      </c>
      <c r="C205" s="7">
        <f t="shared" si="11"/>
        <v>46092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7">
        <v>0.9</v>
      </c>
      <c r="O205" s="36">
        <f t="shared" si="9"/>
        <v>3290</v>
      </c>
      <c r="P205" s="6" t="s">
        <v>16</v>
      </c>
    </row>
    <row r="206" spans="1:16" x14ac:dyDescent="0.35">
      <c r="A206" s="34" t="s">
        <v>6737</v>
      </c>
      <c r="B206" s="7">
        <f t="shared" si="10"/>
        <v>46086</v>
      </c>
      <c r="C206" s="7">
        <f t="shared" si="11"/>
        <v>46092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7">
        <v>0.9</v>
      </c>
      <c r="O206" s="36">
        <f t="shared" si="9"/>
        <v>3290</v>
      </c>
      <c r="P206" s="6" t="s">
        <v>16</v>
      </c>
    </row>
    <row r="207" spans="1:16" x14ac:dyDescent="0.35">
      <c r="A207" s="34" t="s">
        <v>6737</v>
      </c>
      <c r="B207" s="7">
        <f t="shared" si="10"/>
        <v>46086</v>
      </c>
      <c r="C207" s="7">
        <f t="shared" si="11"/>
        <v>46092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7">
        <v>0.9</v>
      </c>
      <c r="O207" s="36">
        <f t="shared" si="9"/>
        <v>3290</v>
      </c>
      <c r="P207" s="6" t="s">
        <v>16</v>
      </c>
    </row>
    <row r="208" spans="1:16" x14ac:dyDescent="0.35">
      <c r="A208" s="34" t="s">
        <v>6737</v>
      </c>
      <c r="B208" s="7">
        <f t="shared" si="10"/>
        <v>46086</v>
      </c>
      <c r="C208" s="7">
        <f t="shared" si="11"/>
        <v>46092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7">
        <v>0.9</v>
      </c>
      <c r="O208" s="36">
        <f t="shared" si="9"/>
        <v>3290</v>
      </c>
      <c r="P208" s="6" t="s">
        <v>16</v>
      </c>
    </row>
    <row r="209" spans="1:16" x14ac:dyDescent="0.35">
      <c r="A209" s="34" t="s">
        <v>6737</v>
      </c>
      <c r="B209" s="7">
        <f t="shared" si="10"/>
        <v>46086</v>
      </c>
      <c r="C209" s="7">
        <f t="shared" si="11"/>
        <v>46092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7">
        <v>0.9</v>
      </c>
      <c r="O209" s="36">
        <f t="shared" si="9"/>
        <v>3290</v>
      </c>
      <c r="P209" s="6" t="s">
        <v>16</v>
      </c>
    </row>
    <row r="210" spans="1:16" x14ac:dyDescent="0.35">
      <c r="A210" s="34" t="s">
        <v>6737</v>
      </c>
      <c r="B210" s="7">
        <f t="shared" si="10"/>
        <v>46086</v>
      </c>
      <c r="C210" s="7">
        <f t="shared" si="11"/>
        <v>46092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7">
        <v>0.9</v>
      </c>
      <c r="O210" s="36">
        <f t="shared" si="9"/>
        <v>3290</v>
      </c>
      <c r="P210" s="6" t="s">
        <v>16</v>
      </c>
    </row>
    <row r="211" spans="1:16" x14ac:dyDescent="0.35">
      <c r="A211" s="34" t="s">
        <v>6737</v>
      </c>
      <c r="B211" s="7">
        <f t="shared" si="10"/>
        <v>46086</v>
      </c>
      <c r="C211" s="7">
        <f t="shared" si="11"/>
        <v>46092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7">
        <v>0.9</v>
      </c>
      <c r="O211" s="36">
        <f t="shared" si="9"/>
        <v>3290</v>
      </c>
      <c r="P211" s="6" t="s">
        <v>16</v>
      </c>
    </row>
    <row r="212" spans="1:16" x14ac:dyDescent="0.35">
      <c r="A212" s="34" t="s">
        <v>6737</v>
      </c>
      <c r="B212" s="7">
        <f t="shared" si="10"/>
        <v>46086</v>
      </c>
      <c r="C212" s="7">
        <f t="shared" si="11"/>
        <v>46092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7">
        <v>0.9</v>
      </c>
      <c r="O212" s="36">
        <f t="shared" si="9"/>
        <v>3290</v>
      </c>
      <c r="P212" s="6" t="s">
        <v>16</v>
      </c>
    </row>
    <row r="213" spans="1:16" x14ac:dyDescent="0.35">
      <c r="A213" s="34" t="s">
        <v>6737</v>
      </c>
      <c r="B213" s="7">
        <f t="shared" si="10"/>
        <v>46086</v>
      </c>
      <c r="C213" s="7">
        <f t="shared" si="11"/>
        <v>46092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7">
        <v>0.9</v>
      </c>
      <c r="O213" s="36">
        <f t="shared" si="9"/>
        <v>3290</v>
      </c>
      <c r="P213" s="6" t="s">
        <v>16</v>
      </c>
    </row>
    <row r="214" spans="1:16" x14ac:dyDescent="0.35">
      <c r="A214" s="34" t="s">
        <v>6737</v>
      </c>
      <c r="B214" s="7">
        <f t="shared" si="10"/>
        <v>46086</v>
      </c>
      <c r="C214" s="7">
        <f t="shared" si="11"/>
        <v>46092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7">
        <v>0.9</v>
      </c>
      <c r="O214" s="36">
        <f t="shared" si="9"/>
        <v>3290</v>
      </c>
      <c r="P214" s="6" t="s">
        <v>16</v>
      </c>
    </row>
    <row r="215" spans="1:16" x14ac:dyDescent="0.35">
      <c r="A215" s="34" t="s">
        <v>6737</v>
      </c>
      <c r="B215" s="7">
        <f t="shared" si="10"/>
        <v>46086</v>
      </c>
      <c r="C215" s="7">
        <f t="shared" si="11"/>
        <v>46092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7">
        <v>0.9</v>
      </c>
      <c r="O215" s="36">
        <f t="shared" si="9"/>
        <v>3290</v>
      </c>
      <c r="P215" s="6" t="s">
        <v>16</v>
      </c>
    </row>
    <row r="216" spans="1:16" x14ac:dyDescent="0.35">
      <c r="A216" s="34" t="s">
        <v>6737</v>
      </c>
      <c r="B216" s="7">
        <f t="shared" si="10"/>
        <v>46086</v>
      </c>
      <c r="C216" s="7">
        <f t="shared" si="11"/>
        <v>46092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7">
        <v>0.9</v>
      </c>
      <c r="O216" s="36">
        <f t="shared" si="9"/>
        <v>3290</v>
      </c>
      <c r="P216" s="6" t="s">
        <v>16</v>
      </c>
    </row>
    <row r="217" spans="1:16" x14ac:dyDescent="0.35">
      <c r="A217" s="34" t="s">
        <v>6737</v>
      </c>
      <c r="B217" s="7">
        <f t="shared" si="10"/>
        <v>46086</v>
      </c>
      <c r="C217" s="7">
        <f t="shared" si="11"/>
        <v>46092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7">
        <v>0.9</v>
      </c>
      <c r="O217" s="36">
        <f t="shared" si="9"/>
        <v>3290</v>
      </c>
      <c r="P217" s="6" t="s">
        <v>16</v>
      </c>
    </row>
    <row r="218" spans="1:16" x14ac:dyDescent="0.35">
      <c r="A218" s="34" t="s">
        <v>6737</v>
      </c>
      <c r="B218" s="7">
        <f t="shared" si="10"/>
        <v>46086</v>
      </c>
      <c r="C218" s="7">
        <f t="shared" si="11"/>
        <v>46092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7">
        <v>0.9</v>
      </c>
      <c r="O218" s="36">
        <f t="shared" si="9"/>
        <v>3290</v>
      </c>
      <c r="P218" s="6" t="s">
        <v>16</v>
      </c>
    </row>
    <row r="219" spans="1:16" x14ac:dyDescent="0.35">
      <c r="A219" s="34" t="s">
        <v>6737</v>
      </c>
      <c r="B219" s="7">
        <f t="shared" si="10"/>
        <v>46086</v>
      </c>
      <c r="C219" s="7">
        <f t="shared" si="11"/>
        <v>46092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7">
        <v>0.9</v>
      </c>
      <c r="O219" s="36">
        <f t="shared" si="9"/>
        <v>3290</v>
      </c>
      <c r="P219" s="6" t="s">
        <v>16</v>
      </c>
    </row>
    <row r="220" spans="1:16" x14ac:dyDescent="0.35">
      <c r="A220" s="34" t="s">
        <v>6737</v>
      </c>
      <c r="B220" s="7">
        <f t="shared" si="10"/>
        <v>46086</v>
      </c>
      <c r="C220" s="7">
        <f t="shared" si="11"/>
        <v>46092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7">
        <v>0.9</v>
      </c>
      <c r="O220" s="36">
        <f t="shared" si="9"/>
        <v>3290</v>
      </c>
      <c r="P220" s="6" t="s">
        <v>16</v>
      </c>
    </row>
    <row r="221" spans="1:16" x14ac:dyDescent="0.35">
      <c r="A221" s="34" t="s">
        <v>6737</v>
      </c>
      <c r="B221" s="7">
        <f t="shared" si="10"/>
        <v>46086</v>
      </c>
      <c r="C221" s="7">
        <f t="shared" si="11"/>
        <v>46092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7">
        <v>0.9</v>
      </c>
      <c r="O221" s="36">
        <f t="shared" si="9"/>
        <v>3290</v>
      </c>
      <c r="P221" s="6" t="s">
        <v>16</v>
      </c>
    </row>
    <row r="222" spans="1:16" x14ac:dyDescent="0.35">
      <c r="A222" s="34" t="s">
        <v>6737</v>
      </c>
      <c r="B222" s="7">
        <f t="shared" si="10"/>
        <v>46086</v>
      </c>
      <c r="C222" s="7">
        <f t="shared" si="11"/>
        <v>46092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7">
        <v>0.9</v>
      </c>
      <c r="O222" s="36">
        <f t="shared" si="9"/>
        <v>2790</v>
      </c>
      <c r="P222" s="6" t="s">
        <v>16</v>
      </c>
    </row>
    <row r="223" spans="1:16" x14ac:dyDescent="0.35">
      <c r="A223" s="34" t="s">
        <v>6737</v>
      </c>
      <c r="B223" s="7">
        <f t="shared" si="10"/>
        <v>46086</v>
      </c>
      <c r="C223" s="7">
        <f t="shared" si="11"/>
        <v>46092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7">
        <v>0.9</v>
      </c>
      <c r="O223" s="36">
        <f t="shared" si="9"/>
        <v>2790</v>
      </c>
      <c r="P223" s="6" t="s">
        <v>16</v>
      </c>
    </row>
    <row r="224" spans="1:16" x14ac:dyDescent="0.35">
      <c r="A224" s="34" t="s">
        <v>6737</v>
      </c>
      <c r="B224" s="7">
        <f t="shared" si="10"/>
        <v>46086</v>
      </c>
      <c r="C224" s="7">
        <f t="shared" si="11"/>
        <v>46092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7">
        <v>0.9</v>
      </c>
      <c r="O224" s="36">
        <f t="shared" si="9"/>
        <v>2790</v>
      </c>
      <c r="P224" s="6" t="s">
        <v>16</v>
      </c>
    </row>
    <row r="225" spans="1:16" x14ac:dyDescent="0.35">
      <c r="A225" s="34" t="s">
        <v>6737</v>
      </c>
      <c r="B225" s="7">
        <f t="shared" si="10"/>
        <v>46086</v>
      </c>
      <c r="C225" s="7">
        <f t="shared" si="11"/>
        <v>46092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7">
        <v>0.9</v>
      </c>
      <c r="O225" s="36">
        <f t="shared" si="9"/>
        <v>2790</v>
      </c>
      <c r="P225" s="6" t="s">
        <v>16</v>
      </c>
    </row>
    <row r="226" spans="1:16" x14ac:dyDescent="0.35">
      <c r="A226" s="34" t="s">
        <v>6737</v>
      </c>
      <c r="B226" s="7">
        <f t="shared" si="10"/>
        <v>46086</v>
      </c>
      <c r="C226" s="7">
        <f t="shared" si="11"/>
        <v>46092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7">
        <v>0.9</v>
      </c>
      <c r="O226" s="36">
        <f t="shared" si="9"/>
        <v>2790</v>
      </c>
      <c r="P226" s="6" t="s">
        <v>16</v>
      </c>
    </row>
    <row r="227" spans="1:16" x14ac:dyDescent="0.35">
      <c r="A227" s="34" t="s">
        <v>6737</v>
      </c>
      <c r="B227" s="7">
        <f t="shared" si="10"/>
        <v>46086</v>
      </c>
      <c r="C227" s="7">
        <f t="shared" si="11"/>
        <v>46092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7">
        <v>0.9</v>
      </c>
      <c r="O227" s="36">
        <f t="shared" si="9"/>
        <v>2790</v>
      </c>
      <c r="P227" s="6" t="s">
        <v>16</v>
      </c>
    </row>
    <row r="228" spans="1:16" x14ac:dyDescent="0.35">
      <c r="A228" s="34" t="s">
        <v>6737</v>
      </c>
      <c r="B228" s="7">
        <f t="shared" si="10"/>
        <v>46086</v>
      </c>
      <c r="C228" s="7">
        <f t="shared" si="11"/>
        <v>46092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7">
        <v>0.9</v>
      </c>
      <c r="O228" s="36">
        <f t="shared" si="9"/>
        <v>2790</v>
      </c>
      <c r="P228" s="6" t="s">
        <v>16</v>
      </c>
    </row>
    <row r="229" spans="1:16" x14ac:dyDescent="0.35">
      <c r="A229" s="34" t="s">
        <v>6737</v>
      </c>
      <c r="B229" s="7">
        <f t="shared" si="10"/>
        <v>46086</v>
      </c>
      <c r="C229" s="7">
        <f t="shared" si="11"/>
        <v>46092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7">
        <v>0.9</v>
      </c>
      <c r="O229" s="36">
        <f t="shared" si="9"/>
        <v>3290</v>
      </c>
      <c r="P229" s="6" t="s">
        <v>16</v>
      </c>
    </row>
    <row r="230" spans="1:16" x14ac:dyDescent="0.35">
      <c r="A230" s="34" t="s">
        <v>6737</v>
      </c>
      <c r="B230" s="7">
        <f t="shared" si="10"/>
        <v>46086</v>
      </c>
      <c r="C230" s="7">
        <f t="shared" si="11"/>
        <v>46092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7">
        <v>0.9</v>
      </c>
      <c r="O230" s="36">
        <f t="shared" si="9"/>
        <v>3290</v>
      </c>
      <c r="P230" s="6" t="s">
        <v>16</v>
      </c>
    </row>
    <row r="231" spans="1:16" x14ac:dyDescent="0.35">
      <c r="A231" s="34" t="s">
        <v>6737</v>
      </c>
      <c r="B231" s="7">
        <f t="shared" si="10"/>
        <v>46086</v>
      </c>
      <c r="C231" s="7">
        <f t="shared" si="11"/>
        <v>46092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7">
        <v>0.9</v>
      </c>
      <c r="O231" s="36">
        <f t="shared" si="9"/>
        <v>3290</v>
      </c>
      <c r="P231" s="6" t="s">
        <v>16</v>
      </c>
    </row>
    <row r="232" spans="1:16" x14ac:dyDescent="0.35">
      <c r="A232" s="34" t="s">
        <v>6737</v>
      </c>
      <c r="B232" s="7">
        <f t="shared" si="10"/>
        <v>46086</v>
      </c>
      <c r="C232" s="7">
        <f t="shared" si="11"/>
        <v>46092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7">
        <v>0.9</v>
      </c>
      <c r="O232" s="36">
        <f t="shared" si="9"/>
        <v>3290</v>
      </c>
      <c r="P232" s="6" t="s">
        <v>16</v>
      </c>
    </row>
    <row r="233" spans="1:16" x14ac:dyDescent="0.35">
      <c r="A233" s="34" t="s">
        <v>6737</v>
      </c>
      <c r="B233" s="7">
        <f t="shared" si="10"/>
        <v>46086</v>
      </c>
      <c r="C233" s="7">
        <f t="shared" si="11"/>
        <v>46092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7">
        <v>0.9</v>
      </c>
      <c r="O233" s="36">
        <f t="shared" si="9"/>
        <v>3290</v>
      </c>
      <c r="P233" s="6" t="s">
        <v>16</v>
      </c>
    </row>
    <row r="234" spans="1:16" x14ac:dyDescent="0.35">
      <c r="A234" s="34" t="s">
        <v>6737</v>
      </c>
      <c r="B234" s="7">
        <f t="shared" si="10"/>
        <v>46086</v>
      </c>
      <c r="C234" s="7">
        <f t="shared" si="11"/>
        <v>46092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7">
        <v>0.9</v>
      </c>
      <c r="O234" s="36">
        <f t="shared" si="9"/>
        <v>3290</v>
      </c>
      <c r="P234" s="6" t="s">
        <v>16</v>
      </c>
    </row>
    <row r="235" spans="1:16" x14ac:dyDescent="0.35">
      <c r="A235" s="34" t="s">
        <v>6737</v>
      </c>
      <c r="B235" s="7">
        <f t="shared" si="10"/>
        <v>46086</v>
      </c>
      <c r="C235" s="7">
        <f t="shared" si="11"/>
        <v>46092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7">
        <v>0.9</v>
      </c>
      <c r="O235" s="36">
        <f t="shared" si="9"/>
        <v>3290</v>
      </c>
      <c r="P235" s="6" t="s">
        <v>16</v>
      </c>
    </row>
    <row r="236" spans="1:16" x14ac:dyDescent="0.35">
      <c r="A236" s="34" t="s">
        <v>6737</v>
      </c>
      <c r="B236" s="7">
        <f t="shared" si="10"/>
        <v>46086</v>
      </c>
      <c r="C236" s="7">
        <f t="shared" si="11"/>
        <v>46092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7">
        <v>0.9</v>
      </c>
      <c r="O236" s="36">
        <f t="shared" si="9"/>
        <v>3290</v>
      </c>
      <c r="P236" s="6" t="s">
        <v>16</v>
      </c>
    </row>
    <row r="237" spans="1:16" x14ac:dyDescent="0.35">
      <c r="A237" s="34" t="s">
        <v>6737</v>
      </c>
      <c r="B237" s="7">
        <f t="shared" si="10"/>
        <v>46086</v>
      </c>
      <c r="C237" s="7">
        <f t="shared" si="11"/>
        <v>46092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5149</v>
      </c>
      <c r="L237" s="6" t="s">
        <v>5150</v>
      </c>
      <c r="M237" s="8">
        <v>89900</v>
      </c>
      <c r="N237" s="37">
        <v>0.9</v>
      </c>
      <c r="O237" s="36">
        <f t="shared" si="9"/>
        <v>8990</v>
      </c>
      <c r="P237" s="6" t="s">
        <v>16</v>
      </c>
    </row>
    <row r="238" spans="1:16" x14ac:dyDescent="0.35">
      <c r="A238" s="34" t="s">
        <v>6737</v>
      </c>
      <c r="B238" s="7">
        <f t="shared" si="10"/>
        <v>46086</v>
      </c>
      <c r="C238" s="7">
        <f t="shared" si="11"/>
        <v>46092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5149</v>
      </c>
      <c r="L238" s="6" t="s">
        <v>5151</v>
      </c>
      <c r="M238" s="8">
        <v>89900</v>
      </c>
      <c r="N238" s="37">
        <v>0.9</v>
      </c>
      <c r="O238" s="36">
        <f t="shared" si="9"/>
        <v>8990</v>
      </c>
      <c r="P238" s="6" t="s">
        <v>16</v>
      </c>
    </row>
    <row r="239" spans="1:16" x14ac:dyDescent="0.35">
      <c r="A239" s="34" t="s">
        <v>6737</v>
      </c>
      <c r="B239" s="7">
        <f t="shared" si="10"/>
        <v>46086</v>
      </c>
      <c r="C239" s="7">
        <f t="shared" si="11"/>
        <v>46092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5149</v>
      </c>
      <c r="L239" s="6" t="s">
        <v>5152</v>
      </c>
      <c r="M239" s="8">
        <v>89900</v>
      </c>
      <c r="N239" s="37">
        <v>0.9</v>
      </c>
      <c r="O239" s="36">
        <f t="shared" si="9"/>
        <v>8990</v>
      </c>
      <c r="P239" s="6" t="s">
        <v>16</v>
      </c>
    </row>
    <row r="240" spans="1:16" x14ac:dyDescent="0.35">
      <c r="A240" s="34" t="s">
        <v>6737</v>
      </c>
      <c r="B240" s="7">
        <f t="shared" si="10"/>
        <v>46086</v>
      </c>
      <c r="C240" s="7">
        <f t="shared" si="11"/>
        <v>46092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5149</v>
      </c>
      <c r="L240" s="6" t="s">
        <v>5153</v>
      </c>
      <c r="M240" s="8">
        <v>89900</v>
      </c>
      <c r="N240" s="37">
        <v>0.9</v>
      </c>
      <c r="O240" s="36">
        <f t="shared" si="9"/>
        <v>8990</v>
      </c>
      <c r="P240" s="6" t="s">
        <v>16</v>
      </c>
    </row>
    <row r="241" spans="1:16" x14ac:dyDescent="0.35">
      <c r="A241" s="34" t="s">
        <v>6737</v>
      </c>
      <c r="B241" s="7">
        <f t="shared" si="10"/>
        <v>46086</v>
      </c>
      <c r="C241" s="7">
        <f t="shared" si="11"/>
        <v>46092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5154</v>
      </c>
      <c r="L241" s="6" t="s">
        <v>5155</v>
      </c>
      <c r="M241" s="8">
        <v>89900</v>
      </c>
      <c r="N241" s="37">
        <v>0.9</v>
      </c>
      <c r="O241" s="36">
        <f t="shared" si="9"/>
        <v>8990</v>
      </c>
      <c r="P241" s="6" t="s">
        <v>16</v>
      </c>
    </row>
    <row r="242" spans="1:16" x14ac:dyDescent="0.35">
      <c r="A242" s="34" t="s">
        <v>6737</v>
      </c>
      <c r="B242" s="7">
        <f t="shared" si="10"/>
        <v>46086</v>
      </c>
      <c r="C242" s="7">
        <f t="shared" si="11"/>
        <v>46092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5154</v>
      </c>
      <c r="L242" s="6" t="s">
        <v>5156</v>
      </c>
      <c r="M242" s="8">
        <v>89900</v>
      </c>
      <c r="N242" s="37">
        <v>0.9</v>
      </c>
      <c r="O242" s="36">
        <f t="shared" si="9"/>
        <v>8990</v>
      </c>
      <c r="P242" s="6" t="s">
        <v>16</v>
      </c>
    </row>
    <row r="243" spans="1:16" x14ac:dyDescent="0.35">
      <c r="A243" s="34" t="s">
        <v>6737</v>
      </c>
      <c r="B243" s="7">
        <f t="shared" si="10"/>
        <v>46086</v>
      </c>
      <c r="C243" s="7">
        <f t="shared" si="11"/>
        <v>46092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5154</v>
      </c>
      <c r="L243" s="6" t="s">
        <v>5157</v>
      </c>
      <c r="M243" s="8">
        <v>89900</v>
      </c>
      <c r="N243" s="37">
        <v>0.9</v>
      </c>
      <c r="O243" s="36">
        <f t="shared" si="9"/>
        <v>8990</v>
      </c>
      <c r="P243" s="6" t="s">
        <v>16</v>
      </c>
    </row>
    <row r="244" spans="1:16" x14ac:dyDescent="0.35">
      <c r="A244" s="34" t="s">
        <v>6737</v>
      </c>
      <c r="B244" s="7">
        <f t="shared" si="10"/>
        <v>46086</v>
      </c>
      <c r="C244" s="7">
        <f t="shared" si="11"/>
        <v>46092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5154</v>
      </c>
      <c r="L244" s="6" t="s">
        <v>5158</v>
      </c>
      <c r="M244" s="8">
        <v>89900</v>
      </c>
      <c r="N244" s="37">
        <v>0.9</v>
      </c>
      <c r="O244" s="36">
        <f t="shared" si="9"/>
        <v>8990</v>
      </c>
      <c r="P244" s="6" t="s">
        <v>16</v>
      </c>
    </row>
    <row r="245" spans="1:16" x14ac:dyDescent="0.35">
      <c r="A245" s="34" t="s">
        <v>6737</v>
      </c>
      <c r="B245" s="7">
        <f t="shared" si="10"/>
        <v>46086</v>
      </c>
      <c r="C245" s="7">
        <f t="shared" si="11"/>
        <v>46092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5159</v>
      </c>
      <c r="L245" s="6" t="s">
        <v>5160</v>
      </c>
      <c r="M245" s="8">
        <v>32900</v>
      </c>
      <c r="N245" s="37">
        <v>0.9</v>
      </c>
      <c r="O245" s="36">
        <f t="shared" si="9"/>
        <v>3290</v>
      </c>
      <c r="P245" s="6" t="s">
        <v>16</v>
      </c>
    </row>
    <row r="246" spans="1:16" x14ac:dyDescent="0.35">
      <c r="A246" s="34" t="s">
        <v>6737</v>
      </c>
      <c r="B246" s="7">
        <f t="shared" si="10"/>
        <v>46086</v>
      </c>
      <c r="C246" s="7">
        <f t="shared" si="11"/>
        <v>46092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5159</v>
      </c>
      <c r="L246" s="6" t="s">
        <v>5161</v>
      </c>
      <c r="M246" s="8">
        <v>32900</v>
      </c>
      <c r="N246" s="37">
        <v>0.9</v>
      </c>
      <c r="O246" s="36">
        <f t="shared" si="9"/>
        <v>3290</v>
      </c>
      <c r="P246" s="6" t="s">
        <v>16</v>
      </c>
    </row>
    <row r="247" spans="1:16" x14ac:dyDescent="0.35">
      <c r="A247" s="34" t="s">
        <v>6737</v>
      </c>
      <c r="B247" s="7">
        <f t="shared" si="10"/>
        <v>46086</v>
      </c>
      <c r="C247" s="7">
        <f t="shared" si="11"/>
        <v>46092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5162</v>
      </c>
      <c r="L247" s="6" t="s">
        <v>5163</v>
      </c>
      <c r="M247" s="8">
        <v>32900</v>
      </c>
      <c r="N247" s="37">
        <v>0.9</v>
      </c>
      <c r="O247" s="36">
        <f t="shared" si="9"/>
        <v>3290</v>
      </c>
      <c r="P247" s="6" t="s">
        <v>16</v>
      </c>
    </row>
    <row r="248" spans="1:16" x14ac:dyDescent="0.35">
      <c r="A248" s="34" t="s">
        <v>6737</v>
      </c>
      <c r="B248" s="7">
        <f t="shared" si="10"/>
        <v>46086</v>
      </c>
      <c r="C248" s="7">
        <f t="shared" si="11"/>
        <v>46092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5162</v>
      </c>
      <c r="L248" s="6" t="s">
        <v>5164</v>
      </c>
      <c r="M248" s="8">
        <v>32900</v>
      </c>
      <c r="N248" s="37">
        <v>0.9</v>
      </c>
      <c r="O248" s="36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74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6736</v>
      </c>
      <c r="B2" s="7">
        <f>'2025 HILITE D80 - 3321'!B2</f>
        <v>46086</v>
      </c>
      <c r="C2" s="7">
        <f>'2025 HILITE D80 - 3321'!C2</f>
        <v>46092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6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6736</v>
      </c>
      <c r="B3" s="7">
        <f>B2</f>
        <v>46086</v>
      </c>
      <c r="C3" s="7">
        <f>C2</f>
        <v>46092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6" t="s">
        <v>2029</v>
      </c>
      <c r="M3" s="8">
        <v>34900</v>
      </c>
      <c r="N3" s="37">
        <v>0.9</v>
      </c>
      <c r="O3" s="36">
        <f>M3-((90*M3)/100)</f>
        <v>3490</v>
      </c>
      <c r="P3" s="6" t="s">
        <v>16</v>
      </c>
    </row>
    <row r="4" spans="1:16" x14ac:dyDescent="0.35">
      <c r="A4" s="34" t="s">
        <v>6736</v>
      </c>
      <c r="B4" s="7">
        <f t="shared" ref="B4:B67" si="0">B3</f>
        <v>46086</v>
      </c>
      <c r="C4" s="7">
        <f t="shared" ref="C4:C67" si="1">C3</f>
        <v>46092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6" t="s">
        <v>2031</v>
      </c>
      <c r="M4" s="8">
        <v>34900</v>
      </c>
      <c r="N4" s="37">
        <v>0.9</v>
      </c>
      <c r="O4" s="36">
        <f t="shared" ref="O4:O67" si="2">M4-((90*M4)/100)</f>
        <v>3490</v>
      </c>
      <c r="P4" s="6" t="s">
        <v>16</v>
      </c>
    </row>
    <row r="5" spans="1:16" x14ac:dyDescent="0.35">
      <c r="A5" s="34" t="s">
        <v>6736</v>
      </c>
      <c r="B5" s="7">
        <f t="shared" si="0"/>
        <v>46086</v>
      </c>
      <c r="C5" s="7">
        <f t="shared" si="1"/>
        <v>46092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6" t="s">
        <v>2033</v>
      </c>
      <c r="M5" s="8">
        <v>34900</v>
      </c>
      <c r="N5" s="37">
        <v>0.9</v>
      </c>
      <c r="O5" s="36">
        <f t="shared" si="2"/>
        <v>3490</v>
      </c>
      <c r="P5" s="6" t="s">
        <v>16</v>
      </c>
    </row>
    <row r="6" spans="1:16" x14ac:dyDescent="0.35">
      <c r="A6" s="34" t="s">
        <v>6736</v>
      </c>
      <c r="B6" s="7">
        <f t="shared" si="0"/>
        <v>46086</v>
      </c>
      <c r="C6" s="7">
        <f t="shared" si="1"/>
        <v>46092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6" t="s">
        <v>2034</v>
      </c>
      <c r="M6" s="8">
        <v>34900</v>
      </c>
      <c r="N6" s="37">
        <v>0.9</v>
      </c>
      <c r="O6" s="36">
        <f t="shared" si="2"/>
        <v>3490</v>
      </c>
      <c r="P6" s="6" t="s">
        <v>16</v>
      </c>
    </row>
    <row r="7" spans="1:16" x14ac:dyDescent="0.35">
      <c r="A7" s="34" t="s">
        <v>6736</v>
      </c>
      <c r="B7" s="7">
        <f t="shared" si="0"/>
        <v>46086</v>
      </c>
      <c r="C7" s="7">
        <f t="shared" si="1"/>
        <v>46092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6" t="s">
        <v>2036</v>
      </c>
      <c r="M7" s="8">
        <v>34900</v>
      </c>
      <c r="N7" s="37">
        <v>0.9</v>
      </c>
      <c r="O7" s="36">
        <f t="shared" si="2"/>
        <v>3490</v>
      </c>
      <c r="P7" s="6" t="s">
        <v>16</v>
      </c>
    </row>
    <row r="8" spans="1:16" x14ac:dyDescent="0.35">
      <c r="A8" s="34" t="s">
        <v>6736</v>
      </c>
      <c r="B8" s="7">
        <f t="shared" si="0"/>
        <v>46086</v>
      </c>
      <c r="C8" s="7">
        <f t="shared" si="1"/>
        <v>46092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6" t="s">
        <v>2038</v>
      </c>
      <c r="M8" s="8">
        <v>34900</v>
      </c>
      <c r="N8" s="37">
        <v>0.9</v>
      </c>
      <c r="O8" s="36">
        <f t="shared" si="2"/>
        <v>3490</v>
      </c>
      <c r="P8" s="6" t="s">
        <v>16</v>
      </c>
    </row>
    <row r="9" spans="1:16" x14ac:dyDescent="0.35">
      <c r="A9" s="34" t="s">
        <v>6736</v>
      </c>
      <c r="B9" s="7">
        <f t="shared" si="0"/>
        <v>46086</v>
      </c>
      <c r="C9" s="7">
        <f t="shared" si="1"/>
        <v>46092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6" t="s">
        <v>5185</v>
      </c>
      <c r="M9" s="8">
        <v>34900</v>
      </c>
      <c r="N9" s="37">
        <v>0.9</v>
      </c>
      <c r="O9" s="36">
        <f t="shared" si="2"/>
        <v>3490</v>
      </c>
      <c r="P9" s="6" t="s">
        <v>16</v>
      </c>
    </row>
    <row r="10" spans="1:16" x14ac:dyDescent="0.35">
      <c r="A10" s="34" t="s">
        <v>6736</v>
      </c>
      <c r="B10" s="7">
        <f t="shared" si="0"/>
        <v>46086</v>
      </c>
      <c r="C10" s="7">
        <f t="shared" si="1"/>
        <v>46092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6" t="s">
        <v>2039</v>
      </c>
      <c r="M10" s="8">
        <v>34900</v>
      </c>
      <c r="N10" s="37">
        <v>0.9</v>
      </c>
      <c r="O10" s="36">
        <f t="shared" si="2"/>
        <v>3490</v>
      </c>
      <c r="P10" s="6" t="s">
        <v>16</v>
      </c>
    </row>
    <row r="11" spans="1:16" x14ac:dyDescent="0.35">
      <c r="A11" s="34" t="s">
        <v>6736</v>
      </c>
      <c r="B11" s="7">
        <f t="shared" si="0"/>
        <v>46086</v>
      </c>
      <c r="C11" s="7">
        <f t="shared" si="1"/>
        <v>46092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6" t="s">
        <v>2041</v>
      </c>
      <c r="M11" s="8">
        <v>34900</v>
      </c>
      <c r="N11" s="37">
        <v>0.9</v>
      </c>
      <c r="O11" s="36">
        <f t="shared" si="2"/>
        <v>3490</v>
      </c>
      <c r="P11" s="6" t="s">
        <v>16</v>
      </c>
    </row>
    <row r="12" spans="1:16" x14ac:dyDescent="0.35">
      <c r="A12" s="34" t="s">
        <v>6736</v>
      </c>
      <c r="B12" s="7">
        <f t="shared" si="0"/>
        <v>46086</v>
      </c>
      <c r="C12" s="7">
        <f t="shared" si="1"/>
        <v>46092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6" t="s">
        <v>2043</v>
      </c>
      <c r="M12" s="8">
        <v>34900</v>
      </c>
      <c r="N12" s="37">
        <v>0.9</v>
      </c>
      <c r="O12" s="36">
        <f t="shared" si="2"/>
        <v>3490</v>
      </c>
      <c r="P12" s="6" t="s">
        <v>16</v>
      </c>
    </row>
    <row r="13" spans="1:16" x14ac:dyDescent="0.35">
      <c r="A13" s="34" t="s">
        <v>6736</v>
      </c>
      <c r="B13" s="7">
        <f t="shared" si="0"/>
        <v>46086</v>
      </c>
      <c r="C13" s="7">
        <f t="shared" si="1"/>
        <v>46092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6" t="s">
        <v>2044</v>
      </c>
      <c r="M13" s="8">
        <v>34900</v>
      </c>
      <c r="N13" s="37">
        <v>0.9</v>
      </c>
      <c r="O13" s="36">
        <f t="shared" si="2"/>
        <v>3490</v>
      </c>
      <c r="P13" s="6" t="s">
        <v>16</v>
      </c>
    </row>
    <row r="14" spans="1:16" x14ac:dyDescent="0.35">
      <c r="A14" s="34" t="s">
        <v>6736</v>
      </c>
      <c r="B14" s="7">
        <f t="shared" si="0"/>
        <v>46086</v>
      </c>
      <c r="C14" s="7">
        <f t="shared" si="1"/>
        <v>46092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6" t="s">
        <v>2045</v>
      </c>
      <c r="M14" s="8">
        <v>34900</v>
      </c>
      <c r="N14" s="37">
        <v>0.9</v>
      </c>
      <c r="O14" s="36">
        <f t="shared" si="2"/>
        <v>3490</v>
      </c>
      <c r="P14" s="6" t="s">
        <v>16</v>
      </c>
    </row>
    <row r="15" spans="1:16" x14ac:dyDescent="0.35">
      <c r="A15" s="34" t="s">
        <v>6736</v>
      </c>
      <c r="B15" s="7">
        <f t="shared" si="0"/>
        <v>46086</v>
      </c>
      <c r="C15" s="7">
        <f t="shared" si="1"/>
        <v>46092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6" t="s">
        <v>2009</v>
      </c>
      <c r="M15" s="8">
        <v>34900</v>
      </c>
      <c r="N15" s="37">
        <v>0.9</v>
      </c>
      <c r="O15" s="36">
        <f t="shared" si="2"/>
        <v>3490</v>
      </c>
      <c r="P15" s="6" t="s">
        <v>16</v>
      </c>
    </row>
    <row r="16" spans="1:16" x14ac:dyDescent="0.35">
      <c r="A16" s="34" t="s">
        <v>6736</v>
      </c>
      <c r="B16" s="7">
        <f t="shared" si="0"/>
        <v>46086</v>
      </c>
      <c r="C16" s="7">
        <f t="shared" si="1"/>
        <v>46092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6" t="s">
        <v>2010</v>
      </c>
      <c r="M16" s="8">
        <v>34900</v>
      </c>
      <c r="N16" s="37">
        <v>0.9</v>
      </c>
      <c r="O16" s="36">
        <f t="shared" si="2"/>
        <v>3490</v>
      </c>
      <c r="P16" s="6" t="s">
        <v>16</v>
      </c>
    </row>
    <row r="17" spans="1:16" x14ac:dyDescent="0.35">
      <c r="A17" s="34" t="s">
        <v>6736</v>
      </c>
      <c r="B17" s="7">
        <f t="shared" si="0"/>
        <v>46086</v>
      </c>
      <c r="C17" s="7">
        <f t="shared" si="1"/>
        <v>46092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6" t="s">
        <v>2011</v>
      </c>
      <c r="M17" s="8">
        <v>34900</v>
      </c>
      <c r="N17" s="37">
        <v>0.9</v>
      </c>
      <c r="O17" s="36">
        <f t="shared" si="2"/>
        <v>3490</v>
      </c>
      <c r="P17" s="6" t="s">
        <v>16</v>
      </c>
    </row>
    <row r="18" spans="1:16" x14ac:dyDescent="0.35">
      <c r="A18" s="34" t="s">
        <v>6736</v>
      </c>
      <c r="B18" s="7">
        <f t="shared" si="0"/>
        <v>46086</v>
      </c>
      <c r="C18" s="7">
        <f t="shared" si="1"/>
        <v>46092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6" t="s">
        <v>2047</v>
      </c>
      <c r="M18" s="8">
        <v>34900</v>
      </c>
      <c r="N18" s="37">
        <v>0.9</v>
      </c>
      <c r="O18" s="36">
        <f t="shared" si="2"/>
        <v>3490</v>
      </c>
      <c r="P18" s="6" t="s">
        <v>16</v>
      </c>
    </row>
    <row r="19" spans="1:16" x14ac:dyDescent="0.35">
      <c r="A19" s="34" t="s">
        <v>6736</v>
      </c>
      <c r="B19" s="7">
        <f t="shared" si="0"/>
        <v>46086</v>
      </c>
      <c r="C19" s="7">
        <f t="shared" si="1"/>
        <v>46092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6" t="s">
        <v>2048</v>
      </c>
      <c r="M19" s="8">
        <v>34900</v>
      </c>
      <c r="N19" s="37">
        <v>0.9</v>
      </c>
      <c r="O19" s="36">
        <f t="shared" si="2"/>
        <v>3490</v>
      </c>
      <c r="P19" s="6" t="s">
        <v>16</v>
      </c>
    </row>
    <row r="20" spans="1:16" x14ac:dyDescent="0.35">
      <c r="A20" s="34" t="s">
        <v>6736</v>
      </c>
      <c r="B20" s="7">
        <f t="shared" si="0"/>
        <v>46086</v>
      </c>
      <c r="C20" s="7">
        <f t="shared" si="1"/>
        <v>46092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6" t="s">
        <v>2049</v>
      </c>
      <c r="M20" s="8">
        <v>34900</v>
      </c>
      <c r="N20" s="37">
        <v>0.9</v>
      </c>
      <c r="O20" s="36">
        <f t="shared" si="2"/>
        <v>3490</v>
      </c>
      <c r="P20" s="6" t="s">
        <v>16</v>
      </c>
    </row>
    <row r="21" spans="1:16" x14ac:dyDescent="0.35">
      <c r="A21" s="34" t="s">
        <v>6736</v>
      </c>
      <c r="B21" s="7">
        <f t="shared" si="0"/>
        <v>46086</v>
      </c>
      <c r="C21" s="7">
        <f t="shared" si="1"/>
        <v>46092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6" t="s">
        <v>2050</v>
      </c>
      <c r="M21" s="8">
        <v>34900</v>
      </c>
      <c r="N21" s="37">
        <v>0.9</v>
      </c>
      <c r="O21" s="36">
        <f t="shared" si="2"/>
        <v>3490</v>
      </c>
      <c r="P21" s="6" t="s">
        <v>16</v>
      </c>
    </row>
    <row r="22" spans="1:16" x14ac:dyDescent="0.35">
      <c r="A22" s="34" t="s">
        <v>6736</v>
      </c>
      <c r="B22" s="7">
        <f t="shared" si="0"/>
        <v>46086</v>
      </c>
      <c r="C22" s="7">
        <f t="shared" si="1"/>
        <v>46092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6" t="s">
        <v>2052</v>
      </c>
      <c r="M22" s="8">
        <v>34900</v>
      </c>
      <c r="N22" s="37">
        <v>0.9</v>
      </c>
      <c r="O22" s="36">
        <f t="shared" si="2"/>
        <v>3490</v>
      </c>
      <c r="P22" s="6" t="s">
        <v>16</v>
      </c>
    </row>
    <row r="23" spans="1:16" x14ac:dyDescent="0.35">
      <c r="A23" s="34" t="s">
        <v>6736</v>
      </c>
      <c r="B23" s="7">
        <f t="shared" si="0"/>
        <v>46086</v>
      </c>
      <c r="C23" s="7">
        <f t="shared" si="1"/>
        <v>46092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6" t="s">
        <v>2053</v>
      </c>
      <c r="M23" s="8">
        <v>34900</v>
      </c>
      <c r="N23" s="37">
        <v>0.9</v>
      </c>
      <c r="O23" s="36">
        <f t="shared" si="2"/>
        <v>3490</v>
      </c>
      <c r="P23" s="6" t="s">
        <v>16</v>
      </c>
    </row>
    <row r="24" spans="1:16" x14ac:dyDescent="0.35">
      <c r="A24" s="34" t="s">
        <v>6736</v>
      </c>
      <c r="B24" s="7">
        <f t="shared" si="0"/>
        <v>46086</v>
      </c>
      <c r="C24" s="7">
        <f t="shared" si="1"/>
        <v>46092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6" t="s">
        <v>2054</v>
      </c>
      <c r="M24" s="8">
        <v>34900</v>
      </c>
      <c r="N24" s="37">
        <v>0.9</v>
      </c>
      <c r="O24" s="36">
        <f t="shared" si="2"/>
        <v>3490</v>
      </c>
      <c r="P24" s="6" t="s">
        <v>16</v>
      </c>
    </row>
    <row r="25" spans="1:16" x14ac:dyDescent="0.35">
      <c r="A25" s="34" t="s">
        <v>6736</v>
      </c>
      <c r="B25" s="7">
        <f t="shared" si="0"/>
        <v>46086</v>
      </c>
      <c r="C25" s="7">
        <f t="shared" si="1"/>
        <v>46092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6" t="s">
        <v>2056</v>
      </c>
      <c r="M25" s="8">
        <v>34900</v>
      </c>
      <c r="N25" s="37">
        <v>0.9</v>
      </c>
      <c r="O25" s="36">
        <f t="shared" si="2"/>
        <v>3490</v>
      </c>
      <c r="P25" s="6" t="s">
        <v>16</v>
      </c>
    </row>
    <row r="26" spans="1:16" x14ac:dyDescent="0.35">
      <c r="A26" s="34" t="s">
        <v>6736</v>
      </c>
      <c r="B26" s="7">
        <f t="shared" si="0"/>
        <v>46086</v>
      </c>
      <c r="C26" s="7">
        <f t="shared" si="1"/>
        <v>46092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6" t="s">
        <v>2057</v>
      </c>
      <c r="M26" s="8">
        <v>34900</v>
      </c>
      <c r="N26" s="37">
        <v>0.9</v>
      </c>
      <c r="O26" s="36">
        <f t="shared" si="2"/>
        <v>3490</v>
      </c>
      <c r="P26" s="6" t="s">
        <v>16</v>
      </c>
    </row>
    <row r="27" spans="1:16" x14ac:dyDescent="0.35">
      <c r="A27" s="34" t="s">
        <v>6736</v>
      </c>
      <c r="B27" s="7">
        <f t="shared" si="0"/>
        <v>46086</v>
      </c>
      <c r="C27" s="7">
        <f t="shared" si="1"/>
        <v>46092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6" t="s">
        <v>2059</v>
      </c>
      <c r="M27" s="8">
        <v>34900</v>
      </c>
      <c r="N27" s="37">
        <v>0.9</v>
      </c>
      <c r="O27" s="36">
        <f t="shared" si="2"/>
        <v>3490</v>
      </c>
      <c r="P27" s="6" t="s">
        <v>16</v>
      </c>
    </row>
    <row r="28" spans="1:16" x14ac:dyDescent="0.35">
      <c r="A28" s="34" t="s">
        <v>6736</v>
      </c>
      <c r="B28" s="7">
        <f t="shared" si="0"/>
        <v>46086</v>
      </c>
      <c r="C28" s="7">
        <f t="shared" si="1"/>
        <v>46092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6" t="s">
        <v>2060</v>
      </c>
      <c r="M28" s="8">
        <v>34900</v>
      </c>
      <c r="N28" s="37">
        <v>0.9</v>
      </c>
      <c r="O28" s="36">
        <f t="shared" si="2"/>
        <v>3490</v>
      </c>
      <c r="P28" s="6" t="s">
        <v>16</v>
      </c>
    </row>
    <row r="29" spans="1:16" x14ac:dyDescent="0.35">
      <c r="A29" s="34" t="s">
        <v>6736</v>
      </c>
      <c r="B29" s="7">
        <f t="shared" si="0"/>
        <v>46086</v>
      </c>
      <c r="C29" s="7">
        <f t="shared" si="1"/>
        <v>46092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6" t="s">
        <v>2061</v>
      </c>
      <c r="M29" s="8">
        <v>34900</v>
      </c>
      <c r="N29" s="37">
        <v>0.9</v>
      </c>
      <c r="O29" s="36">
        <f t="shared" si="2"/>
        <v>3490</v>
      </c>
      <c r="P29" s="6" t="s">
        <v>16</v>
      </c>
    </row>
    <row r="30" spans="1:16" x14ac:dyDescent="0.35">
      <c r="A30" s="34" t="s">
        <v>6736</v>
      </c>
      <c r="B30" s="7">
        <f t="shared" si="0"/>
        <v>46086</v>
      </c>
      <c r="C30" s="7">
        <f t="shared" si="1"/>
        <v>46092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6" t="s">
        <v>2063</v>
      </c>
      <c r="M30" s="8">
        <v>34900</v>
      </c>
      <c r="N30" s="37">
        <v>0.9</v>
      </c>
      <c r="O30" s="36">
        <f t="shared" si="2"/>
        <v>3490</v>
      </c>
      <c r="P30" s="6" t="s">
        <v>16</v>
      </c>
    </row>
    <row r="31" spans="1:16" x14ac:dyDescent="0.35">
      <c r="A31" s="34" t="s">
        <v>6736</v>
      </c>
      <c r="B31" s="7">
        <f t="shared" si="0"/>
        <v>46086</v>
      </c>
      <c r="C31" s="7">
        <f t="shared" si="1"/>
        <v>46092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6" t="s">
        <v>2064</v>
      </c>
      <c r="M31" s="8">
        <v>34900</v>
      </c>
      <c r="N31" s="37">
        <v>0.9</v>
      </c>
      <c r="O31" s="36">
        <f t="shared" si="2"/>
        <v>3490</v>
      </c>
      <c r="P31" s="6" t="s">
        <v>16</v>
      </c>
    </row>
    <row r="32" spans="1:16" x14ac:dyDescent="0.35">
      <c r="A32" s="34" t="s">
        <v>6736</v>
      </c>
      <c r="B32" s="7">
        <f t="shared" si="0"/>
        <v>46086</v>
      </c>
      <c r="C32" s="7">
        <f t="shared" si="1"/>
        <v>46092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6" t="s">
        <v>2065</v>
      </c>
      <c r="M32" s="8">
        <v>34900</v>
      </c>
      <c r="N32" s="37">
        <v>0.9</v>
      </c>
      <c r="O32" s="36">
        <f t="shared" si="2"/>
        <v>3490</v>
      </c>
      <c r="P32" s="6" t="s">
        <v>16</v>
      </c>
    </row>
    <row r="33" spans="1:16" x14ac:dyDescent="0.35">
      <c r="A33" s="34" t="s">
        <v>6736</v>
      </c>
      <c r="B33" s="7">
        <f t="shared" si="0"/>
        <v>46086</v>
      </c>
      <c r="C33" s="7">
        <f t="shared" si="1"/>
        <v>46092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6" t="s">
        <v>2066</v>
      </c>
      <c r="M33" s="8">
        <v>34900</v>
      </c>
      <c r="N33" s="37">
        <v>0.9</v>
      </c>
      <c r="O33" s="36">
        <f t="shared" si="2"/>
        <v>3490</v>
      </c>
      <c r="P33" s="6" t="s">
        <v>16</v>
      </c>
    </row>
    <row r="34" spans="1:16" x14ac:dyDescent="0.35">
      <c r="A34" s="34" t="s">
        <v>6736</v>
      </c>
      <c r="B34" s="7">
        <f t="shared" si="0"/>
        <v>46086</v>
      </c>
      <c r="C34" s="7">
        <f t="shared" si="1"/>
        <v>46092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6" t="s">
        <v>2013</v>
      </c>
      <c r="M34" s="8">
        <v>39900</v>
      </c>
      <c r="N34" s="37">
        <v>0.9</v>
      </c>
      <c r="O34" s="36">
        <f t="shared" si="2"/>
        <v>3990</v>
      </c>
      <c r="P34" s="6" t="s">
        <v>16</v>
      </c>
    </row>
    <row r="35" spans="1:16" x14ac:dyDescent="0.35">
      <c r="A35" s="34" t="s">
        <v>6736</v>
      </c>
      <c r="B35" s="7">
        <f t="shared" si="0"/>
        <v>46086</v>
      </c>
      <c r="C35" s="7">
        <f t="shared" si="1"/>
        <v>46092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6" t="s">
        <v>2068</v>
      </c>
      <c r="M35" s="8">
        <v>39900</v>
      </c>
      <c r="N35" s="37">
        <v>0.9</v>
      </c>
      <c r="O35" s="36">
        <f t="shared" si="2"/>
        <v>3990</v>
      </c>
      <c r="P35" s="6" t="s">
        <v>16</v>
      </c>
    </row>
    <row r="36" spans="1:16" x14ac:dyDescent="0.35">
      <c r="A36" s="34" t="s">
        <v>6736</v>
      </c>
      <c r="B36" s="7">
        <f t="shared" si="0"/>
        <v>46086</v>
      </c>
      <c r="C36" s="7">
        <f t="shared" si="1"/>
        <v>46092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6" t="s">
        <v>2069</v>
      </c>
      <c r="M36" s="8">
        <v>39900</v>
      </c>
      <c r="N36" s="37">
        <v>0.9</v>
      </c>
      <c r="O36" s="36">
        <f t="shared" si="2"/>
        <v>3990</v>
      </c>
      <c r="P36" s="6" t="s">
        <v>16</v>
      </c>
    </row>
    <row r="37" spans="1:16" x14ac:dyDescent="0.35">
      <c r="A37" s="34" t="s">
        <v>6736</v>
      </c>
      <c r="B37" s="7">
        <f t="shared" si="0"/>
        <v>46086</v>
      </c>
      <c r="C37" s="7">
        <f t="shared" si="1"/>
        <v>46092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6" t="s">
        <v>2015</v>
      </c>
      <c r="M37" s="8">
        <v>34900</v>
      </c>
      <c r="N37" s="37">
        <v>0.9</v>
      </c>
      <c r="O37" s="36">
        <f t="shared" si="2"/>
        <v>3490</v>
      </c>
      <c r="P37" s="6" t="s">
        <v>16</v>
      </c>
    </row>
    <row r="38" spans="1:16" x14ac:dyDescent="0.35">
      <c r="A38" s="34" t="s">
        <v>6736</v>
      </c>
      <c r="B38" s="7">
        <f t="shared" si="0"/>
        <v>46086</v>
      </c>
      <c r="C38" s="7">
        <f t="shared" si="1"/>
        <v>46092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6" t="s">
        <v>2017</v>
      </c>
      <c r="M38" s="8">
        <v>34900</v>
      </c>
      <c r="N38" s="37">
        <v>0.9</v>
      </c>
      <c r="O38" s="36">
        <f t="shared" si="2"/>
        <v>3490</v>
      </c>
      <c r="P38" s="6" t="s">
        <v>16</v>
      </c>
    </row>
    <row r="39" spans="1:16" x14ac:dyDescent="0.35">
      <c r="A39" s="34" t="s">
        <v>6736</v>
      </c>
      <c r="B39" s="7">
        <f t="shared" si="0"/>
        <v>46086</v>
      </c>
      <c r="C39" s="7">
        <f t="shared" si="1"/>
        <v>46092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6" t="s">
        <v>2018</v>
      </c>
      <c r="M39" s="8">
        <v>34900</v>
      </c>
      <c r="N39" s="37">
        <v>0.9</v>
      </c>
      <c r="O39" s="36">
        <f t="shared" si="2"/>
        <v>3490</v>
      </c>
      <c r="P39" s="6" t="s">
        <v>16</v>
      </c>
    </row>
    <row r="40" spans="1:16" x14ac:dyDescent="0.35">
      <c r="A40" s="34" t="s">
        <v>6736</v>
      </c>
      <c r="B40" s="7">
        <f t="shared" si="0"/>
        <v>46086</v>
      </c>
      <c r="C40" s="7">
        <f t="shared" si="1"/>
        <v>46092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6" t="s">
        <v>2020</v>
      </c>
      <c r="M40" s="8">
        <v>34900</v>
      </c>
      <c r="N40" s="37">
        <v>0.9</v>
      </c>
      <c r="O40" s="36">
        <f t="shared" si="2"/>
        <v>3490</v>
      </c>
      <c r="P40" s="6" t="s">
        <v>16</v>
      </c>
    </row>
    <row r="41" spans="1:16" x14ac:dyDescent="0.35">
      <c r="A41" s="34" t="s">
        <v>6736</v>
      </c>
      <c r="B41" s="7">
        <f t="shared" si="0"/>
        <v>46086</v>
      </c>
      <c r="C41" s="7">
        <f t="shared" si="1"/>
        <v>46092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6" t="s">
        <v>2021</v>
      </c>
      <c r="M41" s="8">
        <v>34900</v>
      </c>
      <c r="N41" s="37">
        <v>0.9</v>
      </c>
      <c r="O41" s="36">
        <f t="shared" si="2"/>
        <v>3490</v>
      </c>
      <c r="P41" s="6" t="s">
        <v>16</v>
      </c>
    </row>
    <row r="42" spans="1:16" x14ac:dyDescent="0.35">
      <c r="A42" s="34" t="s">
        <v>6736</v>
      </c>
      <c r="B42" s="7">
        <f t="shared" si="0"/>
        <v>46086</v>
      </c>
      <c r="C42" s="7">
        <f t="shared" si="1"/>
        <v>46092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6" t="s">
        <v>2022</v>
      </c>
      <c r="M42" s="8">
        <v>34900</v>
      </c>
      <c r="N42" s="37">
        <v>0.9</v>
      </c>
      <c r="O42" s="36">
        <f t="shared" si="2"/>
        <v>3490</v>
      </c>
      <c r="P42" s="6" t="s">
        <v>16</v>
      </c>
    </row>
    <row r="43" spans="1:16" x14ac:dyDescent="0.35">
      <c r="A43" s="34" t="s">
        <v>6736</v>
      </c>
      <c r="B43" s="7">
        <f t="shared" si="0"/>
        <v>46086</v>
      </c>
      <c r="C43" s="7">
        <f t="shared" si="1"/>
        <v>46092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6" t="s">
        <v>2024</v>
      </c>
      <c r="M43" s="8">
        <v>34900</v>
      </c>
      <c r="N43" s="37">
        <v>0.9</v>
      </c>
      <c r="O43" s="36">
        <f t="shared" si="2"/>
        <v>3490</v>
      </c>
      <c r="P43" s="6" t="s">
        <v>16</v>
      </c>
    </row>
    <row r="44" spans="1:16" x14ac:dyDescent="0.35">
      <c r="A44" s="34" t="s">
        <v>6736</v>
      </c>
      <c r="B44" s="7">
        <f t="shared" si="0"/>
        <v>46086</v>
      </c>
      <c r="C44" s="7">
        <f t="shared" si="1"/>
        <v>46092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6" t="s">
        <v>2025</v>
      </c>
      <c r="M44" s="8">
        <v>34900</v>
      </c>
      <c r="N44" s="37">
        <v>0.9</v>
      </c>
      <c r="O44" s="36">
        <f t="shared" si="2"/>
        <v>3490</v>
      </c>
      <c r="P44" s="6" t="s">
        <v>16</v>
      </c>
    </row>
    <row r="45" spans="1:16" x14ac:dyDescent="0.35">
      <c r="A45" s="34" t="s">
        <v>6736</v>
      </c>
      <c r="B45" s="7">
        <f t="shared" si="0"/>
        <v>46086</v>
      </c>
      <c r="C45" s="7">
        <f t="shared" si="1"/>
        <v>46092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6" t="s">
        <v>2026</v>
      </c>
      <c r="M45" s="8">
        <v>34900</v>
      </c>
      <c r="N45" s="37">
        <v>0.9</v>
      </c>
      <c r="O45" s="36">
        <f t="shared" si="2"/>
        <v>3490</v>
      </c>
      <c r="P45" s="6" t="s">
        <v>16</v>
      </c>
    </row>
    <row r="46" spans="1:16" x14ac:dyDescent="0.35">
      <c r="A46" s="34" t="s">
        <v>6736</v>
      </c>
      <c r="B46" s="7">
        <f t="shared" si="0"/>
        <v>46086</v>
      </c>
      <c r="C46" s="7">
        <f t="shared" si="1"/>
        <v>46092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6" t="s">
        <v>2080</v>
      </c>
      <c r="M46" s="8">
        <v>34900</v>
      </c>
      <c r="N46" s="37">
        <v>0.9</v>
      </c>
      <c r="O46" s="36">
        <f t="shared" si="2"/>
        <v>3490</v>
      </c>
      <c r="P46" s="6" t="s">
        <v>16</v>
      </c>
    </row>
    <row r="47" spans="1:16" x14ac:dyDescent="0.35">
      <c r="A47" s="34" t="s">
        <v>6736</v>
      </c>
      <c r="B47" s="7">
        <f t="shared" si="0"/>
        <v>46086</v>
      </c>
      <c r="C47" s="7">
        <f t="shared" si="1"/>
        <v>46092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6" t="s">
        <v>2081</v>
      </c>
      <c r="M47" s="8">
        <v>34900</v>
      </c>
      <c r="N47" s="37">
        <v>0.9</v>
      </c>
      <c r="O47" s="36">
        <f t="shared" si="2"/>
        <v>3490</v>
      </c>
      <c r="P47" s="6" t="s">
        <v>16</v>
      </c>
    </row>
    <row r="48" spans="1:16" x14ac:dyDescent="0.35">
      <c r="A48" s="34" t="s">
        <v>6736</v>
      </c>
      <c r="B48" s="7">
        <f t="shared" si="0"/>
        <v>46086</v>
      </c>
      <c r="C48" s="7">
        <f t="shared" si="1"/>
        <v>46092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6" t="s">
        <v>2082</v>
      </c>
      <c r="M48" s="8">
        <v>34900</v>
      </c>
      <c r="N48" s="37">
        <v>0.9</v>
      </c>
      <c r="O48" s="36">
        <f t="shared" si="2"/>
        <v>3490</v>
      </c>
      <c r="P48" s="6" t="s">
        <v>16</v>
      </c>
    </row>
    <row r="49" spans="1:16" x14ac:dyDescent="0.35">
      <c r="A49" s="34" t="s">
        <v>6736</v>
      </c>
      <c r="B49" s="7">
        <f t="shared" si="0"/>
        <v>46086</v>
      </c>
      <c r="C49" s="7">
        <f t="shared" si="1"/>
        <v>46092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6" t="s">
        <v>2071</v>
      </c>
      <c r="M49" s="8">
        <v>34900</v>
      </c>
      <c r="N49" s="37">
        <v>0.9</v>
      </c>
      <c r="O49" s="36">
        <f t="shared" si="2"/>
        <v>3490</v>
      </c>
      <c r="P49" s="6" t="s">
        <v>16</v>
      </c>
    </row>
    <row r="50" spans="1:16" x14ac:dyDescent="0.35">
      <c r="A50" s="34" t="s">
        <v>6736</v>
      </c>
      <c r="B50" s="7">
        <f t="shared" si="0"/>
        <v>46086</v>
      </c>
      <c r="C50" s="7">
        <f t="shared" si="1"/>
        <v>46092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6" t="s">
        <v>2072</v>
      </c>
      <c r="M50" s="8">
        <v>34900</v>
      </c>
      <c r="N50" s="37">
        <v>0.9</v>
      </c>
      <c r="O50" s="36">
        <f t="shared" si="2"/>
        <v>3490</v>
      </c>
      <c r="P50" s="6" t="s">
        <v>16</v>
      </c>
    </row>
    <row r="51" spans="1:16" x14ac:dyDescent="0.35">
      <c r="A51" s="34" t="s">
        <v>6736</v>
      </c>
      <c r="B51" s="7">
        <f t="shared" si="0"/>
        <v>46086</v>
      </c>
      <c r="C51" s="7">
        <f t="shared" si="1"/>
        <v>46092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6" t="s">
        <v>2073</v>
      </c>
      <c r="M51" s="8">
        <v>34900</v>
      </c>
      <c r="N51" s="37">
        <v>0.9</v>
      </c>
      <c r="O51" s="36">
        <f t="shared" si="2"/>
        <v>3490</v>
      </c>
      <c r="P51" s="6" t="s">
        <v>16</v>
      </c>
    </row>
    <row r="52" spans="1:16" x14ac:dyDescent="0.35">
      <c r="A52" s="34" t="s">
        <v>6736</v>
      </c>
      <c r="B52" s="7">
        <f t="shared" si="0"/>
        <v>46086</v>
      </c>
      <c r="C52" s="7">
        <f t="shared" si="1"/>
        <v>46092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6" t="s">
        <v>2074</v>
      </c>
      <c r="M52" s="8">
        <v>34900</v>
      </c>
      <c r="N52" s="37">
        <v>0.9</v>
      </c>
      <c r="O52" s="36">
        <f t="shared" si="2"/>
        <v>3490</v>
      </c>
      <c r="P52" s="6" t="s">
        <v>16</v>
      </c>
    </row>
    <row r="53" spans="1:16" x14ac:dyDescent="0.35">
      <c r="A53" s="34" t="s">
        <v>6736</v>
      </c>
      <c r="B53" s="7">
        <f t="shared" si="0"/>
        <v>46086</v>
      </c>
      <c r="C53" s="7">
        <f t="shared" si="1"/>
        <v>46092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6" t="s">
        <v>2076</v>
      </c>
      <c r="M53" s="8">
        <v>34900</v>
      </c>
      <c r="N53" s="37">
        <v>0.9</v>
      </c>
      <c r="O53" s="36">
        <f t="shared" si="2"/>
        <v>3490</v>
      </c>
      <c r="P53" s="6" t="s">
        <v>16</v>
      </c>
    </row>
    <row r="54" spans="1:16" x14ac:dyDescent="0.35">
      <c r="A54" s="34" t="s">
        <v>6736</v>
      </c>
      <c r="B54" s="7">
        <f t="shared" si="0"/>
        <v>46086</v>
      </c>
      <c r="C54" s="7">
        <f t="shared" si="1"/>
        <v>46092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6" t="s">
        <v>2077</v>
      </c>
      <c r="M54" s="8">
        <v>34900</v>
      </c>
      <c r="N54" s="37">
        <v>0.9</v>
      </c>
      <c r="O54" s="36">
        <f t="shared" si="2"/>
        <v>3490</v>
      </c>
      <c r="P54" s="6" t="s">
        <v>16</v>
      </c>
    </row>
    <row r="55" spans="1:16" x14ac:dyDescent="0.35">
      <c r="A55" s="34" t="s">
        <v>6736</v>
      </c>
      <c r="B55" s="7">
        <f t="shared" si="0"/>
        <v>46086</v>
      </c>
      <c r="C55" s="7">
        <f t="shared" si="1"/>
        <v>46092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6" t="s">
        <v>2078</v>
      </c>
      <c r="M55" s="8">
        <v>34900</v>
      </c>
      <c r="N55" s="37">
        <v>0.9</v>
      </c>
      <c r="O55" s="36">
        <f t="shared" si="2"/>
        <v>3490</v>
      </c>
      <c r="P55" s="6" t="s">
        <v>16</v>
      </c>
    </row>
    <row r="56" spans="1:16" x14ac:dyDescent="0.35">
      <c r="A56" s="34" t="s">
        <v>6736</v>
      </c>
      <c r="B56" s="7">
        <f t="shared" si="0"/>
        <v>46086</v>
      </c>
      <c r="C56" s="7">
        <f t="shared" si="1"/>
        <v>46092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6" t="s">
        <v>2130</v>
      </c>
      <c r="M56" s="8">
        <v>179900</v>
      </c>
      <c r="N56" s="37">
        <v>0.9</v>
      </c>
      <c r="O56" s="36">
        <f t="shared" si="2"/>
        <v>17990</v>
      </c>
      <c r="P56" s="6" t="s">
        <v>16</v>
      </c>
    </row>
    <row r="57" spans="1:16" x14ac:dyDescent="0.35">
      <c r="A57" s="34" t="s">
        <v>6736</v>
      </c>
      <c r="B57" s="7">
        <f t="shared" si="0"/>
        <v>46086</v>
      </c>
      <c r="C57" s="7">
        <f t="shared" si="1"/>
        <v>46092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6" t="s">
        <v>2131</v>
      </c>
      <c r="M57" s="8">
        <v>179900</v>
      </c>
      <c r="N57" s="37">
        <v>0.9</v>
      </c>
      <c r="O57" s="36">
        <f t="shared" si="2"/>
        <v>17990</v>
      </c>
      <c r="P57" s="6" t="s">
        <v>16</v>
      </c>
    </row>
    <row r="58" spans="1:16" x14ac:dyDescent="0.35">
      <c r="A58" s="34" t="s">
        <v>6736</v>
      </c>
      <c r="B58" s="7">
        <f t="shared" si="0"/>
        <v>46086</v>
      </c>
      <c r="C58" s="7">
        <f t="shared" si="1"/>
        <v>46092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6" t="s">
        <v>2132</v>
      </c>
      <c r="M58" s="8">
        <v>179900</v>
      </c>
      <c r="N58" s="37">
        <v>0.9</v>
      </c>
      <c r="O58" s="36">
        <f t="shared" si="2"/>
        <v>17990</v>
      </c>
      <c r="P58" s="6" t="s">
        <v>16</v>
      </c>
    </row>
    <row r="59" spans="1:16" x14ac:dyDescent="0.35">
      <c r="A59" s="34" t="s">
        <v>6736</v>
      </c>
      <c r="B59" s="7">
        <f t="shared" si="0"/>
        <v>46086</v>
      </c>
      <c r="C59" s="7">
        <f t="shared" si="1"/>
        <v>46092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6" t="s">
        <v>2134</v>
      </c>
      <c r="M59" s="8">
        <v>189900</v>
      </c>
      <c r="N59" s="37">
        <v>0.9</v>
      </c>
      <c r="O59" s="36">
        <f t="shared" si="2"/>
        <v>18990</v>
      </c>
      <c r="P59" s="6" t="s">
        <v>16</v>
      </c>
    </row>
    <row r="60" spans="1:16" x14ac:dyDescent="0.35">
      <c r="A60" s="34" t="s">
        <v>6736</v>
      </c>
      <c r="B60" s="7">
        <f t="shared" si="0"/>
        <v>46086</v>
      </c>
      <c r="C60" s="7">
        <f t="shared" si="1"/>
        <v>46092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6" t="s">
        <v>2135</v>
      </c>
      <c r="M60" s="8">
        <v>189900</v>
      </c>
      <c r="N60" s="37">
        <v>0.9</v>
      </c>
      <c r="O60" s="36">
        <f t="shared" si="2"/>
        <v>18990</v>
      </c>
      <c r="P60" s="6" t="s">
        <v>16</v>
      </c>
    </row>
    <row r="61" spans="1:16" x14ac:dyDescent="0.35">
      <c r="A61" s="34" t="s">
        <v>6736</v>
      </c>
      <c r="B61" s="7">
        <f t="shared" si="0"/>
        <v>46086</v>
      </c>
      <c r="C61" s="7">
        <f t="shared" si="1"/>
        <v>46092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6" t="s">
        <v>2119</v>
      </c>
      <c r="M61" s="8">
        <v>189900</v>
      </c>
      <c r="N61" s="37">
        <v>0.9</v>
      </c>
      <c r="O61" s="36">
        <f t="shared" si="2"/>
        <v>18990</v>
      </c>
      <c r="P61" s="6" t="s">
        <v>16</v>
      </c>
    </row>
    <row r="62" spans="1:16" x14ac:dyDescent="0.35">
      <c r="A62" s="34" t="s">
        <v>6736</v>
      </c>
      <c r="B62" s="7">
        <f t="shared" si="0"/>
        <v>46086</v>
      </c>
      <c r="C62" s="7">
        <f t="shared" si="1"/>
        <v>46092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6" t="s">
        <v>2137</v>
      </c>
      <c r="M62" s="8">
        <v>189900</v>
      </c>
      <c r="N62" s="37">
        <v>0.9</v>
      </c>
      <c r="O62" s="36">
        <f t="shared" si="2"/>
        <v>18990</v>
      </c>
      <c r="P62" s="6" t="s">
        <v>16</v>
      </c>
    </row>
    <row r="63" spans="1:16" x14ac:dyDescent="0.35">
      <c r="A63" s="34" t="s">
        <v>6736</v>
      </c>
      <c r="B63" s="7">
        <f t="shared" si="0"/>
        <v>46086</v>
      </c>
      <c r="C63" s="7">
        <f t="shared" si="1"/>
        <v>46092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6" t="s">
        <v>2139</v>
      </c>
      <c r="M63" s="8">
        <v>189900</v>
      </c>
      <c r="N63" s="37">
        <v>0.9</v>
      </c>
      <c r="O63" s="36">
        <f t="shared" si="2"/>
        <v>18990</v>
      </c>
      <c r="P63" s="6" t="s">
        <v>16</v>
      </c>
    </row>
    <row r="64" spans="1:16" x14ac:dyDescent="0.35">
      <c r="A64" s="34" t="s">
        <v>6736</v>
      </c>
      <c r="B64" s="7">
        <f t="shared" si="0"/>
        <v>46086</v>
      </c>
      <c r="C64" s="7">
        <f t="shared" si="1"/>
        <v>46092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6" t="s">
        <v>5188</v>
      </c>
      <c r="M64" s="8">
        <v>189900</v>
      </c>
      <c r="N64" s="37">
        <v>0.9</v>
      </c>
      <c r="O64" s="36">
        <f t="shared" si="2"/>
        <v>18990</v>
      </c>
      <c r="P64" s="6" t="s">
        <v>16</v>
      </c>
    </row>
    <row r="65" spans="1:16" x14ac:dyDescent="0.35">
      <c r="A65" s="34" t="s">
        <v>6736</v>
      </c>
      <c r="B65" s="7">
        <f t="shared" si="0"/>
        <v>46086</v>
      </c>
      <c r="C65" s="7">
        <f t="shared" si="1"/>
        <v>46092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6" t="s">
        <v>2140</v>
      </c>
      <c r="M65" s="8">
        <v>189900</v>
      </c>
      <c r="N65" s="37">
        <v>0.9</v>
      </c>
      <c r="O65" s="36">
        <f t="shared" si="2"/>
        <v>18990</v>
      </c>
      <c r="P65" s="6" t="s">
        <v>16</v>
      </c>
    </row>
    <row r="66" spans="1:16" x14ac:dyDescent="0.35">
      <c r="A66" s="34" t="s">
        <v>6736</v>
      </c>
      <c r="B66" s="7">
        <f t="shared" si="0"/>
        <v>46086</v>
      </c>
      <c r="C66" s="7">
        <f t="shared" si="1"/>
        <v>46092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6" t="s">
        <v>2141</v>
      </c>
      <c r="M66" s="8">
        <v>189900</v>
      </c>
      <c r="N66" s="37">
        <v>0.9</v>
      </c>
      <c r="O66" s="36">
        <f t="shared" si="2"/>
        <v>18990</v>
      </c>
      <c r="P66" s="6" t="s">
        <v>16</v>
      </c>
    </row>
    <row r="67" spans="1:16" x14ac:dyDescent="0.35">
      <c r="A67" s="34" t="s">
        <v>6736</v>
      </c>
      <c r="B67" s="7">
        <f t="shared" si="0"/>
        <v>46086</v>
      </c>
      <c r="C67" s="7">
        <f t="shared" si="1"/>
        <v>46092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6" t="s">
        <v>2142</v>
      </c>
      <c r="M67" s="8">
        <v>189900</v>
      </c>
      <c r="N67" s="37">
        <v>0.9</v>
      </c>
      <c r="O67" s="36">
        <f t="shared" si="2"/>
        <v>18990</v>
      </c>
      <c r="P67" s="6" t="s">
        <v>16</v>
      </c>
    </row>
    <row r="68" spans="1:16" x14ac:dyDescent="0.35">
      <c r="A68" s="34" t="s">
        <v>6736</v>
      </c>
      <c r="B68" s="7">
        <f t="shared" ref="B68:B130" si="3">B67</f>
        <v>46086</v>
      </c>
      <c r="C68" s="7">
        <f t="shared" ref="C68:C130" si="4">C67</f>
        <v>46092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6" t="s">
        <v>2144</v>
      </c>
      <c r="M68" s="8">
        <v>189900</v>
      </c>
      <c r="N68" s="37">
        <v>0.9</v>
      </c>
      <c r="O68" s="36">
        <f t="shared" ref="O68:O131" si="5">M68-((90*M68)/100)</f>
        <v>18990</v>
      </c>
      <c r="P68" s="6" t="s">
        <v>16</v>
      </c>
    </row>
    <row r="69" spans="1:16" x14ac:dyDescent="0.35">
      <c r="A69" s="34" t="s">
        <v>6736</v>
      </c>
      <c r="B69" s="7">
        <f t="shared" si="3"/>
        <v>46086</v>
      </c>
      <c r="C69" s="7">
        <f t="shared" si="4"/>
        <v>46092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6" t="s">
        <v>2145</v>
      </c>
      <c r="M69" s="8">
        <v>189900</v>
      </c>
      <c r="N69" s="37">
        <v>0.9</v>
      </c>
      <c r="O69" s="36">
        <f t="shared" si="5"/>
        <v>18990</v>
      </c>
      <c r="P69" s="6" t="s">
        <v>16</v>
      </c>
    </row>
    <row r="70" spans="1:16" x14ac:dyDescent="0.35">
      <c r="A70" s="34" t="s">
        <v>6736</v>
      </c>
      <c r="B70" s="7">
        <f t="shared" si="3"/>
        <v>46086</v>
      </c>
      <c r="C70" s="7">
        <f t="shared" si="4"/>
        <v>46092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6" t="s">
        <v>2146</v>
      </c>
      <c r="M70" s="8">
        <v>189900</v>
      </c>
      <c r="N70" s="37">
        <v>0.9</v>
      </c>
      <c r="O70" s="36">
        <f t="shared" si="5"/>
        <v>18990</v>
      </c>
      <c r="P70" s="6" t="s">
        <v>16</v>
      </c>
    </row>
    <row r="71" spans="1:16" x14ac:dyDescent="0.35">
      <c r="A71" s="34" t="s">
        <v>6736</v>
      </c>
      <c r="B71" s="7">
        <f t="shared" si="3"/>
        <v>46086</v>
      </c>
      <c r="C71" s="7">
        <f t="shared" si="4"/>
        <v>46092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6" t="s">
        <v>2147</v>
      </c>
      <c r="M71" s="8">
        <v>189900</v>
      </c>
      <c r="N71" s="37">
        <v>0.9</v>
      </c>
      <c r="O71" s="36">
        <f t="shared" si="5"/>
        <v>18990</v>
      </c>
      <c r="P71" s="6" t="s">
        <v>16</v>
      </c>
    </row>
    <row r="72" spans="1:16" x14ac:dyDescent="0.35">
      <c r="A72" s="34" t="s">
        <v>6736</v>
      </c>
      <c r="B72" s="7">
        <f t="shared" si="3"/>
        <v>46086</v>
      </c>
      <c r="C72" s="7">
        <f t="shared" si="4"/>
        <v>46092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6" t="s">
        <v>2148</v>
      </c>
      <c r="M72" s="8">
        <v>189900</v>
      </c>
      <c r="N72" s="37">
        <v>0.9</v>
      </c>
      <c r="O72" s="36">
        <f t="shared" si="5"/>
        <v>18990</v>
      </c>
      <c r="P72" s="6" t="s">
        <v>16</v>
      </c>
    </row>
    <row r="73" spans="1:16" x14ac:dyDescent="0.35">
      <c r="A73" s="34" t="s">
        <v>6736</v>
      </c>
      <c r="B73" s="7">
        <f t="shared" si="3"/>
        <v>46086</v>
      </c>
      <c r="C73" s="7">
        <f t="shared" si="4"/>
        <v>46092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6" t="s">
        <v>2150</v>
      </c>
      <c r="M73" s="8">
        <v>189900</v>
      </c>
      <c r="N73" s="37">
        <v>0.9</v>
      </c>
      <c r="O73" s="36">
        <f t="shared" si="5"/>
        <v>18990</v>
      </c>
      <c r="P73" s="6" t="s">
        <v>16</v>
      </c>
    </row>
    <row r="74" spans="1:16" x14ac:dyDescent="0.35">
      <c r="A74" s="34" t="s">
        <v>6736</v>
      </c>
      <c r="B74" s="7">
        <f t="shared" si="3"/>
        <v>46086</v>
      </c>
      <c r="C74" s="7">
        <f t="shared" si="4"/>
        <v>46092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6" t="s">
        <v>2151</v>
      </c>
      <c r="M74" s="8">
        <v>189900</v>
      </c>
      <c r="N74" s="37">
        <v>0.9</v>
      </c>
      <c r="O74" s="36">
        <f t="shared" si="5"/>
        <v>18990</v>
      </c>
      <c r="P74" s="6" t="s">
        <v>16</v>
      </c>
    </row>
    <row r="75" spans="1:16" x14ac:dyDescent="0.35">
      <c r="A75" s="34" t="s">
        <v>6736</v>
      </c>
      <c r="B75" s="7">
        <f t="shared" si="3"/>
        <v>46086</v>
      </c>
      <c r="C75" s="7">
        <f t="shared" si="4"/>
        <v>46092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6" t="s">
        <v>2152</v>
      </c>
      <c r="M75" s="8">
        <v>189900</v>
      </c>
      <c r="N75" s="37">
        <v>0.9</v>
      </c>
      <c r="O75" s="36">
        <f t="shared" si="5"/>
        <v>18990</v>
      </c>
      <c r="P75" s="6" t="s">
        <v>16</v>
      </c>
    </row>
    <row r="76" spans="1:16" x14ac:dyDescent="0.35">
      <c r="A76" s="34" t="s">
        <v>6736</v>
      </c>
      <c r="B76" s="7">
        <f t="shared" si="3"/>
        <v>46086</v>
      </c>
      <c r="C76" s="7">
        <f t="shared" si="4"/>
        <v>46092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6" t="s">
        <v>2153</v>
      </c>
      <c r="M76" s="8">
        <v>189900</v>
      </c>
      <c r="N76" s="37">
        <v>0.9</v>
      </c>
      <c r="O76" s="36">
        <f t="shared" si="5"/>
        <v>18990</v>
      </c>
      <c r="P76" s="6" t="s">
        <v>16</v>
      </c>
    </row>
    <row r="77" spans="1:16" x14ac:dyDescent="0.35">
      <c r="A77" s="34" t="s">
        <v>6736</v>
      </c>
      <c r="B77" s="7">
        <f t="shared" si="3"/>
        <v>46086</v>
      </c>
      <c r="C77" s="7">
        <f t="shared" si="4"/>
        <v>46092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6" t="s">
        <v>2155</v>
      </c>
      <c r="M77" s="8">
        <v>189900</v>
      </c>
      <c r="N77" s="37">
        <v>0.9</v>
      </c>
      <c r="O77" s="36">
        <f t="shared" si="5"/>
        <v>18990</v>
      </c>
      <c r="P77" s="6" t="s">
        <v>16</v>
      </c>
    </row>
    <row r="78" spans="1:16" x14ac:dyDescent="0.35">
      <c r="A78" s="34" t="s">
        <v>6736</v>
      </c>
      <c r="B78" s="7">
        <f t="shared" si="3"/>
        <v>46086</v>
      </c>
      <c r="C78" s="7">
        <f t="shared" si="4"/>
        <v>46092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6" t="s">
        <v>2156</v>
      </c>
      <c r="M78" s="8">
        <v>189900</v>
      </c>
      <c r="N78" s="37">
        <v>0.9</v>
      </c>
      <c r="O78" s="36">
        <f t="shared" si="5"/>
        <v>18990</v>
      </c>
      <c r="P78" s="6" t="s">
        <v>16</v>
      </c>
    </row>
    <row r="79" spans="1:16" x14ac:dyDescent="0.35">
      <c r="A79" s="34" t="s">
        <v>6736</v>
      </c>
      <c r="B79" s="7">
        <f t="shared" si="3"/>
        <v>46086</v>
      </c>
      <c r="C79" s="7">
        <f t="shared" si="4"/>
        <v>46092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6" t="s">
        <v>2157</v>
      </c>
      <c r="M79" s="8">
        <v>189900</v>
      </c>
      <c r="N79" s="37">
        <v>0.9</v>
      </c>
      <c r="O79" s="36">
        <f t="shared" si="5"/>
        <v>18990</v>
      </c>
      <c r="P79" s="6" t="s">
        <v>16</v>
      </c>
    </row>
    <row r="80" spans="1:16" x14ac:dyDescent="0.35">
      <c r="A80" s="34" t="s">
        <v>6736</v>
      </c>
      <c r="B80" s="7">
        <f t="shared" si="3"/>
        <v>46086</v>
      </c>
      <c r="C80" s="7">
        <f t="shared" si="4"/>
        <v>46092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6" t="s">
        <v>2158</v>
      </c>
      <c r="M80" s="8">
        <v>199900</v>
      </c>
      <c r="N80" s="37">
        <v>0.9</v>
      </c>
      <c r="O80" s="36">
        <f t="shared" si="5"/>
        <v>19990</v>
      </c>
      <c r="P80" s="6" t="s">
        <v>16</v>
      </c>
    </row>
    <row r="81" spans="1:16" x14ac:dyDescent="0.35">
      <c r="A81" s="34" t="s">
        <v>6736</v>
      </c>
      <c r="B81" s="7">
        <f t="shared" si="3"/>
        <v>46086</v>
      </c>
      <c r="C81" s="7">
        <f t="shared" si="4"/>
        <v>46092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6" t="s">
        <v>2159</v>
      </c>
      <c r="M81" s="8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6736</v>
      </c>
      <c r="B82" s="7">
        <f t="shared" si="3"/>
        <v>46086</v>
      </c>
      <c r="C82" s="7">
        <f t="shared" si="4"/>
        <v>46092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6" t="s">
        <v>2160</v>
      </c>
      <c r="M82" s="8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6736</v>
      </c>
      <c r="B83" s="7">
        <f t="shared" si="3"/>
        <v>46086</v>
      </c>
      <c r="C83" s="7">
        <f t="shared" si="4"/>
        <v>46092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6" t="s">
        <v>2162</v>
      </c>
      <c r="M83" s="8">
        <v>189900</v>
      </c>
      <c r="N83" s="37">
        <v>0.9</v>
      </c>
      <c r="O83" s="36">
        <f t="shared" si="5"/>
        <v>18990</v>
      </c>
      <c r="P83" s="6" t="s">
        <v>16</v>
      </c>
    </row>
    <row r="84" spans="1:16" x14ac:dyDescent="0.35">
      <c r="A84" s="34" t="s">
        <v>6736</v>
      </c>
      <c r="B84" s="7">
        <f t="shared" si="3"/>
        <v>46086</v>
      </c>
      <c r="C84" s="7">
        <f t="shared" si="4"/>
        <v>46092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6" t="s">
        <v>2163</v>
      </c>
      <c r="M84" s="8">
        <v>189900</v>
      </c>
      <c r="N84" s="37">
        <v>0.9</v>
      </c>
      <c r="O84" s="36">
        <f t="shared" si="5"/>
        <v>18990</v>
      </c>
      <c r="P84" s="6" t="s">
        <v>16</v>
      </c>
    </row>
    <row r="85" spans="1:16" x14ac:dyDescent="0.35">
      <c r="A85" s="34" t="s">
        <v>6736</v>
      </c>
      <c r="B85" s="7">
        <f t="shared" si="3"/>
        <v>46086</v>
      </c>
      <c r="C85" s="7">
        <f t="shared" si="4"/>
        <v>46092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6" t="s">
        <v>2165</v>
      </c>
      <c r="M85" s="8">
        <v>159900</v>
      </c>
      <c r="N85" s="37">
        <v>0.9</v>
      </c>
      <c r="O85" s="36">
        <f t="shared" si="5"/>
        <v>15990</v>
      </c>
      <c r="P85" s="6" t="s">
        <v>16</v>
      </c>
    </row>
    <row r="86" spans="1:16" x14ac:dyDescent="0.35">
      <c r="A86" s="34" t="s">
        <v>6736</v>
      </c>
      <c r="B86" s="7">
        <f t="shared" si="3"/>
        <v>46086</v>
      </c>
      <c r="C86" s="7">
        <f t="shared" si="4"/>
        <v>46092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6" t="s">
        <v>2166</v>
      </c>
      <c r="M86" s="8">
        <v>169900</v>
      </c>
      <c r="N86" s="37">
        <v>0.9</v>
      </c>
      <c r="O86" s="36">
        <f t="shared" si="5"/>
        <v>16990</v>
      </c>
      <c r="P86" s="6" t="s">
        <v>16</v>
      </c>
    </row>
    <row r="87" spans="1:16" x14ac:dyDescent="0.35">
      <c r="A87" s="34" t="s">
        <v>6736</v>
      </c>
      <c r="B87" s="7">
        <f t="shared" si="3"/>
        <v>46086</v>
      </c>
      <c r="C87" s="7">
        <f t="shared" si="4"/>
        <v>46092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6" t="s">
        <v>2167</v>
      </c>
      <c r="M87" s="8">
        <v>169900</v>
      </c>
      <c r="N87" s="37">
        <v>0.9</v>
      </c>
      <c r="O87" s="36">
        <f t="shared" si="5"/>
        <v>16990</v>
      </c>
      <c r="P87" s="6" t="s">
        <v>16</v>
      </c>
    </row>
    <row r="88" spans="1:16" x14ac:dyDescent="0.35">
      <c r="A88" s="34" t="s">
        <v>6736</v>
      </c>
      <c r="B88" s="7">
        <f t="shared" si="3"/>
        <v>46086</v>
      </c>
      <c r="C88" s="7">
        <f t="shared" si="4"/>
        <v>46092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6" t="s">
        <v>2168</v>
      </c>
      <c r="M88" s="8">
        <v>169900</v>
      </c>
      <c r="N88" s="37">
        <v>0.9</v>
      </c>
      <c r="O88" s="36">
        <f t="shared" si="5"/>
        <v>16990</v>
      </c>
      <c r="P88" s="6" t="s">
        <v>16</v>
      </c>
    </row>
    <row r="89" spans="1:16" x14ac:dyDescent="0.35">
      <c r="A89" s="34" t="s">
        <v>6736</v>
      </c>
      <c r="B89" s="7">
        <f t="shared" si="3"/>
        <v>46086</v>
      </c>
      <c r="C89" s="7">
        <f t="shared" si="4"/>
        <v>46092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6" t="s">
        <v>2169</v>
      </c>
      <c r="M89" s="8">
        <v>169900</v>
      </c>
      <c r="N89" s="37">
        <v>0.9</v>
      </c>
      <c r="O89" s="36">
        <f t="shared" si="5"/>
        <v>16990</v>
      </c>
      <c r="P89" s="6" t="s">
        <v>16</v>
      </c>
    </row>
    <row r="90" spans="1:16" x14ac:dyDescent="0.35">
      <c r="A90" s="34" t="s">
        <v>6736</v>
      </c>
      <c r="B90" s="7">
        <f t="shared" si="3"/>
        <v>46086</v>
      </c>
      <c r="C90" s="7">
        <f t="shared" si="4"/>
        <v>46092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6" t="s">
        <v>2121</v>
      </c>
      <c r="M90" s="8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6736</v>
      </c>
      <c r="B91" s="7">
        <f t="shared" si="3"/>
        <v>46086</v>
      </c>
      <c r="C91" s="7">
        <f t="shared" si="4"/>
        <v>46092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6" t="s">
        <v>2122</v>
      </c>
      <c r="M91" s="8">
        <v>199900</v>
      </c>
      <c r="N91" s="37">
        <v>0.9</v>
      </c>
      <c r="O91" s="36">
        <f t="shared" si="5"/>
        <v>19990</v>
      </c>
      <c r="P91" s="6" t="s">
        <v>16</v>
      </c>
    </row>
    <row r="92" spans="1:16" x14ac:dyDescent="0.35">
      <c r="A92" s="34" t="s">
        <v>6736</v>
      </c>
      <c r="B92" s="7">
        <f t="shared" si="3"/>
        <v>46086</v>
      </c>
      <c r="C92" s="7">
        <f t="shared" si="4"/>
        <v>46092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6" t="s">
        <v>2123</v>
      </c>
      <c r="M92" s="8">
        <v>199900</v>
      </c>
      <c r="N92" s="37">
        <v>0.9</v>
      </c>
      <c r="O92" s="36">
        <f t="shared" si="5"/>
        <v>19990</v>
      </c>
      <c r="P92" s="6" t="s">
        <v>16</v>
      </c>
    </row>
    <row r="93" spans="1:16" x14ac:dyDescent="0.35">
      <c r="A93" s="34" t="s">
        <v>6736</v>
      </c>
      <c r="B93" s="7">
        <f t="shared" si="3"/>
        <v>46086</v>
      </c>
      <c r="C93" s="7">
        <f t="shared" si="4"/>
        <v>46092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6" t="s">
        <v>2124</v>
      </c>
      <c r="M93" s="8">
        <v>199900</v>
      </c>
      <c r="N93" s="37">
        <v>0.9</v>
      </c>
      <c r="O93" s="36">
        <f t="shared" si="5"/>
        <v>19990</v>
      </c>
      <c r="P93" s="6" t="s">
        <v>16</v>
      </c>
    </row>
    <row r="94" spans="1:16" x14ac:dyDescent="0.35">
      <c r="A94" s="34" t="s">
        <v>6736</v>
      </c>
      <c r="B94" s="7">
        <f t="shared" si="3"/>
        <v>46086</v>
      </c>
      <c r="C94" s="7">
        <f t="shared" si="4"/>
        <v>46092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6" t="s">
        <v>2125</v>
      </c>
      <c r="M94" s="8">
        <v>199900</v>
      </c>
      <c r="N94" s="37">
        <v>0.9</v>
      </c>
      <c r="O94" s="36">
        <f t="shared" si="5"/>
        <v>19990</v>
      </c>
      <c r="P94" s="6" t="s">
        <v>16</v>
      </c>
    </row>
    <row r="95" spans="1:16" x14ac:dyDescent="0.35">
      <c r="A95" s="34" t="s">
        <v>6736</v>
      </c>
      <c r="B95" s="7">
        <f t="shared" si="3"/>
        <v>46086</v>
      </c>
      <c r="C95" s="7">
        <f t="shared" si="4"/>
        <v>46092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6" t="s">
        <v>2127</v>
      </c>
      <c r="M95" s="8">
        <v>199900</v>
      </c>
      <c r="N95" s="37">
        <v>0.9</v>
      </c>
      <c r="O95" s="36">
        <f t="shared" si="5"/>
        <v>19990</v>
      </c>
      <c r="P95" s="6" t="s">
        <v>16</v>
      </c>
    </row>
    <row r="96" spans="1:16" x14ac:dyDescent="0.35">
      <c r="A96" s="34" t="s">
        <v>6736</v>
      </c>
      <c r="B96" s="7">
        <f t="shared" si="3"/>
        <v>46086</v>
      </c>
      <c r="C96" s="7">
        <f t="shared" si="4"/>
        <v>46092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6" t="s">
        <v>2128</v>
      </c>
      <c r="M96" s="8">
        <v>199900</v>
      </c>
      <c r="N96" s="37">
        <v>0.9</v>
      </c>
      <c r="O96" s="36">
        <f t="shared" si="5"/>
        <v>19990</v>
      </c>
      <c r="P96" s="6" t="s">
        <v>16</v>
      </c>
    </row>
    <row r="97" spans="1:16" x14ac:dyDescent="0.35">
      <c r="A97" s="34" t="s">
        <v>6736</v>
      </c>
      <c r="B97" s="7">
        <f t="shared" si="3"/>
        <v>46086</v>
      </c>
      <c r="C97" s="7">
        <f t="shared" si="4"/>
        <v>46092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6" t="s">
        <v>2171</v>
      </c>
      <c r="M97" s="8">
        <v>34900</v>
      </c>
      <c r="N97" s="37">
        <v>0.9</v>
      </c>
      <c r="O97" s="36">
        <f t="shared" si="5"/>
        <v>3490</v>
      </c>
      <c r="P97" s="6" t="s">
        <v>16</v>
      </c>
    </row>
    <row r="98" spans="1:16" x14ac:dyDescent="0.35">
      <c r="A98" s="34" t="s">
        <v>6736</v>
      </c>
      <c r="B98" s="7">
        <f t="shared" si="3"/>
        <v>46086</v>
      </c>
      <c r="C98" s="7">
        <f t="shared" si="4"/>
        <v>46092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6" t="s">
        <v>2173</v>
      </c>
      <c r="M98" s="8">
        <v>34900</v>
      </c>
      <c r="N98" s="37">
        <v>0.9</v>
      </c>
      <c r="O98" s="36">
        <f t="shared" si="5"/>
        <v>3490</v>
      </c>
      <c r="P98" s="6" t="s">
        <v>16</v>
      </c>
    </row>
    <row r="99" spans="1:16" x14ac:dyDescent="0.35">
      <c r="A99" s="34" t="s">
        <v>6736</v>
      </c>
      <c r="B99" s="7">
        <f t="shared" si="3"/>
        <v>46086</v>
      </c>
      <c r="C99" s="7">
        <f t="shared" si="4"/>
        <v>46092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6" t="s">
        <v>2174</v>
      </c>
      <c r="M99" s="8">
        <v>34900</v>
      </c>
      <c r="N99" s="37">
        <v>0.9</v>
      </c>
      <c r="O99" s="36">
        <f t="shared" si="5"/>
        <v>3490</v>
      </c>
      <c r="P99" s="6" t="s">
        <v>16</v>
      </c>
    </row>
    <row r="100" spans="1:16" x14ac:dyDescent="0.35">
      <c r="A100" s="34" t="s">
        <v>6736</v>
      </c>
      <c r="B100" s="7">
        <f t="shared" si="3"/>
        <v>46086</v>
      </c>
      <c r="C100" s="7">
        <f t="shared" si="4"/>
        <v>46092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6" t="s">
        <v>2175</v>
      </c>
      <c r="M100" s="8">
        <v>34900</v>
      </c>
      <c r="N100" s="37">
        <v>0.9</v>
      </c>
      <c r="O100" s="36">
        <f t="shared" si="5"/>
        <v>3490</v>
      </c>
      <c r="P100" s="6" t="s">
        <v>16</v>
      </c>
    </row>
    <row r="101" spans="1:16" x14ac:dyDescent="0.35">
      <c r="A101" s="34" t="s">
        <v>6736</v>
      </c>
      <c r="B101" s="7">
        <f t="shared" si="3"/>
        <v>46086</v>
      </c>
      <c r="C101" s="7">
        <f t="shared" si="4"/>
        <v>46092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6" t="s">
        <v>2177</v>
      </c>
      <c r="M101" s="8">
        <v>34900</v>
      </c>
      <c r="N101" s="37">
        <v>0.9</v>
      </c>
      <c r="O101" s="36">
        <f t="shared" si="5"/>
        <v>3490</v>
      </c>
      <c r="P101" s="6" t="s">
        <v>16</v>
      </c>
    </row>
    <row r="102" spans="1:16" x14ac:dyDescent="0.35">
      <c r="A102" s="34" t="s">
        <v>6736</v>
      </c>
      <c r="B102" s="7">
        <f t="shared" si="3"/>
        <v>46086</v>
      </c>
      <c r="C102" s="7">
        <f t="shared" si="4"/>
        <v>46092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6" t="s">
        <v>2179</v>
      </c>
      <c r="M102" s="8">
        <v>34900</v>
      </c>
      <c r="N102" s="37">
        <v>0.9</v>
      </c>
      <c r="O102" s="36">
        <f t="shared" si="5"/>
        <v>3490</v>
      </c>
      <c r="P102" s="6" t="s">
        <v>16</v>
      </c>
    </row>
    <row r="103" spans="1:16" x14ac:dyDescent="0.35">
      <c r="A103" s="34" t="s">
        <v>6736</v>
      </c>
      <c r="B103" s="7">
        <f t="shared" si="3"/>
        <v>46086</v>
      </c>
      <c r="C103" s="7">
        <f t="shared" si="4"/>
        <v>46092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6" t="s">
        <v>2181</v>
      </c>
      <c r="M103" s="8">
        <v>34900</v>
      </c>
      <c r="N103" s="37">
        <v>0.9</v>
      </c>
      <c r="O103" s="36">
        <f t="shared" si="5"/>
        <v>3490</v>
      </c>
      <c r="P103" s="6" t="s">
        <v>16</v>
      </c>
    </row>
    <row r="104" spans="1:16" x14ac:dyDescent="0.35">
      <c r="A104" s="34" t="s">
        <v>6736</v>
      </c>
      <c r="B104" s="7">
        <f t="shared" si="3"/>
        <v>46086</v>
      </c>
      <c r="C104" s="7">
        <f t="shared" si="4"/>
        <v>46092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6" t="s">
        <v>2182</v>
      </c>
      <c r="M104" s="8">
        <v>34900</v>
      </c>
      <c r="N104" s="37">
        <v>0.9</v>
      </c>
      <c r="O104" s="36">
        <f t="shared" si="5"/>
        <v>3490</v>
      </c>
      <c r="P104" s="6" t="s">
        <v>16</v>
      </c>
    </row>
    <row r="105" spans="1:16" x14ac:dyDescent="0.35">
      <c r="A105" s="34" t="s">
        <v>6736</v>
      </c>
      <c r="B105" s="7">
        <f t="shared" si="3"/>
        <v>46086</v>
      </c>
      <c r="C105" s="7">
        <f t="shared" si="4"/>
        <v>46092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6" t="s">
        <v>2183</v>
      </c>
      <c r="M105" s="8">
        <v>34900</v>
      </c>
      <c r="N105" s="37">
        <v>0.9</v>
      </c>
      <c r="O105" s="36">
        <f t="shared" si="5"/>
        <v>3490</v>
      </c>
      <c r="P105" s="6" t="s">
        <v>16</v>
      </c>
    </row>
    <row r="106" spans="1:16" x14ac:dyDescent="0.35">
      <c r="A106" s="34" t="s">
        <v>6736</v>
      </c>
      <c r="B106" s="7">
        <f t="shared" si="3"/>
        <v>46086</v>
      </c>
      <c r="C106" s="7">
        <f t="shared" si="4"/>
        <v>46092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6" t="s">
        <v>2185</v>
      </c>
      <c r="M106" s="8">
        <v>34900</v>
      </c>
      <c r="N106" s="37">
        <v>0.9</v>
      </c>
      <c r="O106" s="36">
        <f t="shared" si="5"/>
        <v>3490</v>
      </c>
      <c r="P106" s="6" t="s">
        <v>16</v>
      </c>
    </row>
    <row r="107" spans="1:16" x14ac:dyDescent="0.35">
      <c r="A107" s="34" t="s">
        <v>6736</v>
      </c>
      <c r="B107" s="7">
        <f t="shared" si="3"/>
        <v>46086</v>
      </c>
      <c r="C107" s="7">
        <f t="shared" si="4"/>
        <v>46092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6" t="s">
        <v>2186</v>
      </c>
      <c r="M107" s="8">
        <v>34900</v>
      </c>
      <c r="N107" s="37">
        <v>0.9</v>
      </c>
      <c r="O107" s="36">
        <f t="shared" si="5"/>
        <v>3490</v>
      </c>
      <c r="P107" s="6" t="s">
        <v>16</v>
      </c>
    </row>
    <row r="108" spans="1:16" x14ac:dyDescent="0.35">
      <c r="A108" s="34" t="s">
        <v>6736</v>
      </c>
      <c r="B108" s="7">
        <f t="shared" si="3"/>
        <v>46086</v>
      </c>
      <c r="C108" s="7">
        <f t="shared" si="4"/>
        <v>46092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6" t="s">
        <v>2187</v>
      </c>
      <c r="M108" s="8">
        <v>34900</v>
      </c>
      <c r="N108" s="37">
        <v>0.9</v>
      </c>
      <c r="O108" s="36">
        <f t="shared" si="5"/>
        <v>3490</v>
      </c>
      <c r="P108" s="6" t="s">
        <v>16</v>
      </c>
    </row>
    <row r="109" spans="1:16" x14ac:dyDescent="0.35">
      <c r="A109" s="34" t="s">
        <v>6736</v>
      </c>
      <c r="B109" s="7">
        <f t="shared" si="3"/>
        <v>46086</v>
      </c>
      <c r="C109" s="7">
        <f t="shared" si="4"/>
        <v>46092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6" t="s">
        <v>2188</v>
      </c>
      <c r="M109" s="8">
        <v>34900</v>
      </c>
      <c r="N109" s="37">
        <v>0.9</v>
      </c>
      <c r="O109" s="36">
        <f t="shared" si="5"/>
        <v>3490</v>
      </c>
      <c r="P109" s="6" t="s">
        <v>16</v>
      </c>
    </row>
    <row r="110" spans="1:16" x14ac:dyDescent="0.35">
      <c r="A110" s="34" t="s">
        <v>6736</v>
      </c>
      <c r="B110" s="7">
        <f t="shared" si="3"/>
        <v>46086</v>
      </c>
      <c r="C110" s="7">
        <f t="shared" si="4"/>
        <v>46092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6" t="s">
        <v>2190</v>
      </c>
      <c r="M110" s="8">
        <v>34900</v>
      </c>
      <c r="N110" s="37">
        <v>0.9</v>
      </c>
      <c r="O110" s="36">
        <f t="shared" si="5"/>
        <v>3490</v>
      </c>
      <c r="P110" s="6" t="s">
        <v>16</v>
      </c>
    </row>
    <row r="111" spans="1:16" x14ac:dyDescent="0.35">
      <c r="A111" s="34" t="s">
        <v>6736</v>
      </c>
      <c r="B111" s="7">
        <f t="shared" si="3"/>
        <v>46086</v>
      </c>
      <c r="C111" s="7">
        <f t="shared" si="4"/>
        <v>46092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6" t="s">
        <v>2191</v>
      </c>
      <c r="M111" s="8">
        <v>34900</v>
      </c>
      <c r="N111" s="37">
        <v>0.9</v>
      </c>
      <c r="O111" s="36">
        <f t="shared" si="5"/>
        <v>3490</v>
      </c>
      <c r="P111" s="6" t="s">
        <v>16</v>
      </c>
    </row>
    <row r="112" spans="1:16" x14ac:dyDescent="0.35">
      <c r="A112" s="34" t="s">
        <v>6736</v>
      </c>
      <c r="B112" s="7">
        <f t="shared" si="3"/>
        <v>46086</v>
      </c>
      <c r="C112" s="7">
        <f t="shared" si="4"/>
        <v>46092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6" t="s">
        <v>2193</v>
      </c>
      <c r="M112" s="8">
        <v>34900</v>
      </c>
      <c r="N112" s="37">
        <v>0.9</v>
      </c>
      <c r="O112" s="36">
        <f t="shared" si="5"/>
        <v>3490</v>
      </c>
      <c r="P112" s="6" t="s">
        <v>16</v>
      </c>
    </row>
    <row r="113" spans="1:16" x14ac:dyDescent="0.35">
      <c r="A113" s="34" t="s">
        <v>6736</v>
      </c>
      <c r="B113" s="7">
        <f t="shared" si="3"/>
        <v>46086</v>
      </c>
      <c r="C113" s="7">
        <f t="shared" si="4"/>
        <v>46092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6" t="s">
        <v>2194</v>
      </c>
      <c r="M113" s="8">
        <v>34900</v>
      </c>
      <c r="N113" s="37">
        <v>0.9</v>
      </c>
      <c r="O113" s="36">
        <f t="shared" si="5"/>
        <v>3490</v>
      </c>
      <c r="P113" s="6" t="s">
        <v>16</v>
      </c>
    </row>
    <row r="114" spans="1:16" x14ac:dyDescent="0.35">
      <c r="A114" s="34" t="s">
        <v>6736</v>
      </c>
      <c r="B114" s="7">
        <f t="shared" si="3"/>
        <v>46086</v>
      </c>
      <c r="C114" s="7">
        <f t="shared" si="4"/>
        <v>46092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6" t="s">
        <v>2196</v>
      </c>
      <c r="M114" s="8">
        <v>34900</v>
      </c>
      <c r="N114" s="37">
        <v>0.9</v>
      </c>
      <c r="O114" s="36">
        <f t="shared" si="5"/>
        <v>3490</v>
      </c>
      <c r="P114" s="6" t="s">
        <v>16</v>
      </c>
    </row>
    <row r="115" spans="1:16" x14ac:dyDescent="0.35">
      <c r="A115" s="34" t="s">
        <v>6736</v>
      </c>
      <c r="B115" s="7">
        <f t="shared" si="3"/>
        <v>46086</v>
      </c>
      <c r="C115" s="7">
        <f t="shared" si="4"/>
        <v>46092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6" t="s">
        <v>2197</v>
      </c>
      <c r="M115" s="8">
        <v>34900</v>
      </c>
      <c r="N115" s="37">
        <v>0.9</v>
      </c>
      <c r="O115" s="36">
        <f t="shared" si="5"/>
        <v>3490</v>
      </c>
      <c r="P115" s="6" t="s">
        <v>16</v>
      </c>
    </row>
    <row r="116" spans="1:16" x14ac:dyDescent="0.35">
      <c r="A116" s="34" t="s">
        <v>6736</v>
      </c>
      <c r="B116" s="7">
        <f t="shared" si="3"/>
        <v>46086</v>
      </c>
      <c r="C116" s="7">
        <f t="shared" si="4"/>
        <v>46092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6" t="s">
        <v>2198</v>
      </c>
      <c r="M116" s="8">
        <v>34900</v>
      </c>
      <c r="N116" s="37">
        <v>0.9</v>
      </c>
      <c r="O116" s="36">
        <f t="shared" si="5"/>
        <v>3490</v>
      </c>
      <c r="P116" s="6" t="s">
        <v>16</v>
      </c>
    </row>
    <row r="117" spans="1:16" x14ac:dyDescent="0.35">
      <c r="A117" s="34" t="s">
        <v>6736</v>
      </c>
      <c r="B117" s="7">
        <f t="shared" si="3"/>
        <v>46086</v>
      </c>
      <c r="C117" s="7">
        <f t="shared" si="4"/>
        <v>46092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6" t="s">
        <v>2199</v>
      </c>
      <c r="M117" s="8">
        <v>34900</v>
      </c>
      <c r="N117" s="37">
        <v>0.9</v>
      </c>
      <c r="O117" s="36">
        <f t="shared" si="5"/>
        <v>3490</v>
      </c>
      <c r="P117" s="6" t="s">
        <v>16</v>
      </c>
    </row>
    <row r="118" spans="1:16" x14ac:dyDescent="0.35">
      <c r="A118" s="34" t="s">
        <v>6736</v>
      </c>
      <c r="B118" s="7">
        <f t="shared" si="3"/>
        <v>46086</v>
      </c>
      <c r="C118" s="7">
        <f t="shared" si="4"/>
        <v>46092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6" t="s">
        <v>2201</v>
      </c>
      <c r="M118" s="8">
        <v>34900</v>
      </c>
      <c r="N118" s="37">
        <v>0.9</v>
      </c>
      <c r="O118" s="36">
        <f t="shared" si="5"/>
        <v>3490</v>
      </c>
      <c r="P118" s="6" t="s">
        <v>16</v>
      </c>
    </row>
    <row r="119" spans="1:16" x14ac:dyDescent="0.35">
      <c r="A119" s="34" t="s">
        <v>6736</v>
      </c>
      <c r="B119" s="7">
        <f t="shared" si="3"/>
        <v>46086</v>
      </c>
      <c r="C119" s="7">
        <f t="shared" si="4"/>
        <v>46092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6" t="s">
        <v>2202</v>
      </c>
      <c r="M119" s="8">
        <v>34900</v>
      </c>
      <c r="N119" s="37">
        <v>0.9</v>
      </c>
      <c r="O119" s="36">
        <f t="shared" si="5"/>
        <v>3490</v>
      </c>
      <c r="P119" s="6" t="s">
        <v>16</v>
      </c>
    </row>
    <row r="120" spans="1:16" x14ac:dyDescent="0.35">
      <c r="A120" s="34" t="s">
        <v>6736</v>
      </c>
      <c r="B120" s="7">
        <f t="shared" si="3"/>
        <v>46086</v>
      </c>
      <c r="C120" s="7">
        <f t="shared" si="4"/>
        <v>46092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6" t="s">
        <v>2204</v>
      </c>
      <c r="M120" s="8">
        <v>34900</v>
      </c>
      <c r="N120" s="37">
        <v>0.9</v>
      </c>
      <c r="O120" s="36">
        <f t="shared" si="5"/>
        <v>3490</v>
      </c>
      <c r="P120" s="6" t="s">
        <v>16</v>
      </c>
    </row>
    <row r="121" spans="1:16" x14ac:dyDescent="0.35">
      <c r="A121" s="34" t="s">
        <v>6736</v>
      </c>
      <c r="B121" s="7">
        <f t="shared" si="3"/>
        <v>46086</v>
      </c>
      <c r="C121" s="7">
        <f t="shared" si="4"/>
        <v>46092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6" t="s">
        <v>2205</v>
      </c>
      <c r="M121" s="8">
        <v>34900</v>
      </c>
      <c r="N121" s="37">
        <v>0.9</v>
      </c>
      <c r="O121" s="36">
        <f t="shared" si="5"/>
        <v>3490</v>
      </c>
      <c r="P121" s="6" t="s">
        <v>16</v>
      </c>
    </row>
    <row r="122" spans="1:16" x14ac:dyDescent="0.35">
      <c r="A122" s="34" t="s">
        <v>6736</v>
      </c>
      <c r="B122" s="7">
        <f t="shared" si="3"/>
        <v>46086</v>
      </c>
      <c r="C122" s="7">
        <f t="shared" si="4"/>
        <v>46092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6" t="s">
        <v>2206</v>
      </c>
      <c r="M122" s="8">
        <v>34900</v>
      </c>
      <c r="N122" s="37">
        <v>0.9</v>
      </c>
      <c r="O122" s="36">
        <f t="shared" si="5"/>
        <v>3490</v>
      </c>
      <c r="P122" s="6" t="s">
        <v>16</v>
      </c>
    </row>
    <row r="123" spans="1:16" x14ac:dyDescent="0.35">
      <c r="A123" s="34" t="s">
        <v>6736</v>
      </c>
      <c r="B123" s="7">
        <f t="shared" si="3"/>
        <v>46086</v>
      </c>
      <c r="C123" s="7">
        <f t="shared" si="4"/>
        <v>46092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6" t="s">
        <v>2207</v>
      </c>
      <c r="M123" s="8">
        <v>34900</v>
      </c>
      <c r="N123" s="37">
        <v>0.9</v>
      </c>
      <c r="O123" s="36">
        <f t="shared" si="5"/>
        <v>3490</v>
      </c>
      <c r="P123" s="6" t="s">
        <v>16</v>
      </c>
    </row>
    <row r="124" spans="1:16" x14ac:dyDescent="0.35">
      <c r="A124" s="34" t="s">
        <v>6736</v>
      </c>
      <c r="B124" s="7">
        <f t="shared" si="3"/>
        <v>46086</v>
      </c>
      <c r="C124" s="7">
        <f t="shared" si="4"/>
        <v>46092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6" t="s">
        <v>2209</v>
      </c>
      <c r="M124" s="8">
        <v>34900</v>
      </c>
      <c r="N124" s="37">
        <v>0.9</v>
      </c>
      <c r="O124" s="36">
        <f t="shared" si="5"/>
        <v>3490</v>
      </c>
      <c r="P124" s="6" t="s">
        <v>16</v>
      </c>
    </row>
    <row r="125" spans="1:16" x14ac:dyDescent="0.35">
      <c r="A125" s="34" t="s">
        <v>6736</v>
      </c>
      <c r="B125" s="7">
        <f t="shared" si="3"/>
        <v>46086</v>
      </c>
      <c r="C125" s="7">
        <f t="shared" si="4"/>
        <v>46092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6" t="s">
        <v>2210</v>
      </c>
      <c r="M125" s="8">
        <v>34900</v>
      </c>
      <c r="N125" s="37">
        <v>0.9</v>
      </c>
      <c r="O125" s="36">
        <f t="shared" si="5"/>
        <v>3490</v>
      </c>
      <c r="P125" s="6" t="s">
        <v>16</v>
      </c>
    </row>
    <row r="126" spans="1:16" x14ac:dyDescent="0.35">
      <c r="A126" s="34" t="s">
        <v>6736</v>
      </c>
      <c r="B126" s="7">
        <f t="shared" si="3"/>
        <v>46086</v>
      </c>
      <c r="C126" s="7">
        <f t="shared" si="4"/>
        <v>46092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6" t="s">
        <v>2211</v>
      </c>
      <c r="M126" s="8">
        <v>34900</v>
      </c>
      <c r="N126" s="37">
        <v>0.9</v>
      </c>
      <c r="O126" s="36">
        <f t="shared" si="5"/>
        <v>3490</v>
      </c>
      <c r="P126" s="6" t="s">
        <v>16</v>
      </c>
    </row>
    <row r="127" spans="1:16" x14ac:dyDescent="0.35">
      <c r="A127" s="34" t="s">
        <v>6736</v>
      </c>
      <c r="B127" s="7">
        <f t="shared" si="3"/>
        <v>46086</v>
      </c>
      <c r="C127" s="7">
        <f t="shared" si="4"/>
        <v>46092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6" t="s">
        <v>2212</v>
      </c>
      <c r="M127" s="8">
        <v>34900</v>
      </c>
      <c r="N127" s="37">
        <v>0.9</v>
      </c>
      <c r="O127" s="36">
        <f t="shared" si="5"/>
        <v>3490</v>
      </c>
      <c r="P127" s="6" t="s">
        <v>16</v>
      </c>
    </row>
    <row r="128" spans="1:16" x14ac:dyDescent="0.35">
      <c r="A128" s="34" t="s">
        <v>6736</v>
      </c>
      <c r="B128" s="7">
        <f t="shared" si="3"/>
        <v>46086</v>
      </c>
      <c r="C128" s="7">
        <f t="shared" si="4"/>
        <v>46092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6" t="s">
        <v>2214</v>
      </c>
      <c r="M128" s="8">
        <v>34900</v>
      </c>
      <c r="N128" s="37">
        <v>0.9</v>
      </c>
      <c r="O128" s="36">
        <f t="shared" si="5"/>
        <v>3490</v>
      </c>
      <c r="P128" s="6" t="s">
        <v>16</v>
      </c>
    </row>
    <row r="129" spans="1:16" x14ac:dyDescent="0.35">
      <c r="A129" s="34" t="s">
        <v>6736</v>
      </c>
      <c r="B129" s="7">
        <f t="shared" si="3"/>
        <v>46086</v>
      </c>
      <c r="C129" s="7">
        <f t="shared" si="4"/>
        <v>46092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6" t="s">
        <v>2215</v>
      </c>
      <c r="M129" s="8">
        <v>34900</v>
      </c>
      <c r="N129" s="37">
        <v>0.9</v>
      </c>
      <c r="O129" s="36">
        <f t="shared" si="5"/>
        <v>3490</v>
      </c>
      <c r="P129" s="6" t="s">
        <v>16</v>
      </c>
    </row>
    <row r="130" spans="1:16" x14ac:dyDescent="0.35">
      <c r="A130" s="34" t="s">
        <v>6736</v>
      </c>
      <c r="B130" s="7">
        <f t="shared" si="3"/>
        <v>46086</v>
      </c>
      <c r="C130" s="7">
        <f t="shared" si="4"/>
        <v>46092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6" t="s">
        <v>2216</v>
      </c>
      <c r="M130" s="8">
        <v>34900</v>
      </c>
      <c r="N130" s="37">
        <v>0.9</v>
      </c>
      <c r="O130" s="36">
        <f t="shared" si="5"/>
        <v>3490</v>
      </c>
      <c r="P130" s="6" t="s">
        <v>16</v>
      </c>
    </row>
    <row r="131" spans="1:16" x14ac:dyDescent="0.35">
      <c r="A131" s="34" t="s">
        <v>6736</v>
      </c>
      <c r="B131" s="7">
        <f>B130</f>
        <v>46086</v>
      </c>
      <c r="C131" s="7">
        <f>C130</f>
        <v>46092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6" t="s">
        <v>2256</v>
      </c>
      <c r="M131" s="8">
        <v>179900</v>
      </c>
      <c r="N131" s="37">
        <v>0.9</v>
      </c>
      <c r="O131" s="36">
        <f t="shared" si="5"/>
        <v>17990</v>
      </c>
      <c r="P131" s="6" t="s">
        <v>16</v>
      </c>
    </row>
    <row r="132" spans="1:16" x14ac:dyDescent="0.35">
      <c r="A132" s="34" t="s">
        <v>6736</v>
      </c>
      <c r="B132" s="7">
        <f t="shared" ref="B132:B189" si="6">B131</f>
        <v>46086</v>
      </c>
      <c r="C132" s="7">
        <f t="shared" ref="C132:C189" si="7">C131</f>
        <v>46092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6" t="s">
        <v>2257</v>
      </c>
      <c r="M132" s="8">
        <v>189900</v>
      </c>
      <c r="N132" s="37">
        <v>0.9</v>
      </c>
      <c r="O132" s="36">
        <f t="shared" ref="O132:O195" si="8">M132-((90*M132)/100)</f>
        <v>18990</v>
      </c>
      <c r="P132" s="6" t="s">
        <v>16</v>
      </c>
    </row>
    <row r="133" spans="1:16" x14ac:dyDescent="0.35">
      <c r="A133" s="34" t="s">
        <v>6736</v>
      </c>
      <c r="B133" s="7">
        <f t="shared" si="6"/>
        <v>46086</v>
      </c>
      <c r="C133" s="7">
        <f t="shared" si="7"/>
        <v>46092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6" t="s">
        <v>2258</v>
      </c>
      <c r="M133" s="8">
        <v>189900</v>
      </c>
      <c r="N133" s="37">
        <v>0.9</v>
      </c>
      <c r="O133" s="36">
        <f t="shared" si="8"/>
        <v>18990</v>
      </c>
      <c r="P133" s="6" t="s">
        <v>16</v>
      </c>
    </row>
    <row r="134" spans="1:16" x14ac:dyDescent="0.35">
      <c r="A134" s="34" t="s">
        <v>6736</v>
      </c>
      <c r="B134" s="7">
        <f t="shared" si="6"/>
        <v>46086</v>
      </c>
      <c r="C134" s="7">
        <f t="shared" si="7"/>
        <v>46092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6" t="s">
        <v>2234</v>
      </c>
      <c r="M134" s="8">
        <v>189900</v>
      </c>
      <c r="N134" s="37">
        <v>0.9</v>
      </c>
      <c r="O134" s="36">
        <f t="shared" si="8"/>
        <v>18990</v>
      </c>
      <c r="P134" s="6" t="s">
        <v>16</v>
      </c>
    </row>
    <row r="135" spans="1:16" x14ac:dyDescent="0.35">
      <c r="A135" s="34" t="s">
        <v>6736</v>
      </c>
      <c r="B135" s="7">
        <f t="shared" si="6"/>
        <v>46086</v>
      </c>
      <c r="C135" s="7">
        <f t="shared" si="7"/>
        <v>46092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6" t="s">
        <v>2235</v>
      </c>
      <c r="M135" s="8">
        <v>189900</v>
      </c>
      <c r="N135" s="37">
        <v>0.9</v>
      </c>
      <c r="O135" s="36">
        <f t="shared" si="8"/>
        <v>18990</v>
      </c>
      <c r="P135" s="6" t="s">
        <v>16</v>
      </c>
    </row>
    <row r="136" spans="1:16" x14ac:dyDescent="0.35">
      <c r="A136" s="34" t="s">
        <v>6736</v>
      </c>
      <c r="B136" s="7">
        <f t="shared" si="6"/>
        <v>46086</v>
      </c>
      <c r="C136" s="7">
        <f t="shared" si="7"/>
        <v>46092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6" t="s">
        <v>2236</v>
      </c>
      <c r="M136" s="8">
        <v>189900</v>
      </c>
      <c r="N136" s="37">
        <v>0.9</v>
      </c>
      <c r="O136" s="36">
        <f t="shared" si="8"/>
        <v>18990</v>
      </c>
      <c r="P136" s="6" t="s">
        <v>16</v>
      </c>
    </row>
    <row r="137" spans="1:16" x14ac:dyDescent="0.35">
      <c r="A137" s="34" t="s">
        <v>6736</v>
      </c>
      <c r="B137" s="7">
        <f t="shared" si="6"/>
        <v>46086</v>
      </c>
      <c r="C137" s="7">
        <f t="shared" si="7"/>
        <v>46092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6" t="s">
        <v>2238</v>
      </c>
      <c r="M137" s="8">
        <v>189900</v>
      </c>
      <c r="N137" s="37">
        <v>0.9</v>
      </c>
      <c r="O137" s="36">
        <f t="shared" si="8"/>
        <v>18990</v>
      </c>
      <c r="P137" s="6" t="s">
        <v>16</v>
      </c>
    </row>
    <row r="138" spans="1:16" x14ac:dyDescent="0.35">
      <c r="A138" s="34" t="s">
        <v>6736</v>
      </c>
      <c r="B138" s="7">
        <f t="shared" si="6"/>
        <v>46086</v>
      </c>
      <c r="C138" s="7">
        <f t="shared" si="7"/>
        <v>46092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6" t="s">
        <v>2239</v>
      </c>
      <c r="M138" s="8">
        <v>189900</v>
      </c>
      <c r="N138" s="37">
        <v>0.9</v>
      </c>
      <c r="O138" s="36">
        <f t="shared" si="8"/>
        <v>18990</v>
      </c>
      <c r="P138" s="6" t="s">
        <v>16</v>
      </c>
    </row>
    <row r="139" spans="1:16" x14ac:dyDescent="0.35">
      <c r="A139" s="34" t="s">
        <v>6736</v>
      </c>
      <c r="B139" s="7">
        <f t="shared" si="6"/>
        <v>46086</v>
      </c>
      <c r="C139" s="7">
        <f t="shared" si="7"/>
        <v>46092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6" t="s">
        <v>2240</v>
      </c>
      <c r="M139" s="8">
        <v>199900</v>
      </c>
      <c r="N139" s="37">
        <v>0.9</v>
      </c>
      <c r="O139" s="36">
        <f t="shared" si="8"/>
        <v>19990</v>
      </c>
      <c r="P139" s="6" t="s">
        <v>16</v>
      </c>
    </row>
    <row r="140" spans="1:16" x14ac:dyDescent="0.35">
      <c r="A140" s="34" t="s">
        <v>6736</v>
      </c>
      <c r="B140" s="7">
        <f t="shared" si="6"/>
        <v>46086</v>
      </c>
      <c r="C140" s="7">
        <f t="shared" si="7"/>
        <v>46092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6" t="s">
        <v>2242</v>
      </c>
      <c r="M140" s="8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6736</v>
      </c>
      <c r="B141" s="7">
        <f t="shared" si="6"/>
        <v>46086</v>
      </c>
      <c r="C141" s="7">
        <f t="shared" si="7"/>
        <v>46092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6" t="s">
        <v>2243</v>
      </c>
      <c r="M141" s="8">
        <v>179900</v>
      </c>
      <c r="N141" s="37">
        <v>0.9</v>
      </c>
      <c r="O141" s="36">
        <f t="shared" si="8"/>
        <v>17990</v>
      </c>
      <c r="P141" s="6" t="s">
        <v>16</v>
      </c>
    </row>
    <row r="142" spans="1:16" x14ac:dyDescent="0.35">
      <c r="A142" s="34" t="s">
        <v>6736</v>
      </c>
      <c r="B142" s="7">
        <f t="shared" si="6"/>
        <v>46086</v>
      </c>
      <c r="C142" s="7">
        <f t="shared" si="7"/>
        <v>46092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6" t="s">
        <v>2245</v>
      </c>
      <c r="M142" s="8">
        <v>189900</v>
      </c>
      <c r="N142" s="37">
        <v>0.9</v>
      </c>
      <c r="O142" s="36">
        <f t="shared" si="8"/>
        <v>18990</v>
      </c>
      <c r="P142" s="6" t="s">
        <v>16</v>
      </c>
    </row>
    <row r="143" spans="1:16" x14ac:dyDescent="0.35">
      <c r="A143" s="34" t="s">
        <v>6736</v>
      </c>
      <c r="B143" s="7">
        <f t="shared" si="6"/>
        <v>46086</v>
      </c>
      <c r="C143" s="7">
        <f t="shared" si="7"/>
        <v>46092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6" t="s">
        <v>2246</v>
      </c>
      <c r="M143" s="8">
        <v>189900</v>
      </c>
      <c r="N143" s="37">
        <v>0.9</v>
      </c>
      <c r="O143" s="36">
        <f t="shared" si="8"/>
        <v>18990</v>
      </c>
      <c r="P143" s="6" t="s">
        <v>16</v>
      </c>
    </row>
    <row r="144" spans="1:16" x14ac:dyDescent="0.35">
      <c r="A144" s="34" t="s">
        <v>6736</v>
      </c>
      <c r="B144" s="7">
        <f t="shared" si="6"/>
        <v>46086</v>
      </c>
      <c r="C144" s="7">
        <f t="shared" si="7"/>
        <v>46092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6" t="s">
        <v>2247</v>
      </c>
      <c r="M144" s="8">
        <v>189900</v>
      </c>
      <c r="N144" s="37">
        <v>0.9</v>
      </c>
      <c r="O144" s="36">
        <f t="shared" si="8"/>
        <v>18990</v>
      </c>
      <c r="P144" s="6" t="s">
        <v>16</v>
      </c>
    </row>
    <row r="145" spans="1:16" x14ac:dyDescent="0.35">
      <c r="A145" s="34" t="s">
        <v>6736</v>
      </c>
      <c r="B145" s="7">
        <f t="shared" si="6"/>
        <v>46086</v>
      </c>
      <c r="C145" s="7">
        <f t="shared" si="7"/>
        <v>46092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6" t="s">
        <v>2248</v>
      </c>
      <c r="M145" s="8">
        <v>199900</v>
      </c>
      <c r="N145" s="37">
        <v>0.9</v>
      </c>
      <c r="O145" s="36">
        <f t="shared" si="8"/>
        <v>19990</v>
      </c>
      <c r="P145" s="6" t="s">
        <v>16</v>
      </c>
    </row>
    <row r="146" spans="1:16" x14ac:dyDescent="0.35">
      <c r="A146" s="34" t="s">
        <v>6736</v>
      </c>
      <c r="B146" s="7">
        <f t="shared" si="6"/>
        <v>46086</v>
      </c>
      <c r="C146" s="7">
        <f t="shared" si="7"/>
        <v>46092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6" t="s">
        <v>2250</v>
      </c>
      <c r="M146" s="8">
        <v>169900</v>
      </c>
      <c r="N146" s="37">
        <v>0.9</v>
      </c>
      <c r="O146" s="36">
        <f t="shared" si="8"/>
        <v>16990</v>
      </c>
      <c r="P146" s="6" t="s">
        <v>16</v>
      </c>
    </row>
    <row r="147" spans="1:16" x14ac:dyDescent="0.35">
      <c r="A147" s="34" t="s">
        <v>6736</v>
      </c>
      <c r="B147" s="7">
        <f t="shared" si="6"/>
        <v>46086</v>
      </c>
      <c r="C147" s="7">
        <f t="shared" si="7"/>
        <v>46092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6" t="s">
        <v>2251</v>
      </c>
      <c r="M147" s="8">
        <v>169900</v>
      </c>
      <c r="N147" s="37">
        <v>0.9</v>
      </c>
      <c r="O147" s="36">
        <f t="shared" si="8"/>
        <v>16990</v>
      </c>
      <c r="P147" s="6" t="s">
        <v>16</v>
      </c>
    </row>
    <row r="148" spans="1:16" x14ac:dyDescent="0.35">
      <c r="A148" s="34" t="s">
        <v>6736</v>
      </c>
      <c r="B148" s="7">
        <f t="shared" si="6"/>
        <v>46086</v>
      </c>
      <c r="C148" s="7">
        <f t="shared" si="7"/>
        <v>46092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6" t="s">
        <v>2252</v>
      </c>
      <c r="M148" s="8">
        <v>179900</v>
      </c>
      <c r="N148" s="37">
        <v>0.9</v>
      </c>
      <c r="O148" s="36">
        <f t="shared" si="8"/>
        <v>17990</v>
      </c>
      <c r="P148" s="6" t="s">
        <v>16</v>
      </c>
    </row>
    <row r="149" spans="1:16" x14ac:dyDescent="0.35">
      <c r="A149" s="34" t="s">
        <v>6736</v>
      </c>
      <c r="B149" s="7">
        <f t="shared" si="6"/>
        <v>46086</v>
      </c>
      <c r="C149" s="7">
        <f t="shared" si="7"/>
        <v>46092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6" t="s">
        <v>2254</v>
      </c>
      <c r="M149" s="8">
        <v>189900</v>
      </c>
      <c r="N149" s="37">
        <v>0.9</v>
      </c>
      <c r="O149" s="36">
        <f t="shared" si="8"/>
        <v>18990</v>
      </c>
      <c r="P149" s="6" t="s">
        <v>16</v>
      </c>
    </row>
    <row r="150" spans="1:16" x14ac:dyDescent="0.35">
      <c r="A150" s="34" t="s">
        <v>6736</v>
      </c>
      <c r="B150" s="7">
        <f t="shared" si="6"/>
        <v>46086</v>
      </c>
      <c r="C150" s="7">
        <f t="shared" si="7"/>
        <v>46092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6" t="s">
        <v>2260</v>
      </c>
      <c r="M150" s="8">
        <v>179900</v>
      </c>
      <c r="N150" s="37">
        <v>0.9</v>
      </c>
      <c r="O150" s="36">
        <f t="shared" si="8"/>
        <v>17990</v>
      </c>
      <c r="P150" s="6" t="s">
        <v>16</v>
      </c>
    </row>
    <row r="151" spans="1:16" x14ac:dyDescent="0.35">
      <c r="A151" s="34" t="s">
        <v>6736</v>
      </c>
      <c r="B151" s="7">
        <f t="shared" si="6"/>
        <v>46086</v>
      </c>
      <c r="C151" s="7">
        <f t="shared" si="7"/>
        <v>46092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6" t="s">
        <v>2261</v>
      </c>
      <c r="M151" s="8">
        <v>179900</v>
      </c>
      <c r="N151" s="37">
        <v>0.9</v>
      </c>
      <c r="O151" s="36">
        <f t="shared" si="8"/>
        <v>17990</v>
      </c>
      <c r="P151" s="6" t="s">
        <v>16</v>
      </c>
    </row>
    <row r="152" spans="1:16" x14ac:dyDescent="0.35">
      <c r="A152" s="34" t="s">
        <v>6736</v>
      </c>
      <c r="B152" s="7">
        <f t="shared" si="6"/>
        <v>46086</v>
      </c>
      <c r="C152" s="7">
        <f t="shared" si="7"/>
        <v>46092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6" t="s">
        <v>2262</v>
      </c>
      <c r="M152" s="8">
        <v>179900</v>
      </c>
      <c r="N152" s="37">
        <v>0.9</v>
      </c>
      <c r="O152" s="36">
        <f t="shared" si="8"/>
        <v>17990</v>
      </c>
      <c r="P152" s="6" t="s">
        <v>16</v>
      </c>
    </row>
    <row r="153" spans="1:16" x14ac:dyDescent="0.35">
      <c r="A153" s="34" t="s">
        <v>6736</v>
      </c>
      <c r="B153" s="7">
        <f t="shared" si="6"/>
        <v>46086</v>
      </c>
      <c r="C153" s="7">
        <f t="shared" si="7"/>
        <v>46092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6" t="s">
        <v>2264</v>
      </c>
      <c r="M153" s="8">
        <v>189900</v>
      </c>
      <c r="N153" s="37">
        <v>0.9</v>
      </c>
      <c r="O153" s="36">
        <f t="shared" si="8"/>
        <v>18990</v>
      </c>
      <c r="P153" s="6" t="s">
        <v>16</v>
      </c>
    </row>
    <row r="154" spans="1:16" x14ac:dyDescent="0.35">
      <c r="A154" s="34" t="s">
        <v>6736</v>
      </c>
      <c r="B154" s="7">
        <f t="shared" si="6"/>
        <v>46086</v>
      </c>
      <c r="C154" s="7">
        <f t="shared" si="7"/>
        <v>46092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6" t="s">
        <v>2265</v>
      </c>
      <c r="M154" s="8">
        <v>189900</v>
      </c>
      <c r="N154" s="37">
        <v>0.9</v>
      </c>
      <c r="O154" s="36">
        <f t="shared" si="8"/>
        <v>18990</v>
      </c>
      <c r="P154" s="6" t="s">
        <v>16</v>
      </c>
    </row>
    <row r="155" spans="1:16" x14ac:dyDescent="0.35">
      <c r="A155" s="34" t="s">
        <v>6736</v>
      </c>
      <c r="B155" s="7">
        <f t="shared" si="6"/>
        <v>46086</v>
      </c>
      <c r="C155" s="7">
        <f t="shared" si="7"/>
        <v>46092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6" t="s">
        <v>2266</v>
      </c>
      <c r="M155" s="8">
        <v>199900</v>
      </c>
      <c r="N155" s="37">
        <v>0.9</v>
      </c>
      <c r="O155" s="36">
        <f t="shared" si="8"/>
        <v>19990</v>
      </c>
      <c r="P155" s="6" t="s">
        <v>16</v>
      </c>
    </row>
    <row r="156" spans="1:16" x14ac:dyDescent="0.35">
      <c r="A156" s="34" t="s">
        <v>6736</v>
      </c>
      <c r="B156" s="7">
        <f t="shared" si="6"/>
        <v>46086</v>
      </c>
      <c r="C156" s="7">
        <f t="shared" si="7"/>
        <v>46092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6" t="s">
        <v>2268</v>
      </c>
      <c r="M156" s="8">
        <v>179900</v>
      </c>
      <c r="N156" s="37">
        <v>0.9</v>
      </c>
      <c r="O156" s="36">
        <f t="shared" si="8"/>
        <v>17990</v>
      </c>
      <c r="P156" s="6" t="s">
        <v>16</v>
      </c>
    </row>
    <row r="157" spans="1:16" x14ac:dyDescent="0.35">
      <c r="A157" s="34" t="s">
        <v>6736</v>
      </c>
      <c r="B157" s="7">
        <f t="shared" si="6"/>
        <v>46086</v>
      </c>
      <c r="C157" s="7">
        <f t="shared" si="7"/>
        <v>46092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6" t="s">
        <v>2269</v>
      </c>
      <c r="M157" s="8">
        <v>189900</v>
      </c>
      <c r="N157" s="37">
        <v>0.9</v>
      </c>
      <c r="O157" s="36">
        <f t="shared" si="8"/>
        <v>18990</v>
      </c>
      <c r="P157" s="6" t="s">
        <v>16</v>
      </c>
    </row>
    <row r="158" spans="1:16" x14ac:dyDescent="0.35">
      <c r="A158" s="34" t="s">
        <v>6736</v>
      </c>
      <c r="B158" s="7">
        <f t="shared" si="6"/>
        <v>46086</v>
      </c>
      <c r="C158" s="7">
        <f t="shared" si="7"/>
        <v>46092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6" t="s">
        <v>2270</v>
      </c>
      <c r="M158" s="8">
        <v>189900</v>
      </c>
      <c r="N158" s="37">
        <v>0.9</v>
      </c>
      <c r="O158" s="36">
        <f t="shared" si="8"/>
        <v>18990</v>
      </c>
      <c r="P158" s="6" t="s">
        <v>16</v>
      </c>
    </row>
    <row r="159" spans="1:16" x14ac:dyDescent="0.35">
      <c r="A159" s="34" t="s">
        <v>6736</v>
      </c>
      <c r="B159" s="7">
        <f t="shared" si="6"/>
        <v>46086</v>
      </c>
      <c r="C159" s="7">
        <f t="shared" si="7"/>
        <v>46092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6" t="s">
        <v>2272</v>
      </c>
      <c r="M159" s="8">
        <v>159900</v>
      </c>
      <c r="N159" s="37">
        <v>0.9</v>
      </c>
      <c r="O159" s="36">
        <f t="shared" si="8"/>
        <v>15990</v>
      </c>
      <c r="P159" s="6" t="s">
        <v>16</v>
      </c>
    </row>
    <row r="160" spans="1:16" x14ac:dyDescent="0.35">
      <c r="A160" s="34" t="s">
        <v>6736</v>
      </c>
      <c r="B160" s="7">
        <f t="shared" si="6"/>
        <v>46086</v>
      </c>
      <c r="C160" s="7">
        <f t="shared" si="7"/>
        <v>46092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6" t="s">
        <v>2273</v>
      </c>
      <c r="M160" s="8">
        <v>159900</v>
      </c>
      <c r="N160" s="37">
        <v>0.9</v>
      </c>
      <c r="O160" s="36">
        <f t="shared" si="8"/>
        <v>15990</v>
      </c>
      <c r="P160" s="6" t="s">
        <v>16</v>
      </c>
    </row>
    <row r="161" spans="1:16" x14ac:dyDescent="0.35">
      <c r="A161" s="34" t="s">
        <v>6736</v>
      </c>
      <c r="B161" s="7">
        <f t="shared" si="6"/>
        <v>46086</v>
      </c>
      <c r="C161" s="7">
        <f t="shared" si="7"/>
        <v>46092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6" t="s">
        <v>2274</v>
      </c>
      <c r="M161" s="8">
        <v>159900</v>
      </c>
      <c r="N161" s="37">
        <v>0.9</v>
      </c>
      <c r="O161" s="36">
        <f t="shared" si="8"/>
        <v>15990</v>
      </c>
      <c r="P161" s="6" t="s">
        <v>16</v>
      </c>
    </row>
    <row r="162" spans="1:16" x14ac:dyDescent="0.35">
      <c r="A162" s="34" t="s">
        <v>6736</v>
      </c>
      <c r="B162" s="7">
        <f t="shared" si="6"/>
        <v>46086</v>
      </c>
      <c r="C162" s="7">
        <f t="shared" si="7"/>
        <v>46092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6" t="s">
        <v>2275</v>
      </c>
      <c r="M162" s="8">
        <v>169900</v>
      </c>
      <c r="N162" s="37">
        <v>0.9</v>
      </c>
      <c r="O162" s="36">
        <f t="shared" si="8"/>
        <v>16990</v>
      </c>
      <c r="P162" s="6" t="s">
        <v>16</v>
      </c>
    </row>
    <row r="163" spans="1:16" x14ac:dyDescent="0.35">
      <c r="A163" s="34" t="s">
        <v>6736</v>
      </c>
      <c r="B163" s="7">
        <f t="shared" si="6"/>
        <v>46086</v>
      </c>
      <c r="C163" s="7">
        <f t="shared" si="7"/>
        <v>46092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6" t="s">
        <v>2276</v>
      </c>
      <c r="M163" s="8">
        <v>169900</v>
      </c>
      <c r="N163" s="37">
        <v>0.9</v>
      </c>
      <c r="O163" s="36">
        <f t="shared" si="8"/>
        <v>16990</v>
      </c>
      <c r="P163" s="6" t="s">
        <v>16</v>
      </c>
    </row>
    <row r="164" spans="1:16" x14ac:dyDescent="0.35">
      <c r="A164" s="34" t="s">
        <v>6736</v>
      </c>
      <c r="B164" s="7">
        <f t="shared" si="6"/>
        <v>46086</v>
      </c>
      <c r="C164" s="7">
        <f t="shared" si="7"/>
        <v>46092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6" t="s">
        <v>2277</v>
      </c>
      <c r="M164" s="8">
        <v>169900</v>
      </c>
      <c r="N164" s="37">
        <v>0.9</v>
      </c>
      <c r="O164" s="36">
        <f t="shared" si="8"/>
        <v>16990</v>
      </c>
      <c r="P164" s="6" t="s">
        <v>16</v>
      </c>
    </row>
    <row r="165" spans="1:16" x14ac:dyDescent="0.35">
      <c r="A165" s="34" t="s">
        <v>6736</v>
      </c>
      <c r="B165" s="7">
        <f t="shared" si="6"/>
        <v>46086</v>
      </c>
      <c r="C165" s="7">
        <f t="shared" si="7"/>
        <v>46092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6" t="s">
        <v>2278</v>
      </c>
      <c r="M165" s="8">
        <v>169900</v>
      </c>
      <c r="N165" s="37">
        <v>0.9</v>
      </c>
      <c r="O165" s="36">
        <f t="shared" si="8"/>
        <v>16990</v>
      </c>
      <c r="P165" s="6" t="s">
        <v>16</v>
      </c>
    </row>
    <row r="166" spans="1:16" x14ac:dyDescent="0.35">
      <c r="A166" s="34" t="s">
        <v>6736</v>
      </c>
      <c r="B166" s="7">
        <f t="shared" si="6"/>
        <v>46086</v>
      </c>
      <c r="C166" s="7">
        <f t="shared" si="7"/>
        <v>46092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6" t="s">
        <v>2280</v>
      </c>
      <c r="M166" s="8">
        <v>189900</v>
      </c>
      <c r="N166" s="37">
        <v>0.9</v>
      </c>
      <c r="O166" s="36">
        <f t="shared" si="8"/>
        <v>18990</v>
      </c>
      <c r="P166" s="6" t="s">
        <v>16</v>
      </c>
    </row>
    <row r="167" spans="1:16" x14ac:dyDescent="0.35">
      <c r="A167" s="34" t="s">
        <v>6736</v>
      </c>
      <c r="B167" s="7">
        <f t="shared" si="6"/>
        <v>46086</v>
      </c>
      <c r="C167" s="7">
        <f t="shared" si="7"/>
        <v>46092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6" t="s">
        <v>2281</v>
      </c>
      <c r="M167" s="8">
        <v>189900</v>
      </c>
      <c r="N167" s="37">
        <v>0.9</v>
      </c>
      <c r="O167" s="36">
        <f t="shared" si="8"/>
        <v>18990</v>
      </c>
      <c r="P167" s="6" t="s">
        <v>16</v>
      </c>
    </row>
    <row r="168" spans="1:16" x14ac:dyDescent="0.35">
      <c r="A168" s="34" t="s">
        <v>6736</v>
      </c>
      <c r="B168" s="7">
        <f t="shared" si="6"/>
        <v>46086</v>
      </c>
      <c r="C168" s="7">
        <f t="shared" si="7"/>
        <v>46092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6" t="s">
        <v>2282</v>
      </c>
      <c r="M168" s="8">
        <v>199900</v>
      </c>
      <c r="N168" s="37">
        <v>0.9</v>
      </c>
      <c r="O168" s="36">
        <f t="shared" si="8"/>
        <v>19990</v>
      </c>
      <c r="P168" s="6" t="s">
        <v>16</v>
      </c>
    </row>
    <row r="169" spans="1:16" x14ac:dyDescent="0.35">
      <c r="A169" s="34" t="s">
        <v>6736</v>
      </c>
      <c r="B169" s="7">
        <f t="shared" si="6"/>
        <v>46086</v>
      </c>
      <c r="C169" s="7">
        <f t="shared" si="7"/>
        <v>46092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6" t="s">
        <v>2283</v>
      </c>
      <c r="M169" s="8">
        <v>199900</v>
      </c>
      <c r="N169" s="37">
        <v>0.9</v>
      </c>
      <c r="O169" s="36">
        <f t="shared" si="8"/>
        <v>19990</v>
      </c>
      <c r="P169" s="6" t="s">
        <v>16</v>
      </c>
    </row>
    <row r="170" spans="1:16" x14ac:dyDescent="0.35">
      <c r="A170" s="34" t="s">
        <v>6736</v>
      </c>
      <c r="B170" s="7">
        <f t="shared" si="6"/>
        <v>46086</v>
      </c>
      <c r="C170" s="7">
        <f t="shared" si="7"/>
        <v>46092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6" t="s">
        <v>2302</v>
      </c>
      <c r="M170" s="8">
        <v>189900</v>
      </c>
      <c r="N170" s="37">
        <v>0.9</v>
      </c>
      <c r="O170" s="36">
        <f t="shared" si="8"/>
        <v>18990</v>
      </c>
      <c r="P170" s="6" t="s">
        <v>16</v>
      </c>
    </row>
    <row r="171" spans="1:16" x14ac:dyDescent="0.35">
      <c r="A171" s="34" t="s">
        <v>6736</v>
      </c>
      <c r="B171" s="7">
        <f t="shared" si="6"/>
        <v>46086</v>
      </c>
      <c r="C171" s="7">
        <f t="shared" si="7"/>
        <v>46092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6" t="s">
        <v>2303</v>
      </c>
      <c r="M171" s="8">
        <v>189900</v>
      </c>
      <c r="N171" s="37">
        <v>0.9</v>
      </c>
      <c r="O171" s="36">
        <f t="shared" si="8"/>
        <v>18990</v>
      </c>
      <c r="P171" s="6" t="s">
        <v>16</v>
      </c>
    </row>
    <row r="172" spans="1:16" x14ac:dyDescent="0.35">
      <c r="A172" s="34" t="s">
        <v>6736</v>
      </c>
      <c r="B172" s="7">
        <f t="shared" si="6"/>
        <v>46086</v>
      </c>
      <c r="C172" s="7">
        <f t="shared" si="7"/>
        <v>46092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6" t="s">
        <v>2304</v>
      </c>
      <c r="M172" s="8">
        <v>189900</v>
      </c>
      <c r="N172" s="37">
        <v>0.9</v>
      </c>
      <c r="O172" s="36">
        <f t="shared" si="8"/>
        <v>18990</v>
      </c>
      <c r="P172" s="6" t="s">
        <v>16</v>
      </c>
    </row>
    <row r="173" spans="1:16" x14ac:dyDescent="0.35">
      <c r="A173" s="34" t="s">
        <v>6736</v>
      </c>
      <c r="B173" s="7">
        <f t="shared" si="6"/>
        <v>46086</v>
      </c>
      <c r="C173" s="7">
        <f t="shared" si="7"/>
        <v>46092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6" t="s">
        <v>2305</v>
      </c>
      <c r="M173" s="8">
        <v>189900</v>
      </c>
      <c r="N173" s="37">
        <v>0.9</v>
      </c>
      <c r="O173" s="36">
        <f t="shared" si="8"/>
        <v>18990</v>
      </c>
      <c r="P173" s="6" t="s">
        <v>16</v>
      </c>
    </row>
    <row r="174" spans="1:16" x14ac:dyDescent="0.35">
      <c r="A174" s="34" t="s">
        <v>6736</v>
      </c>
      <c r="B174" s="7">
        <f t="shared" si="6"/>
        <v>46086</v>
      </c>
      <c r="C174" s="7">
        <f t="shared" si="7"/>
        <v>46092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6" t="s">
        <v>2307</v>
      </c>
      <c r="M174" s="8">
        <v>189900</v>
      </c>
      <c r="N174" s="37">
        <v>0.9</v>
      </c>
      <c r="O174" s="36">
        <f t="shared" si="8"/>
        <v>18990</v>
      </c>
      <c r="P174" s="6" t="s">
        <v>16</v>
      </c>
    </row>
    <row r="175" spans="1:16" x14ac:dyDescent="0.35">
      <c r="A175" s="34" t="s">
        <v>6736</v>
      </c>
      <c r="B175" s="7">
        <f t="shared" si="6"/>
        <v>46086</v>
      </c>
      <c r="C175" s="7">
        <f t="shared" si="7"/>
        <v>46092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6" t="s">
        <v>2309</v>
      </c>
      <c r="M175" s="8">
        <v>199900</v>
      </c>
      <c r="N175" s="37">
        <v>0.9</v>
      </c>
      <c r="O175" s="36">
        <f t="shared" si="8"/>
        <v>19990</v>
      </c>
      <c r="P175" s="6" t="s">
        <v>16</v>
      </c>
    </row>
    <row r="176" spans="1:16" x14ac:dyDescent="0.35">
      <c r="A176" s="34" t="s">
        <v>6736</v>
      </c>
      <c r="B176" s="7">
        <f t="shared" si="6"/>
        <v>46086</v>
      </c>
      <c r="C176" s="7">
        <f t="shared" si="7"/>
        <v>46092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6" t="s">
        <v>2310</v>
      </c>
      <c r="M176" s="8">
        <v>199900</v>
      </c>
      <c r="N176" s="37">
        <v>0.9</v>
      </c>
      <c r="O176" s="36">
        <f t="shared" si="8"/>
        <v>19990</v>
      </c>
      <c r="P176" s="6" t="s">
        <v>16</v>
      </c>
    </row>
    <row r="177" spans="1:16" x14ac:dyDescent="0.35">
      <c r="A177" s="34" t="s">
        <v>6736</v>
      </c>
      <c r="B177" s="7">
        <f t="shared" si="6"/>
        <v>46086</v>
      </c>
      <c r="C177" s="7">
        <f t="shared" si="7"/>
        <v>46092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6" t="s">
        <v>2311</v>
      </c>
      <c r="M177" s="8">
        <v>199900</v>
      </c>
      <c r="N177" s="37">
        <v>0.9</v>
      </c>
      <c r="O177" s="36">
        <f t="shared" si="8"/>
        <v>19990</v>
      </c>
      <c r="P177" s="6" t="s">
        <v>16</v>
      </c>
    </row>
    <row r="178" spans="1:16" x14ac:dyDescent="0.35">
      <c r="A178" s="34" t="s">
        <v>6736</v>
      </c>
      <c r="B178" s="7">
        <f t="shared" si="6"/>
        <v>46086</v>
      </c>
      <c r="C178" s="7">
        <f t="shared" si="7"/>
        <v>46092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6" t="s">
        <v>2313</v>
      </c>
      <c r="M178" s="8">
        <v>189900</v>
      </c>
      <c r="N178" s="37">
        <v>0.9</v>
      </c>
      <c r="O178" s="36">
        <f t="shared" si="8"/>
        <v>18990</v>
      </c>
      <c r="P178" s="6" t="s">
        <v>16</v>
      </c>
    </row>
    <row r="179" spans="1:16" x14ac:dyDescent="0.35">
      <c r="A179" s="34" t="s">
        <v>6736</v>
      </c>
      <c r="B179" s="7">
        <f t="shared" si="6"/>
        <v>46086</v>
      </c>
      <c r="C179" s="7">
        <f t="shared" si="7"/>
        <v>46092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6" t="s">
        <v>2314</v>
      </c>
      <c r="M179" s="8">
        <v>189900</v>
      </c>
      <c r="N179" s="37">
        <v>0.9</v>
      </c>
      <c r="O179" s="36">
        <f t="shared" si="8"/>
        <v>18990</v>
      </c>
      <c r="P179" s="6" t="s">
        <v>16</v>
      </c>
    </row>
    <row r="180" spans="1:16" x14ac:dyDescent="0.35">
      <c r="A180" s="34" t="s">
        <v>6736</v>
      </c>
      <c r="B180" s="7">
        <f t="shared" si="6"/>
        <v>46086</v>
      </c>
      <c r="C180" s="7">
        <f t="shared" si="7"/>
        <v>46092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6" t="s">
        <v>2315</v>
      </c>
      <c r="M180" s="8">
        <v>189900</v>
      </c>
      <c r="N180" s="37">
        <v>0.9</v>
      </c>
      <c r="O180" s="36">
        <f t="shared" si="8"/>
        <v>18990</v>
      </c>
      <c r="P180" s="6" t="s">
        <v>16</v>
      </c>
    </row>
    <row r="181" spans="1:16" x14ac:dyDescent="0.35">
      <c r="A181" s="34" t="s">
        <v>6736</v>
      </c>
      <c r="B181" s="7">
        <f t="shared" si="6"/>
        <v>46086</v>
      </c>
      <c r="C181" s="7">
        <f t="shared" si="7"/>
        <v>46092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6" t="s">
        <v>2285</v>
      </c>
      <c r="M181" s="8">
        <v>189900</v>
      </c>
      <c r="N181" s="37">
        <v>0.9</v>
      </c>
      <c r="O181" s="36">
        <f t="shared" si="8"/>
        <v>18990</v>
      </c>
      <c r="P181" s="6" t="s">
        <v>16</v>
      </c>
    </row>
    <row r="182" spans="1:16" x14ac:dyDescent="0.35">
      <c r="A182" s="34" t="s">
        <v>6736</v>
      </c>
      <c r="B182" s="7">
        <f t="shared" si="6"/>
        <v>46086</v>
      </c>
      <c r="C182" s="7">
        <f t="shared" si="7"/>
        <v>46092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6" t="s">
        <v>2286</v>
      </c>
      <c r="M182" s="8">
        <v>189900</v>
      </c>
      <c r="N182" s="37">
        <v>0.9</v>
      </c>
      <c r="O182" s="36">
        <f t="shared" si="8"/>
        <v>18990</v>
      </c>
      <c r="P182" s="6" t="s">
        <v>16</v>
      </c>
    </row>
    <row r="183" spans="1:16" x14ac:dyDescent="0.35">
      <c r="A183" s="34" t="s">
        <v>6736</v>
      </c>
      <c r="B183" s="7">
        <f t="shared" si="6"/>
        <v>46086</v>
      </c>
      <c r="C183" s="7">
        <f t="shared" si="7"/>
        <v>46092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6" t="s">
        <v>2287</v>
      </c>
      <c r="M183" s="8">
        <v>189900</v>
      </c>
      <c r="N183" s="37">
        <v>0.9</v>
      </c>
      <c r="O183" s="36">
        <f t="shared" si="8"/>
        <v>18990</v>
      </c>
      <c r="P183" s="6" t="s">
        <v>16</v>
      </c>
    </row>
    <row r="184" spans="1:16" x14ac:dyDescent="0.35">
      <c r="A184" s="34" t="s">
        <v>6736</v>
      </c>
      <c r="B184" s="7">
        <f t="shared" si="6"/>
        <v>46086</v>
      </c>
      <c r="C184" s="7">
        <f t="shared" si="7"/>
        <v>46092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6" t="s">
        <v>2289</v>
      </c>
      <c r="M184" s="8">
        <v>189900</v>
      </c>
      <c r="N184" s="37">
        <v>0.9</v>
      </c>
      <c r="O184" s="36">
        <f t="shared" si="8"/>
        <v>18990</v>
      </c>
      <c r="P184" s="6" t="s">
        <v>16</v>
      </c>
    </row>
    <row r="185" spans="1:16" x14ac:dyDescent="0.35">
      <c r="A185" s="34" t="s">
        <v>6736</v>
      </c>
      <c r="B185" s="7">
        <f t="shared" si="6"/>
        <v>46086</v>
      </c>
      <c r="C185" s="7">
        <f t="shared" si="7"/>
        <v>46092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6" t="s">
        <v>2290</v>
      </c>
      <c r="M185" s="8">
        <v>189900</v>
      </c>
      <c r="N185" s="37">
        <v>0.9</v>
      </c>
      <c r="O185" s="36">
        <f t="shared" si="8"/>
        <v>18990</v>
      </c>
      <c r="P185" s="6" t="s">
        <v>16</v>
      </c>
    </row>
    <row r="186" spans="1:16" x14ac:dyDescent="0.35">
      <c r="A186" s="34" t="s">
        <v>6736</v>
      </c>
      <c r="B186" s="7">
        <f t="shared" si="6"/>
        <v>46086</v>
      </c>
      <c r="C186" s="7">
        <f t="shared" si="7"/>
        <v>46092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6" t="s">
        <v>2291</v>
      </c>
      <c r="M186" s="8">
        <v>189900</v>
      </c>
      <c r="N186" s="37">
        <v>0.9</v>
      </c>
      <c r="O186" s="36">
        <f t="shared" si="8"/>
        <v>18990</v>
      </c>
      <c r="P186" s="6" t="s">
        <v>16</v>
      </c>
    </row>
    <row r="187" spans="1:16" x14ac:dyDescent="0.35">
      <c r="A187" s="34" t="s">
        <v>6736</v>
      </c>
      <c r="B187" s="7">
        <f t="shared" si="6"/>
        <v>46086</v>
      </c>
      <c r="C187" s="7">
        <f t="shared" si="7"/>
        <v>46092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6" t="s">
        <v>2292</v>
      </c>
      <c r="M187" s="8">
        <v>189900</v>
      </c>
      <c r="N187" s="37">
        <v>0.9</v>
      </c>
      <c r="O187" s="36">
        <f t="shared" si="8"/>
        <v>18990</v>
      </c>
      <c r="P187" s="6" t="s">
        <v>16</v>
      </c>
    </row>
    <row r="188" spans="1:16" x14ac:dyDescent="0.35">
      <c r="A188" s="34" t="s">
        <v>6736</v>
      </c>
      <c r="B188" s="7">
        <f t="shared" si="6"/>
        <v>46086</v>
      </c>
      <c r="C188" s="7">
        <f t="shared" si="7"/>
        <v>46092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6" t="s">
        <v>2293</v>
      </c>
      <c r="M188" s="8">
        <v>189900</v>
      </c>
      <c r="N188" s="37">
        <v>0.9</v>
      </c>
      <c r="O188" s="36">
        <f t="shared" si="8"/>
        <v>18990</v>
      </c>
      <c r="P188" s="6" t="s">
        <v>16</v>
      </c>
    </row>
    <row r="189" spans="1:16" x14ac:dyDescent="0.35">
      <c r="A189" s="34" t="s">
        <v>6736</v>
      </c>
      <c r="B189" s="7">
        <f t="shared" si="6"/>
        <v>46086</v>
      </c>
      <c r="C189" s="7">
        <f t="shared" si="7"/>
        <v>46092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6" t="s">
        <v>2294</v>
      </c>
      <c r="M189" s="8">
        <v>189900</v>
      </c>
      <c r="N189" s="37">
        <v>0.9</v>
      </c>
      <c r="O189" s="36">
        <f t="shared" si="8"/>
        <v>18990</v>
      </c>
      <c r="P189" s="6" t="s">
        <v>16</v>
      </c>
    </row>
    <row r="190" spans="1:16" x14ac:dyDescent="0.35">
      <c r="A190" s="34" t="s">
        <v>6736</v>
      </c>
      <c r="B190" s="7">
        <f t="shared" ref="B190:B253" si="9">B189</f>
        <v>46086</v>
      </c>
      <c r="C190" s="7">
        <f t="shared" ref="C190:C253" si="10">C189</f>
        <v>46092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6" t="s">
        <v>2296</v>
      </c>
      <c r="M190" s="8">
        <v>189900</v>
      </c>
      <c r="N190" s="37">
        <v>0.9</v>
      </c>
      <c r="O190" s="36">
        <f t="shared" si="8"/>
        <v>18990</v>
      </c>
      <c r="P190" s="6" t="s">
        <v>16</v>
      </c>
    </row>
    <row r="191" spans="1:16" x14ac:dyDescent="0.35">
      <c r="A191" s="34" t="s">
        <v>6736</v>
      </c>
      <c r="B191" s="7">
        <f t="shared" si="9"/>
        <v>46086</v>
      </c>
      <c r="C191" s="7">
        <f t="shared" si="10"/>
        <v>46092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6" t="s">
        <v>2297</v>
      </c>
      <c r="M191" s="8">
        <v>189900</v>
      </c>
      <c r="N191" s="37">
        <v>0.9</v>
      </c>
      <c r="O191" s="36">
        <f t="shared" si="8"/>
        <v>18990</v>
      </c>
      <c r="P191" s="6" t="s">
        <v>16</v>
      </c>
    </row>
    <row r="192" spans="1:16" x14ac:dyDescent="0.35">
      <c r="A192" s="34" t="s">
        <v>6736</v>
      </c>
      <c r="B192" s="7">
        <f t="shared" si="9"/>
        <v>46086</v>
      </c>
      <c r="C192" s="7">
        <f t="shared" si="10"/>
        <v>46092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6" t="s">
        <v>2298</v>
      </c>
      <c r="M192" s="8">
        <v>189900</v>
      </c>
      <c r="N192" s="37">
        <v>0.9</v>
      </c>
      <c r="O192" s="36">
        <f t="shared" si="8"/>
        <v>18990</v>
      </c>
      <c r="P192" s="6" t="s">
        <v>16</v>
      </c>
    </row>
    <row r="193" spans="1:16" x14ac:dyDescent="0.35">
      <c r="A193" s="34" t="s">
        <v>6736</v>
      </c>
      <c r="B193" s="7">
        <f t="shared" si="9"/>
        <v>46086</v>
      </c>
      <c r="C193" s="7">
        <f t="shared" si="10"/>
        <v>46092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6" t="s">
        <v>2300</v>
      </c>
      <c r="M193" s="8">
        <v>189900</v>
      </c>
      <c r="N193" s="37">
        <v>0.9</v>
      </c>
      <c r="O193" s="36">
        <f t="shared" si="8"/>
        <v>18990</v>
      </c>
      <c r="P193" s="6" t="s">
        <v>16</v>
      </c>
    </row>
    <row r="194" spans="1:16" x14ac:dyDescent="0.35">
      <c r="A194" s="34" t="s">
        <v>6736</v>
      </c>
      <c r="B194" s="7">
        <f t="shared" si="9"/>
        <v>46086</v>
      </c>
      <c r="C194" s="7">
        <f t="shared" si="10"/>
        <v>46092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6" t="s">
        <v>2317</v>
      </c>
      <c r="M194" s="8">
        <v>34900</v>
      </c>
      <c r="N194" s="37">
        <v>0.9</v>
      </c>
      <c r="O194" s="36">
        <f t="shared" si="8"/>
        <v>3490</v>
      </c>
      <c r="P194" s="6" t="s">
        <v>16</v>
      </c>
    </row>
    <row r="195" spans="1:16" x14ac:dyDescent="0.35">
      <c r="A195" s="34" t="s">
        <v>6736</v>
      </c>
      <c r="B195" s="7">
        <f t="shared" si="9"/>
        <v>46086</v>
      </c>
      <c r="C195" s="7">
        <f t="shared" si="10"/>
        <v>46092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6" t="s">
        <v>2318</v>
      </c>
      <c r="M195" s="8">
        <v>34900</v>
      </c>
      <c r="N195" s="37">
        <v>0.9</v>
      </c>
      <c r="O195" s="36">
        <f t="shared" si="8"/>
        <v>3490</v>
      </c>
      <c r="P195" s="6" t="s">
        <v>16</v>
      </c>
    </row>
    <row r="196" spans="1:16" x14ac:dyDescent="0.35">
      <c r="A196" s="34" t="s">
        <v>6736</v>
      </c>
      <c r="B196" s="7">
        <f t="shared" si="9"/>
        <v>46086</v>
      </c>
      <c r="C196" s="7">
        <f t="shared" si="10"/>
        <v>46092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6" t="s">
        <v>2319</v>
      </c>
      <c r="M196" s="8">
        <v>34900</v>
      </c>
      <c r="N196" s="37">
        <v>0.9</v>
      </c>
      <c r="O196" s="36">
        <f t="shared" ref="O196:O259" si="11">M196-((90*M196)/100)</f>
        <v>3490</v>
      </c>
      <c r="P196" s="6" t="s">
        <v>16</v>
      </c>
    </row>
    <row r="197" spans="1:16" x14ac:dyDescent="0.35">
      <c r="A197" s="34" t="s">
        <v>6736</v>
      </c>
      <c r="B197" s="7">
        <f t="shared" si="9"/>
        <v>46086</v>
      </c>
      <c r="C197" s="7">
        <f t="shared" si="10"/>
        <v>46092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6" t="s">
        <v>2321</v>
      </c>
      <c r="M197" s="8">
        <v>34900</v>
      </c>
      <c r="N197" s="37">
        <v>0.9</v>
      </c>
      <c r="O197" s="36">
        <f t="shared" si="11"/>
        <v>3490</v>
      </c>
      <c r="P197" s="6" t="s">
        <v>16</v>
      </c>
    </row>
    <row r="198" spans="1:16" x14ac:dyDescent="0.35">
      <c r="A198" s="34" t="s">
        <v>6736</v>
      </c>
      <c r="B198" s="7">
        <f t="shared" si="9"/>
        <v>46086</v>
      </c>
      <c r="C198" s="7">
        <f t="shared" si="10"/>
        <v>46092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6" t="s">
        <v>2322</v>
      </c>
      <c r="M198" s="8">
        <v>34900</v>
      </c>
      <c r="N198" s="37">
        <v>0.9</v>
      </c>
      <c r="O198" s="36">
        <f t="shared" si="11"/>
        <v>3490</v>
      </c>
      <c r="P198" s="6" t="s">
        <v>16</v>
      </c>
    </row>
    <row r="199" spans="1:16" x14ac:dyDescent="0.35">
      <c r="A199" s="34" t="s">
        <v>6736</v>
      </c>
      <c r="B199" s="7">
        <f t="shared" si="9"/>
        <v>46086</v>
      </c>
      <c r="C199" s="7">
        <f t="shared" si="10"/>
        <v>46092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6" t="s">
        <v>2323</v>
      </c>
      <c r="M199" s="8">
        <v>34900</v>
      </c>
      <c r="N199" s="37">
        <v>0.9</v>
      </c>
      <c r="O199" s="36">
        <f t="shared" si="11"/>
        <v>3490</v>
      </c>
      <c r="P199" s="6" t="s">
        <v>16</v>
      </c>
    </row>
    <row r="200" spans="1:16" x14ac:dyDescent="0.35">
      <c r="A200" s="34" t="s">
        <v>6736</v>
      </c>
      <c r="B200" s="7">
        <f t="shared" si="9"/>
        <v>46086</v>
      </c>
      <c r="C200" s="7">
        <f t="shared" si="10"/>
        <v>46092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6" t="s">
        <v>2324</v>
      </c>
      <c r="M200" s="8">
        <v>34900</v>
      </c>
      <c r="N200" s="37">
        <v>0.9</v>
      </c>
      <c r="O200" s="36">
        <f t="shared" si="11"/>
        <v>3490</v>
      </c>
      <c r="P200" s="6" t="s">
        <v>16</v>
      </c>
    </row>
    <row r="201" spans="1:16" x14ac:dyDescent="0.35">
      <c r="A201" s="34" t="s">
        <v>6736</v>
      </c>
      <c r="B201" s="7">
        <f t="shared" si="9"/>
        <v>46086</v>
      </c>
      <c r="C201" s="7">
        <f t="shared" si="10"/>
        <v>46092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6" t="s">
        <v>2339</v>
      </c>
      <c r="M201" s="8">
        <v>189900</v>
      </c>
      <c r="N201" s="37">
        <v>0.9</v>
      </c>
      <c r="O201" s="36">
        <f t="shared" si="11"/>
        <v>18990</v>
      </c>
      <c r="P201" s="6" t="s">
        <v>16</v>
      </c>
    </row>
    <row r="202" spans="1:16" x14ac:dyDescent="0.35">
      <c r="A202" s="34" t="s">
        <v>6736</v>
      </c>
      <c r="B202" s="7">
        <f t="shared" si="9"/>
        <v>46086</v>
      </c>
      <c r="C202" s="7">
        <f t="shared" si="10"/>
        <v>46092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6" t="s">
        <v>2340</v>
      </c>
      <c r="M202" s="8">
        <v>189900</v>
      </c>
      <c r="N202" s="37">
        <v>0.9</v>
      </c>
      <c r="O202" s="36">
        <f t="shared" si="11"/>
        <v>18990</v>
      </c>
      <c r="P202" s="6" t="s">
        <v>16</v>
      </c>
    </row>
    <row r="203" spans="1:16" x14ac:dyDescent="0.35">
      <c r="A203" s="34" t="s">
        <v>6736</v>
      </c>
      <c r="B203" s="7">
        <f t="shared" si="9"/>
        <v>46086</v>
      </c>
      <c r="C203" s="7">
        <f t="shared" si="10"/>
        <v>46092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6" t="s">
        <v>2341</v>
      </c>
      <c r="M203" s="8">
        <v>199900</v>
      </c>
      <c r="N203" s="37">
        <v>0.9</v>
      </c>
      <c r="O203" s="36">
        <f t="shared" si="11"/>
        <v>19990</v>
      </c>
      <c r="P203" s="6" t="s">
        <v>16</v>
      </c>
    </row>
    <row r="204" spans="1:16" x14ac:dyDescent="0.35">
      <c r="A204" s="34" t="s">
        <v>6736</v>
      </c>
      <c r="B204" s="7">
        <f t="shared" si="9"/>
        <v>46086</v>
      </c>
      <c r="C204" s="7">
        <f t="shared" si="10"/>
        <v>46092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6" t="s">
        <v>2343</v>
      </c>
      <c r="M204" s="8">
        <v>189900</v>
      </c>
      <c r="N204" s="37">
        <v>0.9</v>
      </c>
      <c r="O204" s="36">
        <f t="shared" si="11"/>
        <v>18990</v>
      </c>
      <c r="P204" s="6" t="s">
        <v>16</v>
      </c>
    </row>
    <row r="205" spans="1:16" x14ac:dyDescent="0.35">
      <c r="A205" s="34" t="s">
        <v>6736</v>
      </c>
      <c r="B205" s="7">
        <f t="shared" si="9"/>
        <v>46086</v>
      </c>
      <c r="C205" s="7">
        <f t="shared" si="10"/>
        <v>46092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6" t="s">
        <v>2344</v>
      </c>
      <c r="M205" s="8">
        <v>189900</v>
      </c>
      <c r="N205" s="37">
        <v>0.9</v>
      </c>
      <c r="O205" s="36">
        <f t="shared" si="11"/>
        <v>18990</v>
      </c>
      <c r="P205" s="6" t="s">
        <v>16</v>
      </c>
    </row>
    <row r="206" spans="1:16" x14ac:dyDescent="0.35">
      <c r="A206" s="34" t="s">
        <v>6736</v>
      </c>
      <c r="B206" s="7">
        <f t="shared" si="9"/>
        <v>46086</v>
      </c>
      <c r="C206" s="7">
        <f t="shared" si="10"/>
        <v>46092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6" t="s">
        <v>2345</v>
      </c>
      <c r="M206" s="8">
        <v>189900</v>
      </c>
      <c r="N206" s="37">
        <v>0.9</v>
      </c>
      <c r="O206" s="36">
        <f t="shared" si="11"/>
        <v>18990</v>
      </c>
      <c r="P206" s="6" t="s">
        <v>16</v>
      </c>
    </row>
    <row r="207" spans="1:16" x14ac:dyDescent="0.35">
      <c r="A207" s="34" t="s">
        <v>6736</v>
      </c>
      <c r="B207" s="7">
        <f t="shared" si="9"/>
        <v>46086</v>
      </c>
      <c r="C207" s="7">
        <f t="shared" si="10"/>
        <v>46092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6" t="s">
        <v>2346</v>
      </c>
      <c r="M207" s="8">
        <v>199900</v>
      </c>
      <c r="N207" s="37">
        <v>0.9</v>
      </c>
      <c r="O207" s="36">
        <f t="shared" si="11"/>
        <v>19990</v>
      </c>
      <c r="P207" s="6" t="s">
        <v>16</v>
      </c>
    </row>
    <row r="208" spans="1:16" x14ac:dyDescent="0.35">
      <c r="A208" s="34" t="s">
        <v>6736</v>
      </c>
      <c r="B208" s="7">
        <f t="shared" si="9"/>
        <v>46086</v>
      </c>
      <c r="C208" s="7">
        <f t="shared" si="10"/>
        <v>46092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6" t="s">
        <v>2347</v>
      </c>
      <c r="M208" s="8">
        <v>199900</v>
      </c>
      <c r="N208" s="37">
        <v>0.9</v>
      </c>
      <c r="O208" s="36">
        <f t="shared" si="11"/>
        <v>19990</v>
      </c>
      <c r="P208" s="6" t="s">
        <v>16</v>
      </c>
    </row>
    <row r="209" spans="1:16" x14ac:dyDescent="0.35">
      <c r="A209" s="34" t="s">
        <v>6736</v>
      </c>
      <c r="B209" s="7">
        <f t="shared" si="9"/>
        <v>46086</v>
      </c>
      <c r="C209" s="7">
        <f t="shared" si="10"/>
        <v>46092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6" t="s">
        <v>2348</v>
      </c>
      <c r="M209" s="8">
        <v>199900</v>
      </c>
      <c r="N209" s="37">
        <v>0.9</v>
      </c>
      <c r="O209" s="36">
        <f t="shared" si="11"/>
        <v>19990</v>
      </c>
      <c r="P209" s="6" t="s">
        <v>16</v>
      </c>
    </row>
    <row r="210" spans="1:16" x14ac:dyDescent="0.35">
      <c r="A210" s="34" t="s">
        <v>6736</v>
      </c>
      <c r="B210" s="7">
        <f t="shared" si="9"/>
        <v>46086</v>
      </c>
      <c r="C210" s="7">
        <f t="shared" si="10"/>
        <v>46092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6" t="s">
        <v>2350</v>
      </c>
      <c r="M210" s="8">
        <v>189900</v>
      </c>
      <c r="N210" s="37">
        <v>0.9</v>
      </c>
      <c r="O210" s="36">
        <f t="shared" si="11"/>
        <v>18990</v>
      </c>
      <c r="P210" s="6" t="s">
        <v>16</v>
      </c>
    </row>
    <row r="211" spans="1:16" x14ac:dyDescent="0.35">
      <c r="A211" s="34" t="s">
        <v>6736</v>
      </c>
      <c r="B211" s="7">
        <f t="shared" si="9"/>
        <v>46086</v>
      </c>
      <c r="C211" s="7">
        <f t="shared" si="10"/>
        <v>46092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6" t="s">
        <v>2351</v>
      </c>
      <c r="M211" s="8">
        <v>189900</v>
      </c>
      <c r="N211" s="37">
        <v>0.9</v>
      </c>
      <c r="O211" s="36">
        <f t="shared" si="11"/>
        <v>18990</v>
      </c>
      <c r="P211" s="6" t="s">
        <v>16</v>
      </c>
    </row>
    <row r="212" spans="1:16" x14ac:dyDescent="0.35">
      <c r="A212" s="34" t="s">
        <v>6736</v>
      </c>
      <c r="B212" s="7">
        <f t="shared" si="9"/>
        <v>46086</v>
      </c>
      <c r="C212" s="7">
        <f t="shared" si="10"/>
        <v>46092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6" t="s">
        <v>2352</v>
      </c>
      <c r="M212" s="8">
        <v>189900</v>
      </c>
      <c r="N212" s="37">
        <v>0.9</v>
      </c>
      <c r="O212" s="36">
        <f t="shared" si="11"/>
        <v>18990</v>
      </c>
      <c r="P212" s="6" t="s">
        <v>16</v>
      </c>
    </row>
    <row r="213" spans="1:16" x14ac:dyDescent="0.35">
      <c r="A213" s="34" t="s">
        <v>6736</v>
      </c>
      <c r="B213" s="7">
        <f t="shared" si="9"/>
        <v>46086</v>
      </c>
      <c r="C213" s="7">
        <f t="shared" si="10"/>
        <v>46092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6" t="s">
        <v>2353</v>
      </c>
      <c r="M213" s="8">
        <v>189900</v>
      </c>
      <c r="N213" s="37">
        <v>0.9</v>
      </c>
      <c r="O213" s="36">
        <f t="shared" si="11"/>
        <v>18990</v>
      </c>
      <c r="P213" s="6" t="s">
        <v>16</v>
      </c>
    </row>
    <row r="214" spans="1:16" x14ac:dyDescent="0.35">
      <c r="A214" s="34" t="s">
        <v>6736</v>
      </c>
      <c r="B214" s="7">
        <f t="shared" si="9"/>
        <v>46086</v>
      </c>
      <c r="C214" s="7">
        <f t="shared" si="10"/>
        <v>46092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6" t="s">
        <v>2354</v>
      </c>
      <c r="M214" s="8">
        <v>199900</v>
      </c>
      <c r="N214" s="37">
        <v>0.9</v>
      </c>
      <c r="O214" s="36">
        <f t="shared" si="11"/>
        <v>19990</v>
      </c>
      <c r="P214" s="6" t="s">
        <v>16</v>
      </c>
    </row>
    <row r="215" spans="1:16" x14ac:dyDescent="0.35">
      <c r="A215" s="34" t="s">
        <v>6736</v>
      </c>
      <c r="B215" s="7">
        <f t="shared" si="9"/>
        <v>46086</v>
      </c>
      <c r="C215" s="7">
        <f t="shared" si="10"/>
        <v>46092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6" t="s">
        <v>2356</v>
      </c>
      <c r="M215" s="8">
        <v>179900</v>
      </c>
      <c r="N215" s="37">
        <v>0.9</v>
      </c>
      <c r="O215" s="36">
        <f t="shared" si="11"/>
        <v>17990</v>
      </c>
      <c r="P215" s="6" t="s">
        <v>16</v>
      </c>
    </row>
    <row r="216" spans="1:16" x14ac:dyDescent="0.35">
      <c r="A216" s="34" t="s">
        <v>6736</v>
      </c>
      <c r="B216" s="7">
        <f t="shared" si="9"/>
        <v>46086</v>
      </c>
      <c r="C216" s="7">
        <f t="shared" si="10"/>
        <v>46092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6" t="s">
        <v>2357</v>
      </c>
      <c r="M216" s="8">
        <v>179900</v>
      </c>
      <c r="N216" s="37">
        <v>0.9</v>
      </c>
      <c r="O216" s="36">
        <f t="shared" si="11"/>
        <v>17990</v>
      </c>
      <c r="P216" s="6" t="s">
        <v>16</v>
      </c>
    </row>
    <row r="217" spans="1:16" x14ac:dyDescent="0.35">
      <c r="A217" s="34" t="s">
        <v>6736</v>
      </c>
      <c r="B217" s="7">
        <f t="shared" si="9"/>
        <v>46086</v>
      </c>
      <c r="C217" s="7">
        <f t="shared" si="10"/>
        <v>46092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6" t="s">
        <v>2358</v>
      </c>
      <c r="M217" s="8">
        <v>179900</v>
      </c>
      <c r="N217" s="37">
        <v>0.9</v>
      </c>
      <c r="O217" s="36">
        <f t="shared" si="11"/>
        <v>17990</v>
      </c>
      <c r="P217" s="6" t="s">
        <v>16</v>
      </c>
    </row>
    <row r="218" spans="1:16" x14ac:dyDescent="0.35">
      <c r="A218" s="34" t="s">
        <v>6736</v>
      </c>
      <c r="B218" s="7">
        <f t="shared" si="9"/>
        <v>46086</v>
      </c>
      <c r="C218" s="7">
        <f t="shared" si="10"/>
        <v>46092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6" t="s">
        <v>2359</v>
      </c>
      <c r="M218" s="8">
        <v>179900</v>
      </c>
      <c r="N218" s="37">
        <v>0.9</v>
      </c>
      <c r="O218" s="36">
        <f t="shared" si="11"/>
        <v>17990</v>
      </c>
      <c r="P218" s="6" t="s">
        <v>16</v>
      </c>
    </row>
    <row r="219" spans="1:16" x14ac:dyDescent="0.35">
      <c r="A219" s="34" t="s">
        <v>6736</v>
      </c>
      <c r="B219" s="7">
        <f t="shared" si="9"/>
        <v>46086</v>
      </c>
      <c r="C219" s="7">
        <f t="shared" si="10"/>
        <v>46092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6" t="s">
        <v>2360</v>
      </c>
      <c r="M219" s="8">
        <v>179900</v>
      </c>
      <c r="N219" s="37">
        <v>0.9</v>
      </c>
      <c r="O219" s="36">
        <f t="shared" si="11"/>
        <v>17990</v>
      </c>
      <c r="P219" s="6" t="s">
        <v>16</v>
      </c>
    </row>
    <row r="220" spans="1:16" x14ac:dyDescent="0.35">
      <c r="A220" s="34" t="s">
        <v>6736</v>
      </c>
      <c r="B220" s="7">
        <f t="shared" si="9"/>
        <v>46086</v>
      </c>
      <c r="C220" s="7">
        <f t="shared" si="10"/>
        <v>46092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6" t="s">
        <v>2362</v>
      </c>
      <c r="M220" s="8">
        <v>189900</v>
      </c>
      <c r="N220" s="37">
        <v>0.9</v>
      </c>
      <c r="O220" s="36">
        <f t="shared" si="11"/>
        <v>18990</v>
      </c>
      <c r="P220" s="6" t="s">
        <v>16</v>
      </c>
    </row>
    <row r="221" spans="1:16" x14ac:dyDescent="0.35">
      <c r="A221" s="34" t="s">
        <v>6736</v>
      </c>
      <c r="B221" s="7">
        <f t="shared" si="9"/>
        <v>46086</v>
      </c>
      <c r="C221" s="7">
        <f t="shared" si="10"/>
        <v>46092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6" t="s">
        <v>2363</v>
      </c>
      <c r="M221" s="8">
        <v>189900</v>
      </c>
      <c r="N221" s="37">
        <v>0.9</v>
      </c>
      <c r="O221" s="36">
        <f t="shared" si="11"/>
        <v>18990</v>
      </c>
      <c r="P221" s="6" t="s">
        <v>16</v>
      </c>
    </row>
    <row r="222" spans="1:16" x14ac:dyDescent="0.35">
      <c r="A222" s="34" t="s">
        <v>6736</v>
      </c>
      <c r="B222" s="7">
        <f t="shared" si="9"/>
        <v>46086</v>
      </c>
      <c r="C222" s="7">
        <f t="shared" si="10"/>
        <v>46092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6" t="s">
        <v>2364</v>
      </c>
      <c r="M222" s="8">
        <v>189900</v>
      </c>
      <c r="N222" s="37">
        <v>0.9</v>
      </c>
      <c r="O222" s="36">
        <f t="shared" si="11"/>
        <v>18990</v>
      </c>
      <c r="P222" s="6" t="s">
        <v>16</v>
      </c>
    </row>
    <row r="223" spans="1:16" x14ac:dyDescent="0.35">
      <c r="A223" s="34" t="s">
        <v>6736</v>
      </c>
      <c r="B223" s="7">
        <f t="shared" si="9"/>
        <v>46086</v>
      </c>
      <c r="C223" s="7">
        <f t="shared" si="10"/>
        <v>46092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6" t="s">
        <v>2084</v>
      </c>
      <c r="M223" s="8">
        <v>27900</v>
      </c>
      <c r="N223" s="37">
        <v>0.9</v>
      </c>
      <c r="O223" s="36">
        <f t="shared" si="11"/>
        <v>2790</v>
      </c>
      <c r="P223" s="6" t="s">
        <v>16</v>
      </c>
    </row>
    <row r="224" spans="1:16" x14ac:dyDescent="0.35">
      <c r="A224" s="34" t="s">
        <v>6736</v>
      </c>
      <c r="B224" s="7">
        <f t="shared" si="9"/>
        <v>46086</v>
      </c>
      <c r="C224" s="7">
        <f t="shared" si="10"/>
        <v>46092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6" t="s">
        <v>2085</v>
      </c>
      <c r="M224" s="8">
        <v>27900</v>
      </c>
      <c r="N224" s="37">
        <v>0.9</v>
      </c>
      <c r="O224" s="36">
        <f t="shared" si="11"/>
        <v>2790</v>
      </c>
      <c r="P224" s="6" t="s">
        <v>16</v>
      </c>
    </row>
    <row r="225" spans="1:16" x14ac:dyDescent="0.35">
      <c r="A225" s="34" t="s">
        <v>6736</v>
      </c>
      <c r="B225" s="7">
        <f t="shared" si="9"/>
        <v>46086</v>
      </c>
      <c r="C225" s="7">
        <f t="shared" si="10"/>
        <v>46092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6" t="s">
        <v>2087</v>
      </c>
      <c r="M225" s="8">
        <v>27900</v>
      </c>
      <c r="N225" s="37">
        <v>0.9</v>
      </c>
      <c r="O225" s="36">
        <f t="shared" si="11"/>
        <v>2790</v>
      </c>
      <c r="P225" s="6" t="s">
        <v>16</v>
      </c>
    </row>
    <row r="226" spans="1:16" x14ac:dyDescent="0.35">
      <c r="A226" s="34" t="s">
        <v>6736</v>
      </c>
      <c r="B226" s="7">
        <f t="shared" si="9"/>
        <v>46086</v>
      </c>
      <c r="C226" s="7">
        <f t="shared" si="10"/>
        <v>46092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6" t="s">
        <v>2088</v>
      </c>
      <c r="M226" s="8">
        <v>27900</v>
      </c>
      <c r="N226" s="37">
        <v>0.9</v>
      </c>
      <c r="O226" s="36">
        <f t="shared" si="11"/>
        <v>2790</v>
      </c>
      <c r="P226" s="6" t="s">
        <v>16</v>
      </c>
    </row>
    <row r="227" spans="1:16" x14ac:dyDescent="0.35">
      <c r="A227" s="34" t="s">
        <v>6736</v>
      </c>
      <c r="B227" s="7">
        <f t="shared" si="9"/>
        <v>46086</v>
      </c>
      <c r="C227" s="7">
        <f t="shared" si="10"/>
        <v>46092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6" t="s">
        <v>2090</v>
      </c>
      <c r="M227" s="8">
        <v>27900</v>
      </c>
      <c r="N227" s="37">
        <v>0.9</v>
      </c>
      <c r="O227" s="36">
        <f t="shared" si="11"/>
        <v>2790</v>
      </c>
      <c r="P227" s="6" t="s">
        <v>16</v>
      </c>
    </row>
    <row r="228" spans="1:16" x14ac:dyDescent="0.35">
      <c r="A228" s="34" t="s">
        <v>6736</v>
      </c>
      <c r="B228" s="7">
        <f t="shared" si="9"/>
        <v>46086</v>
      </c>
      <c r="C228" s="7">
        <f t="shared" si="10"/>
        <v>46092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6" t="s">
        <v>2091</v>
      </c>
      <c r="M228" s="8">
        <v>27900</v>
      </c>
      <c r="N228" s="37">
        <v>0.9</v>
      </c>
      <c r="O228" s="36">
        <f t="shared" si="11"/>
        <v>2790</v>
      </c>
      <c r="P228" s="6" t="s">
        <v>16</v>
      </c>
    </row>
    <row r="229" spans="1:16" x14ac:dyDescent="0.35">
      <c r="A229" s="34" t="s">
        <v>6736</v>
      </c>
      <c r="B229" s="7">
        <f t="shared" si="9"/>
        <v>46086</v>
      </c>
      <c r="C229" s="7">
        <f t="shared" si="10"/>
        <v>46092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6" t="s">
        <v>2092</v>
      </c>
      <c r="M229" s="8">
        <v>27900</v>
      </c>
      <c r="N229" s="37">
        <v>0.9</v>
      </c>
      <c r="O229" s="36">
        <f t="shared" si="11"/>
        <v>2790</v>
      </c>
      <c r="P229" s="6" t="s">
        <v>16</v>
      </c>
    </row>
    <row r="230" spans="1:16" x14ac:dyDescent="0.35">
      <c r="A230" s="34" t="s">
        <v>6736</v>
      </c>
      <c r="B230" s="7">
        <f t="shared" si="9"/>
        <v>46086</v>
      </c>
      <c r="C230" s="7">
        <f t="shared" si="10"/>
        <v>46092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6" t="s">
        <v>2093</v>
      </c>
      <c r="M230" s="8">
        <v>27900</v>
      </c>
      <c r="N230" s="37">
        <v>0.9</v>
      </c>
      <c r="O230" s="36">
        <f t="shared" si="11"/>
        <v>2790</v>
      </c>
      <c r="P230" s="6" t="s">
        <v>16</v>
      </c>
    </row>
    <row r="231" spans="1:16" x14ac:dyDescent="0.35">
      <c r="A231" s="34" t="s">
        <v>6736</v>
      </c>
      <c r="B231" s="7">
        <f t="shared" si="9"/>
        <v>46086</v>
      </c>
      <c r="C231" s="7">
        <f t="shared" si="10"/>
        <v>46092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6" t="s">
        <v>2094</v>
      </c>
      <c r="M231" s="8">
        <v>27900</v>
      </c>
      <c r="N231" s="37">
        <v>0.9</v>
      </c>
      <c r="O231" s="36">
        <f t="shared" si="11"/>
        <v>2790</v>
      </c>
      <c r="P231" s="6" t="s">
        <v>16</v>
      </c>
    </row>
    <row r="232" spans="1:16" x14ac:dyDescent="0.35">
      <c r="A232" s="34" t="s">
        <v>6736</v>
      </c>
      <c r="B232" s="7">
        <f t="shared" si="9"/>
        <v>46086</v>
      </c>
      <c r="C232" s="7">
        <f t="shared" si="10"/>
        <v>46092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6" t="s">
        <v>2095</v>
      </c>
      <c r="M232" s="8">
        <v>27900</v>
      </c>
      <c r="N232" s="37">
        <v>0.9</v>
      </c>
      <c r="O232" s="36">
        <f t="shared" si="11"/>
        <v>2790</v>
      </c>
      <c r="P232" s="6" t="s">
        <v>16</v>
      </c>
    </row>
    <row r="233" spans="1:16" x14ac:dyDescent="0.35">
      <c r="A233" s="34" t="s">
        <v>6736</v>
      </c>
      <c r="B233" s="7">
        <f t="shared" si="9"/>
        <v>46086</v>
      </c>
      <c r="C233" s="7">
        <f t="shared" si="10"/>
        <v>46092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6" t="s">
        <v>2096</v>
      </c>
      <c r="M233" s="8">
        <v>27900</v>
      </c>
      <c r="N233" s="37">
        <v>0.9</v>
      </c>
      <c r="O233" s="36">
        <f t="shared" si="11"/>
        <v>2790</v>
      </c>
      <c r="P233" s="6" t="s">
        <v>16</v>
      </c>
    </row>
    <row r="234" spans="1:16" x14ac:dyDescent="0.35">
      <c r="A234" s="34" t="s">
        <v>6736</v>
      </c>
      <c r="B234" s="7">
        <f t="shared" si="9"/>
        <v>46086</v>
      </c>
      <c r="C234" s="7">
        <f t="shared" si="10"/>
        <v>46092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6" t="s">
        <v>2098</v>
      </c>
      <c r="M234" s="8">
        <v>27900</v>
      </c>
      <c r="N234" s="37">
        <v>0.9</v>
      </c>
      <c r="O234" s="36">
        <f t="shared" si="11"/>
        <v>2790</v>
      </c>
      <c r="P234" s="6" t="s">
        <v>16</v>
      </c>
    </row>
    <row r="235" spans="1:16" x14ac:dyDescent="0.35">
      <c r="A235" s="34" t="s">
        <v>6736</v>
      </c>
      <c r="B235" s="7">
        <f t="shared" si="9"/>
        <v>46086</v>
      </c>
      <c r="C235" s="7">
        <f t="shared" si="10"/>
        <v>46092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6" t="s">
        <v>2099</v>
      </c>
      <c r="M235" s="8">
        <v>27900</v>
      </c>
      <c r="N235" s="37">
        <v>0.9</v>
      </c>
      <c r="O235" s="36">
        <f t="shared" si="11"/>
        <v>2790</v>
      </c>
      <c r="P235" s="6" t="s">
        <v>16</v>
      </c>
    </row>
    <row r="236" spans="1:16" x14ac:dyDescent="0.35">
      <c r="A236" s="34" t="s">
        <v>6736</v>
      </c>
      <c r="B236" s="7">
        <f t="shared" si="9"/>
        <v>46086</v>
      </c>
      <c r="C236" s="7">
        <f t="shared" si="10"/>
        <v>46092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6" t="s">
        <v>2101</v>
      </c>
      <c r="M236" s="8">
        <v>27900</v>
      </c>
      <c r="N236" s="37">
        <v>0.9</v>
      </c>
      <c r="O236" s="36">
        <f t="shared" si="11"/>
        <v>2790</v>
      </c>
      <c r="P236" s="6" t="s">
        <v>16</v>
      </c>
    </row>
    <row r="237" spans="1:16" x14ac:dyDescent="0.35">
      <c r="A237" s="34" t="s">
        <v>6736</v>
      </c>
      <c r="B237" s="7">
        <f t="shared" si="9"/>
        <v>46086</v>
      </c>
      <c r="C237" s="7">
        <f t="shared" si="10"/>
        <v>46092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6" t="s">
        <v>2103</v>
      </c>
      <c r="M237" s="8">
        <v>34900</v>
      </c>
      <c r="N237" s="37">
        <v>0.9</v>
      </c>
      <c r="O237" s="36">
        <f t="shared" si="11"/>
        <v>3490</v>
      </c>
      <c r="P237" s="6" t="s">
        <v>16</v>
      </c>
    </row>
    <row r="238" spans="1:16" x14ac:dyDescent="0.35">
      <c r="A238" s="34" t="s">
        <v>6736</v>
      </c>
      <c r="B238" s="7">
        <f t="shared" si="9"/>
        <v>46086</v>
      </c>
      <c r="C238" s="7">
        <f t="shared" si="10"/>
        <v>46092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6" t="s">
        <v>2104</v>
      </c>
      <c r="M238" s="8">
        <v>34900</v>
      </c>
      <c r="N238" s="37">
        <v>0.9</v>
      </c>
      <c r="O238" s="36">
        <f t="shared" si="11"/>
        <v>3490</v>
      </c>
      <c r="P238" s="6" t="s">
        <v>16</v>
      </c>
    </row>
    <row r="239" spans="1:16" x14ac:dyDescent="0.35">
      <c r="A239" s="34" t="s">
        <v>6736</v>
      </c>
      <c r="B239" s="7">
        <f t="shared" si="9"/>
        <v>46086</v>
      </c>
      <c r="C239" s="7">
        <f t="shared" si="10"/>
        <v>46092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6" t="s">
        <v>2105</v>
      </c>
      <c r="M239" s="8">
        <v>34900</v>
      </c>
      <c r="N239" s="37">
        <v>0.9</v>
      </c>
      <c r="O239" s="36">
        <f t="shared" si="11"/>
        <v>3490</v>
      </c>
      <c r="P239" s="6" t="s">
        <v>16</v>
      </c>
    </row>
    <row r="240" spans="1:16" x14ac:dyDescent="0.35">
      <c r="A240" s="34" t="s">
        <v>6736</v>
      </c>
      <c r="B240" s="7">
        <f t="shared" si="9"/>
        <v>46086</v>
      </c>
      <c r="C240" s="7">
        <f t="shared" si="10"/>
        <v>46092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6" t="s">
        <v>5186</v>
      </c>
      <c r="M240" s="8">
        <v>27900</v>
      </c>
      <c r="N240" s="37">
        <v>0.9</v>
      </c>
      <c r="O240" s="36">
        <f t="shared" si="11"/>
        <v>2790</v>
      </c>
      <c r="P240" s="6" t="s">
        <v>16</v>
      </c>
    </row>
    <row r="241" spans="1:16" x14ac:dyDescent="0.35">
      <c r="A241" s="34" t="s">
        <v>6736</v>
      </c>
      <c r="B241" s="7">
        <f t="shared" si="9"/>
        <v>46086</v>
      </c>
      <c r="C241" s="7">
        <f t="shared" si="10"/>
        <v>46092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6" t="s">
        <v>2107</v>
      </c>
      <c r="M241" s="8">
        <v>27900</v>
      </c>
      <c r="N241" s="37">
        <v>0.9</v>
      </c>
      <c r="O241" s="36">
        <f t="shared" si="11"/>
        <v>2790</v>
      </c>
      <c r="P241" s="6" t="s">
        <v>16</v>
      </c>
    </row>
    <row r="242" spans="1:16" x14ac:dyDescent="0.35">
      <c r="A242" s="34" t="s">
        <v>6736</v>
      </c>
      <c r="B242" s="7">
        <f t="shared" si="9"/>
        <v>46086</v>
      </c>
      <c r="C242" s="7">
        <f t="shared" si="10"/>
        <v>46092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6" t="s">
        <v>2224</v>
      </c>
      <c r="M242" s="8">
        <v>27900</v>
      </c>
      <c r="N242" s="37">
        <v>0.9</v>
      </c>
      <c r="O242" s="36">
        <f t="shared" si="11"/>
        <v>2790</v>
      </c>
      <c r="P242" s="6" t="s">
        <v>16</v>
      </c>
    </row>
    <row r="243" spans="1:16" x14ac:dyDescent="0.35">
      <c r="A243" s="34" t="s">
        <v>6736</v>
      </c>
      <c r="B243" s="7">
        <f t="shared" si="9"/>
        <v>46086</v>
      </c>
      <c r="C243" s="7">
        <f t="shared" si="10"/>
        <v>46092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6" t="s">
        <v>2225</v>
      </c>
      <c r="M243" s="8">
        <v>27900</v>
      </c>
      <c r="N243" s="37">
        <v>0.9</v>
      </c>
      <c r="O243" s="36">
        <f t="shared" si="11"/>
        <v>2790</v>
      </c>
      <c r="P243" s="6" t="s">
        <v>16</v>
      </c>
    </row>
    <row r="244" spans="1:16" x14ac:dyDescent="0.35">
      <c r="A244" s="34" t="s">
        <v>6736</v>
      </c>
      <c r="B244" s="7">
        <f t="shared" si="9"/>
        <v>46086</v>
      </c>
      <c r="C244" s="7">
        <f t="shared" si="10"/>
        <v>46092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6" t="s">
        <v>2227</v>
      </c>
      <c r="M244" s="8">
        <v>27900</v>
      </c>
      <c r="N244" s="37">
        <v>0.9</v>
      </c>
      <c r="O244" s="36">
        <f t="shared" si="11"/>
        <v>2790</v>
      </c>
      <c r="P244" s="6" t="s">
        <v>16</v>
      </c>
    </row>
    <row r="245" spans="1:16" x14ac:dyDescent="0.35">
      <c r="A245" s="34" t="s">
        <v>6736</v>
      </c>
      <c r="B245" s="7">
        <f t="shared" si="9"/>
        <v>46086</v>
      </c>
      <c r="C245" s="7">
        <f t="shared" si="10"/>
        <v>46092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6" t="s">
        <v>2228</v>
      </c>
      <c r="M245" s="8">
        <v>27900</v>
      </c>
      <c r="N245" s="37">
        <v>0.9</v>
      </c>
      <c r="O245" s="36">
        <f t="shared" si="11"/>
        <v>2790</v>
      </c>
      <c r="P245" s="6" t="s">
        <v>16</v>
      </c>
    </row>
    <row r="246" spans="1:16" x14ac:dyDescent="0.35">
      <c r="A246" s="34" t="s">
        <v>6736</v>
      </c>
      <c r="B246" s="7">
        <f t="shared" si="9"/>
        <v>46086</v>
      </c>
      <c r="C246" s="7">
        <f t="shared" si="10"/>
        <v>46092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6" t="s">
        <v>2109</v>
      </c>
      <c r="M246" s="8">
        <v>27900</v>
      </c>
      <c r="N246" s="37">
        <v>0.9</v>
      </c>
      <c r="O246" s="36">
        <f t="shared" si="11"/>
        <v>2790</v>
      </c>
      <c r="P246" s="6" t="s">
        <v>16</v>
      </c>
    </row>
    <row r="247" spans="1:16" x14ac:dyDescent="0.35">
      <c r="A247" s="34" t="s">
        <v>6736</v>
      </c>
      <c r="B247" s="7">
        <f t="shared" si="9"/>
        <v>46086</v>
      </c>
      <c r="C247" s="7">
        <f t="shared" si="10"/>
        <v>46092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6" t="s">
        <v>2111</v>
      </c>
      <c r="M247" s="8">
        <v>27900</v>
      </c>
      <c r="N247" s="37">
        <v>0.9</v>
      </c>
      <c r="O247" s="36">
        <f t="shared" si="11"/>
        <v>2790</v>
      </c>
      <c r="P247" s="6" t="s">
        <v>16</v>
      </c>
    </row>
    <row r="248" spans="1:16" x14ac:dyDescent="0.35">
      <c r="A248" s="34" t="s">
        <v>6736</v>
      </c>
      <c r="B248" s="7">
        <f t="shared" si="9"/>
        <v>46086</v>
      </c>
      <c r="C248" s="7">
        <f t="shared" si="10"/>
        <v>46092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6" t="s">
        <v>5187</v>
      </c>
      <c r="M248" s="8">
        <v>27900</v>
      </c>
      <c r="N248" s="37">
        <v>0.9</v>
      </c>
      <c r="O248" s="36">
        <f t="shared" si="11"/>
        <v>2790</v>
      </c>
      <c r="P248" s="6" t="s">
        <v>16</v>
      </c>
    </row>
    <row r="249" spans="1:16" x14ac:dyDescent="0.35">
      <c r="A249" s="34" t="s">
        <v>6736</v>
      </c>
      <c r="B249" s="7">
        <f t="shared" si="9"/>
        <v>46086</v>
      </c>
      <c r="C249" s="7">
        <f t="shared" si="10"/>
        <v>46092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6" t="s">
        <v>2230</v>
      </c>
      <c r="M249" s="8">
        <v>27900</v>
      </c>
      <c r="N249" s="37">
        <v>0.9</v>
      </c>
      <c r="O249" s="36">
        <f t="shared" si="11"/>
        <v>2790</v>
      </c>
      <c r="P249" s="6" t="s">
        <v>16</v>
      </c>
    </row>
    <row r="250" spans="1:16" x14ac:dyDescent="0.35">
      <c r="A250" s="34" t="s">
        <v>6736</v>
      </c>
      <c r="B250" s="7">
        <f t="shared" si="9"/>
        <v>46086</v>
      </c>
      <c r="C250" s="7">
        <f t="shared" si="10"/>
        <v>46092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6" t="s">
        <v>2231</v>
      </c>
      <c r="M250" s="8">
        <v>27900</v>
      </c>
      <c r="N250" s="37">
        <v>0.9</v>
      </c>
      <c r="O250" s="36">
        <f t="shared" si="11"/>
        <v>2790</v>
      </c>
      <c r="P250" s="6" t="s">
        <v>16</v>
      </c>
    </row>
    <row r="251" spans="1:16" x14ac:dyDescent="0.35">
      <c r="A251" s="34" t="s">
        <v>6736</v>
      </c>
      <c r="B251" s="7">
        <f t="shared" si="9"/>
        <v>46086</v>
      </c>
      <c r="C251" s="7">
        <f t="shared" si="10"/>
        <v>46092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6" t="s">
        <v>2232</v>
      </c>
      <c r="M251" s="8">
        <v>27900</v>
      </c>
      <c r="N251" s="37">
        <v>0.9</v>
      </c>
      <c r="O251" s="36">
        <f t="shared" si="11"/>
        <v>2790</v>
      </c>
      <c r="P251" s="6" t="s">
        <v>16</v>
      </c>
    </row>
    <row r="252" spans="1:16" x14ac:dyDescent="0.35">
      <c r="A252" s="34" t="s">
        <v>6736</v>
      </c>
      <c r="B252" s="7">
        <f t="shared" si="9"/>
        <v>46086</v>
      </c>
      <c r="C252" s="7">
        <f t="shared" si="10"/>
        <v>46092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6" t="s">
        <v>2114</v>
      </c>
      <c r="M252" s="8">
        <v>27900</v>
      </c>
      <c r="N252" s="37">
        <v>0.9</v>
      </c>
      <c r="O252" s="36">
        <f t="shared" si="11"/>
        <v>2790</v>
      </c>
      <c r="P252" s="6" t="s">
        <v>16</v>
      </c>
    </row>
    <row r="253" spans="1:16" x14ac:dyDescent="0.35">
      <c r="A253" s="34" t="s">
        <v>6736</v>
      </c>
      <c r="B253" s="7">
        <f t="shared" si="9"/>
        <v>46086</v>
      </c>
      <c r="C253" s="7">
        <f t="shared" si="10"/>
        <v>46092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6" t="s">
        <v>2115</v>
      </c>
      <c r="M253" s="8">
        <v>27900</v>
      </c>
      <c r="N253" s="37">
        <v>0.9</v>
      </c>
      <c r="O253" s="36">
        <f t="shared" si="11"/>
        <v>2790</v>
      </c>
      <c r="P253" s="6" t="s">
        <v>16</v>
      </c>
    </row>
    <row r="254" spans="1:16" x14ac:dyDescent="0.35">
      <c r="A254" s="34" t="s">
        <v>6736</v>
      </c>
      <c r="B254" s="7">
        <f t="shared" ref="B254:B266" si="12">B253</f>
        <v>46086</v>
      </c>
      <c r="C254" s="7">
        <f t="shared" ref="C254:C266" si="13">C253</f>
        <v>46092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6" t="s">
        <v>2116</v>
      </c>
      <c r="M254" s="8">
        <v>27900</v>
      </c>
      <c r="N254" s="37">
        <v>0.9</v>
      </c>
      <c r="O254" s="36">
        <f t="shared" si="11"/>
        <v>2790</v>
      </c>
      <c r="P254" s="6" t="s">
        <v>16</v>
      </c>
    </row>
    <row r="255" spans="1:16" x14ac:dyDescent="0.35">
      <c r="A255" s="34" t="s">
        <v>6736</v>
      </c>
      <c r="B255" s="7">
        <f t="shared" si="12"/>
        <v>46086</v>
      </c>
      <c r="C255" s="7">
        <f t="shared" si="13"/>
        <v>46092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6" t="s">
        <v>2117</v>
      </c>
      <c r="M255" s="8">
        <v>27900</v>
      </c>
      <c r="N255" s="37">
        <v>0.9</v>
      </c>
      <c r="O255" s="36">
        <f t="shared" si="11"/>
        <v>2790</v>
      </c>
      <c r="P255" s="6" t="s">
        <v>16</v>
      </c>
    </row>
    <row r="256" spans="1:16" x14ac:dyDescent="0.35">
      <c r="A256" s="34" t="s">
        <v>6736</v>
      </c>
      <c r="B256" s="7">
        <f t="shared" si="12"/>
        <v>46086</v>
      </c>
      <c r="C256" s="7">
        <f t="shared" si="13"/>
        <v>46092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6" t="s">
        <v>2326</v>
      </c>
      <c r="M256" s="8">
        <v>27900</v>
      </c>
      <c r="N256" s="37">
        <v>0.9</v>
      </c>
      <c r="O256" s="36">
        <f t="shared" si="11"/>
        <v>2790</v>
      </c>
      <c r="P256" s="6" t="s">
        <v>16</v>
      </c>
    </row>
    <row r="257" spans="1:16" x14ac:dyDescent="0.35">
      <c r="A257" s="34" t="s">
        <v>6736</v>
      </c>
      <c r="B257" s="7">
        <f t="shared" si="12"/>
        <v>46086</v>
      </c>
      <c r="C257" s="7">
        <f t="shared" si="13"/>
        <v>46092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6" t="s">
        <v>2327</v>
      </c>
      <c r="M257" s="8">
        <v>27900</v>
      </c>
      <c r="N257" s="37">
        <v>0.9</v>
      </c>
      <c r="O257" s="36">
        <f t="shared" si="11"/>
        <v>2790</v>
      </c>
      <c r="P257" s="6" t="s">
        <v>16</v>
      </c>
    </row>
    <row r="258" spans="1:16" x14ac:dyDescent="0.35">
      <c r="A258" s="34" t="s">
        <v>6736</v>
      </c>
      <c r="B258" s="7">
        <f t="shared" si="12"/>
        <v>46086</v>
      </c>
      <c r="C258" s="7">
        <f t="shared" si="13"/>
        <v>46092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6" t="s">
        <v>2329</v>
      </c>
      <c r="M258" s="8">
        <v>27900</v>
      </c>
      <c r="N258" s="37">
        <v>0.9</v>
      </c>
      <c r="O258" s="36">
        <f t="shared" si="11"/>
        <v>2790</v>
      </c>
      <c r="P258" s="6" t="s">
        <v>16</v>
      </c>
    </row>
    <row r="259" spans="1:16" x14ac:dyDescent="0.35">
      <c r="A259" s="34" t="s">
        <v>6736</v>
      </c>
      <c r="B259" s="7">
        <f t="shared" si="12"/>
        <v>46086</v>
      </c>
      <c r="C259" s="7">
        <f t="shared" si="13"/>
        <v>46092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6" t="s">
        <v>2330</v>
      </c>
      <c r="M259" s="8">
        <v>27900</v>
      </c>
      <c r="N259" s="37">
        <v>0.9</v>
      </c>
      <c r="O259" s="36">
        <f t="shared" si="11"/>
        <v>2790</v>
      </c>
      <c r="P259" s="6" t="s">
        <v>16</v>
      </c>
    </row>
    <row r="260" spans="1:16" x14ac:dyDescent="0.35">
      <c r="A260" s="34" t="s">
        <v>6736</v>
      </c>
      <c r="B260" s="7">
        <f t="shared" si="12"/>
        <v>46086</v>
      </c>
      <c r="C260" s="7">
        <f t="shared" si="13"/>
        <v>46092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6" t="s">
        <v>2337</v>
      </c>
      <c r="M260" s="8">
        <v>27900</v>
      </c>
      <c r="N260" s="37">
        <v>0.9</v>
      </c>
      <c r="O260" s="36">
        <f t="shared" ref="O260:O266" si="14">M260-((90*M260)/100)</f>
        <v>2790</v>
      </c>
      <c r="P260" s="6" t="s">
        <v>16</v>
      </c>
    </row>
    <row r="261" spans="1:16" x14ac:dyDescent="0.35">
      <c r="A261" s="34" t="s">
        <v>6736</v>
      </c>
      <c r="B261" s="7">
        <f t="shared" si="12"/>
        <v>46086</v>
      </c>
      <c r="C261" s="7">
        <f t="shared" si="13"/>
        <v>46092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6" t="s">
        <v>2332</v>
      </c>
      <c r="M261" s="8">
        <v>27900</v>
      </c>
      <c r="N261" s="37">
        <v>0.9</v>
      </c>
      <c r="O261" s="36">
        <f t="shared" si="14"/>
        <v>2790</v>
      </c>
      <c r="P261" s="6" t="s">
        <v>16</v>
      </c>
    </row>
    <row r="262" spans="1:16" x14ac:dyDescent="0.35">
      <c r="A262" s="34" t="s">
        <v>6736</v>
      </c>
      <c r="B262" s="7">
        <f t="shared" si="12"/>
        <v>46086</v>
      </c>
      <c r="C262" s="7">
        <f t="shared" si="13"/>
        <v>46092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6" t="s">
        <v>2334</v>
      </c>
      <c r="M262" s="8">
        <v>27900</v>
      </c>
      <c r="N262" s="37">
        <v>0.9</v>
      </c>
      <c r="O262" s="36">
        <f t="shared" si="14"/>
        <v>2790</v>
      </c>
      <c r="P262" s="6" t="s">
        <v>16</v>
      </c>
    </row>
    <row r="263" spans="1:16" x14ac:dyDescent="0.35">
      <c r="A263" s="34" t="s">
        <v>6736</v>
      </c>
      <c r="B263" s="7">
        <f t="shared" si="12"/>
        <v>46086</v>
      </c>
      <c r="C263" s="7">
        <f t="shared" si="13"/>
        <v>46092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6" t="s">
        <v>2335</v>
      </c>
      <c r="M263" s="8">
        <v>27900</v>
      </c>
      <c r="N263" s="37">
        <v>0.9</v>
      </c>
      <c r="O263" s="36">
        <f t="shared" si="14"/>
        <v>2790</v>
      </c>
      <c r="P263" s="6" t="s">
        <v>16</v>
      </c>
    </row>
    <row r="264" spans="1:16" x14ac:dyDescent="0.35">
      <c r="A264" s="34" t="s">
        <v>6736</v>
      </c>
      <c r="B264" s="7">
        <f t="shared" si="12"/>
        <v>46086</v>
      </c>
      <c r="C264" s="7">
        <f t="shared" si="13"/>
        <v>46092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6" t="s">
        <v>2218</v>
      </c>
      <c r="M264" s="8">
        <v>34900</v>
      </c>
      <c r="N264" s="37">
        <v>0.9</v>
      </c>
      <c r="O264" s="36">
        <f t="shared" si="14"/>
        <v>3490</v>
      </c>
      <c r="P264" s="6" t="s">
        <v>16</v>
      </c>
    </row>
    <row r="265" spans="1:16" x14ac:dyDescent="0.35">
      <c r="A265" s="34" t="s">
        <v>6736</v>
      </c>
      <c r="B265" s="7">
        <f t="shared" si="12"/>
        <v>46086</v>
      </c>
      <c r="C265" s="7">
        <f t="shared" si="13"/>
        <v>46092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6" t="s">
        <v>2220</v>
      </c>
      <c r="M265" s="8">
        <v>34900</v>
      </c>
      <c r="N265" s="37">
        <v>0.9</v>
      </c>
      <c r="O265" s="36">
        <f t="shared" si="14"/>
        <v>3490</v>
      </c>
      <c r="P265" s="6" t="s">
        <v>16</v>
      </c>
    </row>
    <row r="266" spans="1:16" x14ac:dyDescent="0.35">
      <c r="A266" s="34" t="s">
        <v>6736</v>
      </c>
      <c r="B266" s="7">
        <f t="shared" si="12"/>
        <v>46086</v>
      </c>
      <c r="C266" s="7">
        <f t="shared" si="13"/>
        <v>46092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6" t="s">
        <v>2222</v>
      </c>
      <c r="M266" s="8">
        <v>34900</v>
      </c>
      <c r="N266" s="37">
        <v>0.9</v>
      </c>
      <c r="O266" s="36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zoomScale="84" zoomScaleNormal="100" workbookViewId="0">
      <pane ySplit="1" topLeftCell="A2" activePane="bottomLeft" state="frozen"/>
      <selection activeCell="M23" sqref="M23"/>
      <selection pane="bottomLeft" activeCell="D13" sqref="D1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9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5762</v>
      </c>
      <c r="B2" s="7">
        <f>'2025 HILITE D80 - 3321'!B2</f>
        <v>46086</v>
      </c>
      <c r="C2" s="7">
        <f>'2025 HILITE D80 - 3321'!C2</f>
        <v>46092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5257</v>
      </c>
      <c r="L2" s="17" t="s">
        <v>5258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5762</v>
      </c>
      <c r="B3" s="7">
        <f>B2</f>
        <v>46086</v>
      </c>
      <c r="C3" s="7">
        <f>C2</f>
        <v>46092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5264</v>
      </c>
      <c r="L3" s="17" t="s">
        <v>5265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5762</v>
      </c>
      <c r="B4" s="7">
        <f t="shared" ref="B4:B67" si="1">B3</f>
        <v>46086</v>
      </c>
      <c r="C4" s="7">
        <f t="shared" ref="C4:C67" si="2">C3</f>
        <v>46092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7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5762</v>
      </c>
      <c r="B5" s="7">
        <f t="shared" si="1"/>
        <v>46086</v>
      </c>
      <c r="C5" s="7">
        <f t="shared" si="2"/>
        <v>46092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7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5762</v>
      </c>
      <c r="B6" s="7">
        <f t="shared" si="1"/>
        <v>46086</v>
      </c>
      <c r="C6" s="7">
        <f t="shared" si="2"/>
        <v>46092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5261</v>
      </c>
      <c r="L6" s="17" t="s">
        <v>5262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5762</v>
      </c>
      <c r="B7" s="7">
        <f t="shared" si="1"/>
        <v>46086</v>
      </c>
      <c r="C7" s="7">
        <f t="shared" si="2"/>
        <v>46092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5259</v>
      </c>
      <c r="L7" s="17" t="s">
        <v>5260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5762</v>
      </c>
      <c r="B8" s="7">
        <f t="shared" si="1"/>
        <v>46086</v>
      </c>
      <c r="C8" s="7">
        <f t="shared" si="2"/>
        <v>46092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7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5762</v>
      </c>
      <c r="B9" s="7">
        <f t="shared" si="1"/>
        <v>46086</v>
      </c>
      <c r="C9" s="7">
        <f t="shared" si="2"/>
        <v>46092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7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5762</v>
      </c>
      <c r="B10" s="7">
        <f t="shared" si="1"/>
        <v>46086</v>
      </c>
      <c r="C10" s="7">
        <f t="shared" si="2"/>
        <v>46092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7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5762</v>
      </c>
      <c r="B11" s="7">
        <f t="shared" si="1"/>
        <v>46086</v>
      </c>
      <c r="C11" s="7">
        <f t="shared" si="2"/>
        <v>46092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7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5762</v>
      </c>
      <c r="B12" s="7">
        <f t="shared" si="1"/>
        <v>46086</v>
      </c>
      <c r="C12" s="7">
        <f t="shared" si="2"/>
        <v>46092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5269</v>
      </c>
      <c r="L12" s="17" t="s">
        <v>5270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5762</v>
      </c>
      <c r="B13" s="7">
        <f t="shared" si="1"/>
        <v>46086</v>
      </c>
      <c r="C13" s="7">
        <f t="shared" si="2"/>
        <v>46092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7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5762</v>
      </c>
      <c r="B14" s="7">
        <f t="shared" si="1"/>
        <v>46086</v>
      </c>
      <c r="C14" s="7">
        <f t="shared" si="2"/>
        <v>46092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7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5762</v>
      </c>
      <c r="B15" s="7">
        <f t="shared" si="1"/>
        <v>46086</v>
      </c>
      <c r="C15" s="7">
        <f t="shared" si="2"/>
        <v>46092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7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5762</v>
      </c>
      <c r="B16" s="7">
        <f t="shared" si="1"/>
        <v>46086</v>
      </c>
      <c r="C16" s="7">
        <f t="shared" si="2"/>
        <v>46092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7" t="s">
        <v>5256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5762</v>
      </c>
      <c r="B17" s="7">
        <f t="shared" si="1"/>
        <v>46086</v>
      </c>
      <c r="C17" s="7">
        <f t="shared" si="2"/>
        <v>46092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7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5762</v>
      </c>
      <c r="B18" s="7">
        <f t="shared" si="1"/>
        <v>46086</v>
      </c>
      <c r="C18" s="7">
        <f t="shared" si="2"/>
        <v>46092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7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5762</v>
      </c>
      <c r="B19" s="7">
        <f t="shared" si="1"/>
        <v>46086</v>
      </c>
      <c r="C19" s="7">
        <f t="shared" si="2"/>
        <v>46092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7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5762</v>
      </c>
      <c r="B20" s="7">
        <f t="shared" si="1"/>
        <v>46086</v>
      </c>
      <c r="C20" s="7">
        <f t="shared" si="2"/>
        <v>46092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7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5762</v>
      </c>
      <c r="B21" s="7">
        <f t="shared" si="1"/>
        <v>46086</v>
      </c>
      <c r="C21" s="7">
        <f t="shared" si="2"/>
        <v>46092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7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5762</v>
      </c>
      <c r="B22" s="7">
        <f t="shared" si="1"/>
        <v>46086</v>
      </c>
      <c r="C22" s="7">
        <f t="shared" si="2"/>
        <v>46092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5336</v>
      </c>
      <c r="L22" s="17" t="s">
        <v>5337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5762</v>
      </c>
      <c r="B23" s="7">
        <f t="shared" si="1"/>
        <v>46086</v>
      </c>
      <c r="C23" s="7">
        <f t="shared" si="2"/>
        <v>46092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5297</v>
      </c>
      <c r="L23" s="17" t="s">
        <v>5298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5762</v>
      </c>
      <c r="B24" s="7">
        <f t="shared" si="1"/>
        <v>46086</v>
      </c>
      <c r="C24" s="7">
        <f t="shared" si="2"/>
        <v>46092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5295</v>
      </c>
      <c r="L24" s="17" t="s">
        <v>5296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5762</v>
      </c>
      <c r="B25" s="7">
        <f t="shared" si="1"/>
        <v>46086</v>
      </c>
      <c r="C25" s="7">
        <f t="shared" si="2"/>
        <v>46092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5303</v>
      </c>
      <c r="L25" s="17" t="s">
        <v>5304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5762</v>
      </c>
      <c r="B26" s="7">
        <f t="shared" si="1"/>
        <v>46086</v>
      </c>
      <c r="C26" s="7">
        <f t="shared" si="2"/>
        <v>46092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7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5762</v>
      </c>
      <c r="B27" s="7">
        <f t="shared" si="1"/>
        <v>46086</v>
      </c>
      <c r="C27" s="7">
        <f t="shared" si="2"/>
        <v>46092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7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5762</v>
      </c>
      <c r="B28" s="7">
        <f t="shared" si="1"/>
        <v>46086</v>
      </c>
      <c r="C28" s="7">
        <f t="shared" si="2"/>
        <v>46092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7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5762</v>
      </c>
      <c r="B29" s="7">
        <f t="shared" si="1"/>
        <v>46086</v>
      </c>
      <c r="C29" s="7">
        <f t="shared" si="2"/>
        <v>46092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7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5762</v>
      </c>
      <c r="B30" s="7">
        <f t="shared" si="1"/>
        <v>46086</v>
      </c>
      <c r="C30" s="7">
        <f t="shared" si="2"/>
        <v>46092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7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5762</v>
      </c>
      <c r="B31" s="7">
        <f t="shared" si="1"/>
        <v>46086</v>
      </c>
      <c r="C31" s="7">
        <f t="shared" si="2"/>
        <v>46092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7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5762</v>
      </c>
      <c r="B32" s="7">
        <f t="shared" si="1"/>
        <v>46086</v>
      </c>
      <c r="C32" s="7">
        <f t="shared" si="2"/>
        <v>46092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7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5762</v>
      </c>
      <c r="B33" s="7">
        <f t="shared" si="1"/>
        <v>46086</v>
      </c>
      <c r="C33" s="7">
        <f t="shared" si="2"/>
        <v>46092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7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5762</v>
      </c>
      <c r="B34" s="7">
        <f t="shared" si="1"/>
        <v>46086</v>
      </c>
      <c r="C34" s="7">
        <f t="shared" si="2"/>
        <v>46092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7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5762</v>
      </c>
      <c r="B35" s="7">
        <f t="shared" si="1"/>
        <v>46086</v>
      </c>
      <c r="C35" s="7">
        <f t="shared" si="2"/>
        <v>46092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7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5762</v>
      </c>
      <c r="B36" s="7">
        <f t="shared" si="1"/>
        <v>46086</v>
      </c>
      <c r="C36" s="7">
        <f t="shared" si="2"/>
        <v>46092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7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5762</v>
      </c>
      <c r="B37" s="7">
        <f t="shared" si="1"/>
        <v>46086</v>
      </c>
      <c r="C37" s="7">
        <f t="shared" si="2"/>
        <v>46092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7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5762</v>
      </c>
      <c r="B38" s="7">
        <f t="shared" si="1"/>
        <v>46086</v>
      </c>
      <c r="C38" s="7">
        <f t="shared" si="2"/>
        <v>46092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7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5762</v>
      </c>
      <c r="B39" s="7">
        <f t="shared" si="1"/>
        <v>46086</v>
      </c>
      <c r="C39" s="7">
        <f t="shared" si="2"/>
        <v>46092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7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5762</v>
      </c>
      <c r="B40" s="7">
        <f t="shared" si="1"/>
        <v>46086</v>
      </c>
      <c r="C40" s="7">
        <f t="shared" si="2"/>
        <v>46092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5274</v>
      </c>
      <c r="L40" s="17" t="s">
        <v>5275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5762</v>
      </c>
      <c r="B41" s="7">
        <f t="shared" si="1"/>
        <v>46086</v>
      </c>
      <c r="C41" s="7">
        <f t="shared" si="2"/>
        <v>46092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7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5762</v>
      </c>
      <c r="B42" s="7">
        <f t="shared" si="1"/>
        <v>46086</v>
      </c>
      <c r="C42" s="7">
        <f t="shared" si="2"/>
        <v>46092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7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5762</v>
      </c>
      <c r="B43" s="7">
        <f t="shared" si="1"/>
        <v>46086</v>
      </c>
      <c r="C43" s="7">
        <f t="shared" si="2"/>
        <v>46092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5191</v>
      </c>
      <c r="L43" s="17" t="s">
        <v>5192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5762</v>
      </c>
      <c r="B44" s="7">
        <f t="shared" si="1"/>
        <v>46086</v>
      </c>
      <c r="C44" s="7">
        <f t="shared" si="2"/>
        <v>46092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5205</v>
      </c>
      <c r="L44" s="17" t="s">
        <v>5206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5762</v>
      </c>
      <c r="B45" s="7">
        <f t="shared" si="1"/>
        <v>46086</v>
      </c>
      <c r="C45" s="7">
        <f t="shared" si="2"/>
        <v>46092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5189</v>
      </c>
      <c r="L45" s="17" t="s">
        <v>5190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5762</v>
      </c>
      <c r="B46" s="7">
        <f t="shared" si="1"/>
        <v>46086</v>
      </c>
      <c r="C46" s="7">
        <f t="shared" si="2"/>
        <v>46092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5207</v>
      </c>
      <c r="L46" s="17" t="s">
        <v>5208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5762</v>
      </c>
      <c r="B47" s="7">
        <f t="shared" si="1"/>
        <v>46086</v>
      </c>
      <c r="C47" s="7">
        <f t="shared" si="2"/>
        <v>46092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7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5762</v>
      </c>
      <c r="B48" s="7">
        <f t="shared" si="1"/>
        <v>46086</v>
      </c>
      <c r="C48" s="7">
        <f t="shared" si="2"/>
        <v>46092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5287</v>
      </c>
      <c r="L48" s="17" t="s">
        <v>5288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5762</v>
      </c>
      <c r="B49" s="7">
        <f t="shared" si="1"/>
        <v>46086</v>
      </c>
      <c r="C49" s="7">
        <f t="shared" si="2"/>
        <v>46092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5287</v>
      </c>
      <c r="L49" s="17" t="s">
        <v>5289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5762</v>
      </c>
      <c r="B50" s="7">
        <f t="shared" si="1"/>
        <v>46086</v>
      </c>
      <c r="C50" s="7">
        <f t="shared" si="2"/>
        <v>46092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5209</v>
      </c>
      <c r="L50" s="17" t="s">
        <v>5210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5762</v>
      </c>
      <c r="B51" s="7">
        <f t="shared" si="1"/>
        <v>46086</v>
      </c>
      <c r="C51" s="7">
        <f t="shared" si="2"/>
        <v>46092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5199</v>
      </c>
      <c r="L51" s="17" t="s">
        <v>5200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5762</v>
      </c>
      <c r="B52" s="7">
        <f t="shared" si="1"/>
        <v>46086</v>
      </c>
      <c r="C52" s="7">
        <f t="shared" si="2"/>
        <v>46092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7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5762</v>
      </c>
      <c r="B53" s="7">
        <f t="shared" si="1"/>
        <v>46086</v>
      </c>
      <c r="C53" s="7">
        <f t="shared" si="2"/>
        <v>46092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7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5762</v>
      </c>
      <c r="B54" s="7">
        <f t="shared" si="1"/>
        <v>46086</v>
      </c>
      <c r="C54" s="7">
        <f t="shared" si="2"/>
        <v>46092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7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5762</v>
      </c>
      <c r="B55" s="7">
        <f t="shared" si="1"/>
        <v>46086</v>
      </c>
      <c r="C55" s="7">
        <f t="shared" si="2"/>
        <v>46092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7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5762</v>
      </c>
      <c r="B56" s="7">
        <f t="shared" si="1"/>
        <v>46086</v>
      </c>
      <c r="C56" s="7">
        <f t="shared" si="2"/>
        <v>46092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7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5762</v>
      </c>
      <c r="B57" s="7">
        <f t="shared" si="1"/>
        <v>46086</v>
      </c>
      <c r="C57" s="7">
        <f t="shared" si="2"/>
        <v>46092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7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5762</v>
      </c>
      <c r="B58" s="7">
        <f t="shared" si="1"/>
        <v>46086</v>
      </c>
      <c r="C58" s="7">
        <f t="shared" si="2"/>
        <v>46092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7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5762</v>
      </c>
      <c r="B59" s="7">
        <f t="shared" si="1"/>
        <v>46086</v>
      </c>
      <c r="C59" s="7">
        <f t="shared" si="2"/>
        <v>46092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7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5762</v>
      </c>
      <c r="B60" s="7">
        <f t="shared" si="1"/>
        <v>46086</v>
      </c>
      <c r="C60" s="7">
        <f t="shared" si="2"/>
        <v>46092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7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5762</v>
      </c>
      <c r="B61" s="7">
        <f t="shared" si="1"/>
        <v>46086</v>
      </c>
      <c r="C61" s="7">
        <f t="shared" si="2"/>
        <v>46092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7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5762</v>
      </c>
      <c r="B62" s="7">
        <f t="shared" si="1"/>
        <v>46086</v>
      </c>
      <c r="C62" s="7">
        <f t="shared" si="2"/>
        <v>46092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7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5762</v>
      </c>
      <c r="B63" s="7">
        <f t="shared" si="1"/>
        <v>46086</v>
      </c>
      <c r="C63" s="7">
        <f t="shared" si="2"/>
        <v>46092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7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5762</v>
      </c>
      <c r="B64" s="7">
        <f t="shared" si="1"/>
        <v>46086</v>
      </c>
      <c r="C64" s="7">
        <f t="shared" si="2"/>
        <v>46092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7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5762</v>
      </c>
      <c r="B65" s="7">
        <f t="shared" si="1"/>
        <v>46086</v>
      </c>
      <c r="C65" s="7">
        <f t="shared" si="2"/>
        <v>46092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7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5762</v>
      </c>
      <c r="B66" s="7">
        <f t="shared" si="1"/>
        <v>46086</v>
      </c>
      <c r="C66" s="7">
        <f t="shared" si="2"/>
        <v>46092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7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5762</v>
      </c>
      <c r="B67" s="7">
        <f t="shared" si="1"/>
        <v>46086</v>
      </c>
      <c r="C67" s="7">
        <f t="shared" si="2"/>
        <v>46092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7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5762</v>
      </c>
      <c r="B68" s="7">
        <f t="shared" ref="B68:B131" si="4">B67</f>
        <v>46086</v>
      </c>
      <c r="C68" s="7">
        <f t="shared" ref="C68:C131" si="5">C67</f>
        <v>46092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7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5762</v>
      </c>
      <c r="B69" s="7">
        <f t="shared" si="4"/>
        <v>46086</v>
      </c>
      <c r="C69" s="7">
        <f t="shared" si="5"/>
        <v>46092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7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5762</v>
      </c>
      <c r="B70" s="7">
        <f t="shared" si="4"/>
        <v>46086</v>
      </c>
      <c r="C70" s="7">
        <f t="shared" si="5"/>
        <v>46092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7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5762</v>
      </c>
      <c r="B71" s="7">
        <f t="shared" si="4"/>
        <v>46086</v>
      </c>
      <c r="C71" s="7">
        <f t="shared" si="5"/>
        <v>46092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7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5762</v>
      </c>
      <c r="B72" s="7">
        <f t="shared" si="4"/>
        <v>46086</v>
      </c>
      <c r="C72" s="7">
        <f t="shared" si="5"/>
        <v>46092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7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5762</v>
      </c>
      <c r="B73" s="7">
        <f t="shared" si="4"/>
        <v>46086</v>
      </c>
      <c r="C73" s="7">
        <f t="shared" si="5"/>
        <v>46092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7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5762</v>
      </c>
      <c r="B74" s="7">
        <f t="shared" si="4"/>
        <v>46086</v>
      </c>
      <c r="C74" s="7">
        <f t="shared" si="5"/>
        <v>46092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7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5762</v>
      </c>
      <c r="B75" s="7">
        <f t="shared" si="4"/>
        <v>46086</v>
      </c>
      <c r="C75" s="7">
        <f t="shared" si="5"/>
        <v>46092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7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5762</v>
      </c>
      <c r="B76" s="7">
        <f t="shared" si="4"/>
        <v>46086</v>
      </c>
      <c r="C76" s="7">
        <f t="shared" si="5"/>
        <v>46092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7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5762</v>
      </c>
      <c r="B77" s="7">
        <f t="shared" si="4"/>
        <v>46086</v>
      </c>
      <c r="C77" s="7">
        <f t="shared" si="5"/>
        <v>46092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7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5762</v>
      </c>
      <c r="B78" s="7">
        <f t="shared" si="4"/>
        <v>46086</v>
      </c>
      <c r="C78" s="7">
        <f t="shared" si="5"/>
        <v>46092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7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5762</v>
      </c>
      <c r="B79" s="7">
        <f t="shared" si="4"/>
        <v>46086</v>
      </c>
      <c r="C79" s="7">
        <f t="shared" si="5"/>
        <v>46092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7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5762</v>
      </c>
      <c r="B80" s="7">
        <f t="shared" si="4"/>
        <v>46086</v>
      </c>
      <c r="C80" s="7">
        <f t="shared" si="5"/>
        <v>46092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5221</v>
      </c>
      <c r="L80" s="17" t="s">
        <v>5222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5762</v>
      </c>
      <c r="B81" s="7">
        <f t="shared" si="4"/>
        <v>46086</v>
      </c>
      <c r="C81" s="7">
        <f t="shared" si="5"/>
        <v>46092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7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5762</v>
      </c>
      <c r="B82" s="7">
        <f t="shared" si="4"/>
        <v>46086</v>
      </c>
      <c r="C82" s="7">
        <f t="shared" si="5"/>
        <v>46092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7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5762</v>
      </c>
      <c r="B83" s="7">
        <f t="shared" si="4"/>
        <v>46086</v>
      </c>
      <c r="C83" s="7">
        <f t="shared" si="5"/>
        <v>46092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7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5762</v>
      </c>
      <c r="B84" s="7">
        <f t="shared" si="4"/>
        <v>46086</v>
      </c>
      <c r="C84" s="7">
        <f t="shared" si="5"/>
        <v>46092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7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5762</v>
      </c>
      <c r="B85" s="7">
        <f t="shared" si="4"/>
        <v>46086</v>
      </c>
      <c r="C85" s="7">
        <f t="shared" si="5"/>
        <v>46092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7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5762</v>
      </c>
      <c r="B86" s="7">
        <f t="shared" si="4"/>
        <v>46086</v>
      </c>
      <c r="C86" s="7">
        <f t="shared" si="5"/>
        <v>46092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7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5762</v>
      </c>
      <c r="B87" s="7">
        <f t="shared" si="4"/>
        <v>46086</v>
      </c>
      <c r="C87" s="7">
        <f t="shared" si="5"/>
        <v>46092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7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5762</v>
      </c>
      <c r="B88" s="7">
        <f t="shared" si="4"/>
        <v>46086</v>
      </c>
      <c r="C88" s="7">
        <f t="shared" si="5"/>
        <v>46092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7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5762</v>
      </c>
      <c r="B89" s="7">
        <f t="shared" si="4"/>
        <v>46086</v>
      </c>
      <c r="C89" s="7">
        <f t="shared" si="5"/>
        <v>46092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7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5762</v>
      </c>
      <c r="B90" s="7">
        <f t="shared" si="4"/>
        <v>46086</v>
      </c>
      <c r="C90" s="7">
        <f t="shared" si="5"/>
        <v>46092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7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5762</v>
      </c>
      <c r="B91" s="7">
        <f t="shared" si="4"/>
        <v>46086</v>
      </c>
      <c r="C91" s="7">
        <f t="shared" si="5"/>
        <v>46092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7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5762</v>
      </c>
      <c r="B92" s="7">
        <f t="shared" si="4"/>
        <v>46086</v>
      </c>
      <c r="C92" s="7">
        <f t="shared" si="5"/>
        <v>46092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7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5762</v>
      </c>
      <c r="B93" s="7">
        <f t="shared" si="4"/>
        <v>46086</v>
      </c>
      <c r="C93" s="7">
        <f t="shared" si="5"/>
        <v>46092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5271</v>
      </c>
      <c r="L93" s="17" t="s">
        <v>5272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5762</v>
      </c>
      <c r="B94" s="7">
        <f t="shared" si="4"/>
        <v>46086</v>
      </c>
      <c r="C94" s="7">
        <f t="shared" si="5"/>
        <v>46092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7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5762</v>
      </c>
      <c r="B95" s="7">
        <f t="shared" si="4"/>
        <v>46086</v>
      </c>
      <c r="C95" s="7">
        <f t="shared" si="5"/>
        <v>46092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7" t="s">
        <v>5250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5762</v>
      </c>
      <c r="B96" s="7">
        <f t="shared" si="4"/>
        <v>46086</v>
      </c>
      <c r="C96" s="7">
        <f t="shared" si="5"/>
        <v>46092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5213</v>
      </c>
      <c r="L96" s="17" t="s">
        <v>5214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5762</v>
      </c>
      <c r="B97" s="7">
        <f t="shared" si="4"/>
        <v>46086</v>
      </c>
      <c r="C97" s="7">
        <f t="shared" si="5"/>
        <v>46092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5215</v>
      </c>
      <c r="L97" s="17" t="s">
        <v>5216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5762</v>
      </c>
      <c r="B98" s="7">
        <f t="shared" si="4"/>
        <v>46086</v>
      </c>
      <c r="C98" s="7">
        <f t="shared" si="5"/>
        <v>46092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5235</v>
      </c>
      <c r="L98" s="17" t="s">
        <v>5236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5762</v>
      </c>
      <c r="B99" s="7">
        <f t="shared" si="4"/>
        <v>46086</v>
      </c>
      <c r="C99" s="7">
        <f t="shared" si="5"/>
        <v>46092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5233</v>
      </c>
      <c r="L99" s="17" t="s">
        <v>5234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5762</v>
      </c>
      <c r="B100" s="7">
        <f t="shared" si="4"/>
        <v>46086</v>
      </c>
      <c r="C100" s="7">
        <f t="shared" si="5"/>
        <v>46092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5217</v>
      </c>
      <c r="L100" s="17" t="s">
        <v>5218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5762</v>
      </c>
      <c r="B101" s="7">
        <f t="shared" si="4"/>
        <v>46086</v>
      </c>
      <c r="C101" s="7">
        <f t="shared" si="5"/>
        <v>46092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5239</v>
      </c>
      <c r="L101" s="17" t="s">
        <v>5240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5762</v>
      </c>
      <c r="B102" s="7">
        <f t="shared" si="4"/>
        <v>46086</v>
      </c>
      <c r="C102" s="7">
        <f t="shared" si="5"/>
        <v>46092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5243</v>
      </c>
      <c r="L102" s="17" t="s">
        <v>5244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5762</v>
      </c>
      <c r="B103" s="7">
        <f t="shared" si="4"/>
        <v>46086</v>
      </c>
      <c r="C103" s="7">
        <f t="shared" si="5"/>
        <v>46092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5225</v>
      </c>
      <c r="L103" s="17" t="s">
        <v>5226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5762</v>
      </c>
      <c r="B104" s="7">
        <f t="shared" si="4"/>
        <v>46086</v>
      </c>
      <c r="C104" s="7">
        <f t="shared" si="5"/>
        <v>46092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5219</v>
      </c>
      <c r="L104" s="17" t="s">
        <v>5220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5762</v>
      </c>
      <c r="B105" s="7">
        <f t="shared" si="4"/>
        <v>46086</v>
      </c>
      <c r="C105" s="7">
        <f t="shared" si="5"/>
        <v>46092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5223</v>
      </c>
      <c r="L105" s="17" t="s">
        <v>5224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5762</v>
      </c>
      <c r="B106" s="7">
        <f t="shared" si="4"/>
        <v>46086</v>
      </c>
      <c r="C106" s="7">
        <f t="shared" si="5"/>
        <v>46092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5241</v>
      </c>
      <c r="L106" s="17" t="s">
        <v>5242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5762</v>
      </c>
      <c r="B107" s="7">
        <f t="shared" si="4"/>
        <v>46086</v>
      </c>
      <c r="C107" s="7">
        <f t="shared" si="5"/>
        <v>46092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5227</v>
      </c>
      <c r="L107" s="17" t="s">
        <v>5228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5762</v>
      </c>
      <c r="B108" s="7">
        <f t="shared" si="4"/>
        <v>46086</v>
      </c>
      <c r="C108" s="7">
        <f t="shared" si="5"/>
        <v>46092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5229</v>
      </c>
      <c r="L108" s="17" t="s">
        <v>5230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5762</v>
      </c>
      <c r="B109" s="7">
        <f t="shared" si="4"/>
        <v>46086</v>
      </c>
      <c r="C109" s="7">
        <f t="shared" si="5"/>
        <v>46092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5231</v>
      </c>
      <c r="L109" s="17" t="s">
        <v>5232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5762</v>
      </c>
      <c r="B110" s="7">
        <f t="shared" si="4"/>
        <v>46086</v>
      </c>
      <c r="C110" s="7">
        <f t="shared" si="5"/>
        <v>46092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5237</v>
      </c>
      <c r="L110" s="17" t="s">
        <v>5238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5762</v>
      </c>
      <c r="B111" s="7">
        <f t="shared" si="4"/>
        <v>46086</v>
      </c>
      <c r="C111" s="7">
        <f t="shared" si="5"/>
        <v>46092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7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5762</v>
      </c>
      <c r="B112" s="7">
        <f t="shared" si="4"/>
        <v>46086</v>
      </c>
      <c r="C112" s="7">
        <f t="shared" si="5"/>
        <v>46092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7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5762</v>
      </c>
      <c r="B113" s="7">
        <f t="shared" si="4"/>
        <v>46086</v>
      </c>
      <c r="C113" s="7">
        <f t="shared" si="5"/>
        <v>46092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7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5762</v>
      </c>
      <c r="B114" s="7">
        <f t="shared" si="4"/>
        <v>46086</v>
      </c>
      <c r="C114" s="7">
        <f t="shared" si="5"/>
        <v>46092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7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5762</v>
      </c>
      <c r="B115" s="7">
        <f t="shared" si="4"/>
        <v>46086</v>
      </c>
      <c r="C115" s="7">
        <f t="shared" si="5"/>
        <v>46092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7" t="s">
        <v>5325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5762</v>
      </c>
      <c r="B116" s="7">
        <f t="shared" si="4"/>
        <v>46086</v>
      </c>
      <c r="C116" s="7">
        <f t="shared" si="5"/>
        <v>46092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7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5762</v>
      </c>
      <c r="B117" s="7">
        <f t="shared" si="4"/>
        <v>46086</v>
      </c>
      <c r="C117" s="7">
        <f t="shared" si="5"/>
        <v>46092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7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5762</v>
      </c>
      <c r="B118" s="7">
        <f t="shared" si="4"/>
        <v>46086</v>
      </c>
      <c r="C118" s="7">
        <f t="shared" si="5"/>
        <v>46092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7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5762</v>
      </c>
      <c r="B119" s="7">
        <f t="shared" si="4"/>
        <v>46086</v>
      </c>
      <c r="C119" s="7">
        <f t="shared" si="5"/>
        <v>46092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7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5762</v>
      </c>
      <c r="B120" s="7">
        <f t="shared" si="4"/>
        <v>46086</v>
      </c>
      <c r="C120" s="7">
        <f t="shared" si="5"/>
        <v>46092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7" t="s">
        <v>5263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5762</v>
      </c>
      <c r="B121" s="7">
        <f t="shared" si="4"/>
        <v>46086</v>
      </c>
      <c r="C121" s="7">
        <f t="shared" si="5"/>
        <v>46092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7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5762</v>
      </c>
      <c r="B122" s="7">
        <f t="shared" si="4"/>
        <v>46086</v>
      </c>
      <c r="C122" s="7">
        <f t="shared" si="5"/>
        <v>46092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7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5762</v>
      </c>
      <c r="B123" s="7">
        <f t="shared" si="4"/>
        <v>46086</v>
      </c>
      <c r="C123" s="7">
        <f t="shared" si="5"/>
        <v>46092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7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5762</v>
      </c>
      <c r="B124" s="7">
        <f t="shared" si="4"/>
        <v>46086</v>
      </c>
      <c r="C124" s="7">
        <f t="shared" si="5"/>
        <v>46092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7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5762</v>
      </c>
      <c r="B125" s="7">
        <f t="shared" si="4"/>
        <v>46086</v>
      </c>
      <c r="C125" s="7">
        <f t="shared" si="5"/>
        <v>46092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7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5762</v>
      </c>
      <c r="B126" s="7">
        <f t="shared" si="4"/>
        <v>46086</v>
      </c>
      <c r="C126" s="7">
        <f t="shared" si="5"/>
        <v>46092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5333</v>
      </c>
      <c r="L126" s="17" t="s">
        <v>5334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5762</v>
      </c>
      <c r="B127" s="7">
        <f t="shared" si="4"/>
        <v>46086</v>
      </c>
      <c r="C127" s="7">
        <f t="shared" si="5"/>
        <v>46092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5333</v>
      </c>
      <c r="L127" s="17" t="s">
        <v>5335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5762</v>
      </c>
      <c r="B128" s="7">
        <f t="shared" si="4"/>
        <v>46086</v>
      </c>
      <c r="C128" s="7">
        <f t="shared" si="5"/>
        <v>46092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5276</v>
      </c>
      <c r="L128" s="17" t="s">
        <v>5277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5762</v>
      </c>
      <c r="B129" s="7">
        <f t="shared" si="4"/>
        <v>46086</v>
      </c>
      <c r="C129" s="7">
        <f t="shared" si="5"/>
        <v>46092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5276</v>
      </c>
      <c r="L129" s="17" t="s">
        <v>5278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5762</v>
      </c>
      <c r="B130" s="7">
        <f t="shared" si="4"/>
        <v>46086</v>
      </c>
      <c r="C130" s="7">
        <f t="shared" si="5"/>
        <v>46092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7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5762</v>
      </c>
      <c r="B131" s="7">
        <f t="shared" si="4"/>
        <v>46086</v>
      </c>
      <c r="C131" s="7">
        <f t="shared" si="5"/>
        <v>46092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7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5762</v>
      </c>
      <c r="B132" s="7">
        <f t="shared" ref="B132:B195" si="7">B131</f>
        <v>46086</v>
      </c>
      <c r="C132" s="7">
        <f t="shared" ref="C132:C195" si="8">C131</f>
        <v>46092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7" t="s">
        <v>5302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5762</v>
      </c>
      <c r="B133" s="7">
        <f t="shared" si="7"/>
        <v>46086</v>
      </c>
      <c r="C133" s="7">
        <f t="shared" si="8"/>
        <v>46092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7" t="s">
        <v>5266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5762</v>
      </c>
      <c r="B134" s="7">
        <f t="shared" si="7"/>
        <v>46086</v>
      </c>
      <c r="C134" s="7">
        <f t="shared" si="8"/>
        <v>46092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7" t="s">
        <v>5311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5762</v>
      </c>
      <c r="B135" s="7">
        <f t="shared" si="7"/>
        <v>46086</v>
      </c>
      <c r="C135" s="7">
        <f t="shared" si="8"/>
        <v>46092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7" t="s">
        <v>5312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5762</v>
      </c>
      <c r="B136" s="7">
        <f t="shared" si="7"/>
        <v>46086</v>
      </c>
      <c r="C136" s="7">
        <f t="shared" si="8"/>
        <v>46092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7" t="s">
        <v>5313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5762</v>
      </c>
      <c r="B137" s="7">
        <f t="shared" si="7"/>
        <v>46086</v>
      </c>
      <c r="C137" s="7">
        <f t="shared" si="8"/>
        <v>46092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7" t="s">
        <v>5305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5762</v>
      </c>
      <c r="B138" s="7">
        <f t="shared" si="7"/>
        <v>46086</v>
      </c>
      <c r="C138" s="7">
        <f t="shared" si="8"/>
        <v>46092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5314</v>
      </c>
      <c r="L138" s="17" t="s">
        <v>5315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5762</v>
      </c>
      <c r="B139" s="7">
        <f t="shared" si="7"/>
        <v>46086</v>
      </c>
      <c r="C139" s="7">
        <f t="shared" si="8"/>
        <v>46092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7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5762</v>
      </c>
      <c r="B140" s="7">
        <f t="shared" si="7"/>
        <v>46086</v>
      </c>
      <c r="C140" s="7">
        <f t="shared" si="8"/>
        <v>46092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7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5762</v>
      </c>
      <c r="B141" s="7">
        <f t="shared" si="7"/>
        <v>46086</v>
      </c>
      <c r="C141" s="7">
        <f t="shared" si="8"/>
        <v>46092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7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5762</v>
      </c>
      <c r="B142" s="7">
        <f t="shared" si="7"/>
        <v>46086</v>
      </c>
      <c r="C142" s="7">
        <f t="shared" si="8"/>
        <v>46092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5293</v>
      </c>
      <c r="L142" s="17" t="s">
        <v>5294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5762</v>
      </c>
      <c r="B143" s="7">
        <f t="shared" si="7"/>
        <v>46086</v>
      </c>
      <c r="C143" s="7">
        <f t="shared" si="8"/>
        <v>46092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5197</v>
      </c>
      <c r="L143" s="17" t="s">
        <v>5198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5762</v>
      </c>
      <c r="B144" s="7">
        <f t="shared" si="7"/>
        <v>46086</v>
      </c>
      <c r="C144" s="7">
        <f t="shared" si="8"/>
        <v>46092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5318</v>
      </c>
      <c r="L144" s="17" t="s">
        <v>5319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5762</v>
      </c>
      <c r="B145" s="7">
        <f t="shared" si="7"/>
        <v>46086</v>
      </c>
      <c r="C145" s="7">
        <f t="shared" si="8"/>
        <v>46092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5299</v>
      </c>
      <c r="L145" s="17" t="s">
        <v>5300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5762</v>
      </c>
      <c r="B146" s="7">
        <f t="shared" si="7"/>
        <v>46086</v>
      </c>
      <c r="C146" s="7">
        <f t="shared" si="8"/>
        <v>46092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5299</v>
      </c>
      <c r="L146" s="17" t="s">
        <v>5301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5762</v>
      </c>
      <c r="B147" s="7">
        <f t="shared" si="7"/>
        <v>46086</v>
      </c>
      <c r="C147" s="7">
        <f t="shared" si="8"/>
        <v>46092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5267</v>
      </c>
      <c r="L147" s="17" t="s">
        <v>5268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5762</v>
      </c>
      <c r="B148" s="7">
        <f t="shared" si="7"/>
        <v>46086</v>
      </c>
      <c r="C148" s="7">
        <f t="shared" si="8"/>
        <v>46092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5306</v>
      </c>
      <c r="L148" s="17" t="s">
        <v>5307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5762</v>
      </c>
      <c r="B149" s="7">
        <f t="shared" si="7"/>
        <v>46086</v>
      </c>
      <c r="C149" s="7">
        <f t="shared" si="8"/>
        <v>46092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5291</v>
      </c>
      <c r="L149" s="17" t="s">
        <v>5292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5762</v>
      </c>
      <c r="B150" s="7">
        <f t="shared" si="7"/>
        <v>46086</v>
      </c>
      <c r="C150" s="7">
        <f t="shared" si="8"/>
        <v>46092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7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5762</v>
      </c>
      <c r="B151" s="7">
        <f t="shared" si="7"/>
        <v>46086</v>
      </c>
      <c r="C151" s="7">
        <f t="shared" si="8"/>
        <v>46092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5193</v>
      </c>
      <c r="L151" s="17" t="s">
        <v>5194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5762</v>
      </c>
      <c r="B152" s="7">
        <f t="shared" si="7"/>
        <v>46086</v>
      </c>
      <c r="C152" s="7">
        <f t="shared" si="8"/>
        <v>46092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5195</v>
      </c>
      <c r="L152" s="17" t="s">
        <v>5196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5762</v>
      </c>
      <c r="B153" s="7">
        <f t="shared" si="7"/>
        <v>46086</v>
      </c>
      <c r="C153" s="7">
        <f t="shared" si="8"/>
        <v>46092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7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5762</v>
      </c>
      <c r="B154" s="7">
        <f t="shared" si="7"/>
        <v>46086</v>
      </c>
      <c r="C154" s="7">
        <f t="shared" si="8"/>
        <v>46092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7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5762</v>
      </c>
      <c r="B155" s="7">
        <f t="shared" si="7"/>
        <v>46086</v>
      </c>
      <c r="C155" s="7">
        <f t="shared" si="8"/>
        <v>46092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7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5762</v>
      </c>
      <c r="B156" s="7">
        <f t="shared" si="7"/>
        <v>46086</v>
      </c>
      <c r="C156" s="7">
        <f t="shared" si="8"/>
        <v>46092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7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5762</v>
      </c>
      <c r="B157" s="7">
        <f t="shared" si="7"/>
        <v>46086</v>
      </c>
      <c r="C157" s="7">
        <f t="shared" si="8"/>
        <v>46092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7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5762</v>
      </c>
      <c r="B158" s="7">
        <f t="shared" si="7"/>
        <v>46086</v>
      </c>
      <c r="C158" s="7">
        <f t="shared" si="8"/>
        <v>46092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5329</v>
      </c>
      <c r="L158" s="17" t="s">
        <v>5330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5762</v>
      </c>
      <c r="B159" s="7">
        <f t="shared" si="7"/>
        <v>46086</v>
      </c>
      <c r="C159" s="7">
        <f t="shared" si="8"/>
        <v>46092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5326</v>
      </c>
      <c r="L159" s="17" t="s">
        <v>5327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5762</v>
      </c>
      <c r="B160" s="7">
        <f t="shared" si="7"/>
        <v>46086</v>
      </c>
      <c r="C160" s="7">
        <f t="shared" si="8"/>
        <v>46092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5326</v>
      </c>
      <c r="L160" s="17" t="s">
        <v>5328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5762</v>
      </c>
      <c r="B161" s="7">
        <f t="shared" si="7"/>
        <v>46086</v>
      </c>
      <c r="C161" s="7">
        <f t="shared" si="8"/>
        <v>46092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7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5762</v>
      </c>
      <c r="B162" s="7">
        <f t="shared" si="7"/>
        <v>46086</v>
      </c>
      <c r="C162" s="7">
        <f t="shared" si="8"/>
        <v>46092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7" t="s">
        <v>5252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5762</v>
      </c>
      <c r="B163" s="7">
        <f t="shared" si="7"/>
        <v>46086</v>
      </c>
      <c r="C163" s="7">
        <f t="shared" si="8"/>
        <v>46092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7" t="s">
        <v>5253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5762</v>
      </c>
      <c r="B164" s="7">
        <f t="shared" si="7"/>
        <v>46086</v>
      </c>
      <c r="C164" s="7">
        <f t="shared" si="8"/>
        <v>46092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7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5762</v>
      </c>
      <c r="B165" s="7">
        <f t="shared" si="7"/>
        <v>46086</v>
      </c>
      <c r="C165" s="7">
        <f t="shared" si="8"/>
        <v>46092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7" t="s">
        <v>5254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5762</v>
      </c>
      <c r="B166" s="7">
        <f t="shared" si="7"/>
        <v>46086</v>
      </c>
      <c r="C166" s="7">
        <f t="shared" si="8"/>
        <v>46092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7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5762</v>
      </c>
      <c r="B167" s="7">
        <f t="shared" si="7"/>
        <v>46086</v>
      </c>
      <c r="C167" s="7">
        <f t="shared" si="8"/>
        <v>46092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7" t="s">
        <v>5255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5762</v>
      </c>
      <c r="B168" s="7">
        <f t="shared" si="7"/>
        <v>46086</v>
      </c>
      <c r="C168" s="7">
        <f t="shared" si="8"/>
        <v>46092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5248</v>
      </c>
      <c r="L168" s="17" t="s">
        <v>5249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5762</v>
      </c>
      <c r="B169" s="7">
        <f t="shared" si="7"/>
        <v>46086</v>
      </c>
      <c r="C169" s="7">
        <f t="shared" si="8"/>
        <v>46092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5245</v>
      </c>
      <c r="L169" s="17" t="s">
        <v>5246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5762</v>
      </c>
      <c r="B170" s="7">
        <f t="shared" si="7"/>
        <v>46086</v>
      </c>
      <c r="C170" s="7">
        <f t="shared" si="8"/>
        <v>46092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5247</v>
      </c>
      <c r="L170" s="17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5762</v>
      </c>
      <c r="B171" s="7">
        <f t="shared" si="7"/>
        <v>46086</v>
      </c>
      <c r="C171" s="7">
        <f t="shared" si="8"/>
        <v>46092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7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5762</v>
      </c>
      <c r="B172" s="7">
        <f t="shared" si="7"/>
        <v>46086</v>
      </c>
      <c r="C172" s="7">
        <f t="shared" si="8"/>
        <v>46092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5251</v>
      </c>
      <c r="L172" s="17" t="s">
        <v>5308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5762</v>
      </c>
      <c r="B173" s="7">
        <f t="shared" si="7"/>
        <v>46086</v>
      </c>
      <c r="C173" s="7">
        <f t="shared" si="8"/>
        <v>46092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5251</v>
      </c>
      <c r="L173" s="17" t="s">
        <v>5309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5762</v>
      </c>
      <c r="B174" s="7">
        <f t="shared" si="7"/>
        <v>46086</v>
      </c>
      <c r="C174" s="7">
        <f t="shared" si="8"/>
        <v>46092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5251</v>
      </c>
      <c r="L174" s="17" t="s">
        <v>5310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5762</v>
      </c>
      <c r="B175" s="7">
        <f t="shared" si="7"/>
        <v>46086</v>
      </c>
      <c r="C175" s="7">
        <f t="shared" si="8"/>
        <v>46092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5251</v>
      </c>
      <c r="L175" s="17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5762</v>
      </c>
      <c r="B176" s="7">
        <f t="shared" si="7"/>
        <v>46086</v>
      </c>
      <c r="C176" s="7">
        <f t="shared" si="8"/>
        <v>46092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7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5762</v>
      </c>
      <c r="B177" s="7">
        <f t="shared" si="7"/>
        <v>46086</v>
      </c>
      <c r="C177" s="7">
        <f t="shared" si="8"/>
        <v>46092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7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5762</v>
      </c>
      <c r="B178" s="7">
        <f t="shared" si="7"/>
        <v>46086</v>
      </c>
      <c r="C178" s="7">
        <f t="shared" si="8"/>
        <v>46092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5211</v>
      </c>
      <c r="L178" s="17" t="s">
        <v>5212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5762</v>
      </c>
      <c r="B179" s="7">
        <f t="shared" si="7"/>
        <v>46086</v>
      </c>
      <c r="C179" s="7">
        <f t="shared" si="8"/>
        <v>46092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5203</v>
      </c>
      <c r="L179" s="17" t="s">
        <v>5204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5762</v>
      </c>
      <c r="B180" s="7">
        <f t="shared" si="7"/>
        <v>46086</v>
      </c>
      <c r="C180" s="7">
        <f t="shared" si="8"/>
        <v>46092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7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5762</v>
      </c>
      <c r="B181" s="7">
        <f t="shared" si="7"/>
        <v>46086</v>
      </c>
      <c r="C181" s="7">
        <f t="shared" si="8"/>
        <v>46092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5331</v>
      </c>
      <c r="L181" s="17" t="s">
        <v>5332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5762</v>
      </c>
      <c r="B182" s="7">
        <f t="shared" si="7"/>
        <v>46086</v>
      </c>
      <c r="C182" s="7">
        <f t="shared" si="8"/>
        <v>46092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5201</v>
      </c>
      <c r="L182" s="17" t="s">
        <v>5202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5762</v>
      </c>
      <c r="B183" s="7">
        <f t="shared" si="7"/>
        <v>46086</v>
      </c>
      <c r="C183" s="7">
        <f t="shared" si="8"/>
        <v>46092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7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5762</v>
      </c>
      <c r="B184" s="7">
        <f t="shared" si="7"/>
        <v>46086</v>
      </c>
      <c r="C184" s="7">
        <f t="shared" si="8"/>
        <v>46092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7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5762</v>
      </c>
      <c r="B185" s="7">
        <f t="shared" si="7"/>
        <v>46086</v>
      </c>
      <c r="C185" s="7">
        <f t="shared" si="8"/>
        <v>46092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7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5762</v>
      </c>
      <c r="B186" s="7">
        <f t="shared" si="7"/>
        <v>46086</v>
      </c>
      <c r="C186" s="7">
        <f t="shared" si="8"/>
        <v>46092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7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5762</v>
      </c>
      <c r="B187" s="7">
        <f t="shared" si="7"/>
        <v>46086</v>
      </c>
      <c r="C187" s="7">
        <f t="shared" si="8"/>
        <v>46092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5322</v>
      </c>
      <c r="L187" s="17" t="s">
        <v>5323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5762</v>
      </c>
      <c r="B188" s="7">
        <f t="shared" si="7"/>
        <v>46086</v>
      </c>
      <c r="C188" s="7">
        <f t="shared" si="8"/>
        <v>46092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5322</v>
      </c>
      <c r="L188" s="17" t="s">
        <v>5324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5762</v>
      </c>
      <c r="B189" s="7">
        <f t="shared" si="7"/>
        <v>46086</v>
      </c>
      <c r="C189" s="7">
        <f t="shared" si="8"/>
        <v>46092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5320</v>
      </c>
      <c r="L189" s="17" t="s">
        <v>5321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5762</v>
      </c>
      <c r="B190" s="7">
        <f t="shared" si="7"/>
        <v>46086</v>
      </c>
      <c r="C190" s="7">
        <f t="shared" si="8"/>
        <v>46092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7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5762</v>
      </c>
      <c r="B191" s="7">
        <f t="shared" si="7"/>
        <v>46086</v>
      </c>
      <c r="C191" s="7">
        <f t="shared" si="8"/>
        <v>46092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7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5762</v>
      </c>
      <c r="B192" s="7">
        <f t="shared" si="7"/>
        <v>46086</v>
      </c>
      <c r="C192" s="7">
        <f t="shared" si="8"/>
        <v>46092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7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5762</v>
      </c>
      <c r="B193" s="7">
        <f t="shared" si="7"/>
        <v>46086</v>
      </c>
      <c r="C193" s="7">
        <f t="shared" si="8"/>
        <v>46092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7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5762</v>
      </c>
      <c r="B194" s="7">
        <f t="shared" si="7"/>
        <v>46086</v>
      </c>
      <c r="C194" s="7">
        <f t="shared" si="8"/>
        <v>46092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7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5762</v>
      </c>
      <c r="B195" s="7">
        <f t="shared" si="7"/>
        <v>46086</v>
      </c>
      <c r="C195" s="7">
        <f t="shared" si="8"/>
        <v>46092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7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5762</v>
      </c>
      <c r="B196" s="7">
        <f t="shared" ref="B196:B211" si="10">B195</f>
        <v>46086</v>
      </c>
      <c r="C196" s="7">
        <f t="shared" ref="C196:C211" si="11">C195</f>
        <v>46092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7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5762</v>
      </c>
      <c r="B197" s="7">
        <f t="shared" si="10"/>
        <v>46086</v>
      </c>
      <c r="C197" s="7">
        <f t="shared" si="11"/>
        <v>46092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5338</v>
      </c>
      <c r="L197" s="17" t="s">
        <v>5339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5762</v>
      </c>
      <c r="B198" s="7">
        <f t="shared" si="10"/>
        <v>46086</v>
      </c>
      <c r="C198" s="7">
        <f t="shared" si="11"/>
        <v>46092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7" t="s">
        <v>5273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5762</v>
      </c>
      <c r="B199" s="7">
        <f t="shared" si="10"/>
        <v>46086</v>
      </c>
      <c r="C199" s="7">
        <f t="shared" si="11"/>
        <v>46092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7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5762</v>
      </c>
      <c r="B200" s="7">
        <f t="shared" si="10"/>
        <v>46086</v>
      </c>
      <c r="C200" s="7">
        <f t="shared" si="11"/>
        <v>46092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7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5762</v>
      </c>
      <c r="B201" s="7">
        <f t="shared" si="10"/>
        <v>46086</v>
      </c>
      <c r="C201" s="7">
        <f t="shared" si="11"/>
        <v>46092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7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5762</v>
      </c>
      <c r="B202" s="7">
        <f t="shared" si="10"/>
        <v>46086</v>
      </c>
      <c r="C202" s="7">
        <f t="shared" si="11"/>
        <v>46092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5316</v>
      </c>
      <c r="L202" s="17" t="s">
        <v>5317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5762</v>
      </c>
      <c r="B203" s="7">
        <f t="shared" si="10"/>
        <v>46086</v>
      </c>
      <c r="C203" s="7">
        <f t="shared" si="11"/>
        <v>46092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7" t="s">
        <v>5286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5762</v>
      </c>
      <c r="B204" s="7">
        <f t="shared" si="10"/>
        <v>46086</v>
      </c>
      <c r="C204" s="7">
        <f t="shared" si="11"/>
        <v>46092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5280</v>
      </c>
      <c r="L204" s="17" t="s">
        <v>5281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5762</v>
      </c>
      <c r="B205" s="7">
        <f t="shared" si="10"/>
        <v>46086</v>
      </c>
      <c r="C205" s="7">
        <f t="shared" si="11"/>
        <v>46092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5280</v>
      </c>
      <c r="L205" s="17" t="s">
        <v>5282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5762</v>
      </c>
      <c r="B206" s="7">
        <f t="shared" si="10"/>
        <v>46086</v>
      </c>
      <c r="C206" s="7">
        <f t="shared" si="11"/>
        <v>46092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5280</v>
      </c>
      <c r="L206" s="17" t="s">
        <v>5283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5762</v>
      </c>
      <c r="B207" s="7">
        <f t="shared" si="10"/>
        <v>46086</v>
      </c>
      <c r="C207" s="7">
        <f t="shared" si="11"/>
        <v>46092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5280</v>
      </c>
      <c r="L207" s="17" t="s">
        <v>5284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5762</v>
      </c>
      <c r="B208" s="7">
        <f t="shared" si="10"/>
        <v>46086</v>
      </c>
      <c r="C208" s="7">
        <f t="shared" si="11"/>
        <v>46092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5280</v>
      </c>
      <c r="L208" s="17" t="s">
        <v>5285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5762</v>
      </c>
      <c r="B209" s="7">
        <f t="shared" si="10"/>
        <v>46086</v>
      </c>
      <c r="C209" s="7">
        <f t="shared" si="11"/>
        <v>46092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7" t="s">
        <v>5290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5762</v>
      </c>
      <c r="B210" s="7">
        <f t="shared" si="10"/>
        <v>46086</v>
      </c>
      <c r="C210" s="7">
        <f t="shared" si="11"/>
        <v>46092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7" t="s">
        <v>5279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5762</v>
      </c>
      <c r="B211" s="7">
        <f t="shared" si="10"/>
        <v>46086</v>
      </c>
      <c r="C211" s="7">
        <f t="shared" si="11"/>
        <v>46092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7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2025 NOV-FEB B3 D10 -3321</vt:lpstr>
      <vt:lpstr>2025 OCT SHARP PRICE - 3321</vt:lpstr>
      <vt:lpstr>2025 SEPT B1 D30 - 3321</vt:lpstr>
      <vt:lpstr>2025 AUG B1G1-3321</vt:lpstr>
      <vt:lpstr>2025 JUL B1G1 - 3321</vt:lpstr>
      <vt:lpstr>2025 HILITE D80 - 3321</vt:lpstr>
      <vt:lpstr>2024 JULY-SEP B1G2 - 3321</vt:lpstr>
      <vt:lpstr>2024 JAN-JUN D70 - 3321</vt:lpstr>
      <vt:lpstr>2025 JUN B1G1 - 3321</vt:lpstr>
      <vt:lpstr>2025 JAN-MEI B1G2 - 3321</vt:lpstr>
      <vt:lpstr>2023 JUN-DEC D90 - 3321</vt:lpstr>
      <vt:lpstr>2025 NOV-FEB B3 D10 -3281</vt:lpstr>
      <vt:lpstr>2025 OCT SHARP PRICE - 3281</vt:lpstr>
      <vt:lpstr>2025 SEPT B1 D30 - 3281</vt:lpstr>
      <vt:lpstr>2025 AUG B1G1-3281</vt:lpstr>
      <vt:lpstr>2025 JUL B1G1 - 3281</vt:lpstr>
      <vt:lpstr>2025 HILITE D80 - 3281</vt:lpstr>
      <vt:lpstr>2025 JAN-MEI B1G2 - 3281</vt:lpstr>
      <vt:lpstr>2024 JULY-SEP B1G2 - 3281</vt:lpstr>
      <vt:lpstr>2024 JAN-JUN D70 - 3281</vt:lpstr>
      <vt:lpstr>2023 JAN-DEC D90 - 3281</vt:lpstr>
      <vt:lpstr>2022 ALL D90 - 3281</vt:lpstr>
      <vt:lpstr>2021 2020 ALL D90 - 3281</vt:lpstr>
      <vt:lpstr>2019 ALL D95 - 3281</vt:lpstr>
      <vt:lpstr>2025 NOV-FEB B3 D10 -3284</vt:lpstr>
      <vt:lpstr>2025 SEPT B1 D30 -3284</vt:lpstr>
      <vt:lpstr>2025 AUG B1G1 -3284</vt:lpstr>
      <vt:lpstr>2025 JULY B1G1 - 3284</vt:lpstr>
      <vt:lpstr>2025 JUNI B1G1-3284</vt:lpstr>
      <vt:lpstr>2025 JAN-MEI B1G2-3284</vt:lpstr>
      <vt:lpstr>2024 JUL-DEC B1G2-3284 LC BABY</vt:lpstr>
      <vt:lpstr>2024 JAN-JUN D70-3284 LC  BABY</vt:lpstr>
      <vt:lpstr>2023 JAN-NOV D90-3284 LC BABY</vt:lpstr>
      <vt:lpstr>2022 ALL D90 - 3284 LC BABY</vt:lpstr>
      <vt:lpstr>2021 2020 ALL D90-3284 LC BABY</vt:lpstr>
      <vt:lpstr>2019 ALL D95 - 3284</vt:lpstr>
      <vt:lpstr>2025 NOV-FEB B3 D10 -3287</vt:lpstr>
      <vt:lpstr>2025 OCT SHARP PRICE- 3287</vt:lpstr>
      <vt:lpstr>2025 SEPT B1 D30 - 3287 LC</vt:lpstr>
      <vt:lpstr>2025 AUG B1G1 - 3287 LC</vt:lpstr>
      <vt:lpstr>2025 JAN-MAR B1G2 - 3287 LC ESS</vt:lpstr>
      <vt:lpstr>2025 APR-JUN B1G1 - 3287 LC ESS</vt:lpstr>
      <vt:lpstr>2025 JULI B1G1 -3287</vt:lpstr>
      <vt:lpstr>2024 JUL-DEC B1G2- 3287 LC ESS</vt:lpstr>
      <vt:lpstr>2024 JAN-JUN D70-3287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Vienneta Nathasyaviana</cp:lastModifiedBy>
  <dcterms:created xsi:type="dcterms:W3CDTF">2023-12-06T09:25:54Z</dcterms:created>
  <dcterms:modified xsi:type="dcterms:W3CDTF">2026-03-03T03:51:26Z</dcterms:modified>
</cp:coreProperties>
</file>